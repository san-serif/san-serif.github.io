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dshum/Documents/Korean/"/>
    </mc:Choice>
  </mc:AlternateContent>
  <xr:revisionPtr revIDLastSave="0" documentId="13_ncr:1_{834A4383-59DB-BB46-9891-55E2B885A5FA}" xr6:coauthVersionLast="47" xr6:coauthVersionMax="47" xr10:uidLastSave="{00000000-0000-0000-0000-000000000000}"/>
  <bookViews>
    <workbookView xWindow="0" yWindow="620" windowWidth="44800" windowHeight="24580" activeTab="5" xr2:uid="{00000000-000D-0000-FFFF-FFFF00000000}"/>
  </bookViews>
  <sheets>
    <sheet name="Sejong 1A-1" sheetId="1" r:id="rId1"/>
    <sheet name="Sejong 1A-2" sheetId="2" r:id="rId2"/>
    <sheet name="Sejong 1B-1" sheetId="3" r:id="rId3"/>
    <sheet name="Sejong 1B-2" sheetId="4" r:id="rId4"/>
    <sheet name="Sejong 2A-1" sheetId="5" r:id="rId5"/>
    <sheet name="Sejong 2A-2" sheetId="6" r:id="rId6"/>
  </sheets>
  <definedNames>
    <definedName name="_xlnm._FilterDatabase" localSheetId="0" hidden="1">'Sejong 1A-1'!$A$1:$E$764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13" i="6" l="1"/>
  <c r="B2012" i="6"/>
  <c r="B2011" i="6"/>
  <c r="B2010" i="6"/>
  <c r="B2009" i="6"/>
  <c r="B2008" i="6"/>
  <c r="B2007" i="6"/>
  <c r="B2006" i="6"/>
  <c r="B2005" i="6"/>
  <c r="B2004" i="6"/>
  <c r="B2003" i="6"/>
  <c r="B2002" i="6"/>
  <c r="B2001" i="6"/>
  <c r="B2000" i="6"/>
  <c r="B1999" i="6"/>
  <c r="B1998" i="6"/>
  <c r="B1997" i="6"/>
  <c r="B1996" i="6"/>
  <c r="B1995" i="6"/>
  <c r="B1994" i="6"/>
  <c r="B1993" i="6"/>
  <c r="B1992" i="6"/>
  <c r="B1991" i="6"/>
  <c r="B1990" i="6"/>
  <c r="B1989" i="6"/>
  <c r="B1988" i="6"/>
  <c r="B1987" i="6"/>
  <c r="B1986" i="6"/>
  <c r="B1985" i="6"/>
  <c r="B1984" i="6"/>
  <c r="B1983" i="6"/>
  <c r="B1982" i="6"/>
  <c r="B1981" i="6"/>
  <c r="B1980" i="6"/>
  <c r="B1979" i="6"/>
  <c r="B1978" i="6"/>
  <c r="B1977" i="6"/>
  <c r="B1976" i="6"/>
  <c r="B1975" i="6"/>
  <c r="B1974" i="6"/>
  <c r="B1973" i="6"/>
  <c r="B1972" i="6"/>
  <c r="B1971" i="6"/>
  <c r="B1970" i="6"/>
  <c r="B1969" i="6"/>
  <c r="B1968" i="6"/>
  <c r="B1967" i="6"/>
  <c r="B1966" i="6"/>
  <c r="B1965" i="6"/>
  <c r="B1964" i="6"/>
  <c r="B1963" i="6"/>
  <c r="B1962" i="6"/>
  <c r="B1961" i="6"/>
  <c r="B1960" i="6"/>
  <c r="B1959" i="6"/>
  <c r="B1958" i="6"/>
  <c r="B1957" i="6"/>
  <c r="B1956" i="6"/>
  <c r="B1955" i="6"/>
  <c r="B1954" i="6"/>
  <c r="B1953" i="6"/>
  <c r="B1952" i="6"/>
  <c r="B1951" i="6"/>
  <c r="B1950" i="6"/>
  <c r="B1949" i="6"/>
  <c r="B1948" i="6"/>
  <c r="B1947" i="6"/>
  <c r="B1946" i="6"/>
  <c r="B1945" i="6"/>
  <c r="B1944" i="6"/>
  <c r="B1943" i="6"/>
  <c r="B1942" i="6"/>
  <c r="B1941" i="6"/>
  <c r="B1940" i="6"/>
  <c r="B1939" i="6"/>
  <c r="B1938" i="6"/>
  <c r="B1937" i="6"/>
  <c r="B1936" i="6"/>
  <c r="B1935" i="6"/>
  <c r="B1934" i="6"/>
  <c r="B1933" i="6"/>
  <c r="B1932" i="6"/>
  <c r="B1931" i="6"/>
  <c r="B1930" i="6"/>
  <c r="B1929" i="6"/>
  <c r="B1928" i="6"/>
  <c r="B1927" i="6"/>
  <c r="B1926" i="6"/>
  <c r="B1925" i="6"/>
  <c r="B1924" i="6"/>
  <c r="B1923" i="6"/>
  <c r="B1922" i="6"/>
  <c r="B1921" i="6"/>
  <c r="B1920" i="6"/>
  <c r="B1919" i="6"/>
  <c r="B1918" i="6"/>
  <c r="B1917" i="6"/>
  <c r="B1916" i="6"/>
  <c r="B1915" i="6"/>
  <c r="B1914" i="6"/>
  <c r="B1913" i="6"/>
  <c r="B1912" i="6"/>
  <c r="B1911" i="6"/>
  <c r="B1910" i="6"/>
  <c r="B1909" i="6"/>
  <c r="B1908" i="6"/>
  <c r="B1907" i="6"/>
  <c r="B1906" i="6"/>
  <c r="B1905" i="6"/>
  <c r="B1904" i="6"/>
  <c r="B1903" i="6"/>
  <c r="B1902" i="6"/>
  <c r="B1901" i="6"/>
  <c r="B1900" i="6"/>
  <c r="B1899" i="6"/>
  <c r="B1898" i="6"/>
  <c r="B1897" i="6"/>
  <c r="B1896" i="6"/>
  <c r="B1895" i="6"/>
  <c r="B1894" i="6"/>
  <c r="B1893" i="6"/>
  <c r="B1892" i="6"/>
  <c r="B1891" i="6"/>
  <c r="B1890" i="6"/>
  <c r="B1889" i="6"/>
  <c r="B1888" i="6"/>
  <c r="B1887" i="6"/>
  <c r="B1886" i="6"/>
  <c r="B1885" i="6"/>
  <c r="B1884" i="6"/>
  <c r="B1883" i="6"/>
  <c r="B1882" i="6"/>
  <c r="B1881" i="6"/>
  <c r="B1880" i="6"/>
  <c r="B1879" i="6"/>
  <c r="B1878" i="6"/>
  <c r="B1877" i="6"/>
  <c r="B1876" i="6"/>
  <c r="B1875" i="6"/>
  <c r="B1874" i="6"/>
  <c r="B1873" i="6"/>
  <c r="B1872" i="6"/>
  <c r="B1871" i="6"/>
  <c r="B1870" i="6"/>
  <c r="B1869" i="6"/>
  <c r="B1868" i="6"/>
  <c r="B1867" i="6"/>
  <c r="B1866" i="6"/>
  <c r="B1865" i="6"/>
  <c r="B1864" i="6"/>
  <c r="B1863" i="6"/>
  <c r="B1862" i="6"/>
  <c r="B1861" i="6"/>
  <c r="B1860" i="6"/>
  <c r="B1859" i="6"/>
  <c r="B1858" i="6"/>
  <c r="B1857" i="6"/>
  <c r="B1856" i="6"/>
  <c r="B1855" i="6"/>
  <c r="B1854" i="6"/>
  <c r="B1853" i="6"/>
  <c r="B1852" i="6"/>
  <c r="B1851" i="6"/>
  <c r="B1850" i="6"/>
  <c r="B1849" i="6"/>
  <c r="B1848" i="6"/>
  <c r="B1847" i="6"/>
  <c r="B1846" i="6"/>
  <c r="B1845" i="6"/>
  <c r="B1844" i="6"/>
  <c r="B1843" i="6"/>
  <c r="B1842" i="6"/>
  <c r="B1841" i="6"/>
  <c r="B1840" i="6"/>
  <c r="B1839" i="6"/>
  <c r="B1838" i="6"/>
  <c r="B1837" i="6"/>
  <c r="B1836" i="6"/>
  <c r="B1835" i="6"/>
  <c r="B1834" i="6"/>
  <c r="B1833" i="6"/>
  <c r="B1832" i="6"/>
  <c r="B1831" i="6"/>
  <c r="B1830" i="6"/>
  <c r="B1829" i="6"/>
  <c r="B1828" i="6"/>
  <c r="B1827" i="6"/>
  <c r="B1826" i="6"/>
  <c r="B1825" i="6"/>
  <c r="B1824" i="6"/>
  <c r="B1823" i="6"/>
  <c r="B1822" i="6"/>
  <c r="B1821" i="6"/>
  <c r="B1820" i="6"/>
  <c r="B1819" i="6"/>
  <c r="B1818" i="6"/>
  <c r="B1817" i="6"/>
  <c r="B1816" i="6"/>
  <c r="B1815" i="6"/>
  <c r="B1814" i="6"/>
  <c r="B1813" i="6"/>
  <c r="B1812" i="6"/>
  <c r="B1811" i="6"/>
  <c r="B1810" i="6"/>
  <c r="B1809" i="6"/>
  <c r="B1808" i="6"/>
  <c r="B1807" i="6"/>
  <c r="B1806" i="6"/>
  <c r="B1805" i="6"/>
  <c r="B1804" i="6"/>
  <c r="B1803" i="6"/>
  <c r="B1802" i="6"/>
  <c r="B1801" i="6"/>
  <c r="B1800" i="6"/>
  <c r="B1799" i="6"/>
  <c r="B1798" i="6"/>
  <c r="B1797" i="6"/>
  <c r="B1796" i="6"/>
  <c r="B1795" i="6"/>
  <c r="B1794" i="6"/>
  <c r="B1793" i="6"/>
  <c r="B1792" i="6"/>
  <c r="B1791" i="6"/>
  <c r="B1790" i="6"/>
  <c r="B1789" i="6"/>
  <c r="B1788" i="6"/>
  <c r="B1787" i="6"/>
  <c r="B1786" i="6"/>
  <c r="B1785" i="6"/>
  <c r="B1784" i="6"/>
  <c r="B1783" i="6"/>
  <c r="B1782" i="6"/>
  <c r="B1781" i="6"/>
  <c r="B1780" i="6"/>
  <c r="B1779" i="6"/>
  <c r="B1778" i="6"/>
  <c r="B1777" i="6"/>
  <c r="B1776" i="6"/>
  <c r="B1775" i="6"/>
  <c r="B1774" i="6"/>
  <c r="B1773" i="6"/>
  <c r="B1772" i="6"/>
  <c r="B1771" i="6"/>
  <c r="B1770" i="6"/>
  <c r="B1769" i="6"/>
  <c r="B1768" i="6"/>
  <c r="B1767" i="6"/>
  <c r="B1766" i="6"/>
  <c r="B1765" i="6"/>
  <c r="B1764" i="6"/>
  <c r="B1763" i="6"/>
  <c r="B1762" i="6"/>
  <c r="B1761" i="6"/>
  <c r="B1760" i="6"/>
  <c r="B1759" i="6"/>
  <c r="B1758" i="6"/>
  <c r="B1757" i="6"/>
  <c r="B1756" i="6"/>
  <c r="B1755" i="6"/>
  <c r="B1754" i="6"/>
  <c r="B1753" i="6"/>
  <c r="B1752" i="6"/>
  <c r="B1751" i="6"/>
  <c r="B1750" i="6"/>
  <c r="B1749" i="6"/>
  <c r="B1748" i="6"/>
  <c r="B1747" i="6"/>
  <c r="B1746" i="6"/>
  <c r="B1745" i="6"/>
  <c r="B1744" i="6"/>
  <c r="B1743" i="6"/>
  <c r="B1742" i="6"/>
  <c r="B1741" i="6"/>
  <c r="B1740" i="6"/>
  <c r="B1739" i="6"/>
  <c r="B1738" i="6"/>
  <c r="B1737" i="6"/>
  <c r="B1736" i="6"/>
  <c r="B1735" i="6"/>
  <c r="B1734" i="6"/>
  <c r="B1733" i="6"/>
  <c r="B1732" i="6"/>
  <c r="B1731" i="6"/>
  <c r="B1730" i="6"/>
  <c r="B1729" i="6"/>
  <c r="B1728" i="6"/>
  <c r="B1727" i="6"/>
  <c r="B1726" i="6"/>
  <c r="B1725" i="6"/>
  <c r="B1724" i="6"/>
  <c r="B1723" i="6"/>
  <c r="B1722" i="6"/>
  <c r="B1721" i="6"/>
  <c r="B1720" i="6"/>
  <c r="B1719" i="6"/>
  <c r="B1718" i="6"/>
  <c r="B1717" i="6"/>
  <c r="B1716" i="6"/>
  <c r="B1715" i="6"/>
  <c r="B1714" i="6"/>
  <c r="B1713" i="6"/>
  <c r="B1712" i="6"/>
  <c r="B1711" i="6"/>
  <c r="B1710" i="6"/>
  <c r="B1709" i="6"/>
  <c r="B1708" i="6"/>
  <c r="B1707" i="6"/>
  <c r="B1706" i="6"/>
  <c r="B1705" i="6"/>
  <c r="B1704" i="6"/>
  <c r="B1703" i="6"/>
  <c r="B1702" i="6"/>
  <c r="B1701" i="6"/>
  <c r="B1700" i="6"/>
  <c r="B1699" i="6"/>
  <c r="B1698" i="6"/>
  <c r="B1697" i="6"/>
  <c r="B1696" i="6"/>
  <c r="B1695" i="6"/>
  <c r="B1694" i="6"/>
  <c r="B1693" i="6"/>
  <c r="B1692" i="6"/>
  <c r="B1691" i="6"/>
  <c r="B1690" i="6"/>
  <c r="B1689" i="6"/>
  <c r="B1688" i="6"/>
  <c r="B1687" i="6"/>
  <c r="B1686" i="6"/>
  <c r="B1685" i="6"/>
  <c r="B1684" i="6"/>
  <c r="B1683" i="6"/>
  <c r="B1682" i="6"/>
  <c r="B1681" i="6"/>
  <c r="B1680" i="6"/>
  <c r="B1679" i="6"/>
  <c r="B1678" i="6"/>
  <c r="B1677" i="6"/>
  <c r="B1676" i="6"/>
  <c r="B1675" i="6"/>
  <c r="B1674" i="6"/>
  <c r="B1673" i="6"/>
  <c r="B1672" i="6"/>
  <c r="B1671" i="6"/>
  <c r="B1670" i="6"/>
  <c r="B1669" i="6"/>
  <c r="B1668" i="6"/>
  <c r="B1667" i="6"/>
  <c r="B1666" i="6"/>
  <c r="B1665" i="6"/>
  <c r="B1664" i="6"/>
  <c r="B1663" i="6"/>
  <c r="B1662" i="6"/>
  <c r="B1661" i="6"/>
  <c r="B1660" i="6"/>
  <c r="B1659" i="6"/>
  <c r="B1658" i="6"/>
  <c r="B1657" i="6"/>
  <c r="B1656" i="6"/>
  <c r="B1655" i="6"/>
  <c r="B1654" i="6"/>
  <c r="B1653" i="6"/>
  <c r="B1652" i="6"/>
  <c r="B1651" i="6"/>
  <c r="B1650" i="6"/>
  <c r="B1649" i="6"/>
  <c r="B1648" i="6"/>
  <c r="B1647" i="6"/>
  <c r="B1646" i="6"/>
  <c r="B1645" i="6"/>
  <c r="B1644" i="6"/>
  <c r="B1643" i="6"/>
  <c r="B1642" i="6"/>
  <c r="B1641" i="6"/>
  <c r="B1640" i="6"/>
  <c r="B1639" i="6"/>
  <c r="B1638" i="6"/>
  <c r="B1637" i="6"/>
  <c r="B1636" i="6"/>
  <c r="B1635" i="6"/>
  <c r="B1634" i="6"/>
  <c r="B1633" i="6"/>
  <c r="B1632" i="6"/>
  <c r="B1631" i="6"/>
  <c r="B1630" i="6"/>
  <c r="B1629" i="6"/>
  <c r="B1628" i="6"/>
  <c r="B1627" i="6"/>
  <c r="B1626" i="6"/>
  <c r="B1625" i="6"/>
  <c r="B1624" i="6"/>
  <c r="B1623" i="6"/>
  <c r="B1622" i="6"/>
  <c r="B1621" i="6"/>
  <c r="B1620" i="6"/>
  <c r="B1619" i="6"/>
  <c r="B1618" i="6"/>
  <c r="B1617" i="6"/>
  <c r="B1616" i="6"/>
  <c r="B1615" i="6"/>
  <c r="B1614" i="6"/>
  <c r="B1613" i="6"/>
  <c r="B1612" i="6"/>
  <c r="B1611" i="6"/>
  <c r="B1610" i="6"/>
  <c r="B1609" i="6"/>
  <c r="B1608" i="6"/>
  <c r="B1607" i="6"/>
  <c r="B1606" i="6"/>
  <c r="B1605" i="6"/>
  <c r="B1604" i="6"/>
  <c r="B1603" i="6"/>
  <c r="B1602" i="6"/>
  <c r="B1601" i="6"/>
  <c r="B1600" i="6"/>
  <c r="B1599" i="6"/>
  <c r="B1598" i="6"/>
  <c r="B1597" i="6"/>
  <c r="B1596" i="6"/>
  <c r="B1595" i="6"/>
  <c r="B1594" i="6"/>
  <c r="B1593" i="6"/>
  <c r="B1592" i="6"/>
  <c r="B1591" i="6"/>
  <c r="B1590" i="6"/>
  <c r="B1589" i="6"/>
  <c r="B1588" i="6"/>
  <c r="B1587" i="6"/>
  <c r="B1586" i="6"/>
  <c r="B1585" i="6"/>
  <c r="B1584" i="6"/>
  <c r="B1583" i="6"/>
  <c r="B1582" i="6"/>
  <c r="B1581" i="6"/>
  <c r="B1580" i="6"/>
  <c r="B1579" i="6"/>
  <c r="B1578" i="6"/>
  <c r="B1577" i="6"/>
  <c r="B1576" i="6"/>
  <c r="B1575" i="6"/>
  <c r="B1574" i="6"/>
  <c r="B1573" i="6"/>
  <c r="B1572" i="6"/>
  <c r="B1571" i="6"/>
  <c r="B1570" i="6"/>
  <c r="B1569" i="6"/>
  <c r="B1568" i="6"/>
  <c r="B1567" i="6"/>
  <c r="B1566" i="6"/>
  <c r="B1565" i="6"/>
  <c r="B1564" i="6"/>
  <c r="B1563" i="6"/>
  <c r="B1562" i="6"/>
  <c r="B1561" i="6"/>
  <c r="B1560" i="6"/>
  <c r="B1559" i="6"/>
  <c r="B1558" i="6"/>
  <c r="B1557" i="6"/>
  <c r="B1556" i="6"/>
  <c r="B1555" i="6"/>
  <c r="B1554" i="6"/>
  <c r="B1553" i="6"/>
  <c r="B1552" i="6"/>
  <c r="B1551" i="6"/>
  <c r="B1550" i="6"/>
  <c r="B1549" i="6"/>
  <c r="B1548" i="6"/>
  <c r="B1547" i="6"/>
  <c r="B1546" i="6"/>
  <c r="B1545" i="6"/>
  <c r="B1544" i="6"/>
  <c r="B1543" i="6"/>
  <c r="B1542" i="6"/>
  <c r="B1541" i="6"/>
  <c r="B1540" i="6"/>
  <c r="B1539" i="6"/>
  <c r="B1538" i="6"/>
  <c r="B1537" i="6"/>
  <c r="B1536" i="6"/>
  <c r="B1535" i="6"/>
  <c r="B1534" i="6"/>
  <c r="B1533" i="6"/>
  <c r="B1532" i="6"/>
  <c r="B1531" i="6"/>
  <c r="B1530" i="6"/>
  <c r="B1529" i="6"/>
  <c r="B1528" i="6"/>
  <c r="B1527" i="6"/>
  <c r="B1526" i="6"/>
  <c r="B1525" i="6"/>
  <c r="B1524" i="6"/>
  <c r="B1523" i="6"/>
  <c r="B1522" i="6"/>
  <c r="B1521" i="6"/>
  <c r="B1520" i="6"/>
  <c r="B1519" i="6"/>
  <c r="B1518" i="6"/>
  <c r="B1517" i="6"/>
  <c r="B1516" i="6"/>
  <c r="B1515" i="6"/>
  <c r="B1514" i="6"/>
  <c r="B1513" i="6"/>
  <c r="B1512" i="6"/>
  <c r="B1511" i="6"/>
  <c r="B1510" i="6"/>
  <c r="B1509" i="6"/>
  <c r="B1508" i="6"/>
  <c r="B1507" i="6"/>
  <c r="B1506" i="6"/>
  <c r="B1505" i="6"/>
  <c r="B1504" i="6"/>
  <c r="B1503" i="6"/>
  <c r="B1502" i="6"/>
  <c r="B1501" i="6"/>
  <c r="B1500" i="6"/>
  <c r="B1499" i="6"/>
  <c r="B1498" i="6"/>
  <c r="B1497" i="6"/>
  <c r="B1496" i="6"/>
  <c r="B1495" i="6"/>
  <c r="B1494" i="6"/>
  <c r="B1493" i="6"/>
  <c r="B1492" i="6"/>
  <c r="B1491" i="6"/>
  <c r="B1490" i="6"/>
  <c r="B1489" i="6"/>
  <c r="B1488" i="6"/>
  <c r="B1487" i="6"/>
  <c r="B1486" i="6"/>
  <c r="B1485" i="6"/>
  <c r="B1484" i="6"/>
  <c r="B1483" i="6"/>
  <c r="B1482" i="6"/>
  <c r="B1481" i="6"/>
  <c r="B1480" i="6"/>
  <c r="B1479" i="6"/>
  <c r="B1478" i="6"/>
  <c r="B1477" i="6"/>
  <c r="B1476" i="6"/>
  <c r="B1475" i="6"/>
  <c r="B1474" i="6"/>
  <c r="B1473" i="6"/>
  <c r="B1472" i="6"/>
  <c r="B1471" i="6"/>
  <c r="B1470" i="6"/>
  <c r="B1469" i="6"/>
  <c r="B1468" i="6"/>
  <c r="B1467" i="6"/>
  <c r="B1466" i="6"/>
  <c r="B1465" i="6"/>
  <c r="B1464" i="6"/>
  <c r="B1463" i="6"/>
  <c r="B1462" i="6"/>
  <c r="B1461" i="6"/>
  <c r="B1460" i="6"/>
  <c r="B1459" i="6"/>
  <c r="B1458" i="6"/>
  <c r="B1457" i="6"/>
  <c r="B1456" i="6"/>
  <c r="B1455" i="6"/>
  <c r="B1454" i="6"/>
  <c r="B1453" i="6"/>
  <c r="B1452" i="6"/>
  <c r="B1451" i="6"/>
  <c r="B1450" i="6"/>
  <c r="B1449" i="6"/>
  <c r="B1448" i="6"/>
  <c r="B1447" i="6"/>
  <c r="B1446" i="6"/>
  <c r="B1445" i="6"/>
  <c r="B1444" i="6"/>
  <c r="B1443" i="6"/>
  <c r="B1442" i="6"/>
  <c r="B1441" i="6"/>
  <c r="B1440" i="6"/>
  <c r="B1439" i="6"/>
  <c r="B1438" i="6"/>
  <c r="B1437" i="6"/>
  <c r="B1436" i="6"/>
  <c r="B1435" i="6"/>
  <c r="B1434" i="6"/>
  <c r="B1433" i="6"/>
  <c r="B1432" i="6"/>
  <c r="B1431" i="6"/>
  <c r="B1430" i="6"/>
  <c r="B1429" i="6"/>
  <c r="B1428" i="6"/>
  <c r="B1427" i="6"/>
  <c r="B1426" i="6"/>
  <c r="B1425" i="6"/>
  <c r="B1424" i="6"/>
  <c r="B1423" i="6"/>
  <c r="B1422" i="6"/>
  <c r="B1421" i="6"/>
  <c r="B1420" i="6"/>
  <c r="B1419" i="6"/>
  <c r="B1418" i="6"/>
  <c r="B1417" i="6"/>
  <c r="B1416" i="6"/>
  <c r="B1415" i="6"/>
  <c r="B1414" i="6"/>
  <c r="B1413" i="6"/>
  <c r="B1412" i="6"/>
  <c r="B1411" i="6"/>
  <c r="B1410" i="6"/>
  <c r="B1409" i="6"/>
  <c r="B1408" i="6"/>
  <c r="B1407" i="6"/>
  <c r="B1406" i="6"/>
  <c r="B1405" i="6"/>
  <c r="B1404" i="6"/>
  <c r="B1403" i="6"/>
  <c r="B1402" i="6"/>
  <c r="B1401" i="6"/>
  <c r="B1400" i="6"/>
  <c r="B1399" i="6"/>
  <c r="B1398" i="6"/>
  <c r="B1397" i="6"/>
  <c r="B1396" i="6"/>
  <c r="B1395" i="6"/>
  <c r="B1394" i="6"/>
  <c r="B1393" i="6"/>
  <c r="B1392" i="6"/>
  <c r="B1391" i="6"/>
  <c r="B1390" i="6"/>
  <c r="B1389" i="6"/>
  <c r="B1388" i="6"/>
  <c r="B1387" i="6"/>
  <c r="B1386" i="6"/>
  <c r="B1385" i="6"/>
  <c r="B1384" i="6"/>
  <c r="B1383" i="6"/>
  <c r="B1382" i="6"/>
  <c r="B1381" i="6"/>
  <c r="B1380" i="6"/>
  <c r="B1379" i="6"/>
  <c r="B1378" i="6"/>
  <c r="B1377" i="6"/>
  <c r="B1376" i="6"/>
  <c r="B1375" i="6"/>
  <c r="B1374" i="6"/>
  <c r="B1373" i="6"/>
  <c r="B1372" i="6"/>
  <c r="B1371" i="6"/>
  <c r="B1370" i="6"/>
  <c r="B1369" i="6"/>
  <c r="B1368" i="6"/>
  <c r="B1367" i="6"/>
  <c r="B1366" i="6"/>
  <c r="B1365" i="6"/>
  <c r="B1364" i="6"/>
  <c r="B1363" i="6"/>
  <c r="B1362" i="6"/>
  <c r="B1361" i="6"/>
  <c r="B1360" i="6"/>
  <c r="B1359" i="6"/>
  <c r="B1358" i="6"/>
  <c r="B1357" i="6"/>
  <c r="B1356" i="6"/>
  <c r="B1355" i="6"/>
  <c r="B1354" i="6"/>
  <c r="B1353" i="6"/>
  <c r="B1352" i="6"/>
  <c r="B1351" i="6"/>
  <c r="B1350" i="6"/>
  <c r="B1349" i="6"/>
  <c r="B1348" i="6"/>
  <c r="B1347" i="6"/>
  <c r="B1346" i="6"/>
  <c r="B1345" i="6"/>
  <c r="B1344" i="6"/>
  <c r="B1343" i="6"/>
  <c r="B1342" i="6"/>
  <c r="B1341" i="6"/>
  <c r="B1340" i="6"/>
  <c r="B1339" i="6"/>
  <c r="B1338" i="6"/>
  <c r="B1337" i="6"/>
  <c r="B1336" i="6"/>
  <c r="B1335" i="6"/>
  <c r="B1334" i="6"/>
  <c r="B1333" i="6"/>
  <c r="B1332" i="6"/>
  <c r="B1331" i="6"/>
  <c r="B1330" i="6"/>
  <c r="B1329" i="6"/>
  <c r="B1328" i="6"/>
  <c r="B1327" i="6"/>
  <c r="B1326" i="6"/>
  <c r="B1325" i="6"/>
  <c r="B1324" i="6"/>
  <c r="B1323" i="6"/>
  <c r="B1322" i="6"/>
  <c r="B1321" i="6"/>
  <c r="B1320" i="6"/>
  <c r="B1319" i="6"/>
  <c r="B1318" i="6"/>
  <c r="B1317" i="6"/>
  <c r="B1316" i="6"/>
  <c r="B1315" i="6"/>
  <c r="B1314" i="6"/>
  <c r="B1313" i="6"/>
  <c r="B1312" i="6"/>
  <c r="B1311" i="6"/>
  <c r="B1310" i="6"/>
  <c r="B1309" i="6"/>
  <c r="B1308" i="6"/>
  <c r="B1307" i="6"/>
  <c r="B1306" i="6"/>
  <c r="B1305" i="6"/>
  <c r="B1304" i="6"/>
  <c r="B1303" i="6"/>
  <c r="B1302" i="6"/>
  <c r="B1301" i="6"/>
  <c r="B1300" i="6"/>
  <c r="B1299" i="6"/>
  <c r="B1298" i="6"/>
  <c r="B1297" i="6"/>
  <c r="B1296" i="6"/>
  <c r="B1295" i="6"/>
  <c r="B1294" i="6"/>
  <c r="B1293" i="6"/>
  <c r="B1292" i="6"/>
  <c r="B1291" i="6"/>
  <c r="B1290" i="6"/>
  <c r="B1289" i="6"/>
  <c r="B1288" i="6"/>
  <c r="B1287" i="6"/>
  <c r="B1286" i="6"/>
  <c r="B1285" i="6"/>
  <c r="B1284" i="6"/>
  <c r="B1283" i="6"/>
  <c r="B1282" i="6"/>
  <c r="B1281" i="6"/>
  <c r="B1280" i="6"/>
  <c r="B1279" i="6"/>
  <c r="B1278" i="6"/>
  <c r="B1277" i="6"/>
  <c r="B1276" i="6"/>
  <c r="B1275" i="6"/>
  <c r="B1274" i="6"/>
  <c r="B1273" i="6"/>
  <c r="B1272" i="6"/>
  <c r="B1271" i="6"/>
  <c r="B1270" i="6"/>
  <c r="B1269" i="6"/>
  <c r="B1268" i="6"/>
  <c r="B1267" i="6"/>
  <c r="B1266" i="6"/>
  <c r="B1265" i="6"/>
  <c r="B1264" i="6"/>
  <c r="B1263" i="6"/>
  <c r="B1262" i="6"/>
  <c r="B1261" i="6"/>
  <c r="B1260" i="6"/>
  <c r="B1259" i="6"/>
  <c r="B1258" i="6"/>
  <c r="B1257" i="6"/>
  <c r="B1256" i="6"/>
  <c r="B1255" i="6"/>
  <c r="B1254" i="6"/>
  <c r="B1253" i="6"/>
  <c r="B1252" i="6"/>
  <c r="B1251" i="6"/>
  <c r="B1250" i="6"/>
  <c r="B1249" i="6"/>
  <c r="B1248" i="6"/>
  <c r="B1247" i="6"/>
  <c r="B1246" i="6"/>
  <c r="B1245" i="6"/>
  <c r="B1244" i="6"/>
  <c r="B1243" i="6"/>
  <c r="B1242" i="6"/>
  <c r="B1241" i="6"/>
  <c r="B1240" i="6"/>
  <c r="B1239" i="6"/>
  <c r="B1238" i="6"/>
  <c r="B1237" i="6"/>
  <c r="B1236" i="6"/>
  <c r="B1235" i="6"/>
  <c r="B1234" i="6"/>
  <c r="B1233" i="6"/>
  <c r="B1232" i="6"/>
  <c r="B1231" i="6"/>
  <c r="B1230" i="6"/>
  <c r="B1229" i="6"/>
  <c r="B1228" i="6"/>
  <c r="B1227" i="6"/>
  <c r="B1226" i="6"/>
  <c r="B1225" i="6"/>
  <c r="B1224" i="6"/>
  <c r="B1223" i="6"/>
  <c r="B1222" i="6"/>
  <c r="B1221" i="6"/>
  <c r="B1220" i="6"/>
  <c r="B1219" i="6"/>
  <c r="B1218" i="6"/>
  <c r="B1217" i="6"/>
  <c r="B1216" i="6"/>
  <c r="B1215" i="6"/>
  <c r="B1214" i="6"/>
  <c r="B1213" i="6"/>
  <c r="B1212" i="6"/>
  <c r="B1211" i="6"/>
  <c r="B1210" i="6"/>
  <c r="B1209" i="6"/>
  <c r="B1208" i="6"/>
  <c r="B1207" i="6"/>
  <c r="B1206" i="6"/>
  <c r="B1205" i="6"/>
  <c r="B1204" i="6"/>
  <c r="B1203" i="6"/>
  <c r="B1202" i="6"/>
  <c r="B1201" i="6"/>
  <c r="B1200" i="6"/>
  <c r="B1199" i="6"/>
  <c r="B1198" i="6"/>
  <c r="B1197" i="6"/>
  <c r="B1196" i="6"/>
  <c r="B1195" i="6"/>
  <c r="B1194" i="6"/>
  <c r="B1193" i="6"/>
  <c r="B1192" i="6"/>
  <c r="B1191" i="6"/>
  <c r="B1190" i="6"/>
  <c r="B1189" i="6"/>
  <c r="B1188" i="6"/>
  <c r="B1187" i="6"/>
  <c r="B1186" i="6"/>
  <c r="B1185" i="6"/>
  <c r="B1184" i="6"/>
  <c r="B1183" i="6"/>
  <c r="B1182" i="6"/>
  <c r="B1181" i="6"/>
  <c r="B1180" i="6"/>
  <c r="B1179" i="6"/>
  <c r="B1178" i="6"/>
  <c r="B1177" i="6"/>
  <c r="B1176" i="6"/>
  <c r="B1175" i="6"/>
  <c r="B1174" i="6"/>
  <c r="B1173" i="6"/>
  <c r="B1172" i="6"/>
  <c r="B1171" i="6"/>
  <c r="B1170" i="6"/>
  <c r="B1169" i="6"/>
  <c r="B1168" i="6"/>
  <c r="B1167" i="6"/>
  <c r="B1166" i="6"/>
  <c r="B1165" i="6"/>
  <c r="B1164" i="6"/>
  <c r="B1163" i="6"/>
  <c r="B1162" i="6"/>
  <c r="B1161" i="6"/>
  <c r="B1160" i="6"/>
  <c r="B1159" i="6"/>
  <c r="B1158" i="6"/>
  <c r="B1157" i="6"/>
  <c r="B1156" i="6"/>
  <c r="B1155" i="6"/>
  <c r="B1154" i="6"/>
  <c r="B1153" i="6"/>
  <c r="B1152" i="6"/>
  <c r="B1151" i="6"/>
  <c r="B1150" i="6"/>
  <c r="B1149" i="6"/>
  <c r="B1148" i="6"/>
  <c r="B1147" i="6"/>
  <c r="B1146" i="6"/>
  <c r="B1145" i="6"/>
  <c r="B1144" i="6"/>
  <c r="B1143" i="6"/>
  <c r="B1142" i="6"/>
  <c r="B1141" i="6"/>
  <c r="B1140" i="6"/>
  <c r="B1139" i="6"/>
  <c r="B1138" i="6"/>
  <c r="B1137" i="6"/>
  <c r="B1136" i="6"/>
  <c r="B1135" i="6"/>
  <c r="B1134" i="6"/>
  <c r="B1133" i="6"/>
  <c r="B1132" i="6"/>
  <c r="B1131" i="6"/>
  <c r="B1130" i="6"/>
  <c r="B1129" i="6"/>
  <c r="B1128" i="6"/>
  <c r="B1127" i="6"/>
  <c r="B1126" i="6"/>
  <c r="B1125" i="6"/>
  <c r="B1124" i="6"/>
  <c r="B1123" i="6"/>
  <c r="B1122" i="6"/>
  <c r="B1121" i="6"/>
  <c r="B1120" i="6"/>
  <c r="B1119" i="6"/>
  <c r="B1118" i="6"/>
  <c r="B1117" i="6"/>
  <c r="B1116" i="6"/>
  <c r="B1115" i="6"/>
  <c r="B1114" i="6"/>
  <c r="B1113" i="6"/>
  <c r="B1112" i="6"/>
  <c r="B1111" i="6"/>
  <c r="B1110" i="6"/>
  <c r="B1109" i="6"/>
  <c r="B1108" i="6"/>
  <c r="B1107" i="6"/>
  <c r="B1106" i="6"/>
  <c r="B1105" i="6"/>
  <c r="B1104" i="6"/>
  <c r="B1103" i="6"/>
  <c r="B1102" i="6"/>
  <c r="B1101" i="6"/>
  <c r="B1100" i="6"/>
  <c r="B1099" i="6"/>
  <c r="B1098" i="6"/>
  <c r="B1097" i="6"/>
  <c r="B1096" i="6"/>
  <c r="B1095" i="6"/>
  <c r="B1094" i="6"/>
  <c r="B1093" i="6"/>
  <c r="B1092" i="6"/>
  <c r="B1091" i="6"/>
  <c r="B1090" i="6"/>
  <c r="B1089" i="6"/>
  <c r="B1088" i="6"/>
  <c r="B1087" i="6"/>
  <c r="B1086" i="6"/>
  <c r="B1085" i="6"/>
  <c r="B1084" i="6"/>
  <c r="B1083" i="6"/>
  <c r="B1082" i="6"/>
  <c r="B1081" i="6"/>
  <c r="B1080" i="6"/>
  <c r="B1079" i="6"/>
  <c r="B1078" i="6"/>
  <c r="B1077" i="6"/>
  <c r="B1076" i="6"/>
  <c r="B1075" i="6"/>
  <c r="B1074" i="6"/>
  <c r="B1073" i="6"/>
  <c r="B1072" i="6"/>
  <c r="B1071" i="6"/>
  <c r="B1070" i="6"/>
  <c r="B1069" i="6"/>
  <c r="B1068" i="6"/>
  <c r="B1067" i="6"/>
  <c r="B1066" i="6"/>
  <c r="B1065" i="6"/>
  <c r="B1064" i="6"/>
  <c r="B1063" i="6"/>
  <c r="B1062" i="6"/>
  <c r="B1061" i="6"/>
  <c r="B1060" i="6"/>
  <c r="B1059" i="6"/>
  <c r="B1058" i="6"/>
  <c r="B1057" i="6"/>
  <c r="B1056" i="6"/>
  <c r="B1055" i="6"/>
  <c r="B1054" i="6"/>
  <c r="B1053" i="6"/>
  <c r="B1052" i="6"/>
  <c r="B1051" i="6"/>
  <c r="B1050" i="6"/>
  <c r="B1049" i="6"/>
  <c r="B1048" i="6"/>
  <c r="B1047" i="6"/>
  <c r="B1046" i="6"/>
  <c r="B1045" i="6"/>
  <c r="B1044" i="6"/>
  <c r="B1043" i="6"/>
  <c r="B1042" i="6"/>
  <c r="B1041" i="6"/>
  <c r="B1040" i="6"/>
  <c r="B1039" i="6"/>
  <c r="B1038" i="6"/>
  <c r="B1037" i="6"/>
  <c r="B1036" i="6"/>
  <c r="B1035" i="6"/>
  <c r="B1034" i="6"/>
  <c r="B1033" i="6"/>
  <c r="B1032" i="6"/>
  <c r="B1031" i="6"/>
  <c r="B1030" i="6"/>
  <c r="B1029" i="6"/>
  <c r="B1028" i="6"/>
  <c r="B1027" i="6"/>
  <c r="B1026" i="6"/>
  <c r="B1025" i="6"/>
  <c r="B1024" i="6"/>
  <c r="B1023" i="6"/>
  <c r="B1022" i="6"/>
  <c r="B1021" i="6"/>
  <c r="B1020" i="6"/>
  <c r="B1019" i="6"/>
  <c r="B1018" i="6"/>
  <c r="B1017" i="6"/>
  <c r="B1016" i="6"/>
  <c r="B1015" i="6"/>
  <c r="B1014" i="6"/>
  <c r="B1013" i="6"/>
  <c r="B1012" i="6"/>
  <c r="B1011" i="6"/>
  <c r="B1010" i="6"/>
  <c r="B1009" i="6"/>
  <c r="B1008" i="6"/>
  <c r="B1007" i="6"/>
  <c r="B1006" i="6"/>
  <c r="B1005" i="6"/>
  <c r="B1004" i="6"/>
  <c r="B1003" i="6"/>
  <c r="B1002" i="6"/>
  <c r="B1001" i="6"/>
  <c r="B1000" i="6"/>
  <c r="B999" i="6"/>
  <c r="B998" i="6"/>
  <c r="B997" i="6"/>
  <c r="B996" i="6"/>
  <c r="B995" i="6"/>
  <c r="B994" i="6"/>
  <c r="B993" i="6"/>
  <c r="B992" i="6"/>
  <c r="B991" i="6"/>
  <c r="B990" i="6"/>
  <c r="B989" i="6"/>
  <c r="B988" i="6"/>
  <c r="B987" i="6"/>
  <c r="B986" i="6"/>
  <c r="B985" i="6"/>
  <c r="B984" i="6"/>
  <c r="B983" i="6"/>
  <c r="B982" i="6"/>
  <c r="B981" i="6"/>
  <c r="B980" i="6"/>
  <c r="B979" i="6"/>
  <c r="B978" i="6"/>
  <c r="B977" i="6"/>
  <c r="B976" i="6"/>
  <c r="B975" i="6"/>
  <c r="B974" i="6"/>
  <c r="B973" i="6"/>
  <c r="B972" i="6"/>
  <c r="B971" i="6"/>
  <c r="B970" i="6"/>
  <c r="B969" i="6"/>
  <c r="B968" i="6"/>
  <c r="B967" i="6"/>
  <c r="B966" i="6"/>
  <c r="B965" i="6"/>
  <c r="B964" i="6"/>
  <c r="B963" i="6"/>
  <c r="B962" i="6"/>
  <c r="B961" i="6"/>
  <c r="B960" i="6"/>
  <c r="B959" i="6"/>
  <c r="B958" i="6"/>
  <c r="B957" i="6"/>
  <c r="B956" i="6"/>
  <c r="B955" i="6"/>
  <c r="B954" i="6"/>
  <c r="B953" i="6"/>
  <c r="B952" i="6"/>
  <c r="B951" i="6"/>
  <c r="B950" i="6"/>
  <c r="B949" i="6"/>
  <c r="B948" i="6"/>
  <c r="B947" i="6"/>
  <c r="B946" i="6"/>
  <c r="B945" i="6"/>
  <c r="B944" i="6"/>
  <c r="B943" i="6"/>
  <c r="B942" i="6"/>
  <c r="B941" i="6"/>
  <c r="B940" i="6"/>
  <c r="B939" i="6"/>
  <c r="B938" i="6"/>
  <c r="B937" i="6"/>
  <c r="B936" i="6"/>
  <c r="B935" i="6"/>
  <c r="B934" i="6"/>
  <c r="B933" i="6"/>
  <c r="B932" i="6"/>
  <c r="B931" i="6"/>
  <c r="B930" i="6"/>
  <c r="B929" i="6"/>
  <c r="B928" i="6"/>
  <c r="B927" i="6"/>
  <c r="B926" i="6"/>
  <c r="B925" i="6"/>
  <c r="B924" i="6"/>
  <c r="B923" i="6"/>
  <c r="B922" i="6"/>
  <c r="B921" i="6"/>
  <c r="B920" i="6"/>
  <c r="B919" i="6"/>
  <c r="B918" i="6"/>
  <c r="B917" i="6"/>
  <c r="B916" i="6"/>
  <c r="B915" i="6"/>
  <c r="B914" i="6"/>
  <c r="B913" i="6"/>
  <c r="B912" i="6"/>
  <c r="B911" i="6"/>
  <c r="B910" i="6"/>
  <c r="B909" i="6"/>
  <c r="B908" i="6"/>
  <c r="B907" i="6"/>
  <c r="B906" i="6"/>
  <c r="B905" i="6"/>
  <c r="B904" i="6"/>
  <c r="B903" i="6"/>
  <c r="B902" i="6"/>
  <c r="B901" i="6"/>
  <c r="B900" i="6"/>
  <c r="B899" i="6"/>
  <c r="B898" i="6"/>
  <c r="B897" i="6"/>
  <c r="B896" i="6"/>
  <c r="B895" i="6"/>
  <c r="B894" i="6"/>
  <c r="B893" i="6"/>
  <c r="B892" i="6"/>
  <c r="B891" i="6"/>
  <c r="B890" i="6"/>
  <c r="B889" i="6"/>
  <c r="B888" i="6"/>
  <c r="B887" i="6"/>
  <c r="B886" i="6"/>
  <c r="B885" i="6"/>
  <c r="B884" i="6"/>
  <c r="B883" i="6"/>
  <c r="B882" i="6"/>
  <c r="B881" i="6"/>
  <c r="B880" i="6"/>
  <c r="B879" i="6"/>
  <c r="B878" i="6"/>
  <c r="B877" i="6"/>
  <c r="B876" i="6"/>
  <c r="B875" i="6"/>
  <c r="B874" i="6"/>
  <c r="B873" i="6"/>
  <c r="B872" i="6"/>
  <c r="B871" i="6"/>
  <c r="B870" i="6"/>
  <c r="B869" i="6"/>
  <c r="B868" i="6"/>
  <c r="B867" i="6"/>
  <c r="B866" i="6"/>
  <c r="B865" i="6"/>
  <c r="B864" i="6"/>
  <c r="B863" i="6"/>
  <c r="B862" i="6"/>
  <c r="B861" i="6"/>
  <c r="B860" i="6"/>
  <c r="B859" i="6"/>
  <c r="B858" i="6"/>
  <c r="B857" i="6"/>
  <c r="B856" i="6"/>
  <c r="B855" i="6"/>
  <c r="B854" i="6"/>
  <c r="B853" i="6"/>
  <c r="B852" i="6"/>
  <c r="B851" i="6"/>
  <c r="B850" i="6"/>
  <c r="B849" i="6"/>
  <c r="B848" i="6"/>
  <c r="B847" i="6"/>
  <c r="B846" i="6"/>
  <c r="B845" i="6"/>
  <c r="B844" i="6"/>
  <c r="B843" i="6"/>
  <c r="B842" i="6"/>
  <c r="B841" i="6"/>
  <c r="B840" i="6"/>
  <c r="B839" i="6"/>
  <c r="B838" i="6"/>
  <c r="B837" i="6"/>
  <c r="B836" i="6"/>
  <c r="B835" i="6"/>
  <c r="B834" i="6"/>
  <c r="B833" i="6"/>
  <c r="B832" i="6"/>
  <c r="B831" i="6"/>
  <c r="B830" i="6"/>
  <c r="B829" i="6"/>
  <c r="B828" i="6"/>
  <c r="B827" i="6"/>
  <c r="B826" i="6"/>
  <c r="B825" i="6"/>
  <c r="B824" i="6"/>
  <c r="B823" i="6"/>
  <c r="B822" i="6"/>
  <c r="B821" i="6"/>
  <c r="B820" i="6"/>
  <c r="B819" i="6"/>
  <c r="B818" i="6"/>
  <c r="B817" i="6"/>
  <c r="B816" i="6"/>
  <c r="B815" i="6"/>
  <c r="B814" i="6"/>
  <c r="B813" i="6"/>
  <c r="B812" i="6"/>
  <c r="B811" i="6"/>
  <c r="B810" i="6"/>
  <c r="B809" i="6"/>
  <c r="B808" i="6"/>
  <c r="B807" i="6"/>
  <c r="B806" i="6"/>
  <c r="B805" i="6"/>
  <c r="B804" i="6"/>
  <c r="B803" i="6"/>
  <c r="B802" i="6"/>
  <c r="B801" i="6"/>
  <c r="B800" i="6"/>
  <c r="B799" i="6"/>
  <c r="B798" i="6"/>
  <c r="B797" i="6"/>
  <c r="B796" i="6"/>
  <c r="B795" i="6"/>
  <c r="B794" i="6"/>
  <c r="B793" i="6"/>
  <c r="B792" i="6"/>
  <c r="B791" i="6"/>
  <c r="B790" i="6"/>
  <c r="B789" i="6"/>
  <c r="B788" i="6"/>
  <c r="B787" i="6"/>
  <c r="B786" i="6"/>
  <c r="B785" i="6"/>
  <c r="B784" i="6"/>
  <c r="B783" i="6"/>
  <c r="B782" i="6"/>
  <c r="B781" i="6"/>
  <c r="B780" i="6"/>
  <c r="B779" i="6"/>
  <c r="B778" i="6"/>
  <c r="B777" i="6"/>
  <c r="B776" i="6"/>
  <c r="B775" i="6"/>
  <c r="B774" i="6"/>
  <c r="B773" i="6"/>
  <c r="B772" i="6"/>
  <c r="B771" i="6"/>
  <c r="B770" i="6"/>
  <c r="B769" i="6"/>
  <c r="B768" i="6"/>
  <c r="B767" i="6"/>
  <c r="B766" i="6"/>
  <c r="B765" i="6"/>
  <c r="B764" i="6"/>
  <c r="B763" i="6"/>
  <c r="B762" i="6"/>
  <c r="B761" i="6"/>
  <c r="B760" i="6"/>
  <c r="B759" i="6"/>
  <c r="B758" i="6"/>
  <c r="B757" i="6"/>
  <c r="B756" i="6"/>
  <c r="B755" i="6"/>
  <c r="B754" i="6"/>
  <c r="B753" i="6"/>
  <c r="B752" i="6"/>
  <c r="B751" i="6"/>
  <c r="B750" i="6"/>
  <c r="B749" i="6"/>
  <c r="B748" i="6"/>
  <c r="B747" i="6"/>
  <c r="B746" i="6"/>
  <c r="B745" i="6"/>
  <c r="B744" i="6"/>
  <c r="B743" i="6"/>
  <c r="B742" i="6"/>
  <c r="B741" i="6"/>
  <c r="B740" i="6"/>
  <c r="B739" i="6"/>
  <c r="B738" i="6"/>
  <c r="B737" i="6"/>
  <c r="B736" i="6"/>
  <c r="B735" i="6"/>
  <c r="B734" i="6"/>
  <c r="B733" i="6"/>
  <c r="B732" i="6"/>
  <c r="B731" i="6"/>
  <c r="B730" i="6"/>
  <c r="B729" i="6"/>
  <c r="B728" i="6"/>
  <c r="B727" i="6"/>
  <c r="B726" i="6"/>
  <c r="B725" i="6"/>
  <c r="B724" i="6"/>
  <c r="B723" i="6"/>
  <c r="B722" i="6"/>
  <c r="B721" i="6"/>
  <c r="B720" i="6"/>
  <c r="B719" i="6"/>
  <c r="B718" i="6"/>
  <c r="B717" i="6"/>
  <c r="B716" i="6"/>
  <c r="B715" i="6"/>
  <c r="B714" i="6"/>
  <c r="B713" i="6"/>
  <c r="B712" i="6"/>
  <c r="B711" i="6"/>
  <c r="B710" i="6"/>
  <c r="B709" i="6"/>
  <c r="B708" i="6"/>
  <c r="B707" i="6"/>
  <c r="B706" i="6"/>
  <c r="B705" i="6"/>
  <c r="B704" i="6"/>
  <c r="B703" i="6"/>
  <c r="B702" i="6"/>
  <c r="B701" i="6"/>
  <c r="B700" i="6"/>
  <c r="B699" i="6"/>
  <c r="B698" i="6"/>
  <c r="B697" i="6"/>
  <c r="B696" i="6"/>
  <c r="B695" i="6"/>
  <c r="B694" i="6"/>
  <c r="B693" i="6"/>
  <c r="B692" i="6"/>
  <c r="B691" i="6"/>
  <c r="B690" i="6"/>
  <c r="B689" i="6"/>
  <c r="B688" i="6"/>
  <c r="B687" i="6"/>
  <c r="B686" i="6"/>
  <c r="B685" i="6"/>
  <c r="B684" i="6"/>
  <c r="B683" i="6"/>
  <c r="B682" i="6"/>
  <c r="B681" i="6"/>
  <c r="B680" i="6"/>
  <c r="B679" i="6"/>
  <c r="B678" i="6"/>
  <c r="B677" i="6"/>
  <c r="B676" i="6"/>
  <c r="B675" i="6"/>
  <c r="B674" i="6"/>
  <c r="B673" i="6"/>
  <c r="B672" i="6"/>
  <c r="B671" i="6"/>
  <c r="B670" i="6"/>
  <c r="B669" i="6"/>
  <c r="B668" i="6"/>
  <c r="B667" i="6"/>
  <c r="B666" i="6"/>
  <c r="B665" i="6"/>
  <c r="B664" i="6"/>
  <c r="B663" i="6"/>
  <c r="B662" i="6"/>
  <c r="B661" i="6"/>
  <c r="B660" i="6"/>
  <c r="B659" i="6"/>
  <c r="B658" i="6"/>
  <c r="B657" i="6"/>
  <c r="B656" i="6"/>
  <c r="B655" i="6"/>
  <c r="B654" i="6"/>
  <c r="B653" i="6"/>
  <c r="B652" i="6"/>
  <c r="B651" i="6"/>
  <c r="B650" i="6"/>
  <c r="B649" i="6"/>
  <c r="B648" i="6"/>
  <c r="B647" i="6"/>
  <c r="B646" i="6"/>
  <c r="B645" i="6"/>
  <c r="B644" i="6"/>
  <c r="B643" i="6"/>
  <c r="B642" i="6"/>
  <c r="B641" i="6"/>
  <c r="B640" i="6"/>
  <c r="B639" i="6"/>
  <c r="B638" i="6"/>
  <c r="B637" i="6"/>
  <c r="B636" i="6"/>
  <c r="B635" i="6"/>
  <c r="B634" i="6"/>
  <c r="B633" i="6"/>
  <c r="B632" i="6"/>
  <c r="B631" i="6"/>
  <c r="B630" i="6"/>
  <c r="B629" i="6"/>
  <c r="B628" i="6"/>
  <c r="B627" i="6"/>
  <c r="B626" i="6"/>
  <c r="B625" i="6"/>
  <c r="B624" i="6"/>
  <c r="B623" i="6"/>
  <c r="B622" i="6"/>
  <c r="B621" i="6"/>
  <c r="B620" i="6"/>
  <c r="B619" i="6"/>
  <c r="B618" i="6"/>
  <c r="B617" i="6"/>
  <c r="B616" i="6"/>
  <c r="B615" i="6"/>
  <c r="B614" i="6"/>
  <c r="B613" i="6"/>
  <c r="B612" i="6"/>
  <c r="B611" i="6"/>
  <c r="B610" i="6"/>
  <c r="B609" i="6"/>
  <c r="B608" i="6"/>
  <c r="B607" i="6"/>
  <c r="B606" i="6"/>
  <c r="B605" i="6"/>
  <c r="B604" i="6"/>
  <c r="B603" i="6"/>
  <c r="B602" i="6"/>
  <c r="B601" i="6"/>
  <c r="B600" i="6"/>
  <c r="B599" i="6"/>
  <c r="B598" i="6"/>
  <c r="B597" i="6"/>
  <c r="B596" i="6"/>
  <c r="B595" i="6"/>
  <c r="B594" i="6"/>
  <c r="B593" i="6"/>
  <c r="B592" i="6"/>
  <c r="B591" i="6"/>
  <c r="B590" i="6"/>
  <c r="B589" i="6"/>
  <c r="B588" i="6"/>
  <c r="B587" i="6"/>
  <c r="B586" i="6"/>
  <c r="B585" i="6"/>
  <c r="B584" i="6"/>
  <c r="B583" i="6"/>
  <c r="B582" i="6"/>
  <c r="B581" i="6"/>
  <c r="B579" i="6"/>
  <c r="B578" i="6"/>
  <c r="B577" i="6"/>
  <c r="B576" i="6"/>
  <c r="B575" i="6"/>
  <c r="B574" i="6"/>
  <c r="B573" i="6"/>
  <c r="B572" i="6"/>
  <c r="B571" i="6"/>
  <c r="B570" i="6"/>
  <c r="B569" i="6"/>
  <c r="B568" i="6"/>
  <c r="B567" i="6"/>
  <c r="B566" i="6"/>
  <c r="B565" i="6"/>
  <c r="B564" i="6"/>
  <c r="B563" i="6"/>
  <c r="B562" i="6"/>
  <c r="B561" i="6"/>
  <c r="B560" i="6"/>
  <c r="B559" i="6"/>
  <c r="B558" i="6"/>
  <c r="B557" i="6"/>
  <c r="B556" i="6"/>
  <c r="B555" i="6"/>
  <c r="B554" i="6"/>
  <c r="B553" i="6"/>
  <c r="B552" i="6"/>
  <c r="B551" i="6"/>
  <c r="B550" i="6"/>
  <c r="B549" i="6"/>
  <c r="B548" i="6"/>
  <c r="B547" i="6"/>
  <c r="B546" i="6"/>
  <c r="B545" i="6"/>
  <c r="B544" i="6"/>
  <c r="B543" i="6"/>
  <c r="B542" i="6"/>
  <c r="B541" i="6"/>
  <c r="B540" i="6"/>
  <c r="B539" i="6"/>
  <c r="B538" i="6"/>
  <c r="B537" i="6"/>
  <c r="B536" i="6"/>
  <c r="B535" i="6"/>
  <c r="B534" i="6"/>
  <c r="B533" i="6"/>
  <c r="B532" i="6"/>
  <c r="B531" i="6"/>
  <c r="B530" i="6"/>
  <c r="B529" i="6"/>
  <c r="B528" i="6"/>
  <c r="B527" i="6"/>
  <c r="B526" i="6"/>
  <c r="B525" i="6"/>
  <c r="B524" i="6"/>
  <c r="B523" i="6"/>
  <c r="B522" i="6"/>
  <c r="B521" i="6"/>
  <c r="B520" i="6"/>
  <c r="B519" i="6"/>
  <c r="B518" i="6"/>
  <c r="B517" i="6"/>
  <c r="B516" i="6"/>
  <c r="B515" i="6"/>
  <c r="B514" i="6"/>
  <c r="B513" i="6"/>
  <c r="B512" i="6"/>
  <c r="B511" i="6"/>
  <c r="B510" i="6"/>
  <c r="B509" i="6"/>
  <c r="B508" i="6"/>
  <c r="B507" i="6"/>
  <c r="B506" i="6"/>
  <c r="B505" i="6"/>
  <c r="B504" i="6"/>
  <c r="B503" i="6"/>
  <c r="B502" i="6"/>
  <c r="B501" i="6"/>
  <c r="B500" i="6"/>
  <c r="B499" i="6"/>
  <c r="B498" i="6"/>
  <c r="B497" i="6"/>
  <c r="B496" i="6"/>
  <c r="B495" i="6"/>
  <c r="B494" i="6"/>
  <c r="B493" i="6"/>
  <c r="B492" i="6"/>
  <c r="B491" i="6"/>
  <c r="B490" i="6"/>
  <c r="B489" i="6"/>
  <c r="B488" i="6"/>
  <c r="B487" i="6"/>
  <c r="B486" i="6"/>
  <c r="B485" i="6"/>
  <c r="B484" i="6"/>
  <c r="B483" i="6"/>
  <c r="B482" i="6"/>
  <c r="B481" i="6"/>
  <c r="B480" i="6"/>
  <c r="B479" i="6"/>
  <c r="B478" i="6"/>
  <c r="B477" i="6"/>
  <c r="B476" i="6"/>
  <c r="B475" i="6"/>
  <c r="B474" i="6"/>
  <c r="B473" i="6"/>
  <c r="B472" i="6"/>
  <c r="B471" i="6"/>
  <c r="B470" i="6"/>
  <c r="B469" i="6"/>
  <c r="B468" i="6"/>
  <c r="B467" i="6"/>
  <c r="B466" i="6"/>
  <c r="B465" i="6"/>
  <c r="B464" i="6"/>
  <c r="B463" i="6"/>
  <c r="B462" i="6"/>
  <c r="B461" i="6"/>
  <c r="B460" i="6"/>
  <c r="B459" i="6"/>
  <c r="B458" i="6"/>
  <c r="B457" i="6"/>
  <c r="B456" i="6"/>
  <c r="B455" i="6"/>
  <c r="B454" i="6"/>
  <c r="B453" i="6"/>
  <c r="B452" i="6"/>
  <c r="B451" i="6"/>
  <c r="B450" i="6"/>
  <c r="B449" i="6"/>
  <c r="B448" i="6"/>
  <c r="B447" i="6"/>
  <c r="B446" i="6"/>
  <c r="B445" i="6"/>
  <c r="B444" i="6"/>
  <c r="B443" i="6"/>
  <c r="B442" i="6"/>
  <c r="B441" i="6"/>
  <c r="B440" i="6"/>
  <c r="B439" i="6"/>
  <c r="B438" i="6"/>
  <c r="B437" i="6"/>
  <c r="B436" i="6"/>
  <c r="B435" i="6"/>
  <c r="B434" i="6"/>
  <c r="B433" i="6"/>
  <c r="B432" i="6"/>
  <c r="B431" i="6"/>
  <c r="B430" i="6"/>
  <c r="B429" i="6"/>
  <c r="B428" i="6"/>
  <c r="B427" i="6"/>
  <c r="B426" i="6"/>
  <c r="B425" i="6"/>
  <c r="B424" i="6"/>
  <c r="B423" i="6"/>
  <c r="B422" i="6"/>
  <c r="B421" i="6"/>
  <c r="B420" i="6"/>
  <c r="B419" i="6"/>
  <c r="B418" i="6"/>
  <c r="B417" i="6"/>
  <c r="B416" i="6"/>
  <c r="B415" i="6"/>
  <c r="B414" i="6"/>
  <c r="B413" i="6"/>
  <c r="B412" i="6"/>
  <c r="B411" i="6"/>
  <c r="B410" i="6"/>
  <c r="B409" i="6"/>
  <c r="B408" i="6"/>
  <c r="B407" i="6"/>
  <c r="B406" i="6"/>
  <c r="B405" i="6"/>
  <c r="B404" i="6"/>
  <c r="B403" i="6"/>
  <c r="B402" i="6"/>
  <c r="B401" i="6"/>
  <c r="B400" i="6"/>
  <c r="B399" i="6"/>
  <c r="B398" i="6"/>
  <c r="B397" i="6"/>
  <c r="B396" i="6"/>
  <c r="B395" i="6"/>
  <c r="B394" i="6"/>
  <c r="B393" i="6"/>
  <c r="B392" i="6"/>
  <c r="B391" i="6"/>
  <c r="B390" i="6"/>
  <c r="B389" i="6"/>
  <c r="B388" i="6"/>
  <c r="B387" i="6"/>
  <c r="B386" i="6"/>
  <c r="B385" i="6"/>
  <c r="B384" i="6"/>
  <c r="B383" i="6"/>
  <c r="B382" i="6"/>
  <c r="B381" i="6"/>
  <c r="B380" i="6"/>
  <c r="B379" i="6"/>
  <c r="B378" i="6"/>
  <c r="B377" i="6"/>
  <c r="B376" i="6"/>
  <c r="B375" i="6"/>
  <c r="B374" i="6"/>
  <c r="B373" i="6"/>
  <c r="B372" i="6"/>
  <c r="B371" i="6"/>
  <c r="B370" i="6"/>
  <c r="B369" i="6"/>
  <c r="B368" i="6"/>
  <c r="B367" i="6"/>
  <c r="B366" i="6"/>
  <c r="B365" i="6"/>
  <c r="B364" i="6"/>
  <c r="B363" i="6"/>
  <c r="B362" i="6"/>
  <c r="B361" i="6"/>
  <c r="B360" i="6"/>
  <c r="B359" i="6"/>
  <c r="B358" i="6"/>
  <c r="B357" i="6"/>
  <c r="B356" i="6"/>
  <c r="B355" i="6"/>
  <c r="B354" i="6"/>
  <c r="B353" i="6"/>
  <c r="B352" i="6"/>
  <c r="B351" i="6"/>
  <c r="B350" i="6"/>
  <c r="B349" i="6"/>
  <c r="B348" i="6"/>
  <c r="B347" i="6"/>
  <c r="B346" i="6"/>
  <c r="B345" i="6"/>
  <c r="B344" i="6"/>
  <c r="B343" i="6"/>
  <c r="B342" i="6"/>
  <c r="B341" i="6"/>
  <c r="B340" i="6"/>
  <c r="B339" i="6"/>
  <c r="B338" i="6"/>
  <c r="B337" i="6"/>
  <c r="B336" i="6"/>
  <c r="B335" i="6"/>
  <c r="B334" i="6"/>
  <c r="B333" i="6"/>
  <c r="B332" i="6"/>
  <c r="B331" i="6"/>
  <c r="B330" i="6"/>
  <c r="B329" i="6"/>
  <c r="B328" i="6"/>
  <c r="B327" i="6"/>
  <c r="B326" i="6"/>
  <c r="B325" i="6"/>
  <c r="B324" i="6"/>
  <c r="B323" i="6"/>
  <c r="B322" i="6"/>
  <c r="B321" i="6"/>
  <c r="B320" i="6"/>
  <c r="B319" i="6"/>
  <c r="B318" i="6"/>
  <c r="B317" i="6"/>
  <c r="B316" i="6"/>
  <c r="B315" i="6"/>
  <c r="B314" i="6"/>
  <c r="B313" i="6"/>
  <c r="B312" i="6"/>
  <c r="B311" i="6"/>
  <c r="B310" i="6"/>
  <c r="B309" i="6"/>
  <c r="B308" i="6"/>
  <c r="B307" i="6"/>
  <c r="B306" i="6"/>
  <c r="B305" i="6"/>
  <c r="B304" i="6"/>
  <c r="B303" i="6"/>
  <c r="B302" i="6"/>
  <c r="B301" i="6"/>
  <c r="B300" i="6"/>
  <c r="B299" i="6"/>
  <c r="B298" i="6"/>
  <c r="B297" i="6"/>
  <c r="B296" i="6"/>
  <c r="B295" i="6"/>
  <c r="B294" i="6"/>
  <c r="B293" i="6"/>
  <c r="B292" i="6"/>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0" i="6"/>
  <c r="B19" i="6"/>
  <c r="B18" i="6"/>
  <c r="B16" i="6"/>
  <c r="B15" i="6"/>
  <c r="B14" i="6"/>
  <c r="B13" i="6"/>
  <c r="B12" i="6"/>
  <c r="B11" i="6"/>
  <c r="B10" i="6"/>
  <c r="B9" i="6"/>
  <c r="B8" i="6"/>
  <c r="B7" i="6"/>
  <c r="B6" i="6"/>
  <c r="B5" i="6"/>
  <c r="B4" i="6"/>
  <c r="B3" i="6"/>
  <c r="B2" i="6"/>
  <c r="B2018" i="5"/>
  <c r="B2017" i="5"/>
  <c r="B2016" i="5"/>
  <c r="B2015" i="5"/>
  <c r="B2014" i="5"/>
  <c r="B2013" i="5"/>
  <c r="B2012" i="5"/>
  <c r="B2011" i="5"/>
  <c r="B2010" i="5"/>
  <c r="B2009" i="5"/>
  <c r="B2008" i="5"/>
  <c r="B2007" i="5"/>
  <c r="B2006" i="5"/>
  <c r="B2005" i="5"/>
  <c r="B2004" i="5"/>
  <c r="B2003" i="5"/>
  <c r="B2002" i="5"/>
  <c r="B2001" i="5"/>
  <c r="B2000" i="5"/>
  <c r="B1999" i="5"/>
  <c r="B1998" i="5"/>
  <c r="B1997" i="5"/>
  <c r="B1996" i="5"/>
  <c r="B1995" i="5"/>
  <c r="B1994" i="5"/>
  <c r="B1993" i="5"/>
  <c r="B1992" i="5"/>
  <c r="B1991" i="5"/>
  <c r="B1990" i="5"/>
  <c r="B1989" i="5"/>
  <c r="B1988" i="5"/>
  <c r="B1987" i="5"/>
  <c r="B1986" i="5"/>
  <c r="B1985" i="5"/>
  <c r="B1984" i="5"/>
  <c r="B1983" i="5"/>
  <c r="B1982" i="5"/>
  <c r="B1981" i="5"/>
  <c r="B1980" i="5"/>
  <c r="B1979" i="5"/>
  <c r="B1978" i="5"/>
  <c r="B1977" i="5"/>
  <c r="B1976" i="5"/>
  <c r="B1975" i="5"/>
  <c r="B1974" i="5"/>
  <c r="B1973" i="5"/>
  <c r="B1972" i="5"/>
  <c r="B1971" i="5"/>
  <c r="B1970" i="5"/>
  <c r="B1969" i="5"/>
  <c r="B1968" i="5"/>
  <c r="B1967" i="5"/>
  <c r="B1966" i="5"/>
  <c r="B1965" i="5"/>
  <c r="B1964" i="5"/>
  <c r="B1963" i="5"/>
  <c r="B1962" i="5"/>
  <c r="B1961" i="5"/>
  <c r="B1960" i="5"/>
  <c r="B1959" i="5"/>
  <c r="B1958" i="5"/>
  <c r="B1957" i="5"/>
  <c r="B1956" i="5"/>
  <c r="B1955" i="5"/>
  <c r="B1954" i="5"/>
  <c r="B1953" i="5"/>
  <c r="B1952" i="5"/>
  <c r="B1951" i="5"/>
  <c r="B1950" i="5"/>
  <c r="B1949" i="5"/>
  <c r="B1948" i="5"/>
  <c r="B1947" i="5"/>
  <c r="B1946" i="5"/>
  <c r="B1945" i="5"/>
  <c r="B1944" i="5"/>
  <c r="B1943" i="5"/>
  <c r="B1942" i="5"/>
  <c r="B1941" i="5"/>
  <c r="B1940" i="5"/>
  <c r="B1939" i="5"/>
  <c r="B1938" i="5"/>
  <c r="B1937" i="5"/>
  <c r="B1936" i="5"/>
  <c r="B1935" i="5"/>
  <c r="B1934" i="5"/>
  <c r="B1933" i="5"/>
  <c r="B1932" i="5"/>
  <c r="B1931" i="5"/>
  <c r="B1930" i="5"/>
  <c r="B1929" i="5"/>
  <c r="B1928" i="5"/>
  <c r="B1927" i="5"/>
  <c r="B1926" i="5"/>
  <c r="B1925" i="5"/>
  <c r="B1924" i="5"/>
  <c r="B1923" i="5"/>
  <c r="B1922" i="5"/>
  <c r="B1921" i="5"/>
  <c r="B1920" i="5"/>
  <c r="B1919" i="5"/>
  <c r="B1918" i="5"/>
  <c r="B1917" i="5"/>
  <c r="B1916" i="5"/>
  <c r="B1915" i="5"/>
  <c r="B1914" i="5"/>
  <c r="B1913" i="5"/>
  <c r="B1912" i="5"/>
  <c r="B1911" i="5"/>
  <c r="B1910" i="5"/>
  <c r="B1909" i="5"/>
  <c r="B1908" i="5"/>
  <c r="B1907" i="5"/>
  <c r="B1906" i="5"/>
  <c r="B1905" i="5"/>
  <c r="B1904" i="5"/>
  <c r="B1903" i="5"/>
  <c r="B1902" i="5"/>
  <c r="B1901" i="5"/>
  <c r="B1900" i="5"/>
  <c r="B1899" i="5"/>
  <c r="B1898" i="5"/>
  <c r="B1897" i="5"/>
  <c r="B1896" i="5"/>
  <c r="B1895" i="5"/>
  <c r="B1894" i="5"/>
  <c r="B1893" i="5"/>
  <c r="B1892" i="5"/>
  <c r="B1891" i="5"/>
  <c r="B1890" i="5"/>
  <c r="B1889" i="5"/>
  <c r="B1888" i="5"/>
  <c r="B1887" i="5"/>
  <c r="B1886" i="5"/>
  <c r="B1885" i="5"/>
  <c r="B1884" i="5"/>
  <c r="B1883" i="5"/>
  <c r="B1882" i="5"/>
  <c r="B1881" i="5"/>
  <c r="B1880" i="5"/>
  <c r="B1879" i="5"/>
  <c r="B1878" i="5"/>
  <c r="B1877" i="5"/>
  <c r="B1876" i="5"/>
  <c r="B1875" i="5"/>
  <c r="B1874" i="5"/>
  <c r="B1873" i="5"/>
  <c r="B1872" i="5"/>
  <c r="B1871" i="5"/>
  <c r="B1870" i="5"/>
  <c r="B1869" i="5"/>
  <c r="B1868" i="5"/>
  <c r="B1867" i="5"/>
  <c r="B1866" i="5"/>
  <c r="B1865" i="5"/>
  <c r="B1864" i="5"/>
  <c r="B1863" i="5"/>
  <c r="B1862" i="5"/>
  <c r="B1861" i="5"/>
  <c r="B1860" i="5"/>
  <c r="B1859" i="5"/>
  <c r="B1858" i="5"/>
  <c r="B1857" i="5"/>
  <c r="B1856" i="5"/>
  <c r="B1855" i="5"/>
  <c r="B1854" i="5"/>
  <c r="B1853" i="5"/>
  <c r="B1852" i="5"/>
  <c r="B1851" i="5"/>
  <c r="B1850" i="5"/>
  <c r="B1849" i="5"/>
  <c r="B1848" i="5"/>
  <c r="B1847" i="5"/>
  <c r="B1846" i="5"/>
  <c r="B1845" i="5"/>
  <c r="B1844" i="5"/>
  <c r="B1843" i="5"/>
  <c r="B1842" i="5"/>
  <c r="B1841" i="5"/>
  <c r="B1840" i="5"/>
  <c r="B1839" i="5"/>
  <c r="B1838" i="5"/>
  <c r="B1837" i="5"/>
  <c r="B1836" i="5"/>
  <c r="B1835" i="5"/>
  <c r="B1834" i="5"/>
  <c r="B1833" i="5"/>
  <c r="B1832" i="5"/>
  <c r="B1831" i="5"/>
  <c r="B1830" i="5"/>
  <c r="B1829" i="5"/>
  <c r="B1828" i="5"/>
  <c r="B1827" i="5"/>
  <c r="B1826" i="5"/>
  <c r="B1825" i="5"/>
  <c r="B1824" i="5"/>
  <c r="B1823" i="5"/>
  <c r="B1822" i="5"/>
  <c r="B1821" i="5"/>
  <c r="B1820" i="5"/>
  <c r="B1819" i="5"/>
  <c r="B1818" i="5"/>
  <c r="B1817" i="5"/>
  <c r="B1816" i="5"/>
  <c r="B1815" i="5"/>
  <c r="B1814" i="5"/>
  <c r="B1813" i="5"/>
  <c r="B1812" i="5"/>
  <c r="B1811" i="5"/>
  <c r="B1810" i="5"/>
  <c r="B1809" i="5"/>
  <c r="B1808" i="5"/>
  <c r="B1807" i="5"/>
  <c r="B1806" i="5"/>
  <c r="B1805" i="5"/>
  <c r="B1804" i="5"/>
  <c r="B1803" i="5"/>
  <c r="B1802" i="5"/>
  <c r="B1801" i="5"/>
  <c r="B1800" i="5"/>
  <c r="B1799" i="5"/>
  <c r="B1798" i="5"/>
  <c r="B1797" i="5"/>
  <c r="B1796" i="5"/>
  <c r="B1795" i="5"/>
  <c r="B1794" i="5"/>
  <c r="B1793" i="5"/>
  <c r="B1792" i="5"/>
  <c r="B1791" i="5"/>
  <c r="B1790" i="5"/>
  <c r="B1789" i="5"/>
  <c r="B1788" i="5"/>
  <c r="B1787" i="5"/>
  <c r="B1786" i="5"/>
  <c r="B1785" i="5"/>
  <c r="B1784" i="5"/>
  <c r="B1783" i="5"/>
  <c r="B1782" i="5"/>
  <c r="B1781" i="5"/>
  <c r="B1780" i="5"/>
  <c r="B1779" i="5"/>
  <c r="B1778" i="5"/>
  <c r="B1777" i="5"/>
  <c r="B1776" i="5"/>
  <c r="B1775" i="5"/>
  <c r="B1774" i="5"/>
  <c r="B1773" i="5"/>
  <c r="B1772" i="5"/>
  <c r="B1771" i="5"/>
  <c r="B1770" i="5"/>
  <c r="B1769" i="5"/>
  <c r="B1768" i="5"/>
  <c r="B1767" i="5"/>
  <c r="B1766" i="5"/>
  <c r="B1765" i="5"/>
  <c r="B1764" i="5"/>
  <c r="B1763" i="5"/>
  <c r="B1762" i="5"/>
  <c r="B1761" i="5"/>
  <c r="B1760" i="5"/>
  <c r="B1759" i="5"/>
  <c r="B1758" i="5"/>
  <c r="B1757" i="5"/>
  <c r="B1756" i="5"/>
  <c r="B1755" i="5"/>
  <c r="B1754" i="5"/>
  <c r="B1753" i="5"/>
  <c r="B1752" i="5"/>
  <c r="B1751" i="5"/>
  <c r="B1750" i="5"/>
  <c r="B1749" i="5"/>
  <c r="B1748" i="5"/>
  <c r="B1747" i="5"/>
  <c r="B1746" i="5"/>
  <c r="B1745" i="5"/>
  <c r="B1744" i="5"/>
  <c r="B1743" i="5"/>
  <c r="B1742" i="5"/>
  <c r="B1741" i="5"/>
  <c r="B1740" i="5"/>
  <c r="B1739" i="5"/>
  <c r="B1738" i="5"/>
  <c r="B1737" i="5"/>
  <c r="B1736" i="5"/>
  <c r="B1735" i="5"/>
  <c r="B1734" i="5"/>
  <c r="B1733" i="5"/>
  <c r="B1732" i="5"/>
  <c r="B1731" i="5"/>
  <c r="B1730" i="5"/>
  <c r="B1729" i="5"/>
  <c r="B1728" i="5"/>
  <c r="B1727" i="5"/>
  <c r="B1726" i="5"/>
  <c r="B1725" i="5"/>
  <c r="B1724" i="5"/>
  <c r="B1723" i="5"/>
  <c r="B1722" i="5"/>
  <c r="B1721" i="5"/>
  <c r="B1720" i="5"/>
  <c r="B1719" i="5"/>
  <c r="B1718" i="5"/>
  <c r="B1717" i="5"/>
  <c r="B1716" i="5"/>
  <c r="B1715" i="5"/>
  <c r="B1714" i="5"/>
  <c r="B1713" i="5"/>
  <c r="B1712" i="5"/>
  <c r="B1711" i="5"/>
  <c r="B1710" i="5"/>
  <c r="B1709" i="5"/>
  <c r="B1708" i="5"/>
  <c r="B1707" i="5"/>
  <c r="B1706" i="5"/>
  <c r="B1705" i="5"/>
  <c r="B1704" i="5"/>
  <c r="B1703" i="5"/>
  <c r="B1702" i="5"/>
  <c r="B1701" i="5"/>
  <c r="B1700" i="5"/>
  <c r="B1699" i="5"/>
  <c r="B1698" i="5"/>
  <c r="B1697" i="5"/>
  <c r="B1696" i="5"/>
  <c r="B1695" i="5"/>
  <c r="B1694" i="5"/>
  <c r="B1693" i="5"/>
  <c r="B1692" i="5"/>
  <c r="B1691" i="5"/>
  <c r="B1690" i="5"/>
  <c r="B1689" i="5"/>
  <c r="B1688" i="5"/>
  <c r="B1687" i="5"/>
  <c r="B1686" i="5"/>
  <c r="B1685" i="5"/>
  <c r="B1684" i="5"/>
  <c r="B1683" i="5"/>
  <c r="B1682" i="5"/>
  <c r="B1681" i="5"/>
  <c r="B1680" i="5"/>
  <c r="B1679" i="5"/>
  <c r="B1678" i="5"/>
  <c r="B1677" i="5"/>
  <c r="B1676" i="5"/>
  <c r="B1675" i="5"/>
  <c r="B1674" i="5"/>
  <c r="B1673" i="5"/>
  <c r="B1672" i="5"/>
  <c r="B1671" i="5"/>
  <c r="B1670" i="5"/>
  <c r="B1669" i="5"/>
  <c r="B1668" i="5"/>
  <c r="B1667" i="5"/>
  <c r="B1666" i="5"/>
  <c r="B1665" i="5"/>
  <c r="B1664" i="5"/>
  <c r="B1663" i="5"/>
  <c r="B1662" i="5"/>
  <c r="B1661" i="5"/>
  <c r="B1660" i="5"/>
  <c r="B1659" i="5"/>
  <c r="B1658" i="5"/>
  <c r="B1657" i="5"/>
  <c r="B1656" i="5"/>
  <c r="B1655" i="5"/>
  <c r="B1654" i="5"/>
  <c r="B1653" i="5"/>
  <c r="B1652" i="5"/>
  <c r="B1651" i="5"/>
  <c r="B1650" i="5"/>
  <c r="B1649" i="5"/>
  <c r="B1648" i="5"/>
  <c r="B1647" i="5"/>
  <c r="B1646" i="5"/>
  <c r="B1645" i="5"/>
  <c r="B1644" i="5"/>
  <c r="B1643" i="5"/>
  <c r="B1642" i="5"/>
  <c r="B1641" i="5"/>
  <c r="B1640" i="5"/>
  <c r="B1639" i="5"/>
  <c r="B1638" i="5"/>
  <c r="B1637" i="5"/>
  <c r="B1636" i="5"/>
  <c r="B1635" i="5"/>
  <c r="B1634" i="5"/>
  <c r="B1633" i="5"/>
  <c r="B1632" i="5"/>
  <c r="B1631" i="5"/>
  <c r="B1630" i="5"/>
  <c r="B1629" i="5"/>
  <c r="B1628" i="5"/>
  <c r="B1627" i="5"/>
  <c r="B1626" i="5"/>
  <c r="B1625" i="5"/>
  <c r="B1624" i="5"/>
  <c r="B1623" i="5"/>
  <c r="B1622" i="5"/>
  <c r="B1621" i="5"/>
  <c r="B1620" i="5"/>
  <c r="B1619" i="5"/>
  <c r="B1618" i="5"/>
  <c r="B1617" i="5"/>
  <c r="B1616" i="5"/>
  <c r="B1615" i="5"/>
  <c r="B1614" i="5"/>
  <c r="B1613" i="5"/>
  <c r="B1612" i="5"/>
  <c r="B1611" i="5"/>
  <c r="B1610" i="5"/>
  <c r="B1609" i="5"/>
  <c r="B1608" i="5"/>
  <c r="B1607" i="5"/>
  <c r="B1606" i="5"/>
  <c r="B1605" i="5"/>
  <c r="B1604" i="5"/>
  <c r="B1603" i="5"/>
  <c r="B1602" i="5"/>
  <c r="B1601" i="5"/>
  <c r="B1600" i="5"/>
  <c r="B1599" i="5"/>
  <c r="B1598" i="5"/>
  <c r="B1597" i="5"/>
  <c r="B1596" i="5"/>
  <c r="B1595" i="5"/>
  <c r="B1594" i="5"/>
  <c r="B1593" i="5"/>
  <c r="B1592" i="5"/>
  <c r="B1591" i="5"/>
  <c r="B1590" i="5"/>
  <c r="B1589" i="5"/>
  <c r="B1588" i="5"/>
  <c r="B1587" i="5"/>
  <c r="B1586" i="5"/>
  <c r="B1585" i="5"/>
  <c r="B1584" i="5"/>
  <c r="B1583" i="5"/>
  <c r="B1582" i="5"/>
  <c r="B1581" i="5"/>
  <c r="B1580" i="5"/>
  <c r="B1579" i="5"/>
  <c r="B1578" i="5"/>
  <c r="B1577" i="5"/>
  <c r="B1576" i="5"/>
  <c r="B1575" i="5"/>
  <c r="B1574" i="5"/>
  <c r="B1573" i="5"/>
  <c r="B1572" i="5"/>
  <c r="B1571" i="5"/>
  <c r="B1570" i="5"/>
  <c r="B1569" i="5"/>
  <c r="B1568" i="5"/>
  <c r="B1567" i="5"/>
  <c r="B1566" i="5"/>
  <c r="B1565" i="5"/>
  <c r="B1564" i="5"/>
  <c r="B1563" i="5"/>
  <c r="B1562" i="5"/>
  <c r="B1561" i="5"/>
  <c r="B1560" i="5"/>
  <c r="B1559" i="5"/>
  <c r="B1558" i="5"/>
  <c r="B1557" i="5"/>
  <c r="B1556" i="5"/>
  <c r="B1555" i="5"/>
  <c r="B1554" i="5"/>
  <c r="B1553" i="5"/>
  <c r="B1552" i="5"/>
  <c r="B1551" i="5"/>
  <c r="B1550" i="5"/>
  <c r="B1549" i="5"/>
  <c r="B1548" i="5"/>
  <c r="B1547" i="5"/>
  <c r="B1546" i="5"/>
  <c r="B1545" i="5"/>
  <c r="B1544" i="5"/>
  <c r="B1543" i="5"/>
  <c r="B1542" i="5"/>
  <c r="B1541" i="5"/>
  <c r="B1540" i="5"/>
  <c r="B1539" i="5"/>
  <c r="B1538" i="5"/>
  <c r="B1537" i="5"/>
  <c r="B1536" i="5"/>
  <c r="B1535" i="5"/>
  <c r="B1534" i="5"/>
  <c r="B1533" i="5"/>
  <c r="B1532" i="5"/>
  <c r="B1531" i="5"/>
  <c r="B1530" i="5"/>
  <c r="B1529" i="5"/>
  <c r="B1528" i="5"/>
  <c r="B1527" i="5"/>
  <c r="B1526" i="5"/>
  <c r="B1525" i="5"/>
  <c r="B1524" i="5"/>
  <c r="B1523" i="5"/>
  <c r="B1522" i="5"/>
  <c r="B1521" i="5"/>
  <c r="B1520" i="5"/>
  <c r="B1519" i="5"/>
  <c r="B1518" i="5"/>
  <c r="B1517" i="5"/>
  <c r="B1516" i="5"/>
  <c r="B1515" i="5"/>
  <c r="B1514" i="5"/>
  <c r="B1513" i="5"/>
  <c r="B1512" i="5"/>
  <c r="B1511" i="5"/>
  <c r="B1510" i="5"/>
  <c r="B1509" i="5"/>
  <c r="B1508" i="5"/>
  <c r="B1507" i="5"/>
  <c r="B1506" i="5"/>
  <c r="B1505" i="5"/>
  <c r="B1504" i="5"/>
  <c r="B1503" i="5"/>
  <c r="B1502" i="5"/>
  <c r="B1501" i="5"/>
  <c r="B1500" i="5"/>
  <c r="B1499" i="5"/>
  <c r="B1498" i="5"/>
  <c r="B1497" i="5"/>
  <c r="B1496" i="5"/>
  <c r="B1495" i="5"/>
  <c r="B1494" i="5"/>
  <c r="B1493" i="5"/>
  <c r="B1492" i="5"/>
  <c r="B1491" i="5"/>
  <c r="B1490" i="5"/>
  <c r="B1489" i="5"/>
  <c r="B1488" i="5"/>
  <c r="B1487" i="5"/>
  <c r="B1486" i="5"/>
  <c r="B1485" i="5"/>
  <c r="B1484" i="5"/>
  <c r="B1483" i="5"/>
  <c r="B1482" i="5"/>
  <c r="B1481" i="5"/>
  <c r="B1480" i="5"/>
  <c r="B1479" i="5"/>
  <c r="B1478" i="5"/>
  <c r="B1477" i="5"/>
  <c r="B1476" i="5"/>
  <c r="B1475" i="5"/>
  <c r="B1474" i="5"/>
  <c r="B1473" i="5"/>
  <c r="B1472" i="5"/>
  <c r="B1471" i="5"/>
  <c r="B1470" i="5"/>
  <c r="B1469" i="5"/>
  <c r="B1468" i="5"/>
  <c r="B1467" i="5"/>
  <c r="B1466" i="5"/>
  <c r="B1465" i="5"/>
  <c r="B1464" i="5"/>
  <c r="B1463" i="5"/>
  <c r="B1462" i="5"/>
  <c r="B1461" i="5"/>
  <c r="B1460" i="5"/>
  <c r="B1459" i="5"/>
  <c r="B1458" i="5"/>
  <c r="B1457" i="5"/>
  <c r="B1456" i="5"/>
  <c r="B1455" i="5"/>
  <c r="B1454" i="5"/>
  <c r="B1453" i="5"/>
  <c r="B1452" i="5"/>
  <c r="B1451" i="5"/>
  <c r="B1450" i="5"/>
  <c r="B1449" i="5"/>
  <c r="B1448" i="5"/>
  <c r="B1447" i="5"/>
  <c r="B1446" i="5"/>
  <c r="B1445" i="5"/>
  <c r="B1444" i="5"/>
  <c r="B1443" i="5"/>
  <c r="B1442" i="5"/>
  <c r="B1441" i="5"/>
  <c r="B1440" i="5"/>
  <c r="B1439" i="5"/>
  <c r="B1438" i="5"/>
  <c r="B1437" i="5"/>
  <c r="B1436" i="5"/>
  <c r="B1435" i="5"/>
  <c r="B1434" i="5"/>
  <c r="B1433" i="5"/>
  <c r="B1432" i="5"/>
  <c r="B1431" i="5"/>
  <c r="B1430" i="5"/>
  <c r="B1429" i="5"/>
  <c r="B1428" i="5"/>
  <c r="B1427" i="5"/>
  <c r="B1426" i="5"/>
  <c r="B1425" i="5"/>
  <c r="B1424" i="5"/>
  <c r="B1423" i="5"/>
  <c r="B1422" i="5"/>
  <c r="B1421" i="5"/>
  <c r="B1420" i="5"/>
  <c r="B1419" i="5"/>
  <c r="B1418" i="5"/>
  <c r="B1417" i="5"/>
  <c r="B1416" i="5"/>
  <c r="B1415" i="5"/>
  <c r="B1414" i="5"/>
  <c r="B1413" i="5"/>
  <c r="B1412" i="5"/>
  <c r="B1411" i="5"/>
  <c r="B1410" i="5"/>
  <c r="B1409" i="5"/>
  <c r="B1408" i="5"/>
  <c r="B1407" i="5"/>
  <c r="B1406" i="5"/>
  <c r="B1405" i="5"/>
  <c r="B1404" i="5"/>
  <c r="B1403" i="5"/>
  <c r="B1402" i="5"/>
  <c r="B1401" i="5"/>
  <c r="B1400" i="5"/>
  <c r="B1399" i="5"/>
  <c r="B1398" i="5"/>
  <c r="B1397" i="5"/>
  <c r="B1396" i="5"/>
  <c r="B1395" i="5"/>
  <c r="B1394" i="5"/>
  <c r="B1393" i="5"/>
  <c r="B1392" i="5"/>
  <c r="B1391" i="5"/>
  <c r="B1390" i="5"/>
  <c r="B1389" i="5"/>
  <c r="B1388" i="5"/>
  <c r="B1387" i="5"/>
  <c r="B1386" i="5"/>
  <c r="B1385" i="5"/>
  <c r="B1384" i="5"/>
  <c r="B1383" i="5"/>
  <c r="B1382" i="5"/>
  <c r="B1381" i="5"/>
  <c r="B1380" i="5"/>
  <c r="B1379" i="5"/>
  <c r="B1378" i="5"/>
  <c r="B1377" i="5"/>
  <c r="B1376" i="5"/>
  <c r="B1375" i="5"/>
  <c r="B1374" i="5"/>
  <c r="B1373" i="5"/>
  <c r="B1372" i="5"/>
  <c r="B1371" i="5"/>
  <c r="B1370" i="5"/>
  <c r="B1369" i="5"/>
  <c r="B1368" i="5"/>
  <c r="B1367" i="5"/>
  <c r="B1366" i="5"/>
  <c r="B1365" i="5"/>
  <c r="B1364" i="5"/>
  <c r="B1363" i="5"/>
  <c r="B1362" i="5"/>
  <c r="B1361" i="5"/>
  <c r="B1360" i="5"/>
  <c r="B1359" i="5"/>
  <c r="B1358" i="5"/>
  <c r="B1357" i="5"/>
  <c r="B1356" i="5"/>
  <c r="B1355" i="5"/>
  <c r="B1354" i="5"/>
  <c r="B1353" i="5"/>
  <c r="B1352" i="5"/>
  <c r="B1351" i="5"/>
  <c r="B1350" i="5"/>
  <c r="B1349" i="5"/>
  <c r="B1348" i="5"/>
  <c r="B1347" i="5"/>
  <c r="B1346" i="5"/>
  <c r="B1345" i="5"/>
  <c r="B1344" i="5"/>
  <c r="B1343" i="5"/>
  <c r="B1342" i="5"/>
  <c r="B1341" i="5"/>
  <c r="B1340" i="5"/>
  <c r="B1339" i="5"/>
  <c r="B1338" i="5"/>
  <c r="B1337" i="5"/>
  <c r="B1336" i="5"/>
  <c r="B1335" i="5"/>
  <c r="B1334" i="5"/>
  <c r="B1333" i="5"/>
  <c r="B1332" i="5"/>
  <c r="B1331" i="5"/>
  <c r="B1330" i="5"/>
  <c r="B1329" i="5"/>
  <c r="B1328" i="5"/>
  <c r="B1327" i="5"/>
  <c r="B1326" i="5"/>
  <c r="B1325" i="5"/>
  <c r="B1324" i="5"/>
  <c r="B1323" i="5"/>
  <c r="B1322" i="5"/>
  <c r="B1321" i="5"/>
  <c r="B1320" i="5"/>
  <c r="B1319" i="5"/>
  <c r="B1318" i="5"/>
  <c r="B1317" i="5"/>
  <c r="B1316" i="5"/>
  <c r="B1315" i="5"/>
  <c r="B1314" i="5"/>
  <c r="B1313" i="5"/>
  <c r="B1312" i="5"/>
  <c r="B1311" i="5"/>
  <c r="B1310" i="5"/>
  <c r="B1309" i="5"/>
  <c r="B1308" i="5"/>
  <c r="B1307" i="5"/>
  <c r="B1306" i="5"/>
  <c r="B1305" i="5"/>
  <c r="B1304" i="5"/>
  <c r="B1303" i="5"/>
  <c r="B1302" i="5"/>
  <c r="B1301" i="5"/>
  <c r="B1300" i="5"/>
  <c r="B1299" i="5"/>
  <c r="B1298" i="5"/>
  <c r="B1297" i="5"/>
  <c r="B1296" i="5"/>
  <c r="B1295" i="5"/>
  <c r="B1294" i="5"/>
  <c r="B1293" i="5"/>
  <c r="B1292" i="5"/>
  <c r="B1291" i="5"/>
  <c r="B1290" i="5"/>
  <c r="B1289" i="5"/>
  <c r="B1288" i="5"/>
  <c r="B1287" i="5"/>
  <c r="B1286" i="5"/>
  <c r="B1285" i="5"/>
  <c r="B1284" i="5"/>
  <c r="B1283" i="5"/>
  <c r="B1282" i="5"/>
  <c r="B1281" i="5"/>
  <c r="B1280" i="5"/>
  <c r="B1279" i="5"/>
  <c r="B1278" i="5"/>
  <c r="B1277" i="5"/>
  <c r="B1276" i="5"/>
  <c r="B1275" i="5"/>
  <c r="B1274" i="5"/>
  <c r="B1273" i="5"/>
  <c r="B1272" i="5"/>
  <c r="B1271" i="5"/>
  <c r="B1270" i="5"/>
  <c r="B1269" i="5"/>
  <c r="B1268" i="5"/>
  <c r="B1267" i="5"/>
  <c r="B1266" i="5"/>
  <c r="B1265" i="5"/>
  <c r="B1264" i="5"/>
  <c r="B1263" i="5"/>
  <c r="B1262" i="5"/>
  <c r="B1261" i="5"/>
  <c r="B1260" i="5"/>
  <c r="B1259" i="5"/>
  <c r="B1258" i="5"/>
  <c r="B1257" i="5"/>
  <c r="B1256" i="5"/>
  <c r="B1255" i="5"/>
  <c r="B1254" i="5"/>
  <c r="B1253" i="5"/>
  <c r="B1252" i="5"/>
  <c r="B1251" i="5"/>
  <c r="B1250" i="5"/>
  <c r="B1249" i="5"/>
  <c r="B1248" i="5"/>
  <c r="B1247" i="5"/>
  <c r="B1246" i="5"/>
  <c r="B1245" i="5"/>
  <c r="B1244" i="5"/>
  <c r="B1243" i="5"/>
  <c r="B1242" i="5"/>
  <c r="B1241" i="5"/>
  <c r="B1240" i="5"/>
  <c r="B1239" i="5"/>
  <c r="B1238" i="5"/>
  <c r="B1237" i="5"/>
  <c r="B1236" i="5"/>
  <c r="B1235" i="5"/>
  <c r="B1234" i="5"/>
  <c r="B1233" i="5"/>
  <c r="B1232" i="5"/>
  <c r="B1231" i="5"/>
  <c r="B1230" i="5"/>
  <c r="B1229" i="5"/>
  <c r="B1228" i="5"/>
  <c r="B1227" i="5"/>
  <c r="B1226" i="5"/>
  <c r="B1225" i="5"/>
  <c r="B1224" i="5"/>
  <c r="B1223" i="5"/>
  <c r="B1222" i="5"/>
  <c r="B1221" i="5"/>
  <c r="B1220" i="5"/>
  <c r="B1219" i="5"/>
  <c r="B1218" i="5"/>
  <c r="B1217" i="5"/>
  <c r="B1216" i="5"/>
  <c r="B1215" i="5"/>
  <c r="B1214" i="5"/>
  <c r="B1213" i="5"/>
  <c r="B1212" i="5"/>
  <c r="B1211" i="5"/>
  <c r="B1210" i="5"/>
  <c r="B1209" i="5"/>
  <c r="B1208" i="5"/>
  <c r="B1207" i="5"/>
  <c r="B1206" i="5"/>
  <c r="B1205" i="5"/>
  <c r="B1204" i="5"/>
  <c r="B1203" i="5"/>
  <c r="B1202" i="5"/>
  <c r="B1201" i="5"/>
  <c r="B1200" i="5"/>
  <c r="B1199" i="5"/>
  <c r="B1198" i="5"/>
  <c r="B1197" i="5"/>
  <c r="B1196" i="5"/>
  <c r="B1195" i="5"/>
  <c r="B1194" i="5"/>
  <c r="B1193" i="5"/>
  <c r="B1192" i="5"/>
  <c r="B1191" i="5"/>
  <c r="B1190" i="5"/>
  <c r="B1189" i="5"/>
  <c r="B1188" i="5"/>
  <c r="B1187" i="5"/>
  <c r="B1186" i="5"/>
  <c r="B1185" i="5"/>
  <c r="B1184" i="5"/>
  <c r="B1183" i="5"/>
  <c r="B1182" i="5"/>
  <c r="B1181" i="5"/>
  <c r="B1180" i="5"/>
  <c r="B1179" i="5"/>
  <c r="B1178" i="5"/>
  <c r="B1177" i="5"/>
  <c r="B1176" i="5"/>
  <c r="B1175" i="5"/>
  <c r="B1174" i="5"/>
  <c r="B1173" i="5"/>
  <c r="B1172" i="5"/>
  <c r="B1171" i="5"/>
  <c r="B1170" i="5"/>
  <c r="B1169" i="5"/>
  <c r="B1168" i="5"/>
  <c r="B1167" i="5"/>
  <c r="B1166" i="5"/>
  <c r="B1165" i="5"/>
  <c r="B1164" i="5"/>
  <c r="B1163" i="5"/>
  <c r="B1162" i="5"/>
  <c r="B1161" i="5"/>
  <c r="B1160" i="5"/>
  <c r="B1159" i="5"/>
  <c r="B1158" i="5"/>
  <c r="B1157" i="5"/>
  <c r="B1156" i="5"/>
  <c r="B1155" i="5"/>
  <c r="B1154" i="5"/>
  <c r="B1153" i="5"/>
  <c r="B1152" i="5"/>
  <c r="B1151" i="5"/>
  <c r="B1150" i="5"/>
  <c r="B1149" i="5"/>
  <c r="B1148" i="5"/>
  <c r="B1147" i="5"/>
  <c r="B1146" i="5"/>
  <c r="B1145" i="5"/>
  <c r="B1144" i="5"/>
  <c r="B1143" i="5"/>
  <c r="B1142" i="5"/>
  <c r="B1141" i="5"/>
  <c r="B1140" i="5"/>
  <c r="B1139" i="5"/>
  <c r="B1138" i="5"/>
  <c r="B1137" i="5"/>
  <c r="B1136" i="5"/>
  <c r="B1135" i="5"/>
  <c r="B1134" i="5"/>
  <c r="B1133" i="5"/>
  <c r="B1132" i="5"/>
  <c r="B1131" i="5"/>
  <c r="B1130" i="5"/>
  <c r="B1129" i="5"/>
  <c r="B1128" i="5"/>
  <c r="B1127" i="5"/>
  <c r="B1126" i="5"/>
  <c r="B1125" i="5"/>
  <c r="B1124" i="5"/>
  <c r="B1123" i="5"/>
  <c r="B1122" i="5"/>
  <c r="B1121" i="5"/>
  <c r="B1120" i="5"/>
  <c r="B1119" i="5"/>
  <c r="B1118" i="5"/>
  <c r="B1117" i="5"/>
  <c r="B1116" i="5"/>
  <c r="B1115" i="5"/>
  <c r="B1114" i="5"/>
  <c r="B1113" i="5"/>
  <c r="B1112" i="5"/>
  <c r="B1111" i="5"/>
  <c r="B1110" i="5"/>
  <c r="B1109" i="5"/>
  <c r="B1108" i="5"/>
  <c r="B1107" i="5"/>
  <c r="B1106" i="5"/>
  <c r="B1105" i="5"/>
  <c r="B1104" i="5"/>
  <c r="B1103" i="5"/>
  <c r="B1102" i="5"/>
  <c r="B1101" i="5"/>
  <c r="B1100" i="5"/>
  <c r="B1099" i="5"/>
  <c r="B1098" i="5"/>
  <c r="B1097" i="5"/>
  <c r="B1096" i="5"/>
  <c r="B1095" i="5"/>
  <c r="B1094" i="5"/>
  <c r="B1093" i="5"/>
  <c r="B1092" i="5"/>
  <c r="B1091" i="5"/>
  <c r="B1090" i="5"/>
  <c r="B1089" i="5"/>
  <c r="B1088" i="5"/>
  <c r="B1087" i="5"/>
  <c r="B1086" i="5"/>
  <c r="B1085" i="5"/>
  <c r="B1084" i="5"/>
  <c r="B1083" i="5"/>
  <c r="B1082" i="5"/>
  <c r="B1081" i="5"/>
  <c r="B1080" i="5"/>
  <c r="B1079" i="5"/>
  <c r="B1078" i="5"/>
  <c r="B1077" i="5"/>
  <c r="B1076" i="5"/>
  <c r="B1075" i="5"/>
  <c r="B1074" i="5"/>
  <c r="B1073" i="5"/>
  <c r="B1072" i="5"/>
  <c r="B1071" i="5"/>
  <c r="B1070" i="5"/>
  <c r="B1069" i="5"/>
  <c r="B1068" i="5"/>
  <c r="B1067" i="5"/>
  <c r="B1066" i="5"/>
  <c r="B1065" i="5"/>
  <c r="B1064" i="5"/>
  <c r="B1063" i="5"/>
  <c r="B1062" i="5"/>
  <c r="B1061" i="5"/>
  <c r="B1060" i="5"/>
  <c r="B1059" i="5"/>
  <c r="B1058" i="5"/>
  <c r="B1057" i="5"/>
  <c r="B1056" i="5"/>
  <c r="B1055" i="5"/>
  <c r="B1054" i="5"/>
  <c r="B1053" i="5"/>
  <c r="B1052" i="5"/>
  <c r="B1051" i="5"/>
  <c r="B1050" i="5"/>
  <c r="B1049" i="5"/>
  <c r="B1048" i="5"/>
  <c r="B1046" i="5"/>
  <c r="B1045" i="5"/>
  <c r="B1044" i="5"/>
  <c r="B1043" i="5"/>
  <c r="B1042" i="5"/>
  <c r="B1041" i="5"/>
  <c r="B1039" i="5"/>
  <c r="B1038" i="5"/>
  <c r="B1037" i="5"/>
  <c r="B1036" i="5"/>
  <c r="B1034" i="5"/>
  <c r="B1033" i="5"/>
  <c r="B1032" i="5"/>
  <c r="B1031" i="5"/>
  <c r="B1030" i="5"/>
  <c r="B1029" i="5"/>
  <c r="B1028" i="5"/>
  <c r="B1027" i="5"/>
  <c r="B1026" i="5"/>
  <c r="B1025" i="5"/>
  <c r="B1024" i="5"/>
  <c r="B1023" i="5"/>
  <c r="B1022" i="5"/>
  <c r="B1021" i="5"/>
  <c r="B1020" i="5"/>
  <c r="B1019" i="5"/>
  <c r="B1018" i="5"/>
  <c r="B1017" i="5"/>
  <c r="B1016" i="5"/>
  <c r="B1015" i="5"/>
  <c r="B1014" i="5"/>
  <c r="B1013" i="5"/>
  <c r="B1012" i="5"/>
  <c r="B1011" i="5"/>
  <c r="B1010" i="5"/>
  <c r="B1009" i="5"/>
  <c r="B1008" i="5"/>
  <c r="B1007" i="5"/>
  <c r="B1006" i="5"/>
  <c r="B1005" i="5"/>
  <c r="B1004" i="5"/>
  <c r="B1003" i="5"/>
  <c r="B1002" i="5"/>
  <c r="B1001" i="5"/>
  <c r="B1000" i="5"/>
  <c r="B999" i="5"/>
  <c r="B998" i="5"/>
  <c r="B997" i="5"/>
  <c r="B996" i="5"/>
  <c r="B995" i="5"/>
  <c r="B994" i="5"/>
  <c r="B993" i="5"/>
  <c r="B992" i="5"/>
  <c r="B991" i="5"/>
  <c r="B990" i="5"/>
  <c r="B989" i="5"/>
  <c r="B988" i="5"/>
  <c r="B987" i="5"/>
  <c r="B986" i="5"/>
  <c r="B985" i="5"/>
  <c r="B984" i="5"/>
  <c r="B983" i="5"/>
  <c r="B982" i="5"/>
  <c r="B981" i="5"/>
  <c r="B980" i="5"/>
  <c r="B979" i="5"/>
  <c r="B978" i="5"/>
  <c r="B977" i="5"/>
  <c r="B976" i="5"/>
  <c r="B975" i="5"/>
  <c r="B974" i="5"/>
  <c r="B973" i="5"/>
  <c r="B972" i="5"/>
  <c r="B971" i="5"/>
  <c r="B970" i="5"/>
  <c r="B969" i="5"/>
  <c r="B968" i="5"/>
  <c r="B967" i="5"/>
  <c r="B966" i="5"/>
  <c r="B965" i="5"/>
  <c r="B964" i="5"/>
  <c r="B963" i="5"/>
  <c r="B962" i="5"/>
  <c r="B961" i="5"/>
  <c r="B960" i="5"/>
  <c r="B959" i="5"/>
  <c r="B958" i="5"/>
  <c r="B957" i="5"/>
  <c r="B956" i="5"/>
  <c r="B955" i="5"/>
  <c r="B954" i="5"/>
  <c r="B953" i="5"/>
  <c r="B952" i="5"/>
  <c r="B951" i="5"/>
  <c r="B950" i="5"/>
  <c r="B949" i="5"/>
  <c r="B948" i="5"/>
  <c r="B947" i="5"/>
  <c r="B946" i="5"/>
  <c r="B945" i="5"/>
  <c r="B944" i="5"/>
  <c r="B943" i="5"/>
  <c r="B942" i="5"/>
  <c r="B941" i="5"/>
  <c r="B940" i="5"/>
  <c r="B939" i="5"/>
  <c r="B938" i="5"/>
  <c r="B937" i="5"/>
  <c r="B936" i="5"/>
  <c r="B935" i="5"/>
  <c r="B934" i="5"/>
  <c r="B933" i="5"/>
  <c r="B932" i="5"/>
  <c r="B931" i="5"/>
  <c r="B930" i="5"/>
  <c r="B929" i="5"/>
  <c r="B928" i="5"/>
  <c r="B927" i="5"/>
  <c r="B926" i="5"/>
  <c r="B925" i="5"/>
  <c r="B924" i="5"/>
  <c r="B923" i="5"/>
  <c r="B922" i="5"/>
  <c r="B921" i="5"/>
  <c r="B920" i="5"/>
  <c r="B919" i="5"/>
  <c r="B918" i="5"/>
  <c r="B917" i="5"/>
  <c r="B916" i="5"/>
  <c r="B915" i="5"/>
  <c r="B914" i="5"/>
  <c r="B913" i="5"/>
  <c r="B912" i="5"/>
  <c r="B911" i="5"/>
  <c r="B910" i="5"/>
  <c r="B909" i="5"/>
  <c r="B908" i="5"/>
  <c r="B907" i="5"/>
  <c r="B906" i="5"/>
  <c r="B905" i="5"/>
  <c r="B904" i="5"/>
  <c r="B903" i="5"/>
  <c r="B902" i="5"/>
  <c r="B901" i="5"/>
  <c r="B900" i="5"/>
  <c r="B899" i="5"/>
  <c r="B898" i="5"/>
  <c r="B897" i="5"/>
  <c r="B896" i="5"/>
  <c r="B895" i="5"/>
  <c r="B894" i="5"/>
  <c r="B893" i="5"/>
  <c r="B892" i="5"/>
  <c r="B891" i="5"/>
  <c r="B890" i="5"/>
  <c r="B889" i="5"/>
  <c r="B888" i="5"/>
  <c r="B887" i="5"/>
  <c r="B886" i="5"/>
  <c r="B885" i="5"/>
  <c r="B884" i="5"/>
  <c r="B883" i="5"/>
  <c r="B882" i="5"/>
  <c r="B881" i="5"/>
  <c r="B880" i="5"/>
  <c r="B879" i="5"/>
  <c r="B878" i="5"/>
  <c r="B877" i="5"/>
  <c r="B876" i="5"/>
  <c r="B875" i="5"/>
  <c r="B874" i="5"/>
  <c r="B873" i="5"/>
  <c r="B872" i="5"/>
  <c r="B871" i="5"/>
  <c r="B870" i="5"/>
  <c r="B869" i="5"/>
  <c r="B868" i="5"/>
  <c r="B867" i="5"/>
  <c r="B866" i="5"/>
  <c r="B865" i="5"/>
  <c r="B864" i="5"/>
  <c r="B863" i="5"/>
  <c r="B862" i="5"/>
  <c r="B861" i="5"/>
  <c r="B860" i="5"/>
  <c r="B859" i="5"/>
  <c r="B857" i="5"/>
  <c r="B856" i="5"/>
  <c r="B855" i="5"/>
  <c r="B854" i="5"/>
  <c r="B853" i="5"/>
  <c r="B852" i="5"/>
  <c r="B851" i="5"/>
  <c r="B850" i="5"/>
  <c r="B849" i="5"/>
  <c r="B848" i="5"/>
  <c r="B847" i="5"/>
  <c r="B846" i="5"/>
  <c r="B845" i="5"/>
  <c r="B844" i="5"/>
  <c r="B843" i="5"/>
  <c r="B842" i="5"/>
  <c r="B841" i="5"/>
  <c r="B840" i="5"/>
  <c r="B839" i="5"/>
  <c r="B837" i="5"/>
  <c r="B836" i="5"/>
  <c r="B835" i="5"/>
  <c r="B834" i="5"/>
  <c r="B833" i="5"/>
  <c r="B832" i="5"/>
  <c r="B831" i="5"/>
  <c r="B830" i="5"/>
  <c r="B829" i="5"/>
  <c r="B828" i="5"/>
  <c r="B827" i="5"/>
  <c r="B826" i="5"/>
  <c r="B825" i="5"/>
  <c r="B824" i="5"/>
  <c r="B823" i="5"/>
  <c r="B822" i="5"/>
  <c r="B821" i="5"/>
  <c r="B820" i="5"/>
  <c r="B818" i="5"/>
  <c r="B817" i="5"/>
  <c r="B816" i="5"/>
  <c r="B815" i="5"/>
  <c r="B814" i="5"/>
  <c r="B813" i="5"/>
  <c r="B812" i="5"/>
  <c r="B811" i="5"/>
  <c r="B810" i="5"/>
  <c r="B809" i="5"/>
  <c r="B808" i="5"/>
  <c r="B807" i="5"/>
  <c r="B806" i="5"/>
  <c r="B805" i="5"/>
  <c r="B804" i="5"/>
  <c r="B803" i="5"/>
  <c r="B802" i="5"/>
  <c r="B801" i="5"/>
  <c r="B800" i="5"/>
  <c r="B799" i="5"/>
  <c r="B798" i="5"/>
  <c r="B797" i="5"/>
  <c r="B796" i="5"/>
  <c r="B795" i="5"/>
  <c r="B794" i="5"/>
  <c r="B793" i="5"/>
  <c r="B792" i="5"/>
  <c r="B791" i="5"/>
  <c r="B790" i="5"/>
  <c r="B789" i="5"/>
  <c r="B788" i="5"/>
  <c r="B787" i="5"/>
  <c r="B786" i="5"/>
  <c r="B785" i="5"/>
  <c r="B784" i="5"/>
  <c r="B783" i="5"/>
  <c r="B782" i="5"/>
  <c r="B781" i="5"/>
  <c r="B780" i="5"/>
  <c r="B779" i="5"/>
  <c r="B778" i="5"/>
  <c r="B777" i="5"/>
  <c r="B776" i="5"/>
  <c r="B775" i="5"/>
  <c r="B774" i="5"/>
  <c r="B773" i="5"/>
  <c r="B772" i="5"/>
  <c r="B771" i="5"/>
  <c r="B770" i="5"/>
  <c r="B769" i="5"/>
  <c r="B768" i="5"/>
  <c r="B767" i="5"/>
  <c r="B766" i="5"/>
  <c r="B765" i="5"/>
  <c r="B764" i="5"/>
  <c r="B763" i="5"/>
  <c r="B762" i="5"/>
  <c r="B761" i="5"/>
  <c r="B760" i="5"/>
  <c r="B758" i="5"/>
  <c r="B757" i="5"/>
  <c r="B756" i="5"/>
  <c r="B755" i="5"/>
  <c r="B754" i="5"/>
  <c r="B753" i="5"/>
  <c r="B752" i="5"/>
  <c r="B751" i="5"/>
  <c r="B750" i="5"/>
  <c r="B749" i="5"/>
  <c r="B748" i="5"/>
  <c r="B747" i="5"/>
  <c r="B746" i="5"/>
  <c r="B745" i="5"/>
  <c r="B744" i="5"/>
  <c r="B742" i="5"/>
  <c r="B741" i="5"/>
  <c r="B740" i="5"/>
  <c r="B739" i="5"/>
  <c r="B738" i="5"/>
  <c r="B737" i="5"/>
  <c r="B736" i="5"/>
  <c r="B735" i="5"/>
  <c r="B734" i="5"/>
  <c r="B733" i="5"/>
  <c r="B732" i="5"/>
  <c r="B731" i="5"/>
  <c r="B730" i="5"/>
  <c r="B729" i="5"/>
  <c r="B728" i="5"/>
  <c r="B727" i="5"/>
  <c r="B726" i="5"/>
  <c r="B725" i="5"/>
  <c r="B724" i="5"/>
  <c r="B723" i="5"/>
  <c r="B722" i="5"/>
  <c r="B721" i="5"/>
  <c r="B720" i="5"/>
  <c r="B719" i="5"/>
  <c r="B718" i="5"/>
  <c r="B717" i="5"/>
  <c r="B716" i="5"/>
  <c r="B715" i="5"/>
  <c r="B714" i="5"/>
  <c r="B713" i="5"/>
  <c r="B712" i="5"/>
  <c r="B711" i="5"/>
  <c r="B710" i="5"/>
  <c r="B709" i="5"/>
  <c r="B708" i="5"/>
  <c r="B707" i="5"/>
  <c r="B706" i="5"/>
  <c r="B705" i="5"/>
  <c r="B704" i="5"/>
  <c r="B703" i="5"/>
  <c r="B702" i="5"/>
  <c r="B701" i="5"/>
  <c r="B700" i="5"/>
  <c r="B699" i="5"/>
  <c r="B698" i="5"/>
  <c r="B697" i="5"/>
  <c r="B696" i="5"/>
  <c r="B695" i="5"/>
  <c r="B694" i="5"/>
  <c r="B693" i="5"/>
  <c r="B692" i="5"/>
  <c r="B691" i="5"/>
  <c r="B690" i="5"/>
  <c r="B689" i="5"/>
  <c r="B688" i="5"/>
  <c r="B687" i="5"/>
  <c r="B686" i="5"/>
  <c r="B685" i="5"/>
  <c r="B684" i="5"/>
  <c r="B683" i="5"/>
  <c r="B682" i="5"/>
  <c r="B681" i="5"/>
  <c r="B680" i="5"/>
  <c r="B679" i="5"/>
  <c r="B678" i="5"/>
  <c r="B677" i="5"/>
  <c r="B676" i="5"/>
  <c r="B675" i="5"/>
  <c r="B674" i="5"/>
  <c r="B673" i="5"/>
  <c r="B672" i="5"/>
  <c r="B671" i="5"/>
  <c r="B670" i="5"/>
  <c r="B669" i="5"/>
  <c r="B668" i="5"/>
  <c r="B667" i="5"/>
  <c r="B666" i="5"/>
  <c r="B665" i="5"/>
  <c r="B664" i="5"/>
  <c r="B663" i="5"/>
  <c r="B662" i="5"/>
  <c r="B661" i="5"/>
  <c r="B660" i="5"/>
  <c r="B659" i="5"/>
  <c r="B658" i="5"/>
  <c r="B657" i="5"/>
  <c r="B656" i="5"/>
  <c r="B655" i="5"/>
  <c r="B654" i="5"/>
  <c r="B653" i="5"/>
  <c r="B652" i="5"/>
  <c r="B651" i="5"/>
  <c r="B650" i="5"/>
  <c r="B649" i="5"/>
  <c r="B648" i="5"/>
  <c r="B647" i="5"/>
  <c r="B646" i="5"/>
  <c r="B645" i="5"/>
  <c r="B644" i="5"/>
  <c r="B643" i="5"/>
  <c r="B642" i="5"/>
  <c r="B641" i="5"/>
  <c r="B640" i="5"/>
  <c r="B639" i="5"/>
  <c r="B638" i="5"/>
  <c r="B637" i="5"/>
  <c r="B636" i="5"/>
  <c r="B635" i="5"/>
  <c r="B634" i="5"/>
  <c r="B633" i="5"/>
  <c r="B632" i="5"/>
  <c r="B631" i="5"/>
  <c r="B630" i="5"/>
  <c r="B629" i="5"/>
  <c r="B628" i="5"/>
  <c r="B627" i="5"/>
  <c r="B626" i="5"/>
  <c r="B625" i="5"/>
  <c r="B624" i="5"/>
  <c r="B623" i="5"/>
  <c r="B622" i="5"/>
  <c r="B621" i="5"/>
  <c r="B620" i="5"/>
  <c r="B619" i="5"/>
  <c r="B618" i="5"/>
  <c r="B617" i="5"/>
  <c r="B616" i="5"/>
  <c r="B615" i="5"/>
  <c r="B614" i="5"/>
  <c r="B613" i="5"/>
  <c r="B612" i="5"/>
  <c r="B611" i="5"/>
  <c r="B610" i="5"/>
  <c r="B609" i="5"/>
  <c r="B608" i="5"/>
  <c r="B607" i="5"/>
  <c r="B606" i="5"/>
  <c r="B605" i="5"/>
  <c r="B604" i="5"/>
  <c r="B603" i="5"/>
  <c r="B602" i="5"/>
  <c r="B601" i="5"/>
  <c r="B598" i="5"/>
  <c r="B597" i="5"/>
  <c r="B596" i="5"/>
  <c r="B595" i="5"/>
  <c r="B594" i="5"/>
  <c r="B593" i="5"/>
  <c r="B592" i="5"/>
  <c r="B591" i="5"/>
  <c r="B590" i="5"/>
  <c r="B589" i="5"/>
  <c r="B588" i="5"/>
  <c r="B587" i="5"/>
  <c r="B586" i="5"/>
  <c r="B585" i="5"/>
  <c r="B584" i="5"/>
  <c r="B583" i="5"/>
  <c r="B582" i="5"/>
  <c r="B581" i="5"/>
  <c r="B580" i="5"/>
  <c r="B579" i="5"/>
  <c r="B578" i="5"/>
  <c r="B577" i="5"/>
  <c r="B576" i="5"/>
  <c r="B575" i="5"/>
  <c r="B574" i="5"/>
  <c r="B573" i="5"/>
  <c r="B572" i="5"/>
  <c r="B571" i="5"/>
  <c r="B570" i="5"/>
  <c r="B569" i="5"/>
  <c r="B568" i="5"/>
  <c r="B567" i="5"/>
  <c r="B566" i="5"/>
  <c r="B565" i="5"/>
  <c r="B564" i="5"/>
  <c r="B563" i="5"/>
  <c r="B562" i="5"/>
  <c r="B561" i="5"/>
  <c r="B560" i="5"/>
  <c r="B559" i="5"/>
  <c r="B558" i="5"/>
  <c r="B557" i="5"/>
  <c r="B556" i="5"/>
  <c r="B555" i="5"/>
  <c r="B554" i="5"/>
  <c r="B553" i="5"/>
  <c r="B552" i="5"/>
  <c r="B551" i="5"/>
  <c r="B550" i="5"/>
  <c r="B549" i="5"/>
  <c r="B548" i="5"/>
  <c r="B547" i="5"/>
  <c r="B546" i="5"/>
  <c r="B545" i="5"/>
  <c r="B544" i="5"/>
  <c r="B543" i="5"/>
  <c r="B542" i="5"/>
  <c r="B541" i="5"/>
  <c r="B540" i="5"/>
  <c r="B539" i="5"/>
  <c r="B538" i="5"/>
  <c r="B537" i="5"/>
  <c r="B536" i="5"/>
  <c r="B535" i="5"/>
  <c r="B534" i="5"/>
  <c r="B533" i="5"/>
  <c r="B532" i="5"/>
  <c r="B531" i="5"/>
  <c r="B530" i="5"/>
  <c r="B529" i="5"/>
  <c r="B528" i="5"/>
  <c r="B527" i="5"/>
  <c r="B526" i="5"/>
  <c r="B525" i="5"/>
  <c r="B524" i="5"/>
  <c r="B523" i="5"/>
  <c r="B522" i="5"/>
  <c r="B521" i="5"/>
  <c r="B520" i="5"/>
  <c r="B519" i="5"/>
  <c r="B518" i="5"/>
  <c r="B517" i="5"/>
  <c r="B516" i="5"/>
  <c r="B515" i="5"/>
  <c r="B514" i="5"/>
  <c r="B513" i="5"/>
  <c r="B512" i="5"/>
  <c r="B511" i="5"/>
  <c r="B510" i="5"/>
  <c r="B509" i="5"/>
  <c r="B508" i="5"/>
  <c r="B507" i="5"/>
  <c r="B506" i="5"/>
  <c r="B505" i="5"/>
  <c r="B504" i="5"/>
  <c r="B503" i="5"/>
  <c r="B502" i="5"/>
  <c r="B501" i="5"/>
  <c r="B500" i="5"/>
  <c r="B499" i="5"/>
  <c r="B498" i="5"/>
  <c r="B497" i="5"/>
  <c r="B496" i="5"/>
  <c r="B495" i="5"/>
  <c r="B494" i="5"/>
  <c r="B493" i="5"/>
  <c r="B492" i="5"/>
  <c r="B491" i="5"/>
  <c r="B490" i="5"/>
  <c r="B489" i="5"/>
  <c r="B488" i="5"/>
  <c r="B487" i="5"/>
  <c r="B486" i="5"/>
  <c r="B485" i="5"/>
  <c r="B484" i="5"/>
  <c r="B483" i="5"/>
  <c r="B482" i="5"/>
  <c r="B481" i="5"/>
  <c r="B480" i="5"/>
  <c r="B479" i="5"/>
  <c r="B478" i="5"/>
  <c r="B477" i="5"/>
  <c r="B476" i="5"/>
  <c r="B475" i="5"/>
  <c r="B474" i="5"/>
  <c r="B473" i="5"/>
  <c r="B472" i="5"/>
  <c r="B471" i="5"/>
  <c r="B470" i="5"/>
  <c r="B469" i="5"/>
  <c r="B468" i="5"/>
  <c r="B467" i="5"/>
  <c r="B466" i="5"/>
  <c r="B465" i="5"/>
  <c r="B464" i="5"/>
  <c r="B463" i="5"/>
  <c r="B462" i="5"/>
  <c r="B461" i="5"/>
  <c r="B460"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7" i="5"/>
  <c r="B416" i="5"/>
  <c r="B415" i="5"/>
  <c r="B414"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3" i="5"/>
  <c r="B182" i="5"/>
  <c r="B181" i="5"/>
  <c r="B180" i="5"/>
  <c r="B179" i="5"/>
  <c r="B178" i="5"/>
  <c r="B177" i="5"/>
  <c r="B176" i="5"/>
  <c r="B175" i="5"/>
  <c r="B174" i="5"/>
  <c r="B172" i="5"/>
  <c r="B171" i="5"/>
  <c r="B170" i="5"/>
  <c r="B169" i="5"/>
  <c r="B168" i="5"/>
  <c r="B167" i="5"/>
  <c r="B166" i="5"/>
  <c r="B165" i="5"/>
  <c r="B164" i="5"/>
  <c r="B163" i="5"/>
  <c r="B162" i="5"/>
  <c r="B161" i="5"/>
  <c r="B160" i="5"/>
  <c r="B159" i="5"/>
  <c r="B158" i="5"/>
  <c r="B157" i="5"/>
  <c r="B156" i="5"/>
  <c r="B155" i="5"/>
  <c r="B154" i="5"/>
  <c r="B153" i="5"/>
  <c r="B152" i="5"/>
  <c r="B151" i="5"/>
  <c r="B150" i="5"/>
  <c r="B147" i="5"/>
  <c r="B146" i="5"/>
  <c r="B145" i="5"/>
  <c r="B144" i="5"/>
  <c r="B143" i="5"/>
  <c r="B142" i="5"/>
  <c r="B141" i="5"/>
  <c r="B140" i="5"/>
  <c r="B139" i="5"/>
  <c r="B138" i="5"/>
  <c r="B137" i="5"/>
  <c r="B136" i="5"/>
  <c r="B135" i="5"/>
  <c r="B134" i="5"/>
  <c r="B133" i="5"/>
  <c r="B132" i="5"/>
  <c r="B131" i="5"/>
  <c r="B130" i="5"/>
  <c r="B129" i="5"/>
  <c r="B128" i="5"/>
  <c r="B127" i="5"/>
  <c r="B126"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 r="C1021" i="4"/>
  <c r="B1021" i="4"/>
  <c r="C1020" i="4"/>
  <c r="B1020" i="4"/>
  <c r="C1019" i="4"/>
  <c r="B1019" i="4"/>
  <c r="C1018" i="4"/>
  <c r="B1018" i="4"/>
  <c r="C1017" i="4"/>
  <c r="B1017" i="4"/>
  <c r="C1016" i="4"/>
  <c r="B1016" i="4"/>
  <c r="C1015" i="4"/>
  <c r="B1015" i="4"/>
  <c r="C1014" i="4"/>
  <c r="B1014" i="4"/>
  <c r="C1013" i="4"/>
  <c r="B1013" i="4"/>
  <c r="C1012" i="4"/>
  <c r="B1012" i="4"/>
  <c r="C1011" i="4"/>
  <c r="B1011" i="4"/>
  <c r="C1010" i="4"/>
  <c r="B1010" i="4"/>
  <c r="C1009" i="4"/>
  <c r="B1009" i="4"/>
  <c r="C1008" i="4"/>
  <c r="B1008" i="4"/>
  <c r="C1007" i="4"/>
  <c r="B1007" i="4"/>
  <c r="C1006" i="4"/>
  <c r="B1006" i="4"/>
  <c r="C1005" i="4"/>
  <c r="B1005" i="4"/>
  <c r="C1004" i="4"/>
  <c r="B1004" i="4"/>
  <c r="C1003" i="4"/>
  <c r="B1003" i="4"/>
  <c r="C1002" i="4"/>
  <c r="B1002" i="4"/>
  <c r="C1001" i="4"/>
  <c r="B1001" i="4"/>
  <c r="C1000" i="4"/>
  <c r="B1000" i="4"/>
  <c r="C999" i="4"/>
  <c r="B999" i="4"/>
  <c r="C998" i="4"/>
  <c r="B998" i="4"/>
  <c r="C997" i="4"/>
  <c r="B997" i="4"/>
  <c r="C996" i="4"/>
  <c r="B996" i="4"/>
  <c r="C995" i="4"/>
  <c r="B995" i="4"/>
  <c r="C994" i="4"/>
  <c r="B994" i="4"/>
  <c r="C993" i="4"/>
  <c r="B993" i="4"/>
  <c r="C992" i="4"/>
  <c r="B992" i="4"/>
  <c r="C991" i="4"/>
  <c r="B991" i="4"/>
  <c r="C990" i="4"/>
  <c r="B990" i="4"/>
  <c r="C989" i="4"/>
  <c r="B989" i="4"/>
  <c r="C988" i="4"/>
  <c r="B988" i="4"/>
  <c r="C987" i="4"/>
  <c r="B987" i="4"/>
  <c r="C986" i="4"/>
  <c r="B986" i="4"/>
  <c r="C985" i="4"/>
  <c r="B985" i="4"/>
  <c r="C984" i="4"/>
  <c r="B984" i="4"/>
  <c r="C983" i="4"/>
  <c r="B983" i="4"/>
  <c r="C982" i="4"/>
  <c r="B982" i="4"/>
  <c r="C981" i="4"/>
  <c r="B981" i="4"/>
  <c r="C980" i="4"/>
  <c r="B980" i="4"/>
  <c r="C979" i="4"/>
  <c r="B979" i="4"/>
  <c r="C978" i="4"/>
  <c r="B978" i="4"/>
  <c r="C977" i="4"/>
  <c r="B977" i="4"/>
  <c r="C976" i="4"/>
  <c r="B976" i="4"/>
  <c r="C975" i="4"/>
  <c r="B975" i="4"/>
  <c r="C974" i="4"/>
  <c r="B974" i="4"/>
  <c r="C973" i="4"/>
  <c r="B973" i="4"/>
  <c r="C972" i="4"/>
  <c r="B972" i="4"/>
  <c r="C971" i="4"/>
  <c r="B971" i="4"/>
  <c r="C970" i="4"/>
  <c r="B970" i="4"/>
  <c r="C969" i="4"/>
  <c r="B969" i="4"/>
  <c r="C968" i="4"/>
  <c r="B968" i="4"/>
  <c r="C967" i="4"/>
  <c r="B967" i="4"/>
  <c r="C966" i="4"/>
  <c r="B966" i="4"/>
  <c r="C965" i="4"/>
  <c r="B965" i="4"/>
  <c r="C964" i="4"/>
  <c r="B964" i="4"/>
  <c r="C963" i="4"/>
  <c r="B963" i="4"/>
  <c r="C962" i="4"/>
  <c r="B962" i="4"/>
  <c r="C961" i="4"/>
  <c r="B961" i="4"/>
  <c r="C960" i="4"/>
  <c r="B960" i="4"/>
  <c r="C959" i="4"/>
  <c r="B959" i="4"/>
  <c r="C958" i="4"/>
  <c r="B958" i="4"/>
  <c r="C957" i="4"/>
  <c r="B957" i="4"/>
  <c r="C956" i="4"/>
  <c r="B956" i="4"/>
  <c r="C955" i="4"/>
  <c r="B955" i="4"/>
  <c r="C954" i="4"/>
  <c r="B954" i="4"/>
  <c r="C953" i="4"/>
  <c r="B953" i="4"/>
  <c r="C952" i="4"/>
  <c r="B952" i="4"/>
  <c r="C951" i="4"/>
  <c r="B951" i="4"/>
  <c r="C950" i="4"/>
  <c r="B950" i="4"/>
  <c r="C949" i="4"/>
  <c r="B949" i="4"/>
  <c r="C948" i="4"/>
  <c r="B948" i="4"/>
  <c r="C947" i="4"/>
  <c r="B947" i="4"/>
  <c r="C946" i="4"/>
  <c r="B946" i="4"/>
  <c r="C945" i="4"/>
  <c r="B945" i="4"/>
  <c r="C944" i="4"/>
  <c r="B944" i="4"/>
  <c r="C943" i="4"/>
  <c r="B943" i="4"/>
  <c r="C942" i="4"/>
  <c r="B942" i="4"/>
  <c r="C941" i="4"/>
  <c r="B941" i="4"/>
  <c r="C940" i="4"/>
  <c r="B940" i="4"/>
  <c r="C939" i="4"/>
  <c r="B939" i="4"/>
  <c r="C938" i="4"/>
  <c r="B938" i="4"/>
  <c r="C937" i="4"/>
  <c r="B937" i="4"/>
  <c r="C936" i="4"/>
  <c r="B936" i="4"/>
  <c r="C935" i="4"/>
  <c r="B935" i="4"/>
  <c r="C934" i="4"/>
  <c r="B934" i="4"/>
  <c r="C933" i="4"/>
  <c r="B933" i="4"/>
  <c r="C932" i="4"/>
  <c r="B932" i="4"/>
  <c r="C931" i="4"/>
  <c r="B931" i="4"/>
  <c r="C930" i="4"/>
  <c r="B930" i="4"/>
  <c r="C929" i="4"/>
  <c r="B929" i="4"/>
  <c r="C928" i="4"/>
  <c r="B928" i="4"/>
  <c r="C927" i="4"/>
  <c r="B927" i="4"/>
  <c r="C926" i="4"/>
  <c r="B926" i="4"/>
  <c r="C925" i="4"/>
  <c r="B925" i="4"/>
  <c r="C924" i="4"/>
  <c r="B924" i="4"/>
  <c r="C923" i="4"/>
  <c r="B923" i="4"/>
  <c r="C922" i="4"/>
  <c r="B922" i="4"/>
  <c r="C921" i="4"/>
  <c r="B921" i="4"/>
  <c r="C920" i="4"/>
  <c r="B920" i="4"/>
  <c r="C919" i="4"/>
  <c r="B919" i="4"/>
  <c r="C918" i="4"/>
  <c r="B918" i="4"/>
  <c r="C917" i="4"/>
  <c r="B917" i="4"/>
  <c r="C916" i="4"/>
  <c r="B916" i="4"/>
  <c r="C915" i="4"/>
  <c r="B915" i="4"/>
  <c r="C914" i="4"/>
  <c r="B914" i="4"/>
  <c r="C913" i="4"/>
  <c r="B913" i="4"/>
  <c r="C912" i="4"/>
  <c r="B912" i="4"/>
  <c r="C911" i="4"/>
  <c r="B911" i="4"/>
  <c r="C910" i="4"/>
  <c r="B910" i="4"/>
  <c r="C909" i="4"/>
  <c r="B909" i="4"/>
  <c r="C908" i="4"/>
  <c r="B908" i="4"/>
  <c r="C907" i="4"/>
  <c r="B907" i="4"/>
  <c r="C906" i="4"/>
  <c r="B906" i="4"/>
  <c r="C905" i="4"/>
  <c r="B905" i="4"/>
  <c r="C904" i="4"/>
  <c r="B904" i="4"/>
  <c r="C903" i="4"/>
  <c r="B903" i="4"/>
  <c r="C902" i="4"/>
  <c r="B902" i="4"/>
  <c r="C901" i="4"/>
  <c r="B901" i="4"/>
  <c r="C900" i="4"/>
  <c r="B900" i="4"/>
  <c r="C899" i="4"/>
  <c r="B899" i="4"/>
  <c r="C898" i="4"/>
  <c r="B898" i="4"/>
  <c r="C897" i="4"/>
  <c r="B897" i="4"/>
  <c r="C896" i="4"/>
  <c r="B896" i="4"/>
  <c r="C895" i="4"/>
  <c r="B895" i="4"/>
  <c r="C894" i="4"/>
  <c r="B894" i="4"/>
  <c r="C893" i="4"/>
  <c r="B893" i="4"/>
  <c r="C892" i="4"/>
  <c r="B892" i="4"/>
  <c r="C891" i="4"/>
  <c r="B891" i="4"/>
  <c r="C890" i="4"/>
  <c r="B890" i="4"/>
  <c r="C889" i="4"/>
  <c r="B889" i="4"/>
  <c r="C888" i="4"/>
  <c r="B888" i="4"/>
  <c r="C887" i="4"/>
  <c r="B887" i="4"/>
  <c r="C886" i="4"/>
  <c r="B886" i="4"/>
  <c r="C885" i="4"/>
  <c r="B885" i="4"/>
  <c r="C884" i="4"/>
  <c r="B884" i="4"/>
  <c r="C883" i="4"/>
  <c r="B883" i="4"/>
  <c r="C882" i="4"/>
  <c r="B882" i="4"/>
  <c r="C881" i="4"/>
  <c r="B881" i="4"/>
  <c r="C880" i="4"/>
  <c r="B880" i="4"/>
  <c r="C879" i="4"/>
  <c r="B879" i="4"/>
  <c r="C878" i="4"/>
  <c r="B878" i="4"/>
  <c r="C877" i="4"/>
  <c r="B877" i="4"/>
  <c r="C876" i="4"/>
  <c r="B876" i="4"/>
  <c r="C875" i="4"/>
  <c r="B875" i="4"/>
  <c r="C874" i="4"/>
  <c r="B874" i="4"/>
  <c r="C873" i="4"/>
  <c r="B873" i="4"/>
  <c r="C872" i="4"/>
  <c r="B872" i="4"/>
  <c r="C871" i="4"/>
  <c r="B871" i="4"/>
  <c r="C870" i="4"/>
  <c r="B870" i="4"/>
  <c r="C869" i="4"/>
  <c r="B869" i="4"/>
  <c r="C868" i="4"/>
  <c r="B868" i="4"/>
  <c r="C867" i="4"/>
  <c r="B867" i="4"/>
  <c r="C866" i="4"/>
  <c r="B866" i="4"/>
  <c r="C865" i="4"/>
  <c r="B865" i="4"/>
  <c r="C864" i="4"/>
  <c r="B864" i="4"/>
  <c r="C863" i="4"/>
  <c r="B863" i="4"/>
  <c r="C862" i="4"/>
  <c r="B862" i="4"/>
  <c r="C861" i="4"/>
  <c r="B861" i="4"/>
  <c r="C860" i="4"/>
  <c r="B860" i="4"/>
  <c r="C859" i="4"/>
  <c r="B859" i="4"/>
  <c r="C858" i="4"/>
  <c r="B858" i="4"/>
  <c r="C857" i="4"/>
  <c r="B857" i="4"/>
  <c r="C856" i="4"/>
  <c r="B856" i="4"/>
  <c r="C855" i="4"/>
  <c r="B855" i="4"/>
  <c r="C854" i="4"/>
  <c r="B854" i="4"/>
  <c r="C853" i="4"/>
  <c r="B853" i="4"/>
  <c r="C852" i="4"/>
  <c r="B852" i="4"/>
  <c r="C851" i="4"/>
  <c r="B851" i="4"/>
  <c r="C850" i="4"/>
  <c r="B850" i="4"/>
  <c r="C849" i="4"/>
  <c r="B849" i="4"/>
  <c r="C848" i="4"/>
  <c r="B848" i="4"/>
  <c r="C847" i="4"/>
  <c r="B847" i="4"/>
  <c r="C846" i="4"/>
  <c r="B846" i="4"/>
  <c r="C845" i="4"/>
  <c r="B845" i="4"/>
  <c r="C844" i="4"/>
  <c r="B844" i="4"/>
  <c r="C843" i="4"/>
  <c r="B843" i="4"/>
  <c r="C842" i="4"/>
  <c r="B842" i="4"/>
  <c r="C841" i="4"/>
  <c r="B841" i="4"/>
  <c r="C840" i="4"/>
  <c r="B840" i="4"/>
  <c r="C839" i="4"/>
  <c r="B839" i="4"/>
  <c r="C838" i="4"/>
  <c r="B838" i="4"/>
  <c r="C837" i="4"/>
  <c r="B837" i="4"/>
  <c r="C836" i="4"/>
  <c r="B836" i="4"/>
  <c r="C835" i="4"/>
  <c r="B835" i="4"/>
  <c r="C834" i="4"/>
  <c r="B834" i="4"/>
  <c r="C833" i="4"/>
  <c r="B833" i="4"/>
  <c r="C832" i="4"/>
  <c r="B832" i="4"/>
  <c r="C831" i="4"/>
  <c r="B831" i="4"/>
  <c r="C830" i="4"/>
  <c r="B830" i="4"/>
  <c r="C829" i="4"/>
  <c r="B829" i="4"/>
  <c r="C828" i="4"/>
  <c r="B828" i="4"/>
  <c r="C827" i="4"/>
  <c r="B827" i="4"/>
  <c r="C826" i="4"/>
  <c r="B826" i="4"/>
  <c r="C825" i="4"/>
  <c r="B825" i="4"/>
  <c r="C824" i="4"/>
  <c r="B824" i="4"/>
  <c r="C823" i="4"/>
  <c r="B823" i="4"/>
  <c r="C822" i="4"/>
  <c r="B822" i="4"/>
  <c r="C821" i="4"/>
  <c r="B821" i="4"/>
  <c r="C820" i="4"/>
  <c r="B820" i="4"/>
  <c r="C819" i="4"/>
  <c r="B819" i="4"/>
  <c r="C818" i="4"/>
  <c r="B818" i="4"/>
  <c r="C817" i="4"/>
  <c r="B817" i="4"/>
  <c r="C816" i="4"/>
  <c r="B816" i="4"/>
  <c r="C815" i="4"/>
  <c r="B815" i="4"/>
  <c r="C814" i="4"/>
  <c r="B814" i="4"/>
  <c r="C813" i="4"/>
  <c r="B813" i="4"/>
  <c r="C812" i="4"/>
  <c r="B812" i="4"/>
  <c r="C811" i="4"/>
  <c r="B811" i="4"/>
  <c r="C810" i="4"/>
  <c r="B810" i="4"/>
  <c r="C809" i="4"/>
  <c r="B809" i="4"/>
  <c r="C808" i="4"/>
  <c r="B808" i="4"/>
  <c r="C807" i="4"/>
  <c r="B807" i="4"/>
  <c r="C806" i="4"/>
  <c r="B806" i="4"/>
  <c r="C805" i="4"/>
  <c r="B805" i="4"/>
  <c r="C804" i="4"/>
  <c r="B804" i="4"/>
  <c r="C803" i="4"/>
  <c r="B803" i="4"/>
  <c r="C802" i="4"/>
  <c r="B802" i="4"/>
  <c r="C801" i="4"/>
  <c r="B801" i="4"/>
  <c r="C800" i="4"/>
  <c r="B800" i="4"/>
  <c r="C799" i="4"/>
  <c r="B799" i="4"/>
  <c r="C798" i="4"/>
  <c r="B798" i="4"/>
  <c r="C797" i="4"/>
  <c r="B797" i="4"/>
  <c r="C796" i="4"/>
  <c r="B796" i="4"/>
  <c r="C795" i="4"/>
  <c r="B795" i="4"/>
  <c r="C794" i="4"/>
  <c r="B794" i="4"/>
  <c r="C793" i="4"/>
  <c r="B793" i="4"/>
  <c r="C792" i="4"/>
  <c r="B792" i="4"/>
  <c r="C791" i="4"/>
  <c r="C790" i="4"/>
  <c r="B790" i="4"/>
  <c r="C789" i="4"/>
  <c r="B789" i="4"/>
  <c r="C788" i="4"/>
  <c r="B788" i="4"/>
  <c r="C787" i="4"/>
  <c r="B787" i="4"/>
  <c r="C786" i="4"/>
  <c r="B786" i="4"/>
  <c r="C785" i="4"/>
  <c r="B785" i="4"/>
  <c r="C784" i="4"/>
  <c r="B784" i="4"/>
  <c r="C783" i="4"/>
  <c r="B783" i="4"/>
  <c r="C782" i="4"/>
  <c r="B782" i="4"/>
  <c r="C781" i="4"/>
  <c r="B781" i="4"/>
  <c r="C780" i="4"/>
  <c r="B780" i="4"/>
  <c r="C779" i="4"/>
  <c r="B779" i="4"/>
  <c r="C778" i="4"/>
  <c r="B778" i="4"/>
  <c r="C777" i="4"/>
  <c r="B777" i="4"/>
  <c r="C776" i="4"/>
  <c r="B776" i="4"/>
  <c r="C775" i="4"/>
  <c r="B775" i="4"/>
  <c r="C774" i="4"/>
  <c r="B774" i="4"/>
  <c r="C773" i="4"/>
  <c r="B773" i="4"/>
  <c r="C772" i="4"/>
  <c r="B772" i="4"/>
  <c r="C771" i="4"/>
  <c r="B771" i="4"/>
  <c r="C770" i="4"/>
  <c r="B770" i="4"/>
  <c r="C769" i="4"/>
  <c r="B769" i="4"/>
  <c r="C768" i="4"/>
  <c r="B768" i="4"/>
  <c r="C767" i="4"/>
  <c r="B767" i="4"/>
  <c r="C766" i="4"/>
  <c r="B766" i="4"/>
  <c r="C765" i="4"/>
  <c r="B765" i="4"/>
  <c r="C764" i="4"/>
  <c r="B764" i="4"/>
  <c r="C763" i="4"/>
  <c r="B763" i="4"/>
  <c r="C762" i="4"/>
  <c r="B762" i="4"/>
  <c r="C761" i="4"/>
  <c r="B761" i="4"/>
  <c r="C760" i="4"/>
  <c r="B760" i="4"/>
  <c r="C759" i="4"/>
  <c r="B759" i="4"/>
  <c r="C758" i="4"/>
  <c r="B758" i="4"/>
  <c r="C757" i="4"/>
  <c r="C756" i="4"/>
  <c r="B756" i="4"/>
  <c r="C755" i="4"/>
  <c r="B755" i="4"/>
  <c r="C754" i="4"/>
  <c r="B754" i="4"/>
  <c r="C753" i="4"/>
  <c r="B753" i="4"/>
  <c r="C752" i="4"/>
  <c r="B752" i="4"/>
  <c r="C751" i="4"/>
  <c r="B751" i="4"/>
  <c r="C750" i="4"/>
  <c r="B750" i="4"/>
  <c r="C749" i="4"/>
  <c r="B749" i="4"/>
  <c r="C748" i="4"/>
  <c r="B748" i="4"/>
  <c r="C747" i="4"/>
  <c r="B747" i="4"/>
  <c r="C746" i="4"/>
  <c r="B746" i="4"/>
  <c r="C745" i="4"/>
  <c r="B745" i="4"/>
  <c r="C744" i="4"/>
  <c r="B744" i="4"/>
  <c r="C743" i="4"/>
  <c r="B743" i="4"/>
  <c r="C742" i="4"/>
  <c r="C741" i="4"/>
  <c r="B741" i="4"/>
  <c r="C740" i="4"/>
  <c r="B740" i="4"/>
  <c r="C739" i="4"/>
  <c r="B739" i="4"/>
  <c r="C738" i="4"/>
  <c r="B738" i="4"/>
  <c r="C737" i="4"/>
  <c r="B737" i="4"/>
  <c r="C736" i="4"/>
  <c r="B736" i="4"/>
  <c r="C735" i="4"/>
  <c r="B735" i="4"/>
  <c r="C734" i="4"/>
  <c r="B734" i="4"/>
  <c r="C733" i="4"/>
  <c r="B733" i="4"/>
  <c r="C732" i="4"/>
  <c r="B732" i="4"/>
  <c r="C731" i="4"/>
  <c r="B731" i="4"/>
  <c r="C730" i="4"/>
  <c r="B730" i="4"/>
  <c r="C729" i="4"/>
  <c r="B729" i="4"/>
  <c r="C728" i="4"/>
  <c r="B728" i="4"/>
  <c r="C727" i="4"/>
  <c r="B727" i="4"/>
  <c r="C726" i="4"/>
  <c r="C725" i="4"/>
  <c r="B725" i="4"/>
  <c r="C724" i="4"/>
  <c r="B724" i="4"/>
  <c r="C723" i="4"/>
  <c r="B723" i="4"/>
  <c r="C722" i="4"/>
  <c r="B722" i="4"/>
  <c r="C721" i="4"/>
  <c r="B721" i="4"/>
  <c r="C720" i="4"/>
  <c r="B720" i="4"/>
  <c r="C719" i="4"/>
  <c r="B719" i="4"/>
  <c r="C718" i="4"/>
  <c r="B718" i="4"/>
  <c r="C717" i="4"/>
  <c r="B717" i="4"/>
  <c r="C716" i="4"/>
  <c r="B716" i="4"/>
  <c r="C715" i="4"/>
  <c r="B715" i="4"/>
  <c r="C714" i="4"/>
  <c r="B714" i="4"/>
  <c r="C713" i="4"/>
  <c r="C712" i="4"/>
  <c r="B712" i="4"/>
  <c r="C711" i="4"/>
  <c r="B711" i="4"/>
  <c r="C710" i="4"/>
  <c r="B710" i="4"/>
  <c r="C709" i="4"/>
  <c r="B709" i="4"/>
  <c r="C708" i="4"/>
  <c r="B708" i="4"/>
  <c r="C707" i="4"/>
  <c r="B707" i="4"/>
  <c r="C706" i="4"/>
  <c r="B706" i="4"/>
  <c r="C705" i="4"/>
  <c r="B705" i="4"/>
  <c r="C704" i="4"/>
  <c r="B704" i="4"/>
  <c r="C703" i="4"/>
  <c r="B703" i="4"/>
  <c r="C702" i="4"/>
  <c r="B702" i="4"/>
  <c r="C701" i="4"/>
  <c r="B701" i="4"/>
  <c r="C700" i="4"/>
  <c r="B700" i="4"/>
  <c r="C699" i="4"/>
  <c r="B699" i="4"/>
  <c r="C698" i="4"/>
  <c r="B698" i="4"/>
  <c r="C697" i="4"/>
  <c r="B697" i="4"/>
  <c r="C696" i="4"/>
  <c r="B696" i="4"/>
  <c r="C695" i="4"/>
  <c r="B695" i="4"/>
  <c r="C694" i="4"/>
  <c r="B694" i="4"/>
  <c r="C693" i="4"/>
  <c r="B693" i="4"/>
  <c r="C692" i="4"/>
  <c r="B692" i="4"/>
  <c r="C691" i="4"/>
  <c r="B691" i="4"/>
  <c r="C690" i="4"/>
  <c r="B690" i="4"/>
  <c r="C689" i="4"/>
  <c r="B689" i="4"/>
  <c r="C688" i="4"/>
  <c r="B688" i="4"/>
  <c r="C687" i="4"/>
  <c r="B687" i="4"/>
  <c r="C686" i="4"/>
  <c r="B686" i="4"/>
  <c r="C685" i="4"/>
  <c r="B685" i="4"/>
  <c r="C684" i="4"/>
  <c r="B684" i="4"/>
  <c r="C683" i="4"/>
  <c r="B683" i="4"/>
  <c r="C682" i="4"/>
  <c r="B682" i="4"/>
  <c r="C681" i="4"/>
  <c r="B681" i="4"/>
  <c r="C680" i="4"/>
  <c r="B680" i="4"/>
  <c r="C679" i="4"/>
  <c r="B679" i="4"/>
  <c r="C678" i="4"/>
  <c r="B678" i="4"/>
  <c r="C677" i="4"/>
  <c r="B677" i="4"/>
  <c r="C676" i="4"/>
  <c r="B676" i="4"/>
  <c r="C675" i="4"/>
  <c r="B675" i="4"/>
  <c r="C674" i="4"/>
  <c r="B674" i="4"/>
  <c r="C673" i="4"/>
  <c r="B673" i="4"/>
  <c r="C672" i="4"/>
  <c r="B672" i="4"/>
  <c r="C671" i="4"/>
  <c r="B671" i="4"/>
  <c r="C670" i="4"/>
  <c r="B670" i="4"/>
  <c r="C669" i="4"/>
  <c r="B669" i="4"/>
  <c r="C668" i="4"/>
  <c r="B668" i="4"/>
  <c r="C667" i="4"/>
  <c r="B667" i="4"/>
  <c r="C666" i="4"/>
  <c r="B666" i="4"/>
  <c r="C665" i="4"/>
  <c r="B665" i="4"/>
  <c r="C664" i="4"/>
  <c r="B664" i="4"/>
  <c r="C663" i="4"/>
  <c r="B663" i="4"/>
  <c r="C662" i="4"/>
  <c r="B662" i="4"/>
  <c r="C661" i="4"/>
  <c r="B661" i="4"/>
  <c r="C660" i="4"/>
  <c r="B660" i="4"/>
  <c r="C659" i="4"/>
  <c r="B659" i="4"/>
  <c r="C658" i="4"/>
  <c r="B658" i="4"/>
  <c r="C657" i="4"/>
  <c r="B657" i="4"/>
  <c r="C656" i="4"/>
  <c r="B656" i="4"/>
  <c r="C655" i="4"/>
  <c r="B655" i="4"/>
  <c r="C654" i="4"/>
  <c r="B654" i="4"/>
  <c r="C653" i="4"/>
  <c r="B653" i="4"/>
  <c r="C652" i="4"/>
  <c r="B652" i="4"/>
  <c r="C651" i="4"/>
  <c r="B651" i="4"/>
  <c r="C650" i="4"/>
  <c r="B650" i="4"/>
  <c r="C649" i="4"/>
  <c r="B649" i="4"/>
  <c r="C648" i="4"/>
  <c r="B648" i="4"/>
  <c r="C647" i="4"/>
  <c r="B647" i="4"/>
  <c r="C646" i="4"/>
  <c r="B646" i="4"/>
  <c r="C645" i="4"/>
  <c r="B645" i="4"/>
  <c r="C644" i="4"/>
  <c r="B644" i="4"/>
  <c r="C643" i="4"/>
  <c r="B643" i="4"/>
  <c r="C642" i="4"/>
  <c r="B642" i="4"/>
  <c r="C641" i="4"/>
  <c r="B641" i="4"/>
  <c r="C640" i="4"/>
  <c r="B640" i="4"/>
  <c r="C639" i="4"/>
  <c r="B639" i="4"/>
  <c r="C638" i="4"/>
  <c r="B638" i="4"/>
  <c r="C637" i="4"/>
  <c r="B637" i="4"/>
  <c r="C636" i="4"/>
  <c r="B636" i="4"/>
  <c r="C635" i="4"/>
  <c r="B635" i="4"/>
  <c r="C634" i="4"/>
  <c r="B634" i="4"/>
  <c r="C633" i="4"/>
  <c r="B633" i="4"/>
  <c r="C632" i="4"/>
  <c r="B632" i="4"/>
  <c r="C631" i="4"/>
  <c r="B631" i="4"/>
  <c r="C630" i="4"/>
  <c r="B630" i="4"/>
  <c r="C629" i="4"/>
  <c r="B629" i="4"/>
  <c r="C628" i="4"/>
  <c r="B628" i="4"/>
  <c r="C627" i="4"/>
  <c r="B627" i="4"/>
  <c r="C626" i="4"/>
  <c r="B626" i="4"/>
  <c r="C625" i="4"/>
  <c r="B625" i="4"/>
  <c r="C624" i="4"/>
  <c r="B624" i="4"/>
  <c r="C623" i="4"/>
  <c r="B623" i="4"/>
  <c r="C622" i="4"/>
  <c r="B622" i="4"/>
  <c r="C621" i="4"/>
  <c r="B621" i="4"/>
  <c r="C620" i="4"/>
  <c r="B620" i="4"/>
  <c r="C619" i="4"/>
  <c r="B619" i="4"/>
  <c r="C618" i="4"/>
  <c r="B618" i="4"/>
  <c r="C617" i="4"/>
  <c r="B617" i="4"/>
  <c r="C616" i="4"/>
  <c r="B616" i="4"/>
  <c r="C615" i="4"/>
  <c r="B615" i="4"/>
  <c r="C614" i="4"/>
  <c r="B614" i="4"/>
  <c r="C613" i="4"/>
  <c r="B613" i="4"/>
  <c r="C612" i="4"/>
  <c r="B612" i="4"/>
  <c r="C611" i="4"/>
  <c r="B611" i="4"/>
  <c r="C610" i="4"/>
  <c r="B610" i="4"/>
  <c r="C609" i="4"/>
  <c r="B609" i="4"/>
  <c r="C608" i="4"/>
  <c r="B608" i="4"/>
  <c r="C607" i="4"/>
  <c r="B607" i="4"/>
  <c r="C606" i="4"/>
  <c r="B606" i="4"/>
  <c r="C605" i="4"/>
  <c r="B605" i="4"/>
  <c r="C604" i="4"/>
  <c r="B604" i="4"/>
  <c r="C603" i="4"/>
  <c r="B603" i="4"/>
  <c r="C602" i="4"/>
  <c r="B602" i="4"/>
  <c r="C601" i="4"/>
  <c r="B601" i="4"/>
  <c r="C600" i="4"/>
  <c r="B600" i="4"/>
  <c r="C599" i="4"/>
  <c r="B599" i="4"/>
  <c r="C598" i="4"/>
  <c r="B598" i="4"/>
  <c r="C597" i="4"/>
  <c r="B597" i="4"/>
  <c r="C596" i="4"/>
  <c r="B596" i="4"/>
  <c r="C595" i="4"/>
  <c r="B595" i="4"/>
  <c r="C594" i="4"/>
  <c r="B594" i="4"/>
  <c r="C593" i="4"/>
  <c r="B593" i="4"/>
  <c r="C592" i="4"/>
  <c r="B592" i="4"/>
  <c r="C591" i="4"/>
  <c r="B591" i="4"/>
  <c r="C590" i="4"/>
  <c r="B590" i="4"/>
  <c r="C589" i="4"/>
  <c r="B589" i="4"/>
  <c r="C588" i="4"/>
  <c r="B588" i="4"/>
  <c r="C587" i="4"/>
  <c r="B587" i="4"/>
  <c r="C586" i="4"/>
  <c r="B586" i="4"/>
  <c r="C585" i="4"/>
  <c r="B585" i="4"/>
  <c r="C584" i="4"/>
  <c r="B584" i="4"/>
  <c r="C583" i="4"/>
  <c r="B583" i="4"/>
  <c r="C582" i="4"/>
  <c r="B582" i="4"/>
  <c r="C581" i="4"/>
  <c r="B581" i="4"/>
  <c r="C580" i="4"/>
  <c r="B580" i="4"/>
  <c r="C579" i="4"/>
  <c r="B579" i="4"/>
  <c r="C578" i="4"/>
  <c r="B578" i="4"/>
  <c r="C577" i="4"/>
  <c r="B577" i="4"/>
  <c r="C576" i="4"/>
  <c r="B576" i="4"/>
  <c r="C575" i="4"/>
  <c r="B575" i="4"/>
  <c r="C574" i="4"/>
  <c r="B574" i="4"/>
  <c r="C573" i="4"/>
  <c r="B573" i="4"/>
  <c r="C572" i="4"/>
  <c r="B572" i="4"/>
  <c r="C571" i="4"/>
  <c r="B571" i="4"/>
  <c r="C570" i="4"/>
  <c r="B570" i="4"/>
  <c r="C569" i="4"/>
  <c r="B569" i="4"/>
  <c r="C568" i="4"/>
  <c r="B568" i="4"/>
  <c r="C567" i="4"/>
  <c r="B567" i="4"/>
  <c r="C566" i="4"/>
  <c r="B566" i="4"/>
  <c r="C565" i="4"/>
  <c r="B565" i="4"/>
  <c r="C564" i="4"/>
  <c r="B564" i="4"/>
  <c r="C563" i="4"/>
  <c r="B563" i="4"/>
  <c r="C562" i="4"/>
  <c r="B562" i="4"/>
  <c r="C561" i="4"/>
  <c r="B561" i="4"/>
  <c r="C560" i="4"/>
  <c r="C559" i="4"/>
  <c r="B559" i="4"/>
  <c r="C558" i="4"/>
  <c r="B558" i="4"/>
  <c r="C557" i="4"/>
  <c r="B557" i="4"/>
  <c r="C556" i="4"/>
  <c r="B556" i="4"/>
  <c r="C555" i="4"/>
  <c r="B555" i="4"/>
  <c r="C554" i="4"/>
  <c r="B554" i="4"/>
  <c r="C553" i="4"/>
  <c r="B553" i="4"/>
  <c r="C552" i="4"/>
  <c r="B552" i="4"/>
  <c r="C551" i="4"/>
  <c r="B551" i="4"/>
  <c r="C550" i="4"/>
  <c r="B550" i="4"/>
  <c r="C549" i="4"/>
  <c r="B549" i="4"/>
  <c r="C548" i="4"/>
  <c r="B548" i="4"/>
  <c r="C547" i="4"/>
  <c r="B547" i="4"/>
  <c r="C546" i="4"/>
  <c r="B546" i="4"/>
  <c r="C545" i="4"/>
  <c r="B545" i="4"/>
  <c r="C544" i="4"/>
  <c r="B544" i="4"/>
  <c r="C543" i="4"/>
  <c r="B543" i="4"/>
  <c r="C542" i="4"/>
  <c r="B542" i="4"/>
  <c r="C541" i="4"/>
  <c r="B541" i="4"/>
  <c r="C540" i="4"/>
  <c r="B540" i="4"/>
  <c r="C539" i="4"/>
  <c r="B539" i="4"/>
  <c r="C538" i="4"/>
  <c r="B538" i="4"/>
  <c r="C537" i="4"/>
  <c r="B537" i="4"/>
  <c r="C536" i="4"/>
  <c r="B536" i="4"/>
  <c r="C535" i="4"/>
  <c r="B535" i="4"/>
  <c r="C534" i="4"/>
  <c r="B534" i="4"/>
  <c r="C533" i="4"/>
  <c r="B533" i="4"/>
  <c r="C532" i="4"/>
  <c r="B532" i="4"/>
  <c r="C531" i="4"/>
  <c r="B531" i="4"/>
  <c r="C530" i="4"/>
  <c r="B530" i="4"/>
  <c r="C529" i="4"/>
  <c r="B529" i="4"/>
  <c r="C528" i="4"/>
  <c r="B528" i="4"/>
  <c r="C527" i="4"/>
  <c r="B527" i="4"/>
  <c r="C526" i="4"/>
  <c r="C525" i="4"/>
  <c r="C524" i="4"/>
  <c r="C523" i="4"/>
  <c r="C522" i="4"/>
  <c r="C521" i="4"/>
  <c r="C520" i="4"/>
  <c r="C519" i="4"/>
  <c r="C518" i="4"/>
  <c r="C517" i="4"/>
  <c r="C516" i="4"/>
  <c r="C515" i="4"/>
  <c r="C514" i="4"/>
  <c r="C513" i="4"/>
  <c r="C512" i="4"/>
  <c r="C511" i="4"/>
  <c r="B511" i="4"/>
  <c r="C510" i="4"/>
  <c r="B510" i="4"/>
  <c r="C509" i="4"/>
  <c r="B509" i="4"/>
  <c r="C508" i="4"/>
  <c r="B508" i="4"/>
  <c r="C507" i="4"/>
  <c r="B507" i="4"/>
  <c r="C506" i="4"/>
  <c r="B506" i="4"/>
  <c r="C505" i="4"/>
  <c r="B505" i="4"/>
  <c r="C504" i="4"/>
  <c r="B504" i="4"/>
  <c r="C503" i="4"/>
  <c r="B503" i="4"/>
  <c r="C502" i="4"/>
  <c r="B502" i="4"/>
  <c r="C501" i="4"/>
  <c r="B501" i="4"/>
  <c r="C500" i="4"/>
  <c r="B500" i="4"/>
  <c r="C499" i="4"/>
  <c r="B499" i="4"/>
  <c r="C498" i="4"/>
  <c r="B498" i="4"/>
  <c r="C497" i="4"/>
  <c r="B497" i="4"/>
  <c r="C496" i="4"/>
  <c r="B496" i="4"/>
  <c r="C495" i="4"/>
  <c r="B495" i="4"/>
  <c r="C494" i="4"/>
  <c r="B494" i="4"/>
  <c r="C493" i="4"/>
  <c r="B493" i="4"/>
  <c r="C492" i="4"/>
  <c r="B492" i="4"/>
  <c r="C491" i="4"/>
  <c r="B491" i="4"/>
  <c r="C490" i="4"/>
  <c r="B490" i="4"/>
  <c r="C489" i="4"/>
  <c r="B489" i="4"/>
  <c r="C488" i="4"/>
  <c r="B488" i="4"/>
  <c r="C487" i="4"/>
  <c r="B487" i="4"/>
  <c r="C486" i="4"/>
  <c r="B486" i="4"/>
  <c r="C485" i="4"/>
  <c r="B485" i="4"/>
  <c r="C484" i="4"/>
  <c r="B484" i="4"/>
  <c r="C483" i="4"/>
  <c r="B483" i="4"/>
  <c r="C482" i="4"/>
  <c r="B482" i="4"/>
  <c r="C481" i="4"/>
  <c r="B481" i="4"/>
  <c r="C480" i="4"/>
  <c r="B480" i="4"/>
  <c r="C479" i="4"/>
  <c r="B479" i="4"/>
  <c r="C478" i="4"/>
  <c r="B478" i="4"/>
  <c r="C477" i="4"/>
  <c r="B477" i="4"/>
  <c r="C476" i="4"/>
  <c r="B476" i="4"/>
  <c r="C475" i="4"/>
  <c r="B475" i="4"/>
  <c r="C474" i="4"/>
  <c r="B474" i="4"/>
  <c r="C473" i="4"/>
  <c r="C472" i="4"/>
  <c r="B472" i="4"/>
  <c r="C471" i="4"/>
  <c r="B471" i="4"/>
  <c r="C470" i="4"/>
  <c r="B470" i="4"/>
  <c r="C469" i="4"/>
  <c r="B469" i="4"/>
  <c r="C468" i="4"/>
  <c r="B468" i="4"/>
  <c r="C467" i="4"/>
  <c r="B467" i="4"/>
  <c r="C466" i="4"/>
  <c r="B466" i="4"/>
  <c r="C465" i="4"/>
  <c r="B465" i="4"/>
  <c r="C464" i="4"/>
  <c r="B464" i="4"/>
  <c r="C463" i="4"/>
  <c r="B463" i="4"/>
  <c r="C462" i="4"/>
  <c r="B462" i="4"/>
  <c r="C461" i="4"/>
  <c r="B461" i="4"/>
  <c r="C460" i="4"/>
  <c r="B460" i="4"/>
  <c r="C459" i="4"/>
  <c r="B459" i="4"/>
  <c r="C458" i="4"/>
  <c r="B458" i="4"/>
  <c r="C457" i="4"/>
  <c r="B457" i="4"/>
  <c r="C456" i="4"/>
  <c r="B456" i="4"/>
  <c r="C455" i="4"/>
  <c r="B455" i="4"/>
  <c r="C454" i="4"/>
  <c r="B454" i="4"/>
  <c r="C453" i="4"/>
  <c r="B453" i="4"/>
  <c r="C452" i="4"/>
  <c r="B452" i="4"/>
  <c r="C451" i="4"/>
  <c r="B451" i="4"/>
  <c r="C450" i="4"/>
  <c r="B450" i="4"/>
  <c r="C449" i="4"/>
  <c r="B449" i="4"/>
  <c r="C448" i="4"/>
  <c r="B448" i="4"/>
  <c r="C447" i="4"/>
  <c r="B447" i="4"/>
  <c r="C446" i="4"/>
  <c r="B446" i="4"/>
  <c r="C445" i="4"/>
  <c r="B445" i="4"/>
  <c r="C444" i="4"/>
  <c r="B444" i="4"/>
  <c r="C443" i="4"/>
  <c r="B443" i="4"/>
  <c r="C442" i="4"/>
  <c r="B442" i="4"/>
  <c r="C441" i="4"/>
  <c r="B441" i="4"/>
  <c r="C440" i="4"/>
  <c r="B440" i="4"/>
  <c r="C439" i="4"/>
  <c r="B439" i="4"/>
  <c r="C438" i="4"/>
  <c r="B438" i="4"/>
  <c r="C437" i="4"/>
  <c r="B437" i="4"/>
  <c r="C436" i="4"/>
  <c r="B436" i="4"/>
  <c r="C435" i="4"/>
  <c r="B435" i="4"/>
  <c r="C434" i="4"/>
  <c r="B434" i="4"/>
  <c r="C433" i="4"/>
  <c r="B433" i="4"/>
  <c r="C432" i="4"/>
  <c r="B432" i="4"/>
  <c r="C431" i="4"/>
  <c r="B431" i="4"/>
  <c r="C430" i="4"/>
  <c r="B430" i="4"/>
  <c r="C429" i="4"/>
  <c r="B429" i="4"/>
  <c r="C428" i="4"/>
  <c r="B428" i="4"/>
  <c r="C427" i="4"/>
  <c r="B427" i="4"/>
  <c r="C426" i="4"/>
  <c r="B426" i="4"/>
  <c r="C425" i="4"/>
  <c r="B425" i="4"/>
  <c r="C424" i="4"/>
  <c r="B424" i="4"/>
  <c r="C423" i="4"/>
  <c r="B423" i="4"/>
  <c r="C422" i="4"/>
  <c r="B422" i="4"/>
  <c r="C421" i="4"/>
  <c r="B421" i="4"/>
  <c r="C420" i="4"/>
  <c r="B420" i="4"/>
  <c r="C419" i="4"/>
  <c r="B419" i="4"/>
  <c r="C418" i="4"/>
  <c r="B418" i="4"/>
  <c r="C417" i="4"/>
  <c r="B417" i="4"/>
  <c r="C416" i="4"/>
  <c r="B416" i="4"/>
  <c r="C415" i="4"/>
  <c r="B415" i="4"/>
  <c r="C414" i="4"/>
  <c r="B414" i="4"/>
  <c r="C413" i="4"/>
  <c r="B413" i="4"/>
  <c r="C412" i="4"/>
  <c r="B412" i="4"/>
  <c r="C411" i="4"/>
  <c r="B411" i="4"/>
  <c r="C410" i="4"/>
  <c r="B410" i="4"/>
  <c r="C409" i="4"/>
  <c r="B409" i="4"/>
  <c r="C408" i="4"/>
  <c r="B408" i="4"/>
  <c r="C407" i="4"/>
  <c r="B407" i="4"/>
  <c r="C406" i="4"/>
  <c r="B406" i="4"/>
  <c r="C405" i="4"/>
  <c r="B405" i="4"/>
  <c r="C404" i="4"/>
  <c r="B404" i="4"/>
  <c r="C403" i="4"/>
  <c r="B403" i="4"/>
  <c r="C402" i="4"/>
  <c r="B402" i="4"/>
  <c r="C401" i="4"/>
  <c r="B401" i="4"/>
  <c r="C400" i="4"/>
  <c r="B400" i="4"/>
  <c r="C399" i="4"/>
  <c r="B399" i="4"/>
  <c r="C398" i="4"/>
  <c r="B398" i="4"/>
  <c r="C397" i="4"/>
  <c r="B397" i="4"/>
  <c r="C396" i="4"/>
  <c r="B396" i="4"/>
  <c r="C395" i="4"/>
  <c r="B395" i="4"/>
  <c r="C394" i="4"/>
  <c r="B394" i="4"/>
  <c r="C393" i="4"/>
  <c r="B393" i="4"/>
  <c r="C392" i="4"/>
  <c r="B392" i="4"/>
  <c r="C391" i="4"/>
  <c r="B391" i="4"/>
  <c r="C390" i="4"/>
  <c r="B390" i="4"/>
  <c r="C389" i="4"/>
  <c r="B389" i="4"/>
  <c r="C388" i="4"/>
  <c r="B388" i="4"/>
  <c r="C387" i="4"/>
  <c r="B387" i="4"/>
  <c r="C386" i="4"/>
  <c r="B386" i="4"/>
  <c r="C385" i="4"/>
  <c r="B385" i="4"/>
  <c r="C384" i="4"/>
  <c r="B384" i="4"/>
  <c r="C383" i="4"/>
  <c r="B383" i="4"/>
  <c r="C382" i="4"/>
  <c r="B382" i="4"/>
  <c r="C381" i="4"/>
  <c r="B381" i="4"/>
  <c r="C380" i="4"/>
  <c r="B380" i="4"/>
  <c r="C379" i="4"/>
  <c r="B379" i="4"/>
  <c r="C378" i="4"/>
  <c r="B378" i="4"/>
  <c r="C377" i="4"/>
  <c r="B377" i="4"/>
  <c r="C376" i="4"/>
  <c r="B376" i="4"/>
  <c r="C375" i="4"/>
  <c r="B375" i="4"/>
  <c r="C374" i="4"/>
  <c r="B374" i="4"/>
  <c r="C373" i="4"/>
  <c r="B373" i="4"/>
  <c r="C372" i="4"/>
  <c r="B372" i="4"/>
  <c r="C371" i="4"/>
  <c r="B371" i="4"/>
  <c r="C370" i="4"/>
  <c r="B370" i="4"/>
  <c r="C369" i="4"/>
  <c r="B369" i="4"/>
  <c r="C368" i="4"/>
  <c r="B368" i="4"/>
  <c r="C367" i="4"/>
  <c r="B367" i="4"/>
  <c r="C366" i="4"/>
  <c r="B366" i="4"/>
  <c r="C365" i="4"/>
  <c r="C364" i="4"/>
  <c r="B364" i="4"/>
  <c r="C363" i="4"/>
  <c r="B363" i="4"/>
  <c r="C362" i="4"/>
  <c r="B362" i="4"/>
  <c r="C361" i="4"/>
  <c r="B361" i="4"/>
  <c r="C360" i="4"/>
  <c r="B360" i="4"/>
  <c r="C359" i="4"/>
  <c r="B359" i="4"/>
  <c r="C358" i="4"/>
  <c r="B358" i="4"/>
  <c r="C357" i="4"/>
  <c r="B357" i="4"/>
  <c r="C356" i="4"/>
  <c r="B356" i="4"/>
  <c r="C355" i="4"/>
  <c r="B355" i="4"/>
  <c r="C354" i="4"/>
  <c r="B354" i="4"/>
  <c r="C353" i="4"/>
  <c r="B353" i="4"/>
  <c r="C352" i="4"/>
  <c r="B352" i="4"/>
  <c r="C351" i="4"/>
  <c r="B351" i="4"/>
  <c r="C350" i="4"/>
  <c r="B350" i="4"/>
  <c r="C349" i="4"/>
  <c r="B349" i="4"/>
  <c r="C348" i="4"/>
  <c r="B348" i="4"/>
  <c r="C347" i="4"/>
  <c r="B347" i="4"/>
  <c r="C346" i="4"/>
  <c r="B346" i="4"/>
  <c r="C345" i="4"/>
  <c r="B345" i="4"/>
  <c r="C344" i="4"/>
  <c r="B344" i="4"/>
  <c r="C343" i="4"/>
  <c r="B343" i="4"/>
  <c r="C342" i="4"/>
  <c r="B342" i="4"/>
  <c r="C341" i="4"/>
  <c r="B341" i="4"/>
  <c r="C340" i="4"/>
  <c r="B340" i="4"/>
  <c r="C339" i="4"/>
  <c r="B339" i="4"/>
  <c r="C338" i="4"/>
  <c r="B338" i="4"/>
  <c r="C337" i="4"/>
  <c r="B337" i="4"/>
  <c r="C336" i="4"/>
  <c r="B336" i="4"/>
  <c r="C335" i="4"/>
  <c r="B335" i="4"/>
  <c r="C334" i="4"/>
  <c r="B334" i="4"/>
  <c r="C333" i="4"/>
  <c r="B333" i="4"/>
  <c r="C332" i="4"/>
  <c r="B332" i="4"/>
  <c r="C331" i="4"/>
  <c r="B331" i="4"/>
  <c r="C330" i="4"/>
  <c r="B330" i="4"/>
  <c r="C329" i="4"/>
  <c r="B329" i="4"/>
  <c r="C328" i="4"/>
  <c r="B328" i="4"/>
  <c r="C327" i="4"/>
  <c r="B327" i="4"/>
  <c r="C326" i="4"/>
  <c r="B326" i="4"/>
  <c r="C325" i="4"/>
  <c r="B325" i="4"/>
  <c r="C324" i="4"/>
  <c r="B324" i="4"/>
  <c r="C323" i="4"/>
  <c r="B323" i="4"/>
  <c r="C322" i="4"/>
  <c r="B322" i="4"/>
  <c r="C321" i="4"/>
  <c r="B321" i="4"/>
  <c r="C320" i="4"/>
  <c r="B320" i="4"/>
  <c r="C319" i="4"/>
  <c r="B319" i="4"/>
  <c r="C318" i="4"/>
  <c r="B318" i="4"/>
  <c r="C317" i="4"/>
  <c r="B317" i="4"/>
  <c r="C316" i="4"/>
  <c r="B316" i="4"/>
  <c r="C315" i="4"/>
  <c r="B315" i="4"/>
  <c r="C314" i="4"/>
  <c r="B314" i="4"/>
  <c r="C313" i="4"/>
  <c r="B313" i="4"/>
  <c r="C312" i="4"/>
  <c r="B312" i="4"/>
  <c r="C311" i="4"/>
  <c r="B311" i="4"/>
  <c r="C310" i="4"/>
  <c r="B310" i="4"/>
  <c r="C309" i="4"/>
  <c r="B309" i="4"/>
  <c r="C308" i="4"/>
  <c r="B308" i="4"/>
  <c r="C307" i="4"/>
  <c r="B307" i="4"/>
  <c r="C306" i="4"/>
  <c r="B306" i="4"/>
  <c r="C305" i="4"/>
  <c r="B305" i="4"/>
  <c r="C304" i="4"/>
  <c r="B304" i="4"/>
  <c r="C303" i="4"/>
  <c r="B303" i="4"/>
  <c r="C302" i="4"/>
  <c r="B302" i="4"/>
  <c r="C301" i="4"/>
  <c r="B301" i="4"/>
  <c r="C300" i="4"/>
  <c r="B300" i="4"/>
  <c r="C299" i="4"/>
  <c r="B299" i="4"/>
  <c r="C298" i="4"/>
  <c r="B298" i="4"/>
  <c r="C297" i="4"/>
  <c r="B297" i="4"/>
  <c r="C296" i="4"/>
  <c r="B296" i="4"/>
  <c r="C295" i="4"/>
  <c r="B295" i="4"/>
  <c r="C294" i="4"/>
  <c r="B294" i="4"/>
  <c r="C293" i="4"/>
  <c r="B293" i="4"/>
  <c r="C292" i="4"/>
  <c r="B292" i="4"/>
  <c r="C291" i="4"/>
  <c r="B291" i="4"/>
  <c r="C290" i="4"/>
  <c r="B290" i="4"/>
  <c r="C289" i="4"/>
  <c r="B289" i="4"/>
  <c r="C288" i="4"/>
  <c r="B288" i="4"/>
  <c r="C287" i="4"/>
  <c r="C286" i="4"/>
  <c r="B286" i="4"/>
  <c r="C285" i="4"/>
  <c r="B285" i="4"/>
  <c r="C284" i="4"/>
  <c r="C283" i="4"/>
  <c r="B283" i="4"/>
  <c r="C282" i="4"/>
  <c r="B282" i="4"/>
  <c r="C281" i="4"/>
  <c r="C280" i="4"/>
  <c r="B280" i="4"/>
  <c r="C279" i="4"/>
  <c r="B279" i="4"/>
  <c r="C278" i="4"/>
  <c r="B278" i="4"/>
  <c r="C277" i="4"/>
  <c r="B277" i="4"/>
  <c r="C276" i="4"/>
  <c r="B276" i="4"/>
  <c r="C275" i="4"/>
  <c r="B275" i="4"/>
  <c r="C274" i="4"/>
  <c r="B274" i="4"/>
  <c r="C273" i="4"/>
  <c r="B273" i="4"/>
  <c r="C272" i="4"/>
  <c r="C271" i="4"/>
  <c r="B271" i="4"/>
  <c r="C270" i="4"/>
  <c r="B270" i="4"/>
  <c r="C269" i="4"/>
  <c r="B269" i="4"/>
  <c r="C268" i="4"/>
  <c r="B268" i="4"/>
  <c r="C267" i="4"/>
  <c r="B267" i="4"/>
  <c r="C266" i="4"/>
  <c r="B266" i="4"/>
  <c r="C265" i="4"/>
  <c r="B265" i="4"/>
  <c r="C264" i="4"/>
  <c r="B264" i="4"/>
  <c r="C263" i="4"/>
  <c r="B263" i="4"/>
  <c r="C262" i="4"/>
  <c r="B262" i="4"/>
  <c r="C261" i="4"/>
  <c r="B261" i="4"/>
  <c r="C260" i="4"/>
  <c r="B260" i="4"/>
  <c r="C259" i="4"/>
  <c r="B259" i="4"/>
  <c r="C258" i="4"/>
  <c r="B258" i="4"/>
  <c r="C257" i="4"/>
  <c r="B257" i="4"/>
  <c r="C256" i="4"/>
  <c r="B256" i="4"/>
  <c r="C255" i="4"/>
  <c r="B255" i="4"/>
  <c r="C254" i="4"/>
  <c r="B254" i="4"/>
  <c r="C253" i="4"/>
  <c r="B253" i="4"/>
  <c r="C252" i="4"/>
  <c r="B252" i="4"/>
  <c r="C251" i="4"/>
  <c r="B251" i="4"/>
  <c r="C250" i="4"/>
  <c r="B250" i="4"/>
  <c r="C249" i="4"/>
  <c r="B249" i="4"/>
  <c r="C248" i="4"/>
  <c r="B248" i="4"/>
  <c r="C247" i="4"/>
  <c r="B247" i="4"/>
  <c r="C246" i="4"/>
  <c r="B246" i="4"/>
  <c r="C245" i="4"/>
  <c r="B245" i="4"/>
  <c r="C244" i="4"/>
  <c r="B244" i="4"/>
  <c r="C243" i="4"/>
  <c r="B243" i="4"/>
  <c r="C242" i="4"/>
  <c r="B242" i="4"/>
  <c r="C241" i="4"/>
  <c r="B241" i="4"/>
  <c r="C240" i="4"/>
  <c r="B240" i="4"/>
  <c r="C239" i="4"/>
  <c r="B239" i="4"/>
  <c r="C238" i="4"/>
  <c r="B238" i="4"/>
  <c r="C237" i="4"/>
  <c r="B237" i="4"/>
  <c r="C236" i="4"/>
  <c r="B236" i="4"/>
  <c r="C235" i="4"/>
  <c r="B235" i="4"/>
  <c r="C234" i="4"/>
  <c r="B234" i="4"/>
  <c r="C233" i="4"/>
  <c r="B233" i="4"/>
  <c r="C232" i="4"/>
  <c r="B232" i="4"/>
  <c r="C231" i="4"/>
  <c r="B231" i="4"/>
  <c r="C230" i="4"/>
  <c r="B230" i="4"/>
  <c r="C229" i="4"/>
  <c r="B229" i="4"/>
  <c r="C228" i="4"/>
  <c r="B228" i="4"/>
  <c r="C227" i="4"/>
  <c r="B227" i="4"/>
  <c r="C226" i="4"/>
  <c r="B226" i="4"/>
  <c r="C225" i="4"/>
  <c r="B225" i="4"/>
  <c r="C224" i="4"/>
  <c r="B224" i="4"/>
  <c r="C223" i="4"/>
  <c r="B223" i="4"/>
  <c r="C222" i="4"/>
  <c r="B222" i="4"/>
  <c r="C221" i="4"/>
  <c r="B221" i="4"/>
  <c r="C220" i="4"/>
  <c r="B220" i="4"/>
  <c r="C219" i="4"/>
  <c r="B219" i="4"/>
  <c r="C218" i="4"/>
  <c r="B218" i="4"/>
  <c r="C217" i="4"/>
  <c r="B217" i="4"/>
  <c r="C216" i="4"/>
  <c r="B216" i="4"/>
  <c r="C215" i="4"/>
  <c r="B215" i="4"/>
  <c r="C214" i="4"/>
  <c r="B214" i="4"/>
  <c r="C213" i="4"/>
  <c r="B213" i="4"/>
  <c r="C212" i="4"/>
  <c r="B212" i="4"/>
  <c r="C211" i="4"/>
  <c r="B211" i="4"/>
  <c r="C210" i="4"/>
  <c r="B210" i="4"/>
  <c r="C209" i="4"/>
  <c r="B209" i="4"/>
  <c r="C208" i="4"/>
  <c r="B208" i="4"/>
  <c r="C207" i="4"/>
  <c r="B207" i="4"/>
  <c r="C206" i="4"/>
  <c r="B206" i="4"/>
  <c r="C205" i="4"/>
  <c r="B205" i="4"/>
  <c r="C204" i="4"/>
  <c r="B204" i="4"/>
  <c r="C203" i="4"/>
  <c r="B203" i="4"/>
  <c r="C202" i="4"/>
  <c r="B202" i="4"/>
  <c r="C201" i="4"/>
  <c r="B201" i="4"/>
  <c r="C200" i="4"/>
  <c r="B200" i="4"/>
  <c r="C199" i="4"/>
  <c r="B199" i="4"/>
  <c r="C198" i="4"/>
  <c r="B198" i="4"/>
  <c r="C197" i="4"/>
  <c r="B197" i="4"/>
  <c r="C196" i="4"/>
  <c r="B196" i="4"/>
  <c r="C195" i="4"/>
  <c r="B195" i="4"/>
  <c r="C194" i="4"/>
  <c r="B194" i="4"/>
  <c r="C193" i="4"/>
  <c r="B193" i="4"/>
  <c r="C192" i="4"/>
  <c r="B192" i="4"/>
  <c r="C191" i="4"/>
  <c r="B191" i="4"/>
  <c r="C190" i="4"/>
  <c r="B190" i="4"/>
  <c r="C189" i="4"/>
  <c r="B189" i="4"/>
  <c r="C188" i="4"/>
  <c r="B188" i="4"/>
  <c r="C187" i="4"/>
  <c r="B187" i="4"/>
  <c r="C186" i="4"/>
  <c r="B186" i="4"/>
  <c r="C185" i="4"/>
  <c r="B185" i="4"/>
  <c r="C184" i="4"/>
  <c r="B184" i="4"/>
  <c r="C183" i="4"/>
  <c r="B183" i="4"/>
  <c r="C182" i="4"/>
  <c r="B182" i="4"/>
  <c r="C181" i="4"/>
  <c r="B181" i="4"/>
  <c r="C180" i="4"/>
  <c r="B180" i="4"/>
  <c r="C179" i="4"/>
  <c r="B179" i="4"/>
  <c r="C178" i="4"/>
  <c r="B178" i="4"/>
  <c r="C177" i="4"/>
  <c r="B177" i="4"/>
  <c r="C176" i="4"/>
  <c r="B176" i="4"/>
  <c r="C175" i="4"/>
  <c r="B175" i="4"/>
  <c r="C174" i="4"/>
  <c r="B174" i="4"/>
  <c r="C173" i="4"/>
  <c r="B173" i="4"/>
  <c r="C172" i="4"/>
  <c r="B172" i="4"/>
  <c r="C171" i="4"/>
  <c r="B171" i="4"/>
  <c r="C170" i="4"/>
  <c r="B170" i="4"/>
  <c r="C169" i="4"/>
  <c r="B169" i="4"/>
  <c r="C168" i="4"/>
  <c r="B168" i="4"/>
  <c r="C167" i="4"/>
  <c r="B167" i="4"/>
  <c r="C166" i="4"/>
  <c r="B166" i="4"/>
  <c r="C165" i="4"/>
  <c r="B165" i="4"/>
  <c r="C164" i="4"/>
  <c r="B164" i="4"/>
  <c r="C163" i="4"/>
  <c r="B163" i="4"/>
  <c r="C162" i="4"/>
  <c r="B162" i="4"/>
  <c r="C161" i="4"/>
  <c r="B161" i="4"/>
  <c r="C160" i="4"/>
  <c r="B160" i="4"/>
  <c r="C159" i="4"/>
  <c r="B159" i="4"/>
  <c r="C158" i="4"/>
  <c r="B158" i="4"/>
  <c r="C157" i="4"/>
  <c r="B157" i="4"/>
  <c r="C156" i="4"/>
  <c r="B156" i="4"/>
  <c r="C155" i="4"/>
  <c r="B155" i="4"/>
  <c r="C154" i="4"/>
  <c r="B154" i="4"/>
  <c r="C153" i="4"/>
  <c r="B153" i="4"/>
  <c r="C152" i="4"/>
  <c r="B152" i="4"/>
  <c r="C151" i="4"/>
  <c r="B151" i="4"/>
  <c r="C150" i="4"/>
  <c r="B150" i="4"/>
  <c r="C149" i="4"/>
  <c r="B149" i="4"/>
  <c r="C148" i="4"/>
  <c r="B148" i="4"/>
  <c r="C147" i="4"/>
  <c r="B147" i="4"/>
  <c r="C146" i="4"/>
  <c r="B146" i="4"/>
  <c r="C145" i="4"/>
  <c r="B145" i="4"/>
  <c r="C144" i="4"/>
  <c r="B144" i="4"/>
  <c r="C143" i="4"/>
  <c r="B143" i="4"/>
  <c r="C142" i="4"/>
  <c r="B142" i="4"/>
  <c r="C141" i="4"/>
  <c r="B141" i="4"/>
  <c r="C140" i="4"/>
  <c r="B140" i="4"/>
  <c r="C139" i="4"/>
  <c r="B139" i="4"/>
  <c r="C138" i="4"/>
  <c r="B138" i="4"/>
  <c r="C137" i="4"/>
  <c r="B137" i="4"/>
  <c r="C136" i="4"/>
  <c r="B136" i="4"/>
  <c r="C135" i="4"/>
  <c r="B135" i="4"/>
  <c r="C134" i="4"/>
  <c r="B134" i="4"/>
  <c r="C133" i="4"/>
  <c r="B133" i="4"/>
  <c r="C132" i="4"/>
  <c r="B132" i="4"/>
  <c r="C131" i="4"/>
  <c r="B131" i="4"/>
  <c r="C130" i="4"/>
  <c r="B130" i="4"/>
  <c r="C129" i="4"/>
  <c r="B129" i="4"/>
  <c r="C128" i="4"/>
  <c r="B128" i="4"/>
  <c r="C127" i="4"/>
  <c r="B127" i="4"/>
  <c r="C126" i="4"/>
  <c r="B126" i="4"/>
  <c r="C125" i="4"/>
  <c r="B125" i="4"/>
  <c r="C124" i="4"/>
  <c r="B124" i="4"/>
  <c r="C123" i="4"/>
  <c r="B123" i="4"/>
  <c r="C122" i="4"/>
  <c r="B122" i="4"/>
  <c r="C121" i="4"/>
  <c r="B121" i="4"/>
  <c r="C120" i="4"/>
  <c r="B120" i="4"/>
  <c r="C119" i="4"/>
  <c r="B119" i="4"/>
  <c r="C118" i="4"/>
  <c r="B118" i="4"/>
  <c r="C117" i="4"/>
  <c r="B117" i="4"/>
  <c r="C116" i="4"/>
  <c r="B116" i="4"/>
  <c r="C115" i="4"/>
  <c r="B115" i="4"/>
  <c r="C114" i="4"/>
  <c r="B114" i="4"/>
  <c r="C113" i="4"/>
  <c r="B113" i="4"/>
  <c r="C112" i="4"/>
  <c r="B112" i="4"/>
  <c r="C111" i="4"/>
  <c r="B111" i="4"/>
  <c r="C110" i="4"/>
  <c r="B110" i="4"/>
  <c r="C109" i="4"/>
  <c r="B109" i="4"/>
  <c r="C108" i="4"/>
  <c r="B108" i="4"/>
  <c r="C107" i="4"/>
  <c r="B107" i="4"/>
  <c r="C106" i="4"/>
  <c r="B106" i="4"/>
  <c r="C105" i="4"/>
  <c r="B105" i="4"/>
  <c r="C104" i="4"/>
  <c r="B104" i="4"/>
  <c r="C103" i="4"/>
  <c r="B103" i="4"/>
  <c r="C102" i="4"/>
  <c r="B102" i="4"/>
  <c r="C101" i="4"/>
  <c r="B101" i="4"/>
  <c r="C100" i="4"/>
  <c r="B100" i="4"/>
  <c r="C99" i="4"/>
  <c r="B99" i="4"/>
  <c r="C98" i="4"/>
  <c r="B98" i="4"/>
  <c r="C97" i="4"/>
  <c r="B97" i="4"/>
  <c r="C96" i="4"/>
  <c r="B96" i="4"/>
  <c r="C95" i="4"/>
  <c r="B95" i="4"/>
  <c r="C94" i="4"/>
  <c r="B94" i="4"/>
  <c r="C93" i="4"/>
  <c r="B93" i="4"/>
  <c r="C92" i="4"/>
  <c r="B92" i="4"/>
  <c r="C91" i="4"/>
  <c r="B91" i="4"/>
  <c r="C90" i="4"/>
  <c r="B90" i="4"/>
  <c r="C89" i="4"/>
  <c r="B89" i="4"/>
  <c r="C88" i="4"/>
  <c r="B88" i="4"/>
  <c r="C87" i="4"/>
  <c r="B87" i="4"/>
  <c r="C86" i="4"/>
  <c r="B86" i="4"/>
  <c r="C85" i="4"/>
  <c r="B85" i="4"/>
  <c r="C84" i="4"/>
  <c r="B84" i="4"/>
  <c r="C83" i="4"/>
  <c r="B83" i="4"/>
  <c r="C82" i="4"/>
  <c r="B82" i="4"/>
  <c r="C81" i="4"/>
  <c r="B81" i="4"/>
  <c r="C80" i="4"/>
  <c r="B80" i="4"/>
  <c r="C79" i="4"/>
  <c r="B79" i="4"/>
  <c r="C78" i="4"/>
  <c r="B78" i="4"/>
  <c r="C77" i="4"/>
  <c r="B77" i="4"/>
  <c r="C76" i="4"/>
  <c r="B76" i="4"/>
  <c r="C75" i="4"/>
  <c r="B75" i="4"/>
  <c r="C74" i="4"/>
  <c r="B74" i="4"/>
  <c r="C73" i="4"/>
  <c r="B73" i="4"/>
  <c r="C72" i="4"/>
  <c r="B72" i="4"/>
  <c r="C71" i="4"/>
  <c r="B71" i="4"/>
  <c r="C70" i="4"/>
  <c r="B70" i="4"/>
  <c r="C69" i="4"/>
  <c r="B69" i="4"/>
  <c r="C68" i="4"/>
  <c r="B68" i="4"/>
  <c r="C67" i="4"/>
  <c r="B67" i="4"/>
  <c r="C66" i="4"/>
  <c r="B66" i="4"/>
  <c r="C65" i="4"/>
  <c r="B65" i="4"/>
  <c r="C64" i="4"/>
  <c r="B64" i="4"/>
  <c r="C63" i="4"/>
  <c r="B63" i="4"/>
  <c r="C62" i="4"/>
  <c r="B62" i="4"/>
  <c r="C61" i="4"/>
  <c r="B61" i="4"/>
  <c r="C60" i="4"/>
  <c r="B60" i="4"/>
  <c r="C59" i="4"/>
  <c r="B59" i="4"/>
  <c r="C58" i="4"/>
  <c r="B58" i="4"/>
  <c r="C57" i="4"/>
  <c r="B57" i="4"/>
  <c r="C56" i="4"/>
  <c r="B56" i="4"/>
  <c r="C55" i="4"/>
  <c r="B55" i="4"/>
  <c r="C54" i="4"/>
  <c r="B54" i="4"/>
  <c r="C53" i="4"/>
  <c r="B53" i="4"/>
  <c r="C52" i="4"/>
  <c r="B52" i="4"/>
  <c r="C51" i="4"/>
  <c r="B51" i="4"/>
  <c r="C50" i="4"/>
  <c r="B50" i="4"/>
  <c r="C49" i="4"/>
  <c r="B49" i="4"/>
  <c r="C48" i="4"/>
  <c r="B48" i="4"/>
  <c r="C47" i="4"/>
  <c r="B47" i="4"/>
  <c r="C46" i="4"/>
  <c r="B46" i="4"/>
  <c r="C45" i="4"/>
  <c r="B45" i="4"/>
  <c r="C44" i="4"/>
  <c r="B44" i="4"/>
  <c r="C43" i="4"/>
  <c r="B43" i="4"/>
  <c r="C42" i="4"/>
  <c r="B42" i="4"/>
  <c r="C41" i="4"/>
  <c r="B41" i="4"/>
  <c r="C40" i="4"/>
  <c r="B40" i="4"/>
  <c r="C39" i="4"/>
  <c r="B39" i="4"/>
  <c r="C38" i="4"/>
  <c r="B38" i="4"/>
  <c r="C37" i="4"/>
  <c r="B37" i="4"/>
  <c r="C36" i="4"/>
  <c r="B36" i="4"/>
  <c r="C35" i="4"/>
  <c r="B35" i="4"/>
  <c r="C34" i="4"/>
  <c r="B34" i="4"/>
  <c r="C33" i="4"/>
  <c r="B33" i="4"/>
  <c r="C32" i="4"/>
  <c r="B32" i="4"/>
  <c r="C31" i="4"/>
  <c r="B31" i="4"/>
  <c r="C30" i="4"/>
  <c r="B30" i="4"/>
  <c r="C29" i="4"/>
  <c r="B29" i="4"/>
  <c r="C28" i="4"/>
  <c r="B28" i="4"/>
  <c r="C27" i="4"/>
  <c r="B27" i="4"/>
  <c r="C26" i="4"/>
  <c r="B26" i="4"/>
  <c r="C25" i="4"/>
  <c r="B25" i="4"/>
  <c r="C24" i="4"/>
  <c r="B24" i="4"/>
  <c r="C23" i="4"/>
  <c r="B23" i="4"/>
  <c r="C22" i="4"/>
  <c r="B22" i="4"/>
  <c r="C21" i="4"/>
  <c r="B21" i="4"/>
  <c r="C20" i="4"/>
  <c r="B20" i="4"/>
  <c r="C19" i="4"/>
  <c r="B19" i="4"/>
  <c r="C18" i="4"/>
  <c r="B18" i="4"/>
  <c r="C17" i="4"/>
  <c r="B17" i="4"/>
  <c r="C16" i="4"/>
  <c r="B16" i="4"/>
  <c r="C15" i="4"/>
  <c r="B15" i="4"/>
  <c r="C14" i="4"/>
  <c r="C13" i="4"/>
  <c r="B13" i="4"/>
  <c r="C12" i="4"/>
  <c r="B12" i="4"/>
  <c r="C11" i="4"/>
  <c r="B11" i="4"/>
  <c r="C10" i="4"/>
  <c r="B10" i="4"/>
  <c r="C9" i="4"/>
  <c r="B9" i="4"/>
  <c r="C8" i="4"/>
  <c r="B8" i="4"/>
  <c r="C7" i="4"/>
  <c r="B7" i="4"/>
  <c r="C6" i="4"/>
  <c r="B6" i="4"/>
  <c r="C5" i="4"/>
  <c r="B5" i="4"/>
  <c r="C4" i="4"/>
  <c r="B4" i="4"/>
  <c r="C3" i="4"/>
  <c r="B3" i="4"/>
  <c r="C2" i="4"/>
  <c r="E1013" i="3"/>
  <c r="D1013" i="3"/>
  <c r="C1013" i="3"/>
  <c r="B1013" i="3"/>
  <c r="E1012" i="3"/>
  <c r="D1012" i="3"/>
  <c r="C1012" i="3"/>
  <c r="B1012" i="3"/>
  <c r="E1011" i="3"/>
  <c r="D1011" i="3"/>
  <c r="C1011" i="3"/>
  <c r="B1011" i="3"/>
  <c r="E1010" i="3"/>
  <c r="D1010" i="3"/>
  <c r="C1010" i="3"/>
  <c r="B1010" i="3"/>
  <c r="E1009" i="3"/>
  <c r="D1009" i="3"/>
  <c r="C1009" i="3"/>
  <c r="B1009" i="3"/>
  <c r="E1008" i="3"/>
  <c r="D1008" i="3"/>
  <c r="C1008" i="3"/>
  <c r="B1008" i="3"/>
  <c r="E1007" i="3"/>
  <c r="D1007" i="3"/>
  <c r="C1007" i="3"/>
  <c r="B1007" i="3"/>
  <c r="E1006" i="3"/>
  <c r="D1006" i="3"/>
  <c r="C1006" i="3"/>
  <c r="B1006" i="3"/>
  <c r="E1005" i="3"/>
  <c r="D1005" i="3"/>
  <c r="C1005" i="3"/>
  <c r="B1005" i="3"/>
  <c r="E1004" i="3"/>
  <c r="D1004" i="3"/>
  <c r="C1004" i="3"/>
  <c r="B1004" i="3"/>
  <c r="E1003" i="3"/>
  <c r="D1003" i="3"/>
  <c r="C1003" i="3"/>
  <c r="B1003" i="3"/>
  <c r="E1002" i="3"/>
  <c r="D1002" i="3"/>
  <c r="C1002" i="3"/>
  <c r="B1002" i="3"/>
  <c r="E1001" i="3"/>
  <c r="D1001" i="3"/>
  <c r="C1001" i="3"/>
  <c r="B1001" i="3"/>
  <c r="E1000" i="3"/>
  <c r="D1000" i="3"/>
  <c r="C1000" i="3"/>
  <c r="B1000" i="3"/>
  <c r="E999" i="3"/>
  <c r="D999" i="3"/>
  <c r="C999" i="3"/>
  <c r="B999" i="3"/>
  <c r="E998" i="3"/>
  <c r="D998" i="3"/>
  <c r="C998" i="3"/>
  <c r="B998" i="3"/>
  <c r="E997" i="3"/>
  <c r="D997" i="3"/>
  <c r="C997" i="3"/>
  <c r="B997" i="3"/>
  <c r="E996" i="3"/>
  <c r="D996" i="3"/>
  <c r="C996" i="3"/>
  <c r="B996" i="3"/>
  <c r="E995" i="3"/>
  <c r="D995" i="3"/>
  <c r="C995" i="3"/>
  <c r="B995" i="3"/>
  <c r="E994" i="3"/>
  <c r="D994" i="3"/>
  <c r="C994" i="3"/>
  <c r="B994" i="3"/>
  <c r="E993" i="3"/>
  <c r="D993" i="3"/>
  <c r="C993" i="3"/>
  <c r="B993" i="3"/>
  <c r="E992" i="3"/>
  <c r="D992" i="3"/>
  <c r="C992" i="3"/>
  <c r="B992" i="3"/>
  <c r="E991" i="3"/>
  <c r="D991" i="3"/>
  <c r="C991" i="3"/>
  <c r="B991" i="3"/>
  <c r="E990" i="3"/>
  <c r="D990" i="3"/>
  <c r="C990" i="3"/>
  <c r="B990" i="3"/>
  <c r="E989" i="3"/>
  <c r="D989" i="3"/>
  <c r="C989" i="3"/>
  <c r="B989" i="3"/>
  <c r="E988" i="3"/>
  <c r="D988" i="3"/>
  <c r="C988" i="3"/>
  <c r="B988" i="3"/>
  <c r="E987" i="3"/>
  <c r="D987" i="3"/>
  <c r="C987" i="3"/>
  <c r="B987" i="3"/>
  <c r="E986" i="3"/>
  <c r="D986" i="3"/>
  <c r="C986" i="3"/>
  <c r="B986" i="3"/>
  <c r="E985" i="3"/>
  <c r="D985" i="3"/>
  <c r="C985" i="3"/>
  <c r="B985" i="3"/>
  <c r="E984" i="3"/>
  <c r="D984" i="3"/>
  <c r="C984" i="3"/>
  <c r="B984" i="3"/>
  <c r="E983" i="3"/>
  <c r="D983" i="3"/>
  <c r="C983" i="3"/>
  <c r="B983" i="3"/>
  <c r="E982" i="3"/>
  <c r="D982" i="3"/>
  <c r="C982" i="3"/>
  <c r="B982" i="3"/>
  <c r="E981" i="3"/>
  <c r="D981" i="3"/>
  <c r="C981" i="3"/>
  <c r="B981" i="3"/>
  <c r="E980" i="3"/>
  <c r="D980" i="3"/>
  <c r="C980" i="3"/>
  <c r="B980" i="3"/>
  <c r="E979" i="3"/>
  <c r="D979" i="3"/>
  <c r="C979" i="3"/>
  <c r="B979" i="3"/>
  <c r="E978" i="3"/>
  <c r="D978" i="3"/>
  <c r="C978" i="3"/>
  <c r="B978" i="3"/>
  <c r="E977" i="3"/>
  <c r="D977" i="3"/>
  <c r="C977" i="3"/>
  <c r="B977" i="3"/>
  <c r="E976" i="3"/>
  <c r="D976" i="3"/>
  <c r="C976" i="3"/>
  <c r="B976" i="3"/>
  <c r="E975" i="3"/>
  <c r="D975" i="3"/>
  <c r="C975" i="3"/>
  <c r="B975" i="3"/>
  <c r="E974" i="3"/>
  <c r="D974" i="3"/>
  <c r="C974" i="3"/>
  <c r="B974" i="3"/>
  <c r="E973" i="3"/>
  <c r="D973" i="3"/>
  <c r="C973" i="3"/>
  <c r="B973" i="3"/>
  <c r="E972" i="3"/>
  <c r="D972" i="3"/>
  <c r="C972" i="3"/>
  <c r="B972" i="3"/>
  <c r="E971" i="3"/>
  <c r="D971" i="3"/>
  <c r="C971" i="3"/>
  <c r="B971" i="3"/>
  <c r="E970" i="3"/>
  <c r="D970" i="3"/>
  <c r="C970" i="3"/>
  <c r="B970" i="3"/>
  <c r="E969" i="3"/>
  <c r="D969" i="3"/>
  <c r="C969" i="3"/>
  <c r="B969" i="3"/>
  <c r="E968" i="3"/>
  <c r="D968" i="3"/>
  <c r="C968" i="3"/>
  <c r="B968" i="3"/>
  <c r="E967" i="3"/>
  <c r="D967" i="3"/>
  <c r="C967" i="3"/>
  <c r="B967" i="3"/>
  <c r="E966" i="3"/>
  <c r="D966" i="3"/>
  <c r="C966" i="3"/>
  <c r="B966" i="3"/>
  <c r="E965" i="3"/>
  <c r="D965" i="3"/>
  <c r="C965" i="3"/>
  <c r="B965" i="3"/>
  <c r="E964" i="3"/>
  <c r="D964" i="3"/>
  <c r="C964" i="3"/>
  <c r="B964" i="3"/>
  <c r="E963" i="3"/>
  <c r="D963" i="3"/>
  <c r="C963" i="3"/>
  <c r="B963" i="3"/>
  <c r="E962" i="3"/>
  <c r="D962" i="3"/>
  <c r="C962" i="3"/>
  <c r="B962" i="3"/>
  <c r="E961" i="3"/>
  <c r="D961" i="3"/>
  <c r="C961" i="3"/>
  <c r="B961" i="3"/>
  <c r="E960" i="3"/>
  <c r="D960" i="3"/>
  <c r="C960" i="3"/>
  <c r="B960" i="3"/>
  <c r="E959" i="3"/>
  <c r="D959" i="3"/>
  <c r="C959" i="3"/>
  <c r="B959" i="3"/>
  <c r="E958" i="3"/>
  <c r="D958" i="3"/>
  <c r="C958" i="3"/>
  <c r="B958" i="3"/>
  <c r="E957" i="3"/>
  <c r="D957" i="3"/>
  <c r="C957" i="3"/>
  <c r="B957" i="3"/>
  <c r="E956" i="3"/>
  <c r="D956" i="3"/>
  <c r="C956" i="3"/>
  <c r="B956" i="3"/>
  <c r="E955" i="3"/>
  <c r="D955" i="3"/>
  <c r="C955" i="3"/>
  <c r="B955" i="3"/>
  <c r="E954" i="3"/>
  <c r="D954" i="3"/>
  <c r="C954" i="3"/>
  <c r="B954" i="3"/>
  <c r="E953" i="3"/>
  <c r="D953" i="3"/>
  <c r="C953" i="3"/>
  <c r="B953" i="3"/>
  <c r="E952" i="3"/>
  <c r="D952" i="3"/>
  <c r="C952" i="3"/>
  <c r="B952" i="3"/>
  <c r="E951" i="3"/>
  <c r="D951" i="3"/>
  <c r="C951" i="3"/>
  <c r="B951" i="3"/>
  <c r="E950" i="3"/>
  <c r="D950" i="3"/>
  <c r="C950" i="3"/>
  <c r="B950" i="3"/>
  <c r="E949" i="3"/>
  <c r="D949" i="3"/>
  <c r="C949" i="3"/>
  <c r="B949" i="3"/>
  <c r="E948" i="3"/>
  <c r="D948" i="3"/>
  <c r="C948" i="3"/>
  <c r="B948" i="3"/>
  <c r="E947" i="3"/>
  <c r="D947" i="3"/>
  <c r="C947" i="3"/>
  <c r="B947" i="3"/>
  <c r="E946" i="3"/>
  <c r="D946" i="3"/>
  <c r="C946" i="3"/>
  <c r="B946" i="3"/>
  <c r="E945" i="3"/>
  <c r="D945" i="3"/>
  <c r="C945" i="3"/>
  <c r="B945" i="3"/>
  <c r="E944" i="3"/>
  <c r="D944" i="3"/>
  <c r="C944" i="3"/>
  <c r="B944" i="3"/>
  <c r="E943" i="3"/>
  <c r="D943" i="3"/>
  <c r="C943" i="3"/>
  <c r="B943" i="3"/>
  <c r="E942" i="3"/>
  <c r="D942" i="3"/>
  <c r="C942" i="3"/>
  <c r="B942" i="3"/>
  <c r="E941" i="3"/>
  <c r="D941" i="3"/>
  <c r="C941" i="3"/>
  <c r="B941" i="3"/>
  <c r="E940" i="3"/>
  <c r="D940" i="3"/>
  <c r="C940" i="3"/>
  <c r="B940" i="3"/>
  <c r="E939" i="3"/>
  <c r="D939" i="3"/>
  <c r="C939" i="3"/>
  <c r="B939" i="3"/>
  <c r="E938" i="3"/>
  <c r="D938" i="3"/>
  <c r="C938" i="3"/>
  <c r="B938" i="3"/>
  <c r="E937" i="3"/>
  <c r="D937" i="3"/>
  <c r="C937" i="3"/>
  <c r="B937" i="3"/>
  <c r="E936" i="3"/>
  <c r="D936" i="3"/>
  <c r="C936" i="3"/>
  <c r="B936" i="3"/>
  <c r="E935" i="3"/>
  <c r="D935" i="3"/>
  <c r="C935" i="3"/>
  <c r="B935" i="3"/>
  <c r="E934" i="3"/>
  <c r="D934" i="3"/>
  <c r="C934" i="3"/>
  <c r="B934" i="3"/>
  <c r="E933" i="3"/>
  <c r="D933" i="3"/>
  <c r="C933" i="3"/>
  <c r="B933" i="3"/>
  <c r="E932" i="3"/>
  <c r="D932" i="3"/>
  <c r="C932" i="3"/>
  <c r="B932" i="3"/>
  <c r="E931" i="3"/>
  <c r="D931" i="3"/>
  <c r="C931" i="3"/>
  <c r="B931" i="3"/>
  <c r="E930" i="3"/>
  <c r="D930" i="3"/>
  <c r="C930" i="3"/>
  <c r="B930" i="3"/>
  <c r="E929" i="3"/>
  <c r="D929" i="3"/>
  <c r="C929" i="3"/>
  <c r="B929" i="3"/>
  <c r="E928" i="3"/>
  <c r="D928" i="3"/>
  <c r="C928" i="3"/>
  <c r="B928" i="3"/>
  <c r="E927" i="3"/>
  <c r="D927" i="3"/>
  <c r="C927" i="3"/>
  <c r="B927" i="3"/>
  <c r="E926" i="3"/>
  <c r="D926" i="3"/>
  <c r="C926" i="3"/>
  <c r="B926" i="3"/>
  <c r="E925" i="3"/>
  <c r="D925" i="3"/>
  <c r="C925" i="3"/>
  <c r="B925" i="3"/>
  <c r="E924" i="3"/>
  <c r="D924" i="3"/>
  <c r="C924" i="3"/>
  <c r="B924" i="3"/>
  <c r="E923" i="3"/>
  <c r="D923" i="3"/>
  <c r="C923" i="3"/>
  <c r="B923" i="3"/>
  <c r="E922" i="3"/>
  <c r="D922" i="3"/>
  <c r="C922" i="3"/>
  <c r="B922" i="3"/>
  <c r="E921" i="3"/>
  <c r="D921" i="3"/>
  <c r="C921" i="3"/>
  <c r="B921" i="3"/>
  <c r="E920" i="3"/>
  <c r="D920" i="3"/>
  <c r="C920" i="3"/>
  <c r="B920" i="3"/>
  <c r="E919" i="3"/>
  <c r="D919" i="3"/>
  <c r="C919" i="3"/>
  <c r="B919" i="3"/>
  <c r="E918" i="3"/>
  <c r="D918" i="3"/>
  <c r="C918" i="3"/>
  <c r="B918" i="3"/>
  <c r="E917" i="3"/>
  <c r="D917" i="3"/>
  <c r="C917" i="3"/>
  <c r="B917" i="3"/>
  <c r="E916" i="3"/>
  <c r="D916" i="3"/>
  <c r="C916" i="3"/>
  <c r="B916" i="3"/>
  <c r="E915" i="3"/>
  <c r="D915" i="3"/>
  <c r="C915" i="3"/>
  <c r="B915" i="3"/>
  <c r="E914" i="3"/>
  <c r="D914" i="3"/>
  <c r="C914" i="3"/>
  <c r="B914" i="3"/>
  <c r="E913" i="3"/>
  <c r="D913" i="3"/>
  <c r="C913" i="3"/>
  <c r="B913" i="3"/>
  <c r="E912" i="3"/>
  <c r="D912" i="3"/>
  <c r="C912" i="3"/>
  <c r="B912" i="3"/>
  <c r="E911" i="3"/>
  <c r="D911" i="3"/>
  <c r="C911" i="3"/>
  <c r="B911" i="3"/>
  <c r="E910" i="3"/>
  <c r="D910" i="3"/>
  <c r="C910" i="3"/>
  <c r="B910" i="3"/>
  <c r="E909" i="3"/>
  <c r="D909" i="3"/>
  <c r="C909" i="3"/>
  <c r="B909" i="3"/>
  <c r="E908" i="3"/>
  <c r="D908" i="3"/>
  <c r="C908" i="3"/>
  <c r="B908" i="3"/>
  <c r="E907" i="3"/>
  <c r="D907" i="3"/>
  <c r="C907" i="3"/>
  <c r="B907" i="3"/>
  <c r="E906" i="3"/>
  <c r="D906" i="3"/>
  <c r="C906" i="3"/>
  <c r="B906" i="3"/>
  <c r="E905" i="3"/>
  <c r="D905" i="3"/>
  <c r="C905" i="3"/>
  <c r="B905" i="3"/>
  <c r="E904" i="3"/>
  <c r="D904" i="3"/>
  <c r="C904" i="3"/>
  <c r="B904" i="3"/>
  <c r="E903" i="3"/>
  <c r="D903" i="3"/>
  <c r="C903" i="3"/>
  <c r="B903" i="3"/>
  <c r="E902" i="3"/>
  <c r="D902" i="3"/>
  <c r="C902" i="3"/>
  <c r="B902" i="3"/>
  <c r="E901" i="3"/>
  <c r="D901" i="3"/>
  <c r="C901" i="3"/>
  <c r="B901" i="3"/>
  <c r="E900" i="3"/>
  <c r="D900" i="3"/>
  <c r="C900" i="3"/>
  <c r="B900" i="3"/>
  <c r="E899" i="3"/>
  <c r="D899" i="3"/>
  <c r="C899" i="3"/>
  <c r="B899" i="3"/>
  <c r="E898" i="3"/>
  <c r="D898" i="3"/>
  <c r="C898" i="3"/>
  <c r="B898" i="3"/>
  <c r="E897" i="3"/>
  <c r="D897" i="3"/>
  <c r="C897" i="3"/>
  <c r="B897" i="3"/>
  <c r="E896" i="3"/>
  <c r="D896" i="3"/>
  <c r="C896" i="3"/>
  <c r="B896" i="3"/>
  <c r="E895" i="3"/>
  <c r="D895" i="3"/>
  <c r="C895" i="3"/>
  <c r="B895" i="3"/>
  <c r="E894" i="3"/>
  <c r="D894" i="3"/>
  <c r="C894" i="3"/>
  <c r="B894" i="3"/>
  <c r="E893" i="3"/>
  <c r="D893" i="3"/>
  <c r="C893" i="3"/>
  <c r="B893" i="3"/>
  <c r="E892" i="3"/>
  <c r="D892" i="3"/>
  <c r="C892" i="3"/>
  <c r="B892" i="3"/>
  <c r="E891" i="3"/>
  <c r="D891" i="3"/>
  <c r="C891" i="3"/>
  <c r="B891" i="3"/>
  <c r="E890" i="3"/>
  <c r="D890" i="3"/>
  <c r="C890" i="3"/>
  <c r="B890" i="3"/>
  <c r="E889" i="3"/>
  <c r="D889" i="3"/>
  <c r="C889" i="3"/>
  <c r="B889" i="3"/>
  <c r="E888" i="3"/>
  <c r="D888" i="3"/>
  <c r="C888" i="3"/>
  <c r="B888" i="3"/>
  <c r="E887" i="3"/>
  <c r="D887" i="3"/>
  <c r="C887" i="3"/>
  <c r="B887" i="3"/>
  <c r="E886" i="3"/>
  <c r="D886" i="3"/>
  <c r="C886" i="3"/>
  <c r="B886" i="3"/>
  <c r="E885" i="3"/>
  <c r="D885" i="3"/>
  <c r="C885" i="3"/>
  <c r="B885" i="3"/>
  <c r="E884" i="3"/>
  <c r="D884" i="3"/>
  <c r="C884" i="3"/>
  <c r="B884" i="3"/>
  <c r="E883" i="3"/>
  <c r="D883" i="3"/>
  <c r="C883" i="3"/>
  <c r="B883" i="3"/>
  <c r="E882" i="3"/>
  <c r="D882" i="3"/>
  <c r="C882" i="3"/>
  <c r="B882" i="3"/>
  <c r="E881" i="3"/>
  <c r="D881" i="3"/>
  <c r="C881" i="3"/>
  <c r="B881" i="3"/>
  <c r="E880" i="3"/>
  <c r="D880" i="3"/>
  <c r="C880" i="3"/>
  <c r="B880" i="3"/>
  <c r="E879" i="3"/>
  <c r="D879" i="3"/>
  <c r="C879" i="3"/>
  <c r="B879" i="3"/>
  <c r="E878" i="3"/>
  <c r="D878" i="3"/>
  <c r="C878" i="3"/>
  <c r="B878" i="3"/>
  <c r="E877" i="3"/>
  <c r="D877" i="3"/>
  <c r="C877" i="3"/>
  <c r="B877" i="3"/>
  <c r="E876" i="3"/>
  <c r="D876" i="3"/>
  <c r="C876" i="3"/>
  <c r="B876" i="3"/>
  <c r="E875" i="3"/>
  <c r="D875" i="3"/>
  <c r="C875" i="3"/>
  <c r="B875" i="3"/>
  <c r="E874" i="3"/>
  <c r="D874" i="3"/>
  <c r="C874" i="3"/>
  <c r="B874" i="3"/>
  <c r="E873" i="3"/>
  <c r="D873" i="3"/>
  <c r="C873" i="3"/>
  <c r="B873" i="3"/>
  <c r="E872" i="3"/>
  <c r="D872" i="3"/>
  <c r="C872" i="3"/>
  <c r="B872" i="3"/>
  <c r="E871" i="3"/>
  <c r="D871" i="3"/>
  <c r="C871" i="3"/>
  <c r="B871" i="3"/>
  <c r="E870" i="3"/>
  <c r="D870" i="3"/>
  <c r="C870" i="3"/>
  <c r="B870" i="3"/>
  <c r="E869" i="3"/>
  <c r="D869" i="3"/>
  <c r="C869" i="3"/>
  <c r="B869" i="3"/>
  <c r="E868" i="3"/>
  <c r="D868" i="3"/>
  <c r="C868" i="3"/>
  <c r="B868" i="3"/>
  <c r="E867" i="3"/>
  <c r="D867" i="3"/>
  <c r="C867" i="3"/>
  <c r="B867" i="3"/>
  <c r="E866" i="3"/>
  <c r="D866" i="3"/>
  <c r="C866" i="3"/>
  <c r="B866" i="3"/>
  <c r="E865" i="3"/>
  <c r="D865" i="3"/>
  <c r="C865" i="3"/>
  <c r="B865" i="3"/>
  <c r="E864" i="3"/>
  <c r="D864" i="3"/>
  <c r="C864" i="3"/>
  <c r="B864" i="3"/>
  <c r="E863" i="3"/>
  <c r="D863" i="3"/>
  <c r="C863" i="3"/>
  <c r="B863" i="3"/>
  <c r="E862" i="3"/>
  <c r="D862" i="3"/>
  <c r="C862" i="3"/>
  <c r="B862" i="3"/>
  <c r="E861" i="3"/>
  <c r="D861" i="3"/>
  <c r="C861" i="3"/>
  <c r="B861" i="3"/>
  <c r="E860" i="3"/>
  <c r="D860" i="3"/>
  <c r="C860" i="3"/>
  <c r="B860" i="3"/>
  <c r="E859" i="3"/>
  <c r="D859" i="3"/>
  <c r="C859" i="3"/>
  <c r="B859" i="3"/>
  <c r="E858" i="3"/>
  <c r="D858" i="3"/>
  <c r="C858" i="3"/>
  <c r="B858" i="3"/>
  <c r="E857" i="3"/>
  <c r="D857" i="3"/>
  <c r="C857" i="3"/>
  <c r="B857" i="3"/>
  <c r="E856" i="3"/>
  <c r="D856" i="3"/>
  <c r="C856" i="3"/>
  <c r="B856" i="3"/>
  <c r="E855" i="3"/>
  <c r="D855" i="3"/>
  <c r="C855" i="3"/>
  <c r="B855" i="3"/>
  <c r="E854" i="3"/>
  <c r="D854" i="3"/>
  <c r="C854" i="3"/>
  <c r="B854" i="3"/>
  <c r="E853" i="3"/>
  <c r="D853" i="3"/>
  <c r="C853" i="3"/>
  <c r="B853" i="3"/>
  <c r="E852" i="3"/>
  <c r="D852" i="3"/>
  <c r="C852" i="3"/>
  <c r="B852" i="3"/>
  <c r="E851" i="3"/>
  <c r="D851" i="3"/>
  <c r="C851" i="3"/>
  <c r="B851" i="3"/>
  <c r="E850" i="3"/>
  <c r="D850" i="3"/>
  <c r="C850" i="3"/>
  <c r="B850" i="3"/>
  <c r="E849" i="3"/>
  <c r="D849" i="3"/>
  <c r="C849" i="3"/>
  <c r="B849" i="3"/>
  <c r="E848" i="3"/>
  <c r="D848" i="3"/>
  <c r="C848" i="3"/>
  <c r="B848" i="3"/>
  <c r="E847" i="3"/>
  <c r="D847" i="3"/>
  <c r="C847" i="3"/>
  <c r="B847" i="3"/>
  <c r="E846" i="3"/>
  <c r="D846" i="3"/>
  <c r="C846" i="3"/>
  <c r="B846" i="3"/>
  <c r="E845" i="3"/>
  <c r="D845" i="3"/>
  <c r="C845" i="3"/>
  <c r="B845" i="3"/>
  <c r="E844" i="3"/>
  <c r="D844" i="3"/>
  <c r="C844" i="3"/>
  <c r="B844" i="3"/>
  <c r="E843" i="3"/>
  <c r="D843" i="3"/>
  <c r="C843" i="3"/>
  <c r="B843" i="3"/>
  <c r="E842" i="3"/>
  <c r="D842" i="3"/>
  <c r="C842" i="3"/>
  <c r="B842" i="3"/>
  <c r="E841" i="3"/>
  <c r="D841" i="3"/>
  <c r="C841" i="3"/>
  <c r="B841" i="3"/>
  <c r="E840" i="3"/>
  <c r="D840" i="3"/>
  <c r="C840" i="3"/>
  <c r="B840" i="3"/>
  <c r="E839" i="3"/>
  <c r="D839" i="3"/>
  <c r="C839" i="3"/>
  <c r="B839" i="3"/>
  <c r="E838" i="3"/>
  <c r="D838" i="3"/>
  <c r="C838" i="3"/>
  <c r="B838" i="3"/>
  <c r="E837" i="3"/>
  <c r="D837" i="3"/>
  <c r="C837" i="3"/>
  <c r="B837" i="3"/>
  <c r="E836" i="3"/>
  <c r="D836" i="3"/>
  <c r="C836" i="3"/>
  <c r="B836" i="3"/>
  <c r="E835" i="3"/>
  <c r="D835" i="3"/>
  <c r="C835" i="3"/>
  <c r="B835" i="3"/>
  <c r="E834" i="3"/>
  <c r="D834" i="3"/>
  <c r="C834" i="3"/>
  <c r="B834" i="3"/>
  <c r="E833" i="3"/>
  <c r="D833" i="3"/>
  <c r="C833" i="3"/>
  <c r="B833" i="3"/>
  <c r="E832" i="3"/>
  <c r="D832" i="3"/>
  <c r="C832" i="3"/>
  <c r="B832" i="3"/>
  <c r="E831" i="3"/>
  <c r="D831" i="3"/>
  <c r="C831" i="3"/>
  <c r="B831" i="3"/>
  <c r="E830" i="3"/>
  <c r="D830" i="3"/>
  <c r="C830" i="3"/>
  <c r="B830" i="3"/>
  <c r="E829" i="3"/>
  <c r="D829" i="3"/>
  <c r="C829" i="3"/>
  <c r="B829" i="3"/>
  <c r="E828" i="3"/>
  <c r="D828" i="3"/>
  <c r="C828" i="3"/>
  <c r="B828" i="3"/>
  <c r="E827" i="3"/>
  <c r="D827" i="3"/>
  <c r="C827" i="3"/>
  <c r="B827" i="3"/>
  <c r="E826" i="3"/>
  <c r="D826" i="3"/>
  <c r="C826" i="3"/>
  <c r="B826" i="3"/>
  <c r="E825" i="3"/>
  <c r="D825" i="3"/>
  <c r="C825" i="3"/>
  <c r="B825" i="3"/>
  <c r="E824" i="3"/>
  <c r="D824" i="3"/>
  <c r="C824" i="3"/>
  <c r="B824" i="3"/>
  <c r="E823" i="3"/>
  <c r="D823" i="3"/>
  <c r="C823" i="3"/>
  <c r="B823" i="3"/>
  <c r="E822" i="3"/>
  <c r="D822" i="3"/>
  <c r="C822" i="3"/>
  <c r="B822" i="3"/>
  <c r="E821" i="3"/>
  <c r="D821" i="3"/>
  <c r="C821" i="3"/>
  <c r="B821" i="3"/>
  <c r="E820" i="3"/>
  <c r="D820" i="3"/>
  <c r="C820" i="3"/>
  <c r="B820" i="3"/>
  <c r="E819" i="3"/>
  <c r="D819" i="3"/>
  <c r="C819" i="3"/>
  <c r="E818" i="3"/>
  <c r="D818" i="3"/>
  <c r="C818" i="3"/>
  <c r="E817" i="3"/>
  <c r="D817" i="3"/>
  <c r="C817" i="3"/>
  <c r="B817" i="3"/>
  <c r="E816" i="3"/>
  <c r="D816" i="3"/>
  <c r="C816" i="3"/>
  <c r="B816" i="3"/>
  <c r="E815" i="3"/>
  <c r="D815" i="3"/>
  <c r="C815" i="3"/>
  <c r="B815" i="3"/>
  <c r="E814" i="3"/>
  <c r="D814" i="3"/>
  <c r="C814" i="3"/>
  <c r="B814" i="3"/>
  <c r="E813" i="3"/>
  <c r="D813" i="3"/>
  <c r="C813" i="3"/>
  <c r="B813" i="3"/>
  <c r="E812" i="3"/>
  <c r="D812" i="3"/>
  <c r="C812" i="3"/>
  <c r="B812" i="3"/>
  <c r="E811" i="3"/>
  <c r="D811" i="3"/>
  <c r="C811" i="3"/>
  <c r="B811" i="3"/>
  <c r="E810" i="3"/>
  <c r="D810" i="3"/>
  <c r="C810" i="3"/>
  <c r="B810" i="3"/>
  <c r="E809" i="3"/>
  <c r="D809" i="3"/>
  <c r="C809" i="3"/>
  <c r="B809" i="3"/>
  <c r="E808" i="3"/>
  <c r="D808" i="3"/>
  <c r="C808" i="3"/>
  <c r="B808" i="3"/>
  <c r="E807" i="3"/>
  <c r="D807" i="3"/>
  <c r="C807" i="3"/>
  <c r="B807" i="3"/>
  <c r="E806" i="3"/>
  <c r="D806" i="3"/>
  <c r="C806" i="3"/>
  <c r="B806" i="3"/>
  <c r="E805" i="3"/>
  <c r="D805" i="3"/>
  <c r="C805" i="3"/>
  <c r="B805" i="3"/>
  <c r="E804" i="3"/>
  <c r="D804" i="3"/>
  <c r="C804" i="3"/>
  <c r="B804" i="3"/>
  <c r="E803" i="3"/>
  <c r="D803" i="3"/>
  <c r="C803" i="3"/>
  <c r="B803" i="3"/>
  <c r="E802" i="3"/>
  <c r="D802" i="3"/>
  <c r="C802" i="3"/>
  <c r="B802" i="3"/>
  <c r="E801" i="3"/>
  <c r="D801" i="3"/>
  <c r="C801" i="3"/>
  <c r="B801" i="3"/>
  <c r="E800" i="3"/>
  <c r="D800" i="3"/>
  <c r="C800" i="3"/>
  <c r="B800" i="3"/>
  <c r="E799" i="3"/>
  <c r="D799" i="3"/>
  <c r="C799" i="3"/>
  <c r="B799" i="3"/>
  <c r="E798" i="3"/>
  <c r="D798" i="3"/>
  <c r="C798" i="3"/>
  <c r="B798" i="3"/>
  <c r="E797" i="3"/>
  <c r="D797" i="3"/>
  <c r="C797" i="3"/>
  <c r="B797" i="3"/>
  <c r="E796" i="3"/>
  <c r="D796" i="3"/>
  <c r="C796" i="3"/>
  <c r="B796" i="3"/>
  <c r="E795" i="3"/>
  <c r="D795" i="3"/>
  <c r="C795" i="3"/>
  <c r="B795" i="3"/>
  <c r="E794" i="3"/>
  <c r="D794" i="3"/>
  <c r="C794" i="3"/>
  <c r="B794" i="3"/>
  <c r="E793" i="3"/>
  <c r="D793" i="3"/>
  <c r="C793" i="3"/>
  <c r="B793" i="3"/>
  <c r="E792" i="3"/>
  <c r="D792" i="3"/>
  <c r="C792" i="3"/>
  <c r="B792" i="3"/>
  <c r="E791" i="3"/>
  <c r="D791" i="3"/>
  <c r="C791" i="3"/>
  <c r="B791" i="3"/>
  <c r="E790" i="3"/>
  <c r="D790" i="3"/>
  <c r="C790" i="3"/>
  <c r="B790" i="3"/>
  <c r="E789" i="3"/>
  <c r="D789" i="3"/>
  <c r="C789" i="3"/>
  <c r="B789" i="3"/>
  <c r="E788" i="3"/>
  <c r="D788" i="3"/>
  <c r="C788" i="3"/>
  <c r="E787" i="3"/>
  <c r="D787" i="3"/>
  <c r="C787" i="3"/>
  <c r="B787" i="3"/>
  <c r="E786" i="3"/>
  <c r="D786" i="3"/>
  <c r="C786" i="3"/>
  <c r="B786" i="3"/>
  <c r="E785" i="3"/>
  <c r="D785" i="3"/>
  <c r="C785" i="3"/>
  <c r="B785" i="3"/>
  <c r="E784" i="3"/>
  <c r="D784" i="3"/>
  <c r="C784" i="3"/>
  <c r="B784" i="3"/>
  <c r="E783" i="3"/>
  <c r="D783" i="3"/>
  <c r="C783" i="3"/>
  <c r="B783" i="3"/>
  <c r="E782" i="3"/>
  <c r="D782" i="3"/>
  <c r="C782" i="3"/>
  <c r="B782" i="3"/>
  <c r="E781" i="3"/>
  <c r="D781" i="3"/>
  <c r="C781" i="3"/>
  <c r="E780" i="3"/>
  <c r="D780" i="3"/>
  <c r="C780" i="3"/>
  <c r="B780" i="3"/>
  <c r="E779" i="3"/>
  <c r="D779" i="3"/>
  <c r="C779" i="3"/>
  <c r="B779" i="3"/>
  <c r="E778" i="3"/>
  <c r="D778" i="3"/>
  <c r="C778" i="3"/>
  <c r="B778" i="3"/>
  <c r="E777" i="3"/>
  <c r="D777" i="3"/>
  <c r="C777" i="3"/>
  <c r="B777" i="3"/>
  <c r="E776" i="3"/>
  <c r="D776" i="3"/>
  <c r="C776" i="3"/>
  <c r="B776" i="3"/>
  <c r="E775" i="3"/>
  <c r="D775" i="3"/>
  <c r="C775" i="3"/>
  <c r="B775" i="3"/>
  <c r="E774" i="3"/>
  <c r="D774" i="3"/>
  <c r="C774" i="3"/>
  <c r="B774" i="3"/>
  <c r="E773" i="3"/>
  <c r="D773" i="3"/>
  <c r="C773" i="3"/>
  <c r="B773" i="3"/>
  <c r="E772" i="3"/>
  <c r="D772" i="3"/>
  <c r="C772" i="3"/>
  <c r="B772" i="3"/>
  <c r="E771" i="3"/>
  <c r="D771" i="3"/>
  <c r="C771" i="3"/>
  <c r="B771" i="3"/>
  <c r="E770" i="3"/>
  <c r="D770" i="3"/>
  <c r="C770" i="3"/>
  <c r="B770" i="3"/>
  <c r="E769" i="3"/>
  <c r="D769" i="3"/>
  <c r="C769" i="3"/>
  <c r="B769" i="3"/>
  <c r="E768" i="3"/>
  <c r="D768" i="3"/>
  <c r="C768" i="3"/>
  <c r="B768" i="3"/>
  <c r="E767" i="3"/>
  <c r="D767" i="3"/>
  <c r="C767" i="3"/>
  <c r="B767" i="3"/>
  <c r="E766" i="3"/>
  <c r="D766" i="3"/>
  <c r="C766" i="3"/>
  <c r="B766" i="3"/>
  <c r="E765" i="3"/>
  <c r="D765" i="3"/>
  <c r="C765" i="3"/>
  <c r="B765" i="3"/>
  <c r="E764" i="3"/>
  <c r="D764" i="3"/>
  <c r="C764" i="3"/>
  <c r="B764" i="3"/>
  <c r="E763" i="3"/>
  <c r="D763" i="3"/>
  <c r="C763" i="3"/>
  <c r="E762" i="3"/>
  <c r="D762" i="3"/>
  <c r="C762" i="3"/>
  <c r="B762" i="3"/>
  <c r="E761" i="3"/>
  <c r="D761" i="3"/>
  <c r="C761" i="3"/>
  <c r="B761" i="3"/>
  <c r="E760" i="3"/>
  <c r="D760" i="3"/>
  <c r="C760" i="3"/>
  <c r="B760" i="3"/>
  <c r="E759" i="3"/>
  <c r="D759" i="3"/>
  <c r="C759" i="3"/>
  <c r="B759" i="3"/>
  <c r="E758" i="3"/>
  <c r="D758" i="3"/>
  <c r="C758" i="3"/>
  <c r="B758" i="3"/>
  <c r="E757" i="3"/>
  <c r="D757" i="3"/>
  <c r="C757" i="3"/>
  <c r="B757" i="3"/>
  <c r="E756" i="3"/>
  <c r="D756" i="3"/>
  <c r="C756" i="3"/>
  <c r="B756" i="3"/>
  <c r="E755" i="3"/>
  <c r="D755" i="3"/>
  <c r="C755" i="3"/>
  <c r="B755" i="3"/>
  <c r="E754" i="3"/>
  <c r="D754" i="3"/>
  <c r="C754" i="3"/>
  <c r="B754" i="3"/>
  <c r="E753" i="3"/>
  <c r="D753" i="3"/>
  <c r="C753" i="3"/>
  <c r="B753" i="3"/>
  <c r="E752" i="3"/>
  <c r="D752" i="3"/>
  <c r="C752" i="3"/>
  <c r="B752" i="3"/>
  <c r="E751" i="3"/>
  <c r="D751" i="3"/>
  <c r="C751" i="3"/>
  <c r="B751" i="3"/>
  <c r="E750" i="3"/>
  <c r="D750" i="3"/>
  <c r="C750" i="3"/>
  <c r="B750" i="3"/>
  <c r="E749" i="3"/>
  <c r="D749" i="3"/>
  <c r="C749" i="3"/>
  <c r="B749" i="3"/>
  <c r="E748" i="3"/>
  <c r="D748" i="3"/>
  <c r="C748" i="3"/>
  <c r="B748" i="3"/>
  <c r="E747" i="3"/>
  <c r="D747" i="3"/>
  <c r="C747" i="3"/>
  <c r="B747" i="3"/>
  <c r="E746" i="3"/>
  <c r="D746" i="3"/>
  <c r="C746" i="3"/>
  <c r="B746" i="3"/>
  <c r="E745" i="3"/>
  <c r="D745" i="3"/>
  <c r="C745" i="3"/>
  <c r="B745" i="3"/>
  <c r="E744" i="3"/>
  <c r="D744" i="3"/>
  <c r="C744" i="3"/>
  <c r="B744" i="3"/>
  <c r="E743" i="3"/>
  <c r="D743" i="3"/>
  <c r="C743" i="3"/>
  <c r="B743" i="3"/>
  <c r="E742" i="3"/>
  <c r="D742" i="3"/>
  <c r="C742" i="3"/>
  <c r="B742" i="3"/>
  <c r="E741" i="3"/>
  <c r="D741" i="3"/>
  <c r="C741" i="3"/>
  <c r="B741" i="3"/>
  <c r="E740" i="3"/>
  <c r="D740" i="3"/>
  <c r="C740" i="3"/>
  <c r="B740" i="3"/>
  <c r="E739" i="3"/>
  <c r="D739" i="3"/>
  <c r="C739" i="3"/>
  <c r="B739" i="3"/>
  <c r="E738" i="3"/>
  <c r="D738" i="3"/>
  <c r="C738" i="3"/>
  <c r="B738" i="3"/>
  <c r="E737" i="3"/>
  <c r="D737" i="3"/>
  <c r="C737" i="3"/>
  <c r="B737" i="3"/>
  <c r="E736" i="3"/>
  <c r="D736" i="3"/>
  <c r="C736" i="3"/>
  <c r="B736" i="3"/>
  <c r="E735" i="3"/>
  <c r="D735" i="3"/>
  <c r="C735" i="3"/>
  <c r="B735" i="3"/>
  <c r="E734" i="3"/>
  <c r="D734" i="3"/>
  <c r="C734" i="3"/>
  <c r="E733" i="3"/>
  <c r="D733" i="3"/>
  <c r="C733" i="3"/>
  <c r="B733" i="3"/>
  <c r="E732" i="3"/>
  <c r="D732" i="3"/>
  <c r="C732" i="3"/>
  <c r="B732" i="3"/>
  <c r="E731" i="3"/>
  <c r="D731" i="3"/>
  <c r="C731" i="3"/>
  <c r="B731" i="3"/>
  <c r="E730" i="3"/>
  <c r="D730" i="3"/>
  <c r="C730" i="3"/>
  <c r="B730" i="3"/>
  <c r="E729" i="3"/>
  <c r="D729" i="3"/>
  <c r="C729" i="3"/>
  <c r="B729" i="3"/>
  <c r="E728" i="3"/>
  <c r="D728" i="3"/>
  <c r="C728" i="3"/>
  <c r="B728" i="3"/>
  <c r="E727" i="3"/>
  <c r="D727" i="3"/>
  <c r="C727" i="3"/>
  <c r="B727" i="3"/>
  <c r="E726" i="3"/>
  <c r="D726" i="3"/>
  <c r="C726" i="3"/>
  <c r="B726" i="3"/>
  <c r="E725" i="3"/>
  <c r="D725" i="3"/>
  <c r="C725" i="3"/>
  <c r="B725" i="3"/>
  <c r="E724" i="3"/>
  <c r="D724" i="3"/>
  <c r="C724" i="3"/>
  <c r="B724" i="3"/>
  <c r="E723" i="3"/>
  <c r="D723" i="3"/>
  <c r="C723" i="3"/>
  <c r="B723" i="3"/>
  <c r="E722" i="3"/>
  <c r="D722" i="3"/>
  <c r="C722" i="3"/>
  <c r="B722" i="3"/>
  <c r="E721" i="3"/>
  <c r="D721" i="3"/>
  <c r="C721" i="3"/>
  <c r="B721" i="3"/>
  <c r="E720" i="3"/>
  <c r="D720" i="3"/>
  <c r="C720" i="3"/>
  <c r="B720" i="3"/>
  <c r="E719" i="3"/>
  <c r="D719" i="3"/>
  <c r="C719" i="3"/>
  <c r="B719" i="3"/>
  <c r="E718" i="3"/>
  <c r="D718" i="3"/>
  <c r="C718" i="3"/>
  <c r="B718" i="3"/>
  <c r="E717" i="3"/>
  <c r="D717" i="3"/>
  <c r="C717" i="3"/>
  <c r="B717" i="3"/>
  <c r="E716" i="3"/>
  <c r="D716" i="3"/>
  <c r="C716" i="3"/>
  <c r="B716" i="3"/>
  <c r="E715" i="3"/>
  <c r="D715" i="3"/>
  <c r="C715" i="3"/>
  <c r="B715" i="3"/>
  <c r="E714" i="3"/>
  <c r="D714" i="3"/>
  <c r="C714" i="3"/>
  <c r="E713" i="3"/>
  <c r="D713" i="3"/>
  <c r="C713" i="3"/>
  <c r="B713" i="3"/>
  <c r="E712" i="3"/>
  <c r="D712" i="3"/>
  <c r="C712" i="3"/>
  <c r="B712" i="3"/>
  <c r="E711" i="3"/>
  <c r="D711" i="3"/>
  <c r="C711" i="3"/>
  <c r="B711" i="3"/>
  <c r="E710" i="3"/>
  <c r="D710" i="3"/>
  <c r="C710" i="3"/>
  <c r="B710" i="3"/>
  <c r="E709" i="3"/>
  <c r="D709" i="3"/>
  <c r="C709" i="3"/>
  <c r="B709" i="3"/>
  <c r="E708" i="3"/>
  <c r="D708" i="3"/>
  <c r="C708" i="3"/>
  <c r="B708" i="3"/>
  <c r="E707" i="3"/>
  <c r="D707" i="3"/>
  <c r="C707" i="3"/>
  <c r="B707" i="3"/>
  <c r="E706" i="3"/>
  <c r="D706" i="3"/>
  <c r="C706" i="3"/>
  <c r="B706" i="3"/>
  <c r="E705" i="3"/>
  <c r="D705" i="3"/>
  <c r="C705" i="3"/>
  <c r="B705" i="3"/>
  <c r="E704" i="3"/>
  <c r="D704" i="3"/>
  <c r="C704" i="3"/>
  <c r="B704" i="3"/>
  <c r="E703" i="3"/>
  <c r="D703" i="3"/>
  <c r="C703" i="3"/>
  <c r="B703" i="3"/>
  <c r="E702" i="3"/>
  <c r="D702" i="3"/>
  <c r="C702" i="3"/>
  <c r="B702" i="3"/>
  <c r="E701" i="3"/>
  <c r="D701" i="3"/>
  <c r="C701" i="3"/>
  <c r="B701" i="3"/>
  <c r="E700" i="3"/>
  <c r="D700" i="3"/>
  <c r="C700" i="3"/>
  <c r="B700" i="3"/>
  <c r="E699" i="3"/>
  <c r="D699" i="3"/>
  <c r="C699" i="3"/>
  <c r="B699" i="3"/>
  <c r="E698" i="3"/>
  <c r="D698" i="3"/>
  <c r="C698" i="3"/>
  <c r="B698" i="3"/>
  <c r="E697" i="3"/>
  <c r="D697" i="3"/>
  <c r="C697" i="3"/>
  <c r="B697" i="3"/>
  <c r="E696" i="3"/>
  <c r="D696" i="3"/>
  <c r="C696" i="3"/>
  <c r="B696" i="3"/>
  <c r="E695" i="3"/>
  <c r="D695" i="3"/>
  <c r="C695" i="3"/>
  <c r="B695" i="3"/>
  <c r="E694" i="3"/>
  <c r="D694" i="3"/>
  <c r="C694" i="3"/>
  <c r="B694" i="3"/>
  <c r="E693" i="3"/>
  <c r="D693" i="3"/>
  <c r="C693" i="3"/>
  <c r="B693" i="3"/>
  <c r="E692" i="3"/>
  <c r="D692" i="3"/>
  <c r="C692" i="3"/>
  <c r="B692" i="3"/>
  <c r="E691" i="3"/>
  <c r="D691" i="3"/>
  <c r="C691" i="3"/>
  <c r="B691" i="3"/>
  <c r="E690" i="3"/>
  <c r="D690" i="3"/>
  <c r="C690" i="3"/>
  <c r="B690" i="3"/>
  <c r="E689" i="3"/>
  <c r="D689" i="3"/>
  <c r="C689" i="3"/>
  <c r="B689" i="3"/>
  <c r="E688" i="3"/>
  <c r="D688" i="3"/>
  <c r="C688" i="3"/>
  <c r="B688" i="3"/>
  <c r="E687" i="3"/>
  <c r="D687" i="3"/>
  <c r="C687" i="3"/>
  <c r="B687" i="3"/>
  <c r="E686" i="3"/>
  <c r="D686" i="3"/>
  <c r="C686" i="3"/>
  <c r="B686" i="3"/>
  <c r="E685" i="3"/>
  <c r="D685" i="3"/>
  <c r="C685" i="3"/>
  <c r="B685" i="3"/>
  <c r="E684" i="3"/>
  <c r="D684" i="3"/>
  <c r="C684" i="3"/>
  <c r="B684" i="3"/>
  <c r="E683" i="3"/>
  <c r="D683" i="3"/>
  <c r="C683" i="3"/>
  <c r="B683" i="3"/>
  <c r="E682" i="3"/>
  <c r="D682" i="3"/>
  <c r="C682" i="3"/>
  <c r="B682" i="3"/>
  <c r="E681" i="3"/>
  <c r="D681" i="3"/>
  <c r="C681" i="3"/>
  <c r="B681" i="3"/>
  <c r="E680" i="3"/>
  <c r="D680" i="3"/>
  <c r="C680" i="3"/>
  <c r="B680" i="3"/>
  <c r="E679" i="3"/>
  <c r="D679" i="3"/>
  <c r="C679" i="3"/>
  <c r="B679" i="3"/>
  <c r="E678" i="3"/>
  <c r="D678" i="3"/>
  <c r="C678" i="3"/>
  <c r="B678" i="3"/>
  <c r="E677" i="3"/>
  <c r="D677" i="3"/>
  <c r="C677" i="3"/>
  <c r="B677" i="3"/>
  <c r="E676" i="3"/>
  <c r="D676" i="3"/>
  <c r="C676" i="3"/>
  <c r="B676" i="3"/>
  <c r="E675" i="3"/>
  <c r="D675" i="3"/>
  <c r="C675" i="3"/>
  <c r="B675" i="3"/>
  <c r="E674" i="3"/>
  <c r="D674" i="3"/>
  <c r="C674" i="3"/>
  <c r="B674" i="3"/>
  <c r="E673" i="3"/>
  <c r="D673" i="3"/>
  <c r="C673" i="3"/>
  <c r="B673" i="3"/>
  <c r="E672" i="3"/>
  <c r="D672" i="3"/>
  <c r="C672" i="3"/>
  <c r="B672" i="3"/>
  <c r="E671" i="3"/>
  <c r="D671" i="3"/>
  <c r="C671" i="3"/>
  <c r="B671" i="3"/>
  <c r="E670" i="3"/>
  <c r="D670" i="3"/>
  <c r="C670" i="3"/>
  <c r="B670" i="3"/>
  <c r="E669" i="3"/>
  <c r="D669" i="3"/>
  <c r="C669" i="3"/>
  <c r="B669" i="3"/>
  <c r="E668" i="3"/>
  <c r="D668" i="3"/>
  <c r="C668" i="3"/>
  <c r="B668" i="3"/>
  <c r="E667" i="3"/>
  <c r="D667" i="3"/>
  <c r="C667" i="3"/>
  <c r="B667" i="3"/>
  <c r="E666" i="3"/>
  <c r="D666" i="3"/>
  <c r="C666" i="3"/>
  <c r="B666" i="3"/>
  <c r="E665" i="3"/>
  <c r="D665" i="3"/>
  <c r="C665" i="3"/>
  <c r="B665" i="3"/>
  <c r="E664" i="3"/>
  <c r="D664" i="3"/>
  <c r="C664" i="3"/>
  <c r="B664" i="3"/>
  <c r="E663" i="3"/>
  <c r="D663" i="3"/>
  <c r="C663" i="3"/>
  <c r="B663" i="3"/>
  <c r="E662" i="3"/>
  <c r="D662" i="3"/>
  <c r="C662" i="3"/>
  <c r="B662" i="3"/>
  <c r="E661" i="3"/>
  <c r="D661" i="3"/>
  <c r="C661" i="3"/>
  <c r="B661" i="3"/>
  <c r="E660" i="3"/>
  <c r="D660" i="3"/>
  <c r="C660" i="3"/>
  <c r="B660" i="3"/>
  <c r="E659" i="3"/>
  <c r="D659" i="3"/>
  <c r="C659" i="3"/>
  <c r="B659" i="3"/>
  <c r="E658" i="3"/>
  <c r="D658" i="3"/>
  <c r="C658" i="3"/>
  <c r="B658" i="3"/>
  <c r="E657" i="3"/>
  <c r="D657" i="3"/>
  <c r="C657" i="3"/>
  <c r="B657" i="3"/>
  <c r="E656" i="3"/>
  <c r="D656" i="3"/>
  <c r="C656" i="3"/>
  <c r="B656" i="3"/>
  <c r="E655" i="3"/>
  <c r="D655" i="3"/>
  <c r="C655" i="3"/>
  <c r="B655" i="3"/>
  <c r="E654" i="3"/>
  <c r="D654" i="3"/>
  <c r="C654" i="3"/>
  <c r="B654" i="3"/>
  <c r="E653" i="3"/>
  <c r="D653" i="3"/>
  <c r="C653" i="3"/>
  <c r="B653" i="3"/>
  <c r="E652" i="3"/>
  <c r="D652" i="3"/>
  <c r="C652" i="3"/>
  <c r="B652" i="3"/>
  <c r="E651" i="3"/>
  <c r="D651" i="3"/>
  <c r="C651" i="3"/>
  <c r="B651" i="3"/>
  <c r="E650" i="3"/>
  <c r="D650" i="3"/>
  <c r="C650" i="3"/>
  <c r="B650" i="3"/>
  <c r="E649" i="3"/>
  <c r="D649" i="3"/>
  <c r="C649" i="3"/>
  <c r="B649" i="3"/>
  <c r="E648" i="3"/>
  <c r="D648" i="3"/>
  <c r="C648" i="3"/>
  <c r="B648" i="3"/>
  <c r="E647" i="3"/>
  <c r="D647" i="3"/>
  <c r="C647" i="3"/>
  <c r="B647" i="3"/>
  <c r="E646" i="3"/>
  <c r="D646" i="3"/>
  <c r="C646" i="3"/>
  <c r="B646" i="3"/>
  <c r="E645" i="3"/>
  <c r="D645" i="3"/>
  <c r="C645" i="3"/>
  <c r="B645" i="3"/>
  <c r="E644" i="3"/>
  <c r="D644" i="3"/>
  <c r="C644" i="3"/>
  <c r="B644" i="3"/>
  <c r="E643" i="3"/>
  <c r="D643" i="3"/>
  <c r="C643" i="3"/>
  <c r="B643" i="3"/>
  <c r="E642" i="3"/>
  <c r="D642" i="3"/>
  <c r="C642" i="3"/>
  <c r="B642" i="3"/>
  <c r="E641" i="3"/>
  <c r="D641" i="3"/>
  <c r="C641" i="3"/>
  <c r="B641" i="3"/>
  <c r="E640" i="3"/>
  <c r="D640" i="3"/>
  <c r="C640" i="3"/>
  <c r="B640" i="3"/>
  <c r="E639" i="3"/>
  <c r="D639" i="3"/>
  <c r="C639" i="3"/>
  <c r="B639" i="3"/>
  <c r="E638" i="3"/>
  <c r="D638" i="3"/>
  <c r="C638" i="3"/>
  <c r="B638" i="3"/>
  <c r="E637" i="3"/>
  <c r="D637" i="3"/>
  <c r="C637" i="3"/>
  <c r="E636" i="3"/>
  <c r="D636" i="3"/>
  <c r="C636" i="3"/>
  <c r="B636" i="3"/>
  <c r="E635" i="3"/>
  <c r="D635" i="3"/>
  <c r="C635" i="3"/>
  <c r="B635" i="3"/>
  <c r="E634" i="3"/>
  <c r="D634" i="3"/>
  <c r="C634" i="3"/>
  <c r="B634" i="3"/>
  <c r="E633" i="3"/>
  <c r="D633" i="3"/>
  <c r="C633" i="3"/>
  <c r="B633" i="3"/>
  <c r="E632" i="3"/>
  <c r="D632" i="3"/>
  <c r="C632" i="3"/>
  <c r="B632" i="3"/>
  <c r="E631" i="3"/>
  <c r="D631" i="3"/>
  <c r="C631" i="3"/>
  <c r="B631" i="3"/>
  <c r="E630" i="3"/>
  <c r="D630" i="3"/>
  <c r="C630" i="3"/>
  <c r="B630" i="3"/>
  <c r="E629" i="3"/>
  <c r="D629" i="3"/>
  <c r="C629" i="3"/>
  <c r="B629" i="3"/>
  <c r="E628" i="3"/>
  <c r="D628" i="3"/>
  <c r="C628" i="3"/>
  <c r="B628" i="3"/>
  <c r="E627" i="3"/>
  <c r="D627" i="3"/>
  <c r="C627" i="3"/>
  <c r="B627" i="3"/>
  <c r="E626" i="3"/>
  <c r="D626" i="3"/>
  <c r="C626" i="3"/>
  <c r="B626" i="3"/>
  <c r="E625" i="3"/>
  <c r="D625" i="3"/>
  <c r="C625" i="3"/>
  <c r="E624" i="3"/>
  <c r="D624" i="3"/>
  <c r="C624" i="3"/>
  <c r="B624" i="3"/>
  <c r="E623" i="3"/>
  <c r="D623" i="3"/>
  <c r="C623" i="3"/>
  <c r="B623" i="3"/>
  <c r="E622" i="3"/>
  <c r="D622" i="3"/>
  <c r="C622" i="3"/>
  <c r="B622" i="3"/>
  <c r="E621" i="3"/>
  <c r="D621" i="3"/>
  <c r="C621" i="3"/>
  <c r="B621" i="3"/>
  <c r="E620" i="3"/>
  <c r="D620" i="3"/>
  <c r="C620" i="3"/>
  <c r="B620" i="3"/>
  <c r="E619" i="3"/>
  <c r="D619" i="3"/>
  <c r="C619" i="3"/>
  <c r="B619" i="3"/>
  <c r="E618" i="3"/>
  <c r="D618" i="3"/>
  <c r="C618" i="3"/>
  <c r="B618" i="3"/>
  <c r="E617" i="3"/>
  <c r="D617" i="3"/>
  <c r="C617" i="3"/>
  <c r="B617" i="3"/>
  <c r="E616" i="3"/>
  <c r="D616" i="3"/>
  <c r="C616" i="3"/>
  <c r="B616" i="3"/>
  <c r="E615" i="3"/>
  <c r="D615" i="3"/>
  <c r="C615" i="3"/>
  <c r="B615" i="3"/>
  <c r="E614" i="3"/>
  <c r="D614" i="3"/>
  <c r="C614" i="3"/>
  <c r="B614" i="3"/>
  <c r="E613" i="3"/>
  <c r="D613" i="3"/>
  <c r="C613" i="3"/>
  <c r="B613" i="3"/>
  <c r="E612" i="3"/>
  <c r="D612" i="3"/>
  <c r="C612" i="3"/>
  <c r="B612" i="3"/>
  <c r="E611" i="3"/>
  <c r="D611" i="3"/>
  <c r="C611" i="3"/>
  <c r="B611" i="3"/>
  <c r="E610" i="3"/>
  <c r="D610" i="3"/>
  <c r="C610" i="3"/>
  <c r="B610" i="3"/>
  <c r="E609" i="3"/>
  <c r="D609" i="3"/>
  <c r="C609" i="3"/>
  <c r="B609" i="3"/>
  <c r="E608" i="3"/>
  <c r="D608" i="3"/>
  <c r="C608" i="3"/>
  <c r="B608" i="3"/>
  <c r="E607" i="3"/>
  <c r="D607" i="3"/>
  <c r="C607" i="3"/>
  <c r="B607" i="3"/>
  <c r="E606" i="3"/>
  <c r="D606" i="3"/>
  <c r="C606" i="3"/>
  <c r="B606" i="3"/>
  <c r="E605" i="3"/>
  <c r="D605" i="3"/>
  <c r="C605" i="3"/>
  <c r="B605" i="3"/>
  <c r="E604" i="3"/>
  <c r="D604" i="3"/>
  <c r="C604" i="3"/>
  <c r="B604" i="3"/>
  <c r="E603" i="3"/>
  <c r="D603" i="3"/>
  <c r="C603" i="3"/>
  <c r="B603" i="3"/>
  <c r="E602" i="3"/>
  <c r="D602" i="3"/>
  <c r="C602" i="3"/>
  <c r="B602" i="3"/>
  <c r="E601" i="3"/>
  <c r="D601" i="3"/>
  <c r="C601" i="3"/>
  <c r="B601" i="3"/>
  <c r="E600" i="3"/>
  <c r="D600" i="3"/>
  <c r="C600" i="3"/>
  <c r="B600" i="3"/>
  <c r="E599" i="3"/>
  <c r="D599" i="3"/>
  <c r="C599" i="3"/>
  <c r="B599" i="3"/>
  <c r="E598" i="3"/>
  <c r="D598" i="3"/>
  <c r="C598" i="3"/>
  <c r="B598" i="3"/>
  <c r="E597" i="3"/>
  <c r="D597" i="3"/>
  <c r="C597" i="3"/>
  <c r="B597" i="3"/>
  <c r="E596" i="3"/>
  <c r="D596" i="3"/>
  <c r="C596" i="3"/>
  <c r="B596" i="3"/>
  <c r="E595" i="3"/>
  <c r="D595" i="3"/>
  <c r="C595" i="3"/>
  <c r="B595" i="3"/>
  <c r="E594" i="3"/>
  <c r="D594" i="3"/>
  <c r="C594" i="3"/>
  <c r="B594" i="3"/>
  <c r="E593" i="3"/>
  <c r="D593" i="3"/>
  <c r="C593" i="3"/>
  <c r="B593" i="3"/>
  <c r="E592" i="3"/>
  <c r="D592" i="3"/>
  <c r="C592" i="3"/>
  <c r="B592" i="3"/>
  <c r="E591" i="3"/>
  <c r="D591" i="3"/>
  <c r="C591" i="3"/>
  <c r="B591" i="3"/>
  <c r="E590" i="3"/>
  <c r="D590" i="3"/>
  <c r="C590" i="3"/>
  <c r="B590" i="3"/>
  <c r="E589" i="3"/>
  <c r="D589" i="3"/>
  <c r="C589" i="3"/>
  <c r="B589" i="3"/>
  <c r="E588" i="3"/>
  <c r="D588" i="3"/>
  <c r="C588" i="3"/>
  <c r="B588" i="3"/>
  <c r="E587" i="3"/>
  <c r="D587" i="3"/>
  <c r="C587" i="3"/>
  <c r="B587" i="3"/>
  <c r="E586" i="3"/>
  <c r="D586" i="3"/>
  <c r="C586" i="3"/>
  <c r="B586" i="3"/>
  <c r="E585" i="3"/>
  <c r="D585" i="3"/>
  <c r="C585" i="3"/>
  <c r="B585" i="3"/>
  <c r="E584" i="3"/>
  <c r="D584" i="3"/>
  <c r="C584" i="3"/>
  <c r="B584" i="3"/>
  <c r="E583" i="3"/>
  <c r="D583" i="3"/>
  <c r="C583" i="3"/>
  <c r="B583" i="3"/>
  <c r="E582" i="3"/>
  <c r="D582" i="3"/>
  <c r="C582" i="3"/>
  <c r="B582" i="3"/>
  <c r="E581" i="3"/>
  <c r="D581" i="3"/>
  <c r="C581" i="3"/>
  <c r="B581" i="3"/>
  <c r="E580" i="3"/>
  <c r="D580" i="3"/>
  <c r="C580" i="3"/>
  <c r="B580" i="3"/>
  <c r="E579" i="3"/>
  <c r="D579" i="3"/>
  <c r="C579" i="3"/>
  <c r="B579" i="3"/>
  <c r="E578" i="3"/>
  <c r="D578" i="3"/>
  <c r="C578" i="3"/>
  <c r="B578" i="3"/>
  <c r="E577" i="3"/>
  <c r="D577" i="3"/>
  <c r="C577" i="3"/>
  <c r="B577" i="3"/>
  <c r="E576" i="3"/>
  <c r="D576" i="3"/>
  <c r="C576" i="3"/>
  <c r="B576" i="3"/>
  <c r="E575" i="3"/>
  <c r="D575" i="3"/>
  <c r="C575" i="3"/>
  <c r="B575" i="3"/>
  <c r="E574" i="3"/>
  <c r="D574" i="3"/>
  <c r="C574" i="3"/>
  <c r="B574" i="3"/>
  <c r="E573" i="3"/>
  <c r="D573" i="3"/>
  <c r="C573" i="3"/>
  <c r="B573" i="3"/>
  <c r="E572" i="3"/>
  <c r="D572" i="3"/>
  <c r="C572" i="3"/>
  <c r="B572" i="3"/>
  <c r="E571" i="3"/>
  <c r="D571" i="3"/>
  <c r="C571" i="3"/>
  <c r="B571" i="3"/>
  <c r="E570" i="3"/>
  <c r="D570" i="3"/>
  <c r="C570" i="3"/>
  <c r="B570" i="3"/>
  <c r="E569" i="3"/>
  <c r="D569" i="3"/>
  <c r="C569" i="3"/>
  <c r="B569" i="3"/>
  <c r="E568" i="3"/>
  <c r="D568" i="3"/>
  <c r="C568" i="3"/>
  <c r="B568" i="3"/>
  <c r="E567" i="3"/>
  <c r="D567" i="3"/>
  <c r="C567" i="3"/>
  <c r="B567" i="3"/>
  <c r="E566" i="3"/>
  <c r="D566" i="3"/>
  <c r="C566" i="3"/>
  <c r="B566" i="3"/>
  <c r="E565" i="3"/>
  <c r="D565" i="3"/>
  <c r="C565" i="3"/>
  <c r="B565" i="3"/>
  <c r="E564" i="3"/>
  <c r="D564" i="3"/>
  <c r="C564" i="3"/>
  <c r="B564" i="3"/>
  <c r="E563" i="3"/>
  <c r="D563" i="3"/>
  <c r="C563" i="3"/>
  <c r="B563" i="3"/>
  <c r="E562" i="3"/>
  <c r="D562" i="3"/>
  <c r="C562" i="3"/>
  <c r="B562" i="3"/>
  <c r="E561" i="3"/>
  <c r="D561" i="3"/>
  <c r="C561" i="3"/>
  <c r="B561" i="3"/>
  <c r="E560" i="3"/>
  <c r="D560" i="3"/>
  <c r="C560" i="3"/>
  <c r="B560" i="3"/>
  <c r="E559" i="3"/>
  <c r="D559" i="3"/>
  <c r="C559" i="3"/>
  <c r="B559" i="3"/>
  <c r="E558" i="3"/>
  <c r="D558" i="3"/>
  <c r="C558" i="3"/>
  <c r="B558" i="3"/>
  <c r="E557" i="3"/>
  <c r="D557" i="3"/>
  <c r="C557" i="3"/>
  <c r="B557" i="3"/>
  <c r="E556" i="3"/>
  <c r="D556" i="3"/>
  <c r="C556" i="3"/>
  <c r="B556" i="3"/>
  <c r="E555" i="3"/>
  <c r="D555" i="3"/>
  <c r="C555" i="3"/>
  <c r="E554" i="3"/>
  <c r="D554" i="3"/>
  <c r="C554" i="3"/>
  <c r="B554" i="3"/>
  <c r="E553" i="3"/>
  <c r="D553" i="3"/>
  <c r="C553" i="3"/>
  <c r="B553" i="3"/>
  <c r="E552" i="3"/>
  <c r="D552" i="3"/>
  <c r="C552" i="3"/>
  <c r="B552" i="3"/>
  <c r="E551" i="3"/>
  <c r="D551" i="3"/>
  <c r="C551" i="3"/>
  <c r="B551" i="3"/>
  <c r="E550" i="3"/>
  <c r="D550" i="3"/>
  <c r="C550" i="3"/>
  <c r="B550" i="3"/>
  <c r="E549" i="3"/>
  <c r="D549" i="3"/>
  <c r="C549" i="3"/>
  <c r="B549" i="3"/>
  <c r="E548" i="3"/>
  <c r="D548" i="3"/>
  <c r="C548" i="3"/>
  <c r="B548" i="3"/>
  <c r="E547" i="3"/>
  <c r="D547" i="3"/>
  <c r="C547" i="3"/>
  <c r="B547" i="3"/>
  <c r="E546" i="3"/>
  <c r="D546" i="3"/>
  <c r="C546" i="3"/>
  <c r="B546" i="3"/>
  <c r="E545" i="3"/>
  <c r="D545" i="3"/>
  <c r="C545" i="3"/>
  <c r="B545" i="3"/>
  <c r="E544" i="3"/>
  <c r="D544" i="3"/>
  <c r="C544" i="3"/>
  <c r="B544" i="3"/>
  <c r="E543" i="3"/>
  <c r="D543" i="3"/>
  <c r="C543" i="3"/>
  <c r="B543" i="3"/>
  <c r="E542" i="3"/>
  <c r="D542" i="3"/>
  <c r="C542" i="3"/>
  <c r="B542" i="3"/>
  <c r="E541" i="3"/>
  <c r="D541" i="3"/>
  <c r="C541" i="3"/>
  <c r="B541" i="3"/>
  <c r="E540" i="3"/>
  <c r="D540" i="3"/>
  <c r="C540" i="3"/>
  <c r="B540" i="3"/>
  <c r="E539" i="3"/>
  <c r="D539" i="3"/>
  <c r="C539" i="3"/>
  <c r="B539" i="3"/>
  <c r="E538" i="3"/>
  <c r="D538" i="3"/>
  <c r="C538" i="3"/>
  <c r="B538" i="3"/>
  <c r="E537" i="3"/>
  <c r="D537" i="3"/>
  <c r="C537" i="3"/>
  <c r="B537" i="3"/>
  <c r="E536" i="3"/>
  <c r="D536" i="3"/>
  <c r="C536" i="3"/>
  <c r="B536" i="3"/>
  <c r="E535" i="3"/>
  <c r="D535" i="3"/>
  <c r="C535" i="3"/>
  <c r="B535" i="3"/>
  <c r="E534" i="3"/>
  <c r="D534" i="3"/>
  <c r="C534" i="3"/>
  <c r="B534" i="3"/>
  <c r="E533" i="3"/>
  <c r="D533" i="3"/>
  <c r="C533" i="3"/>
  <c r="B533" i="3"/>
  <c r="E532" i="3"/>
  <c r="D532" i="3"/>
  <c r="C532" i="3"/>
  <c r="B532" i="3"/>
  <c r="E531" i="3"/>
  <c r="D531" i="3"/>
  <c r="C531" i="3"/>
  <c r="B531" i="3"/>
  <c r="E530" i="3"/>
  <c r="D530" i="3"/>
  <c r="C530" i="3"/>
  <c r="B530" i="3"/>
  <c r="E529" i="3"/>
  <c r="D529" i="3"/>
  <c r="C529" i="3"/>
  <c r="B529" i="3"/>
  <c r="E528" i="3"/>
  <c r="D528" i="3"/>
  <c r="C528" i="3"/>
  <c r="B528" i="3"/>
  <c r="E527" i="3"/>
  <c r="D527" i="3"/>
  <c r="C527" i="3"/>
  <c r="B527" i="3"/>
  <c r="E526" i="3"/>
  <c r="D526" i="3"/>
  <c r="C526" i="3"/>
  <c r="B526" i="3"/>
  <c r="E525" i="3"/>
  <c r="D525" i="3"/>
  <c r="C525" i="3"/>
  <c r="B525" i="3"/>
  <c r="E524" i="3"/>
  <c r="D524" i="3"/>
  <c r="C524" i="3"/>
  <c r="B524" i="3"/>
  <c r="E523" i="3"/>
  <c r="D523" i="3"/>
  <c r="C523" i="3"/>
  <c r="B523" i="3"/>
  <c r="E522" i="3"/>
  <c r="D522" i="3"/>
  <c r="C522" i="3"/>
  <c r="B522" i="3"/>
  <c r="E521" i="3"/>
  <c r="D521" i="3"/>
  <c r="C521" i="3"/>
  <c r="B521" i="3"/>
  <c r="E520" i="3"/>
  <c r="D520" i="3"/>
  <c r="C520" i="3"/>
  <c r="B520" i="3"/>
  <c r="E519" i="3"/>
  <c r="D519" i="3"/>
  <c r="C519" i="3"/>
  <c r="B519" i="3"/>
  <c r="E518" i="3"/>
  <c r="D518" i="3"/>
  <c r="C518" i="3"/>
  <c r="B518" i="3"/>
  <c r="E517" i="3"/>
  <c r="D517" i="3"/>
  <c r="C517" i="3"/>
  <c r="B517" i="3"/>
  <c r="E516" i="3"/>
  <c r="D516" i="3"/>
  <c r="C516" i="3"/>
  <c r="B516" i="3"/>
  <c r="E515" i="3"/>
  <c r="D515" i="3"/>
  <c r="C515" i="3"/>
  <c r="B515" i="3"/>
  <c r="E514" i="3"/>
  <c r="D514" i="3"/>
  <c r="C514" i="3"/>
  <c r="B514" i="3"/>
  <c r="E513" i="3"/>
  <c r="D513" i="3"/>
  <c r="C513" i="3"/>
  <c r="B513" i="3"/>
  <c r="E512" i="3"/>
  <c r="D512" i="3"/>
  <c r="C512" i="3"/>
  <c r="B512" i="3"/>
  <c r="E511" i="3"/>
  <c r="D511" i="3"/>
  <c r="C511" i="3"/>
  <c r="B511" i="3"/>
  <c r="E510" i="3"/>
  <c r="D510" i="3"/>
  <c r="C510" i="3"/>
  <c r="B510" i="3"/>
  <c r="E509" i="3"/>
  <c r="D509" i="3"/>
  <c r="C509" i="3"/>
  <c r="B509" i="3"/>
  <c r="E508" i="3"/>
  <c r="D508" i="3"/>
  <c r="C508" i="3"/>
  <c r="B508" i="3"/>
  <c r="E507" i="3"/>
  <c r="D507" i="3"/>
  <c r="C507" i="3"/>
  <c r="B507" i="3"/>
  <c r="E506" i="3"/>
  <c r="D506" i="3"/>
  <c r="C506" i="3"/>
  <c r="B506" i="3"/>
  <c r="E505" i="3"/>
  <c r="D505" i="3"/>
  <c r="C505" i="3"/>
  <c r="B505" i="3"/>
  <c r="E504" i="3"/>
  <c r="D504" i="3"/>
  <c r="C504" i="3"/>
  <c r="B504" i="3"/>
  <c r="E503" i="3"/>
  <c r="D503" i="3"/>
  <c r="C503" i="3"/>
  <c r="B503" i="3"/>
  <c r="E502" i="3"/>
  <c r="D502" i="3"/>
  <c r="C502" i="3"/>
  <c r="B502" i="3"/>
  <c r="E501" i="3"/>
  <c r="D501" i="3"/>
  <c r="C501" i="3"/>
  <c r="B501" i="3"/>
  <c r="E500" i="3"/>
  <c r="D500" i="3"/>
  <c r="C500" i="3"/>
  <c r="B500" i="3"/>
  <c r="E499" i="3"/>
  <c r="D499" i="3"/>
  <c r="C499" i="3"/>
  <c r="B499" i="3"/>
  <c r="E498" i="3"/>
  <c r="D498" i="3"/>
  <c r="C498" i="3"/>
  <c r="B498" i="3"/>
  <c r="E497" i="3"/>
  <c r="D497" i="3"/>
  <c r="C497" i="3"/>
  <c r="B497" i="3"/>
  <c r="E496" i="3"/>
  <c r="D496" i="3"/>
  <c r="C496" i="3"/>
  <c r="B496" i="3"/>
  <c r="E495" i="3"/>
  <c r="D495" i="3"/>
  <c r="C495" i="3"/>
  <c r="B495" i="3"/>
  <c r="E494" i="3"/>
  <c r="D494" i="3"/>
  <c r="C494" i="3"/>
  <c r="B494" i="3"/>
  <c r="E493" i="3"/>
  <c r="D493" i="3"/>
  <c r="C493" i="3"/>
  <c r="B493" i="3"/>
  <c r="E492" i="3"/>
  <c r="D492" i="3"/>
  <c r="C492" i="3"/>
  <c r="B492" i="3"/>
  <c r="E491" i="3"/>
  <c r="D491" i="3"/>
  <c r="C491" i="3"/>
  <c r="B491" i="3"/>
  <c r="E490" i="3"/>
  <c r="D490" i="3"/>
  <c r="C490" i="3"/>
  <c r="B490" i="3"/>
  <c r="E489" i="3"/>
  <c r="D489" i="3"/>
  <c r="C489" i="3"/>
  <c r="B489" i="3"/>
  <c r="E488" i="3"/>
  <c r="D488" i="3"/>
  <c r="C488" i="3"/>
  <c r="B488" i="3"/>
  <c r="E487" i="3"/>
  <c r="D487" i="3"/>
  <c r="C487" i="3"/>
  <c r="B487" i="3"/>
  <c r="E486" i="3"/>
  <c r="D486" i="3"/>
  <c r="C486" i="3"/>
  <c r="B486" i="3"/>
  <c r="E485" i="3"/>
  <c r="D485" i="3"/>
  <c r="C485" i="3"/>
  <c r="B485" i="3"/>
  <c r="E484" i="3"/>
  <c r="D484" i="3"/>
  <c r="C484" i="3"/>
  <c r="B484" i="3"/>
  <c r="E483" i="3"/>
  <c r="D483" i="3"/>
  <c r="C483" i="3"/>
  <c r="E482" i="3"/>
  <c r="D482" i="3"/>
  <c r="C482" i="3"/>
  <c r="B482" i="3"/>
  <c r="E481" i="3"/>
  <c r="D481" i="3"/>
  <c r="C481" i="3"/>
  <c r="B481" i="3"/>
  <c r="E480" i="3"/>
  <c r="D480" i="3"/>
  <c r="C480" i="3"/>
  <c r="B480" i="3"/>
  <c r="E479" i="3"/>
  <c r="D479" i="3"/>
  <c r="C479" i="3"/>
  <c r="E478" i="3"/>
  <c r="D478" i="3"/>
  <c r="C478" i="3"/>
  <c r="B478" i="3"/>
  <c r="E477" i="3"/>
  <c r="D477" i="3"/>
  <c r="C477" i="3"/>
  <c r="B477" i="3"/>
  <c r="E476" i="3"/>
  <c r="D476" i="3"/>
  <c r="C476" i="3"/>
  <c r="B476" i="3"/>
  <c r="E475" i="3"/>
  <c r="D475" i="3"/>
  <c r="C475" i="3"/>
  <c r="B475" i="3"/>
  <c r="E474" i="3"/>
  <c r="D474" i="3"/>
  <c r="C474" i="3"/>
  <c r="E473" i="3"/>
  <c r="D473" i="3"/>
  <c r="C473" i="3"/>
  <c r="B473" i="3"/>
  <c r="E472" i="3"/>
  <c r="D472" i="3"/>
  <c r="C472" i="3"/>
  <c r="B472" i="3"/>
  <c r="E471" i="3"/>
  <c r="D471" i="3"/>
  <c r="C471" i="3"/>
  <c r="B471" i="3"/>
  <c r="E470" i="3"/>
  <c r="D470" i="3"/>
  <c r="C470" i="3"/>
  <c r="B470" i="3"/>
  <c r="E469" i="3"/>
  <c r="D469" i="3"/>
  <c r="C469" i="3"/>
  <c r="B469" i="3"/>
  <c r="E468" i="3"/>
  <c r="D468" i="3"/>
  <c r="C468" i="3"/>
  <c r="B468" i="3"/>
  <c r="E467" i="3"/>
  <c r="D467" i="3"/>
  <c r="C467" i="3"/>
  <c r="B467" i="3"/>
  <c r="E466" i="3"/>
  <c r="D466" i="3"/>
  <c r="C466" i="3"/>
  <c r="B466" i="3"/>
  <c r="E465" i="3"/>
  <c r="D465" i="3"/>
  <c r="C465" i="3"/>
  <c r="B465" i="3"/>
  <c r="E464" i="3"/>
  <c r="D464" i="3"/>
  <c r="C464" i="3"/>
  <c r="B464" i="3"/>
  <c r="E463" i="3"/>
  <c r="D463" i="3"/>
  <c r="C463" i="3"/>
  <c r="B463" i="3"/>
  <c r="E462" i="3"/>
  <c r="D462" i="3"/>
  <c r="C462" i="3"/>
  <c r="B462" i="3"/>
  <c r="E461" i="3"/>
  <c r="D461" i="3"/>
  <c r="C461" i="3"/>
  <c r="B461" i="3"/>
  <c r="E460" i="3"/>
  <c r="D460" i="3"/>
  <c r="C460" i="3"/>
  <c r="B460" i="3"/>
  <c r="E459" i="3"/>
  <c r="D459" i="3"/>
  <c r="C459" i="3"/>
  <c r="B459" i="3"/>
  <c r="E458" i="3"/>
  <c r="D458" i="3"/>
  <c r="C458" i="3"/>
  <c r="B458" i="3"/>
  <c r="E457" i="3"/>
  <c r="D457" i="3"/>
  <c r="C457" i="3"/>
  <c r="B457" i="3"/>
  <c r="E456" i="3"/>
  <c r="D456" i="3"/>
  <c r="C456" i="3"/>
  <c r="B456" i="3"/>
  <c r="E455" i="3"/>
  <c r="D455" i="3"/>
  <c r="C455" i="3"/>
  <c r="B455" i="3"/>
  <c r="E454" i="3"/>
  <c r="D454" i="3"/>
  <c r="C454" i="3"/>
  <c r="B454" i="3"/>
  <c r="E453" i="3"/>
  <c r="D453" i="3"/>
  <c r="C453" i="3"/>
  <c r="B453" i="3"/>
  <c r="E452" i="3"/>
  <c r="D452" i="3"/>
  <c r="C452" i="3"/>
  <c r="B452" i="3"/>
  <c r="E451" i="3"/>
  <c r="D451" i="3"/>
  <c r="C451" i="3"/>
  <c r="B451" i="3"/>
  <c r="E450" i="3"/>
  <c r="D450" i="3"/>
  <c r="C450" i="3"/>
  <c r="B450" i="3"/>
  <c r="E449" i="3"/>
  <c r="D449" i="3"/>
  <c r="C449" i="3"/>
  <c r="E448" i="3"/>
  <c r="D448" i="3"/>
  <c r="C448" i="3"/>
  <c r="B448" i="3"/>
  <c r="E447" i="3"/>
  <c r="D447" i="3"/>
  <c r="C447" i="3"/>
  <c r="B447" i="3"/>
  <c r="E446" i="3"/>
  <c r="D446" i="3"/>
  <c r="C446" i="3"/>
  <c r="B446" i="3"/>
  <c r="E445" i="3"/>
  <c r="D445" i="3"/>
  <c r="C445" i="3"/>
  <c r="B445" i="3"/>
  <c r="E444" i="3"/>
  <c r="D444" i="3"/>
  <c r="C444" i="3"/>
  <c r="B444" i="3"/>
  <c r="E443" i="3"/>
  <c r="D443" i="3"/>
  <c r="C443" i="3"/>
  <c r="B443" i="3"/>
  <c r="E442" i="3"/>
  <c r="D442" i="3"/>
  <c r="C442" i="3"/>
  <c r="B442" i="3"/>
  <c r="E441" i="3"/>
  <c r="D441" i="3"/>
  <c r="C441" i="3"/>
  <c r="B441" i="3"/>
  <c r="E440" i="3"/>
  <c r="D440" i="3"/>
  <c r="C440" i="3"/>
  <c r="B440" i="3"/>
  <c r="E439" i="3"/>
  <c r="D439" i="3"/>
  <c r="C439" i="3"/>
  <c r="B439" i="3"/>
  <c r="E438" i="3"/>
  <c r="D438" i="3"/>
  <c r="C438" i="3"/>
  <c r="B438" i="3"/>
  <c r="E437" i="3"/>
  <c r="D437" i="3"/>
  <c r="C437" i="3"/>
  <c r="B437" i="3"/>
  <c r="E436" i="3"/>
  <c r="D436" i="3"/>
  <c r="C436" i="3"/>
  <c r="B436" i="3"/>
  <c r="E435" i="3"/>
  <c r="D435" i="3"/>
  <c r="C435" i="3"/>
  <c r="B435" i="3"/>
  <c r="E434" i="3"/>
  <c r="D434" i="3"/>
  <c r="C434" i="3"/>
  <c r="B434" i="3"/>
  <c r="E433" i="3"/>
  <c r="D433" i="3"/>
  <c r="C433" i="3"/>
  <c r="E432" i="3"/>
  <c r="D432" i="3"/>
  <c r="C432" i="3"/>
  <c r="E431" i="3"/>
  <c r="D431" i="3"/>
  <c r="C431" i="3"/>
  <c r="B431" i="3"/>
  <c r="E430" i="3"/>
  <c r="D430" i="3"/>
  <c r="C430" i="3"/>
  <c r="B430" i="3"/>
  <c r="E429" i="3"/>
  <c r="D429" i="3"/>
  <c r="C429" i="3"/>
  <c r="B429" i="3"/>
  <c r="E428" i="3"/>
  <c r="D428" i="3"/>
  <c r="C428" i="3"/>
  <c r="B428" i="3"/>
  <c r="E427" i="3"/>
  <c r="D427" i="3"/>
  <c r="C427" i="3"/>
  <c r="B427" i="3"/>
  <c r="E426" i="3"/>
  <c r="D426" i="3"/>
  <c r="C426" i="3"/>
  <c r="B426" i="3"/>
  <c r="E425" i="3"/>
  <c r="D425" i="3"/>
  <c r="C425" i="3"/>
  <c r="B425" i="3"/>
  <c r="E424" i="3"/>
  <c r="D424" i="3"/>
  <c r="C424" i="3"/>
  <c r="B424" i="3"/>
  <c r="E423" i="3"/>
  <c r="D423" i="3"/>
  <c r="C423" i="3"/>
  <c r="B423" i="3"/>
  <c r="E422" i="3"/>
  <c r="D422" i="3"/>
  <c r="C422" i="3"/>
  <c r="B422" i="3"/>
  <c r="E421" i="3"/>
  <c r="D421" i="3"/>
  <c r="C421" i="3"/>
  <c r="B421" i="3"/>
  <c r="E420" i="3"/>
  <c r="D420" i="3"/>
  <c r="C420" i="3"/>
  <c r="B420" i="3"/>
  <c r="E419" i="3"/>
  <c r="D419" i="3"/>
  <c r="C419" i="3"/>
  <c r="B419" i="3"/>
  <c r="E418" i="3"/>
  <c r="D418" i="3"/>
  <c r="C418" i="3"/>
  <c r="B418" i="3"/>
  <c r="E417" i="3"/>
  <c r="D417" i="3"/>
  <c r="C417" i="3"/>
  <c r="B417" i="3"/>
  <c r="E416" i="3"/>
  <c r="D416" i="3"/>
  <c r="C416" i="3"/>
  <c r="B416" i="3"/>
  <c r="E415" i="3"/>
  <c r="D415" i="3"/>
  <c r="C415" i="3"/>
  <c r="B415" i="3"/>
  <c r="E414" i="3"/>
  <c r="D414" i="3"/>
  <c r="C414" i="3"/>
  <c r="B414" i="3"/>
  <c r="E413" i="3"/>
  <c r="D413" i="3"/>
  <c r="C413" i="3"/>
  <c r="B413" i="3"/>
  <c r="E412" i="3"/>
  <c r="D412" i="3"/>
  <c r="C412" i="3"/>
  <c r="B412" i="3"/>
  <c r="E411" i="3"/>
  <c r="D411" i="3"/>
  <c r="C411" i="3"/>
  <c r="B411" i="3"/>
  <c r="E410" i="3"/>
  <c r="D410" i="3"/>
  <c r="C410" i="3"/>
  <c r="C409" i="3"/>
  <c r="B409" i="3"/>
  <c r="E408" i="3"/>
  <c r="D408" i="3"/>
  <c r="C408" i="3"/>
  <c r="B408" i="3"/>
  <c r="E407" i="3"/>
  <c r="D407" i="3"/>
  <c r="C407" i="3"/>
  <c r="B407" i="3"/>
  <c r="E406" i="3"/>
  <c r="D406" i="3"/>
  <c r="C406" i="3"/>
  <c r="B406" i="3"/>
  <c r="E405" i="3"/>
  <c r="D405" i="3"/>
  <c r="C405" i="3"/>
  <c r="B405" i="3"/>
  <c r="E404" i="3"/>
  <c r="D404" i="3"/>
  <c r="C404" i="3"/>
  <c r="B404" i="3"/>
  <c r="E403" i="3"/>
  <c r="D403" i="3"/>
  <c r="C403" i="3"/>
  <c r="B403" i="3"/>
  <c r="E402" i="3"/>
  <c r="D402" i="3"/>
  <c r="C402" i="3"/>
  <c r="B402" i="3"/>
  <c r="E401" i="3"/>
  <c r="D401" i="3"/>
  <c r="C401" i="3"/>
  <c r="B401" i="3"/>
  <c r="E400" i="3"/>
  <c r="D400" i="3"/>
  <c r="C400" i="3"/>
  <c r="B400" i="3"/>
  <c r="E399" i="3"/>
  <c r="D399" i="3"/>
  <c r="C399" i="3"/>
  <c r="B399" i="3"/>
  <c r="E398" i="3"/>
  <c r="D398" i="3"/>
  <c r="C398" i="3"/>
  <c r="B398" i="3"/>
  <c r="E397" i="3"/>
  <c r="D397" i="3"/>
  <c r="C397" i="3"/>
  <c r="B397" i="3"/>
  <c r="E396" i="3"/>
  <c r="D396" i="3"/>
  <c r="C396" i="3"/>
  <c r="B396" i="3"/>
  <c r="E395" i="3"/>
  <c r="D395" i="3"/>
  <c r="C395" i="3"/>
  <c r="B395" i="3"/>
  <c r="E394" i="3"/>
  <c r="D394" i="3"/>
  <c r="C394" i="3"/>
  <c r="B394" i="3"/>
  <c r="E393" i="3"/>
  <c r="D393" i="3"/>
  <c r="C393" i="3"/>
  <c r="B393" i="3"/>
  <c r="E392" i="3"/>
  <c r="D392" i="3"/>
  <c r="C392" i="3"/>
  <c r="B392" i="3"/>
  <c r="E391" i="3"/>
  <c r="D391" i="3"/>
  <c r="C391" i="3"/>
  <c r="B391" i="3"/>
  <c r="E390" i="3"/>
  <c r="D390" i="3"/>
  <c r="C390" i="3"/>
  <c r="B390" i="3"/>
  <c r="E389" i="3"/>
  <c r="D389" i="3"/>
  <c r="C389" i="3"/>
  <c r="B389" i="3"/>
  <c r="E388" i="3"/>
  <c r="D388" i="3"/>
  <c r="C388" i="3"/>
  <c r="B388" i="3"/>
  <c r="E387" i="3"/>
  <c r="D387" i="3"/>
  <c r="C387" i="3"/>
  <c r="B387" i="3"/>
  <c r="E386" i="3"/>
  <c r="D386" i="3"/>
  <c r="C386" i="3"/>
  <c r="B386" i="3"/>
  <c r="E385" i="3"/>
  <c r="D385" i="3"/>
  <c r="C385" i="3"/>
  <c r="B385" i="3"/>
  <c r="E384" i="3"/>
  <c r="D384" i="3"/>
  <c r="C384" i="3"/>
  <c r="B384" i="3"/>
  <c r="E383" i="3"/>
  <c r="D383" i="3"/>
  <c r="C383" i="3"/>
  <c r="B383" i="3"/>
  <c r="E382" i="3"/>
  <c r="D382" i="3"/>
  <c r="C382" i="3"/>
  <c r="B382" i="3"/>
  <c r="E381" i="3"/>
  <c r="D381" i="3"/>
  <c r="C381" i="3"/>
  <c r="B381" i="3"/>
  <c r="E380" i="3"/>
  <c r="D380" i="3"/>
  <c r="C380" i="3"/>
  <c r="B380" i="3"/>
  <c r="E379" i="3"/>
  <c r="D379" i="3"/>
  <c r="C379" i="3"/>
  <c r="B379" i="3"/>
  <c r="E378" i="3"/>
  <c r="D378" i="3"/>
  <c r="C378" i="3"/>
  <c r="B378" i="3"/>
  <c r="E377" i="3"/>
  <c r="D377" i="3"/>
  <c r="C377" i="3"/>
  <c r="B377" i="3"/>
  <c r="E376" i="3"/>
  <c r="D376" i="3"/>
  <c r="C376" i="3"/>
  <c r="B376" i="3"/>
  <c r="E375" i="3"/>
  <c r="D375" i="3"/>
  <c r="C375" i="3"/>
  <c r="B375" i="3"/>
  <c r="E374" i="3"/>
  <c r="D374" i="3"/>
  <c r="C374" i="3"/>
  <c r="B374" i="3"/>
  <c r="E373" i="3"/>
  <c r="D373" i="3"/>
  <c r="C373" i="3"/>
  <c r="B373" i="3"/>
  <c r="E372" i="3"/>
  <c r="D372" i="3"/>
  <c r="C372" i="3"/>
  <c r="B372" i="3"/>
  <c r="E371" i="3"/>
  <c r="D371" i="3"/>
  <c r="C371" i="3"/>
  <c r="B371" i="3"/>
  <c r="E370" i="3"/>
  <c r="D370" i="3"/>
  <c r="C370" i="3"/>
  <c r="B370" i="3"/>
  <c r="E369" i="3"/>
  <c r="D369" i="3"/>
  <c r="C369" i="3"/>
  <c r="B369" i="3"/>
  <c r="E368" i="3"/>
  <c r="D368" i="3"/>
  <c r="C368" i="3"/>
  <c r="B368" i="3"/>
  <c r="E367" i="3"/>
  <c r="D367" i="3"/>
  <c r="C367" i="3"/>
  <c r="B367" i="3"/>
  <c r="E366" i="3"/>
  <c r="D366" i="3"/>
  <c r="C366" i="3"/>
  <c r="B366" i="3"/>
  <c r="E365" i="3"/>
  <c r="D365" i="3"/>
  <c r="C365" i="3"/>
  <c r="B365" i="3"/>
  <c r="E364" i="3"/>
  <c r="D364" i="3"/>
  <c r="C364" i="3"/>
  <c r="B364" i="3"/>
  <c r="E363" i="3"/>
  <c r="D363" i="3"/>
  <c r="C363" i="3"/>
  <c r="B363" i="3"/>
  <c r="E362" i="3"/>
  <c r="D362" i="3"/>
  <c r="C362" i="3"/>
  <c r="B362" i="3"/>
  <c r="E361" i="3"/>
  <c r="D361" i="3"/>
  <c r="C361" i="3"/>
  <c r="B361" i="3"/>
  <c r="E360" i="3"/>
  <c r="D360" i="3"/>
  <c r="C360" i="3"/>
  <c r="B360" i="3"/>
  <c r="E359" i="3"/>
  <c r="D359" i="3"/>
  <c r="C359" i="3"/>
  <c r="B359" i="3"/>
  <c r="E358" i="3"/>
  <c r="D358" i="3"/>
  <c r="C358" i="3"/>
  <c r="B358" i="3"/>
  <c r="E357" i="3"/>
  <c r="D357" i="3"/>
  <c r="C357" i="3"/>
  <c r="B357" i="3"/>
  <c r="E356" i="3"/>
  <c r="D356" i="3"/>
  <c r="C356" i="3"/>
  <c r="B356" i="3"/>
  <c r="E355" i="3"/>
  <c r="D355" i="3"/>
  <c r="C355" i="3"/>
  <c r="B355" i="3"/>
  <c r="E354" i="3"/>
  <c r="D354" i="3"/>
  <c r="C354" i="3"/>
  <c r="B354" i="3"/>
  <c r="E353" i="3"/>
  <c r="D353" i="3"/>
  <c r="C353" i="3"/>
  <c r="B353" i="3"/>
  <c r="E352" i="3"/>
  <c r="D352" i="3"/>
  <c r="C352" i="3"/>
  <c r="B352" i="3"/>
  <c r="E351" i="3"/>
  <c r="D351" i="3"/>
  <c r="C351" i="3"/>
  <c r="B351" i="3"/>
  <c r="E350" i="3"/>
  <c r="D350" i="3"/>
  <c r="C350" i="3"/>
  <c r="B350" i="3"/>
  <c r="E349" i="3"/>
  <c r="D349" i="3"/>
  <c r="C349" i="3"/>
  <c r="B349" i="3"/>
  <c r="E348" i="3"/>
  <c r="D348" i="3"/>
  <c r="C348" i="3"/>
  <c r="B348" i="3"/>
  <c r="E347" i="3"/>
  <c r="D347" i="3"/>
  <c r="C347" i="3"/>
  <c r="B347" i="3"/>
  <c r="E346" i="3"/>
  <c r="D346" i="3"/>
  <c r="C346" i="3"/>
  <c r="B346" i="3"/>
  <c r="E345" i="3"/>
  <c r="D345" i="3"/>
  <c r="C345" i="3"/>
  <c r="B345" i="3"/>
  <c r="E344" i="3"/>
  <c r="D344" i="3"/>
  <c r="C344" i="3"/>
  <c r="B344" i="3"/>
  <c r="E343" i="3"/>
  <c r="D343" i="3"/>
  <c r="C343" i="3"/>
  <c r="B343" i="3"/>
  <c r="E342" i="3"/>
  <c r="D342" i="3"/>
  <c r="C342" i="3"/>
  <c r="B342" i="3"/>
  <c r="E341" i="3"/>
  <c r="D341" i="3"/>
  <c r="C341" i="3"/>
  <c r="B341" i="3"/>
  <c r="E340" i="3"/>
  <c r="D340" i="3"/>
  <c r="C340" i="3"/>
  <c r="B340" i="3"/>
  <c r="E339" i="3"/>
  <c r="D339" i="3"/>
  <c r="C339" i="3"/>
  <c r="B339" i="3"/>
  <c r="E338" i="3"/>
  <c r="D338" i="3"/>
  <c r="C338" i="3"/>
  <c r="B338" i="3"/>
  <c r="E337" i="3"/>
  <c r="D337" i="3"/>
  <c r="C337" i="3"/>
  <c r="B337" i="3"/>
  <c r="E336" i="3"/>
  <c r="D336" i="3"/>
  <c r="C336" i="3"/>
  <c r="B336" i="3"/>
  <c r="E335" i="3"/>
  <c r="D335" i="3"/>
  <c r="C335" i="3"/>
  <c r="B335" i="3"/>
  <c r="E334" i="3"/>
  <c r="D334" i="3"/>
  <c r="C334" i="3"/>
  <c r="B334" i="3"/>
  <c r="E333" i="3"/>
  <c r="D333" i="3"/>
  <c r="C333" i="3"/>
  <c r="B333" i="3"/>
  <c r="E332" i="3"/>
  <c r="D332" i="3"/>
  <c r="C332" i="3"/>
  <c r="B332" i="3"/>
  <c r="E331" i="3"/>
  <c r="D331" i="3"/>
  <c r="C331" i="3"/>
  <c r="B331" i="3"/>
  <c r="E330" i="3"/>
  <c r="D330" i="3"/>
  <c r="C330" i="3"/>
  <c r="B330" i="3"/>
  <c r="E329" i="3"/>
  <c r="D329" i="3"/>
  <c r="C329" i="3"/>
  <c r="B329" i="3"/>
  <c r="E328" i="3"/>
  <c r="D328" i="3"/>
  <c r="C328" i="3"/>
  <c r="B328" i="3"/>
  <c r="E327" i="3"/>
  <c r="D327" i="3"/>
  <c r="C327" i="3"/>
  <c r="B327" i="3"/>
  <c r="E326" i="3"/>
  <c r="D326" i="3"/>
  <c r="C326" i="3"/>
  <c r="B326" i="3"/>
  <c r="E325" i="3"/>
  <c r="D325" i="3"/>
  <c r="C325" i="3"/>
  <c r="B325" i="3"/>
  <c r="E324" i="3"/>
  <c r="D324" i="3"/>
  <c r="C324" i="3"/>
  <c r="E323" i="3"/>
  <c r="D323" i="3"/>
  <c r="C323" i="3"/>
  <c r="B323" i="3"/>
  <c r="E322" i="3"/>
  <c r="D322" i="3"/>
  <c r="C322" i="3"/>
  <c r="B322" i="3"/>
  <c r="E321" i="3"/>
  <c r="D321" i="3"/>
  <c r="C321" i="3"/>
  <c r="B321" i="3"/>
  <c r="E320" i="3"/>
  <c r="D320" i="3"/>
  <c r="C320" i="3"/>
  <c r="B320" i="3"/>
  <c r="E319" i="3"/>
  <c r="D319" i="3"/>
  <c r="C319" i="3"/>
  <c r="B319" i="3"/>
  <c r="E318" i="3"/>
  <c r="D318" i="3"/>
  <c r="C318" i="3"/>
  <c r="B318" i="3"/>
  <c r="E317" i="3"/>
  <c r="D317" i="3"/>
  <c r="C317" i="3"/>
  <c r="B317" i="3"/>
  <c r="E316" i="3"/>
  <c r="D316" i="3"/>
  <c r="C316" i="3"/>
  <c r="B316" i="3"/>
  <c r="E315" i="3"/>
  <c r="D315" i="3"/>
  <c r="C315" i="3"/>
  <c r="B315" i="3"/>
  <c r="E314" i="3"/>
  <c r="D314" i="3"/>
  <c r="C314" i="3"/>
  <c r="B314" i="3"/>
  <c r="E313" i="3"/>
  <c r="D313" i="3"/>
  <c r="C313" i="3"/>
  <c r="B313" i="3"/>
  <c r="E312" i="3"/>
  <c r="D312" i="3"/>
  <c r="C312" i="3"/>
  <c r="B312" i="3"/>
  <c r="E311" i="3"/>
  <c r="D311" i="3"/>
  <c r="C311" i="3"/>
  <c r="B311" i="3"/>
  <c r="E310" i="3"/>
  <c r="D310" i="3"/>
  <c r="C310" i="3"/>
  <c r="B310" i="3"/>
  <c r="E309" i="3"/>
  <c r="D309" i="3"/>
  <c r="C309" i="3"/>
  <c r="E308" i="3"/>
  <c r="D308" i="3"/>
  <c r="C308" i="3"/>
  <c r="E307" i="3"/>
  <c r="D307" i="3"/>
  <c r="C307" i="3"/>
  <c r="B307" i="3"/>
  <c r="E306" i="3"/>
  <c r="D306" i="3"/>
  <c r="C306" i="3"/>
  <c r="B306" i="3"/>
  <c r="E305" i="3"/>
  <c r="D305" i="3"/>
  <c r="C305" i="3"/>
  <c r="B305" i="3"/>
  <c r="E304" i="3"/>
  <c r="D304" i="3"/>
  <c r="C304" i="3"/>
  <c r="E303" i="3"/>
  <c r="D303" i="3"/>
  <c r="C303" i="3"/>
  <c r="B303" i="3"/>
  <c r="E302" i="3"/>
  <c r="D302" i="3"/>
  <c r="C302" i="3"/>
  <c r="B302" i="3"/>
  <c r="E301" i="3"/>
  <c r="D301" i="3"/>
  <c r="C301" i="3"/>
  <c r="B301" i="3"/>
  <c r="E300" i="3"/>
  <c r="D300" i="3"/>
  <c r="C300" i="3"/>
  <c r="E299" i="3"/>
  <c r="D299" i="3"/>
  <c r="C299" i="3"/>
  <c r="B299" i="3"/>
  <c r="E298" i="3"/>
  <c r="D298" i="3"/>
  <c r="C298" i="3"/>
  <c r="B298" i="3"/>
  <c r="E297" i="3"/>
  <c r="D297" i="3"/>
  <c r="C297" i="3"/>
  <c r="B297" i="3"/>
  <c r="E296" i="3"/>
  <c r="D296" i="3"/>
  <c r="C296" i="3"/>
  <c r="B296" i="3"/>
  <c r="E295" i="3"/>
  <c r="D295" i="3"/>
  <c r="C295" i="3"/>
  <c r="B295" i="3"/>
  <c r="E294" i="3"/>
  <c r="D294" i="3"/>
  <c r="C294" i="3"/>
  <c r="B294" i="3"/>
  <c r="E293" i="3"/>
  <c r="D293" i="3"/>
  <c r="C293" i="3"/>
  <c r="B293" i="3"/>
  <c r="E292" i="3"/>
  <c r="D292" i="3"/>
  <c r="C292" i="3"/>
  <c r="B292" i="3"/>
  <c r="E291" i="3"/>
  <c r="D291" i="3"/>
  <c r="C291" i="3"/>
  <c r="B291" i="3"/>
  <c r="E290" i="3"/>
  <c r="D290" i="3"/>
  <c r="C290" i="3"/>
  <c r="B290" i="3"/>
  <c r="E289" i="3"/>
  <c r="D289" i="3"/>
  <c r="C289" i="3"/>
  <c r="B289" i="3"/>
  <c r="E288" i="3"/>
  <c r="D288" i="3"/>
  <c r="C288" i="3"/>
  <c r="B288" i="3"/>
  <c r="E287" i="3"/>
  <c r="D287" i="3"/>
  <c r="C287" i="3"/>
  <c r="B287" i="3"/>
  <c r="E286" i="3"/>
  <c r="D286" i="3"/>
  <c r="C286" i="3"/>
  <c r="E285" i="3"/>
  <c r="D285" i="3"/>
  <c r="C285" i="3"/>
  <c r="B285" i="3"/>
  <c r="E284" i="3"/>
  <c r="D284" i="3"/>
  <c r="C284" i="3"/>
  <c r="B284" i="3"/>
  <c r="E283" i="3"/>
  <c r="D283" i="3"/>
  <c r="C283" i="3"/>
  <c r="B283" i="3"/>
  <c r="E282" i="3"/>
  <c r="D282" i="3"/>
  <c r="C282" i="3"/>
  <c r="B282" i="3"/>
  <c r="E281" i="3"/>
  <c r="D281" i="3"/>
  <c r="C281" i="3"/>
  <c r="B281" i="3"/>
  <c r="E280" i="3"/>
  <c r="D280" i="3"/>
  <c r="C280" i="3"/>
  <c r="B280" i="3"/>
  <c r="E279" i="3"/>
  <c r="D279" i="3"/>
  <c r="C279" i="3"/>
  <c r="B279" i="3"/>
  <c r="E278" i="3"/>
  <c r="D278" i="3"/>
  <c r="C278" i="3"/>
  <c r="B278" i="3"/>
  <c r="E277" i="3"/>
  <c r="D277" i="3"/>
  <c r="C277" i="3"/>
  <c r="B277" i="3"/>
  <c r="E276" i="3"/>
  <c r="D276" i="3"/>
  <c r="C276" i="3"/>
  <c r="B276" i="3"/>
  <c r="E275" i="3"/>
  <c r="D275" i="3"/>
  <c r="C275" i="3"/>
  <c r="B275" i="3"/>
  <c r="E274" i="3"/>
  <c r="D274" i="3"/>
  <c r="C274" i="3"/>
  <c r="B274" i="3"/>
  <c r="E273" i="3"/>
  <c r="D273" i="3"/>
  <c r="C273" i="3"/>
  <c r="E272" i="3"/>
  <c r="D272" i="3"/>
  <c r="C272" i="3"/>
  <c r="B272" i="3"/>
  <c r="E271" i="3"/>
  <c r="D271" i="3"/>
  <c r="C271" i="3"/>
  <c r="B271" i="3"/>
  <c r="E270" i="3"/>
  <c r="D270" i="3"/>
  <c r="C270" i="3"/>
  <c r="E269" i="3"/>
  <c r="D269" i="3"/>
  <c r="C269" i="3"/>
  <c r="E268" i="3"/>
  <c r="D268" i="3"/>
  <c r="C268" i="3"/>
  <c r="E267" i="3"/>
  <c r="D267" i="3"/>
  <c r="C267" i="3"/>
  <c r="E266" i="3"/>
  <c r="D266" i="3"/>
  <c r="C266" i="3"/>
  <c r="B266" i="3"/>
  <c r="E265" i="3"/>
  <c r="D265" i="3"/>
  <c r="C265" i="3"/>
  <c r="B265" i="3"/>
  <c r="E264" i="3"/>
  <c r="D264" i="3"/>
  <c r="C264" i="3"/>
  <c r="B264" i="3"/>
  <c r="E263" i="3"/>
  <c r="D263" i="3"/>
  <c r="C263" i="3"/>
  <c r="B263" i="3"/>
  <c r="E262" i="3"/>
  <c r="D262" i="3"/>
  <c r="C262" i="3"/>
  <c r="B262" i="3"/>
  <c r="E261" i="3"/>
  <c r="D261" i="3"/>
  <c r="C261" i="3"/>
  <c r="B261" i="3"/>
  <c r="E260" i="3"/>
  <c r="D260" i="3"/>
  <c r="C260" i="3"/>
  <c r="B260" i="3"/>
  <c r="E259" i="3"/>
  <c r="D259" i="3"/>
  <c r="C259" i="3"/>
  <c r="B259" i="3"/>
  <c r="E258" i="3"/>
  <c r="D258" i="3"/>
  <c r="C258" i="3"/>
  <c r="B258" i="3"/>
  <c r="E257" i="3"/>
  <c r="D257" i="3"/>
  <c r="C257" i="3"/>
  <c r="B257" i="3"/>
  <c r="E256" i="3"/>
  <c r="D256" i="3"/>
  <c r="C256" i="3"/>
  <c r="B256" i="3"/>
  <c r="E255" i="3"/>
  <c r="D255" i="3"/>
  <c r="C255" i="3"/>
  <c r="B255" i="3"/>
  <c r="E254" i="3"/>
  <c r="D254" i="3"/>
  <c r="C254" i="3"/>
  <c r="B254" i="3"/>
  <c r="E253" i="3"/>
  <c r="D253" i="3"/>
  <c r="C253" i="3"/>
  <c r="B253" i="3"/>
  <c r="E252" i="3"/>
  <c r="D252" i="3"/>
  <c r="C252" i="3"/>
  <c r="E251" i="3"/>
  <c r="D251" i="3"/>
  <c r="C251" i="3"/>
  <c r="B251" i="3"/>
  <c r="E250" i="3"/>
  <c r="D250" i="3"/>
  <c r="C250" i="3"/>
  <c r="B250" i="3"/>
  <c r="E249" i="3"/>
  <c r="D249" i="3"/>
  <c r="C249" i="3"/>
  <c r="B249" i="3"/>
  <c r="E248" i="3"/>
  <c r="D248" i="3"/>
  <c r="C248" i="3"/>
  <c r="B248" i="3"/>
  <c r="E247" i="3"/>
  <c r="D247" i="3"/>
  <c r="C247" i="3"/>
  <c r="B247" i="3"/>
  <c r="E246" i="3"/>
  <c r="D246" i="3"/>
  <c r="C246" i="3"/>
  <c r="B246" i="3"/>
  <c r="E245" i="3"/>
  <c r="D245" i="3"/>
  <c r="C245" i="3"/>
  <c r="E244" i="3"/>
  <c r="D244" i="3"/>
  <c r="C244" i="3"/>
  <c r="B244" i="3"/>
  <c r="E243" i="3"/>
  <c r="D243" i="3"/>
  <c r="C243" i="3"/>
  <c r="B243" i="3"/>
  <c r="E242" i="3"/>
  <c r="D242" i="3"/>
  <c r="C242" i="3"/>
  <c r="B242" i="3"/>
  <c r="E241" i="3"/>
  <c r="D241" i="3"/>
  <c r="C241" i="3"/>
  <c r="B241" i="3"/>
  <c r="E240" i="3"/>
  <c r="D240" i="3"/>
  <c r="C240" i="3"/>
  <c r="B240" i="3"/>
  <c r="E239" i="3"/>
  <c r="D239" i="3"/>
  <c r="C239" i="3"/>
  <c r="B239" i="3"/>
  <c r="E238" i="3"/>
  <c r="D238" i="3"/>
  <c r="C238" i="3"/>
  <c r="B238" i="3"/>
  <c r="E237" i="3"/>
  <c r="D237" i="3"/>
  <c r="C237" i="3"/>
  <c r="B237" i="3"/>
  <c r="E236" i="3"/>
  <c r="D236" i="3"/>
  <c r="C236" i="3"/>
  <c r="B236" i="3"/>
  <c r="E235" i="3"/>
  <c r="D235" i="3"/>
  <c r="C235" i="3"/>
  <c r="B235" i="3"/>
  <c r="E234" i="3"/>
  <c r="D234" i="3"/>
  <c r="C234" i="3"/>
  <c r="B234" i="3"/>
  <c r="E233" i="3"/>
  <c r="D233" i="3"/>
  <c r="C233" i="3"/>
  <c r="B233" i="3"/>
  <c r="E232" i="3"/>
  <c r="D232" i="3"/>
  <c r="C232" i="3"/>
  <c r="B232" i="3"/>
  <c r="E231" i="3"/>
  <c r="D231" i="3"/>
  <c r="C231" i="3"/>
  <c r="B231" i="3"/>
  <c r="E230" i="3"/>
  <c r="D230" i="3"/>
  <c r="C230" i="3"/>
  <c r="B230" i="3"/>
  <c r="E229" i="3"/>
  <c r="D229" i="3"/>
  <c r="C229" i="3"/>
  <c r="B229" i="3"/>
  <c r="E228" i="3"/>
  <c r="D228" i="3"/>
  <c r="C228" i="3"/>
  <c r="B228" i="3"/>
  <c r="E227" i="3"/>
  <c r="D227" i="3"/>
  <c r="C227" i="3"/>
  <c r="B227" i="3"/>
  <c r="E226" i="3"/>
  <c r="D226" i="3"/>
  <c r="C226" i="3"/>
  <c r="B226" i="3"/>
  <c r="E225" i="3"/>
  <c r="D225" i="3"/>
  <c r="C225" i="3"/>
  <c r="B225" i="3"/>
  <c r="E224" i="3"/>
  <c r="D224" i="3"/>
  <c r="C224" i="3"/>
  <c r="B224" i="3"/>
  <c r="E223" i="3"/>
  <c r="D223" i="3"/>
  <c r="C223" i="3"/>
  <c r="B223" i="3"/>
  <c r="E222" i="3"/>
  <c r="D222" i="3"/>
  <c r="C222" i="3"/>
  <c r="B222" i="3"/>
  <c r="E221" i="3"/>
  <c r="D221" i="3"/>
  <c r="C221" i="3"/>
  <c r="B221" i="3"/>
  <c r="E220" i="3"/>
  <c r="D220" i="3"/>
  <c r="C220" i="3"/>
  <c r="B220" i="3"/>
  <c r="E219" i="3"/>
  <c r="D219" i="3"/>
  <c r="C219" i="3"/>
  <c r="B219" i="3"/>
  <c r="E218" i="3"/>
  <c r="D218" i="3"/>
  <c r="C218" i="3"/>
  <c r="B218" i="3"/>
  <c r="E217" i="3"/>
  <c r="D217" i="3"/>
  <c r="C217" i="3"/>
  <c r="B217" i="3"/>
  <c r="E216" i="3"/>
  <c r="D216" i="3"/>
  <c r="C216" i="3"/>
  <c r="B216" i="3"/>
  <c r="E215" i="3"/>
  <c r="D215" i="3"/>
  <c r="C215" i="3"/>
  <c r="B215" i="3"/>
  <c r="E214" i="3"/>
  <c r="D214" i="3"/>
  <c r="C214" i="3"/>
  <c r="B214" i="3"/>
  <c r="E213" i="3"/>
  <c r="D213" i="3"/>
  <c r="C213" i="3"/>
  <c r="B213" i="3"/>
  <c r="E212" i="3"/>
  <c r="D212" i="3"/>
  <c r="C212" i="3"/>
  <c r="B212" i="3"/>
  <c r="E211" i="3"/>
  <c r="D211" i="3"/>
  <c r="C211" i="3"/>
  <c r="B211" i="3"/>
  <c r="E210" i="3"/>
  <c r="D210" i="3"/>
  <c r="C210" i="3"/>
  <c r="B210" i="3"/>
  <c r="E209" i="3"/>
  <c r="D209" i="3"/>
  <c r="C209" i="3"/>
  <c r="B209" i="3"/>
  <c r="E208" i="3"/>
  <c r="D208" i="3"/>
  <c r="C208" i="3"/>
  <c r="B208" i="3"/>
  <c r="E207" i="3"/>
  <c r="D207" i="3"/>
  <c r="C207" i="3"/>
  <c r="B207" i="3"/>
  <c r="E206" i="3"/>
  <c r="D206" i="3"/>
  <c r="C206" i="3"/>
  <c r="B206" i="3"/>
  <c r="E205" i="3"/>
  <c r="D205" i="3"/>
  <c r="C205" i="3"/>
  <c r="B205" i="3"/>
  <c r="E204" i="3"/>
  <c r="D204" i="3"/>
  <c r="C204" i="3"/>
  <c r="B204" i="3"/>
  <c r="E203" i="3"/>
  <c r="D203" i="3"/>
  <c r="C203" i="3"/>
  <c r="B203" i="3"/>
  <c r="E202" i="3"/>
  <c r="D202" i="3"/>
  <c r="C202" i="3"/>
  <c r="B202" i="3"/>
  <c r="E201" i="3"/>
  <c r="D201" i="3"/>
  <c r="C201" i="3"/>
  <c r="B201" i="3"/>
  <c r="E200" i="3"/>
  <c r="D200" i="3"/>
  <c r="C200" i="3"/>
  <c r="B200" i="3"/>
  <c r="E199" i="3"/>
  <c r="D199" i="3"/>
  <c r="C199" i="3"/>
  <c r="B199" i="3"/>
  <c r="E198" i="3"/>
  <c r="D198" i="3"/>
  <c r="C198" i="3"/>
  <c r="B198" i="3"/>
  <c r="E197" i="3"/>
  <c r="D197" i="3"/>
  <c r="C197" i="3"/>
  <c r="B197" i="3"/>
  <c r="E196" i="3"/>
  <c r="D196" i="3"/>
  <c r="C196" i="3"/>
  <c r="B196" i="3"/>
  <c r="E195" i="3"/>
  <c r="D195" i="3"/>
  <c r="C195" i="3"/>
  <c r="B195" i="3"/>
  <c r="E194" i="3"/>
  <c r="D194" i="3"/>
  <c r="C194" i="3"/>
  <c r="B194" i="3"/>
  <c r="E193" i="3"/>
  <c r="D193" i="3"/>
  <c r="C193" i="3"/>
  <c r="B193" i="3"/>
  <c r="E192" i="3"/>
  <c r="D192" i="3"/>
  <c r="C192" i="3"/>
  <c r="B192" i="3"/>
  <c r="E191" i="3"/>
  <c r="D191" i="3"/>
  <c r="C191" i="3"/>
  <c r="B191" i="3"/>
  <c r="E190" i="3"/>
  <c r="D190" i="3"/>
  <c r="C190" i="3"/>
  <c r="B190" i="3"/>
  <c r="E189" i="3"/>
  <c r="D189" i="3"/>
  <c r="C189" i="3"/>
  <c r="B189" i="3"/>
  <c r="E188" i="3"/>
  <c r="D188" i="3"/>
  <c r="C188" i="3"/>
  <c r="B188" i="3"/>
  <c r="E187" i="3"/>
  <c r="D187" i="3"/>
  <c r="C187" i="3"/>
  <c r="B187" i="3"/>
  <c r="E186" i="3"/>
  <c r="D186" i="3"/>
  <c r="C186" i="3"/>
  <c r="B186" i="3"/>
  <c r="E185" i="3"/>
  <c r="D185" i="3"/>
  <c r="C185" i="3"/>
  <c r="B185" i="3"/>
  <c r="E184" i="3"/>
  <c r="D184" i="3"/>
  <c r="C184" i="3"/>
  <c r="B184" i="3"/>
  <c r="E183" i="3"/>
  <c r="D183" i="3"/>
  <c r="C183" i="3"/>
  <c r="B183" i="3"/>
  <c r="E182" i="3"/>
  <c r="D182" i="3"/>
  <c r="C182" i="3"/>
  <c r="B182" i="3"/>
  <c r="E181" i="3"/>
  <c r="D181" i="3"/>
  <c r="C181" i="3"/>
  <c r="B181" i="3"/>
  <c r="E180" i="3"/>
  <c r="D180" i="3"/>
  <c r="C180" i="3"/>
  <c r="B180" i="3"/>
  <c r="E179" i="3"/>
  <c r="D179" i="3"/>
  <c r="C179" i="3"/>
  <c r="B179" i="3"/>
  <c r="E178" i="3"/>
  <c r="D178" i="3"/>
  <c r="C178" i="3"/>
  <c r="B178" i="3"/>
  <c r="E177" i="3"/>
  <c r="D177" i="3"/>
  <c r="C177" i="3"/>
  <c r="B177" i="3"/>
  <c r="E176" i="3"/>
  <c r="D176" i="3"/>
  <c r="C176" i="3"/>
  <c r="B176" i="3"/>
  <c r="E175" i="3"/>
  <c r="D175" i="3"/>
  <c r="C175" i="3"/>
  <c r="B175" i="3"/>
  <c r="E174" i="3"/>
  <c r="D174" i="3"/>
  <c r="C174" i="3"/>
  <c r="B174" i="3"/>
  <c r="E173" i="3"/>
  <c r="D173" i="3"/>
  <c r="C173" i="3"/>
  <c r="B173" i="3"/>
  <c r="E172" i="3"/>
  <c r="D172" i="3"/>
  <c r="C172" i="3"/>
  <c r="B172" i="3"/>
  <c r="E171" i="3"/>
  <c r="D171" i="3"/>
  <c r="C171" i="3"/>
  <c r="B171" i="3"/>
  <c r="E170" i="3"/>
  <c r="D170" i="3"/>
  <c r="C170" i="3"/>
  <c r="B170" i="3"/>
  <c r="E169" i="3"/>
  <c r="D169" i="3"/>
  <c r="C169" i="3"/>
  <c r="B169" i="3"/>
  <c r="E168" i="3"/>
  <c r="D168" i="3"/>
  <c r="C168" i="3"/>
  <c r="B168" i="3"/>
  <c r="E167" i="3"/>
  <c r="D167" i="3"/>
  <c r="C167" i="3"/>
  <c r="B167" i="3"/>
  <c r="E166" i="3"/>
  <c r="D166" i="3"/>
  <c r="C166" i="3"/>
  <c r="B166" i="3"/>
  <c r="E165" i="3"/>
  <c r="D165" i="3"/>
  <c r="C165" i="3"/>
  <c r="B165" i="3"/>
  <c r="E164" i="3"/>
  <c r="D164" i="3"/>
  <c r="C164" i="3"/>
  <c r="B164" i="3"/>
  <c r="E163" i="3"/>
  <c r="D163" i="3"/>
  <c r="C163" i="3"/>
  <c r="B163" i="3"/>
  <c r="E162" i="3"/>
  <c r="D162" i="3"/>
  <c r="C162" i="3"/>
  <c r="B162" i="3"/>
  <c r="E161" i="3"/>
  <c r="D161" i="3"/>
  <c r="C161" i="3"/>
  <c r="B161" i="3"/>
  <c r="E160" i="3"/>
  <c r="D160" i="3"/>
  <c r="C160" i="3"/>
  <c r="B160" i="3"/>
  <c r="E159" i="3"/>
  <c r="D159" i="3"/>
  <c r="C159" i="3"/>
  <c r="B159" i="3"/>
  <c r="E158" i="3"/>
  <c r="D158" i="3"/>
  <c r="C158" i="3"/>
  <c r="B158" i="3"/>
  <c r="E157" i="3"/>
  <c r="D157" i="3"/>
  <c r="C157" i="3"/>
  <c r="B157" i="3"/>
  <c r="E156" i="3"/>
  <c r="D156" i="3"/>
  <c r="C156" i="3"/>
  <c r="B156" i="3"/>
  <c r="E155" i="3"/>
  <c r="D155" i="3"/>
  <c r="C155" i="3"/>
  <c r="B155" i="3"/>
  <c r="E154" i="3"/>
  <c r="D154" i="3"/>
  <c r="C154" i="3"/>
  <c r="B154" i="3"/>
  <c r="E153" i="3"/>
  <c r="D153" i="3"/>
  <c r="C153" i="3"/>
  <c r="B153" i="3"/>
  <c r="E152" i="3"/>
  <c r="D152" i="3"/>
  <c r="C152" i="3"/>
  <c r="B152" i="3"/>
  <c r="E151" i="3"/>
  <c r="D151" i="3"/>
  <c r="C151" i="3"/>
  <c r="B151" i="3"/>
  <c r="E150" i="3"/>
  <c r="D150" i="3"/>
  <c r="C150" i="3"/>
  <c r="B150" i="3"/>
  <c r="E149" i="3"/>
  <c r="D149" i="3"/>
  <c r="C149" i="3"/>
  <c r="B149" i="3"/>
  <c r="E148" i="3"/>
  <c r="D148" i="3"/>
  <c r="C148" i="3"/>
  <c r="B148" i="3"/>
  <c r="E147" i="3"/>
  <c r="D147" i="3"/>
  <c r="C147" i="3"/>
  <c r="B147" i="3"/>
  <c r="E146" i="3"/>
  <c r="D146" i="3"/>
  <c r="C146" i="3"/>
  <c r="B146" i="3"/>
  <c r="E145" i="3"/>
  <c r="D145" i="3"/>
  <c r="C145" i="3"/>
  <c r="B145" i="3"/>
  <c r="E144" i="3"/>
  <c r="D144" i="3"/>
  <c r="C144" i="3"/>
  <c r="B144" i="3"/>
  <c r="E143" i="3"/>
  <c r="D143" i="3"/>
  <c r="C143" i="3"/>
  <c r="B143" i="3"/>
  <c r="E142" i="3"/>
  <c r="D142" i="3"/>
  <c r="C142" i="3"/>
  <c r="B142" i="3"/>
  <c r="E141" i="3"/>
  <c r="D141" i="3"/>
  <c r="C141" i="3"/>
  <c r="B141" i="3"/>
  <c r="E140" i="3"/>
  <c r="D140" i="3"/>
  <c r="C140" i="3"/>
  <c r="B140" i="3"/>
  <c r="E139" i="3"/>
  <c r="D139" i="3"/>
  <c r="C139" i="3"/>
  <c r="B139" i="3"/>
  <c r="E138" i="3"/>
  <c r="D138" i="3"/>
  <c r="C138" i="3"/>
  <c r="B138" i="3"/>
  <c r="E137" i="3"/>
  <c r="D137" i="3"/>
  <c r="C137" i="3"/>
  <c r="B137" i="3"/>
  <c r="E136" i="3"/>
  <c r="D136" i="3"/>
  <c r="C136" i="3"/>
  <c r="B136" i="3"/>
  <c r="E135" i="3"/>
  <c r="D135" i="3"/>
  <c r="C135" i="3"/>
  <c r="B135" i="3"/>
  <c r="E134" i="3"/>
  <c r="D134" i="3"/>
  <c r="C134" i="3"/>
  <c r="B134" i="3"/>
  <c r="E133" i="3"/>
  <c r="D133" i="3"/>
  <c r="C133" i="3"/>
  <c r="B133" i="3"/>
  <c r="E132" i="3"/>
  <c r="D132" i="3"/>
  <c r="C132" i="3"/>
  <c r="B132" i="3"/>
  <c r="E131" i="3"/>
  <c r="D131" i="3"/>
  <c r="C131" i="3"/>
  <c r="B131" i="3"/>
  <c r="E130" i="3"/>
  <c r="D130" i="3"/>
  <c r="C130" i="3"/>
  <c r="B130" i="3"/>
  <c r="E129" i="3"/>
  <c r="D129" i="3"/>
  <c r="C129" i="3"/>
  <c r="B129" i="3"/>
  <c r="E128" i="3"/>
  <c r="D128" i="3"/>
  <c r="C128" i="3"/>
  <c r="E127" i="3"/>
  <c r="D127" i="3"/>
  <c r="C127" i="3"/>
  <c r="B127" i="3"/>
  <c r="E126" i="3"/>
  <c r="D126" i="3"/>
  <c r="C126" i="3"/>
  <c r="B126" i="3"/>
  <c r="E125" i="3"/>
  <c r="D125" i="3"/>
  <c r="C125" i="3"/>
  <c r="B125" i="3"/>
  <c r="E124" i="3"/>
  <c r="D124" i="3"/>
  <c r="C124" i="3"/>
  <c r="B124" i="3"/>
  <c r="E123" i="3"/>
  <c r="D123" i="3"/>
  <c r="C123" i="3"/>
  <c r="B123" i="3"/>
  <c r="E122" i="3"/>
  <c r="D122" i="3"/>
  <c r="C122" i="3"/>
  <c r="B122" i="3"/>
  <c r="E121" i="3"/>
  <c r="D121" i="3"/>
  <c r="C121" i="3"/>
  <c r="B121" i="3"/>
  <c r="E120" i="3"/>
  <c r="D120" i="3"/>
  <c r="C120" i="3"/>
  <c r="B120" i="3"/>
  <c r="E119" i="3"/>
  <c r="D119" i="3"/>
  <c r="C119" i="3"/>
  <c r="B119" i="3"/>
  <c r="E118" i="3"/>
  <c r="D118" i="3"/>
  <c r="C118" i="3"/>
  <c r="B118" i="3"/>
  <c r="E117" i="3"/>
  <c r="D117" i="3"/>
  <c r="C117" i="3"/>
  <c r="B117" i="3"/>
  <c r="E116" i="3"/>
  <c r="D116" i="3"/>
  <c r="C116" i="3"/>
  <c r="B116" i="3"/>
  <c r="E115" i="3"/>
  <c r="D115" i="3"/>
  <c r="C115" i="3"/>
  <c r="B115" i="3"/>
  <c r="E114" i="3"/>
  <c r="D114" i="3"/>
  <c r="C114" i="3"/>
  <c r="B114" i="3"/>
  <c r="E113" i="3"/>
  <c r="D113" i="3"/>
  <c r="C113" i="3"/>
  <c r="B113" i="3"/>
  <c r="E112" i="3"/>
  <c r="D112" i="3"/>
  <c r="C112" i="3"/>
  <c r="B112" i="3"/>
  <c r="E111" i="3"/>
  <c r="D111" i="3"/>
  <c r="C111" i="3"/>
  <c r="B111" i="3"/>
  <c r="E110" i="3"/>
  <c r="D110" i="3"/>
  <c r="C110" i="3"/>
  <c r="B110" i="3"/>
  <c r="E109" i="3"/>
  <c r="D109" i="3"/>
  <c r="C109" i="3"/>
  <c r="B109" i="3"/>
  <c r="E108" i="3"/>
  <c r="D108" i="3"/>
  <c r="C108" i="3"/>
  <c r="B108" i="3"/>
  <c r="E107" i="3"/>
  <c r="D107" i="3"/>
  <c r="C107" i="3"/>
  <c r="B107" i="3"/>
  <c r="E106" i="3"/>
  <c r="D106" i="3"/>
  <c r="C106" i="3"/>
  <c r="B106" i="3"/>
  <c r="E105" i="3"/>
  <c r="D105" i="3"/>
  <c r="C105" i="3"/>
  <c r="B105" i="3"/>
  <c r="E104" i="3"/>
  <c r="D104" i="3"/>
  <c r="C104" i="3"/>
  <c r="B104" i="3"/>
  <c r="E103" i="3"/>
  <c r="D103" i="3"/>
  <c r="C103" i="3"/>
  <c r="B103" i="3"/>
  <c r="E102" i="3"/>
  <c r="D102" i="3"/>
  <c r="C102" i="3"/>
  <c r="B102" i="3"/>
  <c r="E101" i="3"/>
  <c r="D101" i="3"/>
  <c r="C101" i="3"/>
  <c r="B101" i="3"/>
  <c r="E100" i="3"/>
  <c r="D100" i="3"/>
  <c r="C100" i="3"/>
  <c r="B100" i="3"/>
  <c r="E99" i="3"/>
  <c r="D99" i="3"/>
  <c r="C99" i="3"/>
  <c r="B99" i="3"/>
  <c r="E98" i="3"/>
  <c r="D98" i="3"/>
  <c r="C98" i="3"/>
  <c r="B98" i="3"/>
  <c r="E97" i="3"/>
  <c r="D97" i="3"/>
  <c r="C97" i="3"/>
  <c r="B97" i="3"/>
  <c r="E96" i="3"/>
  <c r="D96" i="3"/>
  <c r="C96" i="3"/>
  <c r="B96" i="3"/>
  <c r="E95" i="3"/>
  <c r="D95" i="3"/>
  <c r="C95" i="3"/>
  <c r="B95" i="3"/>
  <c r="E94" i="3"/>
  <c r="D94" i="3"/>
  <c r="C94" i="3"/>
  <c r="B94" i="3"/>
  <c r="E93" i="3"/>
  <c r="D93" i="3"/>
  <c r="C93" i="3"/>
  <c r="B93" i="3"/>
  <c r="E92" i="3"/>
  <c r="D92" i="3"/>
  <c r="C92" i="3"/>
  <c r="B92" i="3"/>
  <c r="E91" i="3"/>
  <c r="D91" i="3"/>
  <c r="C91" i="3"/>
  <c r="B91" i="3"/>
  <c r="E90" i="3"/>
  <c r="D90" i="3"/>
  <c r="C90" i="3"/>
  <c r="B90" i="3"/>
  <c r="E89" i="3"/>
  <c r="D89" i="3"/>
  <c r="C89" i="3"/>
  <c r="B89" i="3"/>
  <c r="E88" i="3"/>
  <c r="D88" i="3"/>
  <c r="C88" i="3"/>
  <c r="B88" i="3"/>
  <c r="E87" i="3"/>
  <c r="D87" i="3"/>
  <c r="C87" i="3"/>
  <c r="B87" i="3"/>
  <c r="E86" i="3"/>
  <c r="D86" i="3"/>
  <c r="C86" i="3"/>
  <c r="B86" i="3"/>
  <c r="E85" i="3"/>
  <c r="D85" i="3"/>
  <c r="C85" i="3"/>
  <c r="B85" i="3"/>
  <c r="E84" i="3"/>
  <c r="D84" i="3"/>
  <c r="C84" i="3"/>
  <c r="B84" i="3"/>
  <c r="E83" i="3"/>
  <c r="D83" i="3"/>
  <c r="C83" i="3"/>
  <c r="B83" i="3"/>
  <c r="E82" i="3"/>
  <c r="D82" i="3"/>
  <c r="C82" i="3"/>
  <c r="B82" i="3"/>
  <c r="E81" i="3"/>
  <c r="D81" i="3"/>
  <c r="C81" i="3"/>
  <c r="B81" i="3"/>
  <c r="E80" i="3"/>
  <c r="D80" i="3"/>
  <c r="C80" i="3"/>
  <c r="B80" i="3"/>
  <c r="E79" i="3"/>
  <c r="D79" i="3"/>
  <c r="C79" i="3"/>
  <c r="B79" i="3"/>
  <c r="E78" i="3"/>
  <c r="D78" i="3"/>
  <c r="C78" i="3"/>
  <c r="B78" i="3"/>
  <c r="E77" i="3"/>
  <c r="D77" i="3"/>
  <c r="C77" i="3"/>
  <c r="B77" i="3"/>
  <c r="E76" i="3"/>
  <c r="D76" i="3"/>
  <c r="C76" i="3"/>
  <c r="B76" i="3"/>
  <c r="E75" i="3"/>
  <c r="D75" i="3"/>
  <c r="C75" i="3"/>
  <c r="B75" i="3"/>
  <c r="E74" i="3"/>
  <c r="D74" i="3"/>
  <c r="C74" i="3"/>
  <c r="B74" i="3"/>
  <c r="E73" i="3"/>
  <c r="D73" i="3"/>
  <c r="C73" i="3"/>
  <c r="B73" i="3"/>
  <c r="E72" i="3"/>
  <c r="D72" i="3"/>
  <c r="C72" i="3"/>
  <c r="B72" i="3"/>
  <c r="E71" i="3"/>
  <c r="D71" i="3"/>
  <c r="C71" i="3"/>
  <c r="B71" i="3"/>
  <c r="E70" i="3"/>
  <c r="D70" i="3"/>
  <c r="C70" i="3"/>
  <c r="B70" i="3"/>
  <c r="E69" i="3"/>
  <c r="D69" i="3"/>
  <c r="C69" i="3"/>
  <c r="B69" i="3"/>
  <c r="E68" i="3"/>
  <c r="D68" i="3"/>
  <c r="C68" i="3"/>
  <c r="B68" i="3"/>
  <c r="E67" i="3"/>
  <c r="D67" i="3"/>
  <c r="C67" i="3"/>
  <c r="B67" i="3"/>
  <c r="E66" i="3"/>
  <c r="D66" i="3"/>
  <c r="C66" i="3"/>
  <c r="B66" i="3"/>
  <c r="E65" i="3"/>
  <c r="D65" i="3"/>
  <c r="C65" i="3"/>
  <c r="B65" i="3"/>
  <c r="E64" i="3"/>
  <c r="D64" i="3"/>
  <c r="C64" i="3"/>
  <c r="B64" i="3"/>
  <c r="E63" i="3"/>
  <c r="D63" i="3"/>
  <c r="C63" i="3"/>
  <c r="B63" i="3"/>
  <c r="E62" i="3"/>
  <c r="D62" i="3"/>
  <c r="C62" i="3"/>
  <c r="B62" i="3"/>
  <c r="E61" i="3"/>
  <c r="D61" i="3"/>
  <c r="C61" i="3"/>
  <c r="B61" i="3"/>
  <c r="E60" i="3"/>
  <c r="D60" i="3"/>
  <c r="C60" i="3"/>
  <c r="B60" i="3"/>
  <c r="E59" i="3"/>
  <c r="D59" i="3"/>
  <c r="C59" i="3"/>
  <c r="B59" i="3"/>
  <c r="E58" i="3"/>
  <c r="D58" i="3"/>
  <c r="C58" i="3"/>
  <c r="B58" i="3"/>
  <c r="E57" i="3"/>
  <c r="D57" i="3"/>
  <c r="C57" i="3"/>
  <c r="B57" i="3"/>
  <c r="E56" i="3"/>
  <c r="D56" i="3"/>
  <c r="C56" i="3"/>
  <c r="B56" i="3"/>
  <c r="E55" i="3"/>
  <c r="D55" i="3"/>
  <c r="C55" i="3"/>
  <c r="B55" i="3"/>
  <c r="E54" i="3"/>
  <c r="D54" i="3"/>
  <c r="C54" i="3"/>
  <c r="B54" i="3"/>
  <c r="E53" i="3"/>
  <c r="D53" i="3"/>
  <c r="C53" i="3"/>
  <c r="B53" i="3"/>
  <c r="E52" i="3"/>
  <c r="D52" i="3"/>
  <c r="C52" i="3"/>
  <c r="B52" i="3"/>
  <c r="E51" i="3"/>
  <c r="D51" i="3"/>
  <c r="C51" i="3"/>
  <c r="B51" i="3"/>
  <c r="E50" i="3"/>
  <c r="D50" i="3"/>
  <c r="C50" i="3"/>
  <c r="B50" i="3"/>
  <c r="E49" i="3"/>
  <c r="D49" i="3"/>
  <c r="C49" i="3"/>
  <c r="B49" i="3"/>
  <c r="E48" i="3"/>
  <c r="D48" i="3"/>
  <c r="C48" i="3"/>
  <c r="B48" i="3"/>
  <c r="E47" i="3"/>
  <c r="D47" i="3"/>
  <c r="C47" i="3"/>
  <c r="B47" i="3"/>
  <c r="E46" i="3"/>
  <c r="D46" i="3"/>
  <c r="C46" i="3"/>
  <c r="B46" i="3"/>
  <c r="E45" i="3"/>
  <c r="D45" i="3"/>
  <c r="C45" i="3"/>
  <c r="B45" i="3"/>
  <c r="E44" i="3"/>
  <c r="D44" i="3"/>
  <c r="C44" i="3"/>
  <c r="B44" i="3"/>
  <c r="E43" i="3"/>
  <c r="D43" i="3"/>
  <c r="C43" i="3"/>
  <c r="B43" i="3"/>
  <c r="E42" i="3"/>
  <c r="D42" i="3"/>
  <c r="C42" i="3"/>
  <c r="B42" i="3"/>
  <c r="E41" i="3"/>
  <c r="D41" i="3"/>
  <c r="C41" i="3"/>
  <c r="B41" i="3"/>
  <c r="E40" i="3"/>
  <c r="D40" i="3"/>
  <c r="C40" i="3"/>
  <c r="B40" i="3"/>
  <c r="E39" i="3"/>
  <c r="D39" i="3"/>
  <c r="C39" i="3"/>
  <c r="B39" i="3"/>
  <c r="E38" i="3"/>
  <c r="D38" i="3"/>
  <c r="C38" i="3"/>
  <c r="B38" i="3"/>
  <c r="E37" i="3"/>
  <c r="D37" i="3"/>
  <c r="C37" i="3"/>
  <c r="B37" i="3"/>
  <c r="E36" i="3"/>
  <c r="D36" i="3"/>
  <c r="C36" i="3"/>
  <c r="B36" i="3"/>
  <c r="E35" i="3"/>
  <c r="D35" i="3"/>
  <c r="C35" i="3"/>
  <c r="B35" i="3"/>
  <c r="E34" i="3"/>
  <c r="D34" i="3"/>
  <c r="C34" i="3"/>
  <c r="B34" i="3"/>
  <c r="E33" i="3"/>
  <c r="D33" i="3"/>
  <c r="C33" i="3"/>
  <c r="B33" i="3"/>
  <c r="E32" i="3"/>
  <c r="D32" i="3"/>
  <c r="C32" i="3"/>
  <c r="B32" i="3"/>
  <c r="E31" i="3"/>
  <c r="D31" i="3"/>
  <c r="C31" i="3"/>
  <c r="B31" i="3"/>
  <c r="E30" i="3"/>
  <c r="D30" i="3"/>
  <c r="C30" i="3"/>
  <c r="B30" i="3"/>
  <c r="E29" i="3"/>
  <c r="D29" i="3"/>
  <c r="C29" i="3"/>
  <c r="B29" i="3"/>
  <c r="E28" i="3"/>
  <c r="D28" i="3"/>
  <c r="C28" i="3"/>
  <c r="B28" i="3"/>
  <c r="E27" i="3"/>
  <c r="D27" i="3"/>
  <c r="C27" i="3"/>
  <c r="B27" i="3"/>
  <c r="E26" i="3"/>
  <c r="D26" i="3"/>
  <c r="C26" i="3"/>
  <c r="B26" i="3"/>
  <c r="E25" i="3"/>
  <c r="D25" i="3"/>
  <c r="C25" i="3"/>
  <c r="B25" i="3"/>
  <c r="E24" i="3"/>
  <c r="D24" i="3"/>
  <c r="C24" i="3"/>
  <c r="B24" i="3"/>
  <c r="E23" i="3"/>
  <c r="D23" i="3"/>
  <c r="C23" i="3"/>
  <c r="B23" i="3"/>
  <c r="E22" i="3"/>
  <c r="D22" i="3"/>
  <c r="C22" i="3"/>
  <c r="B22" i="3"/>
  <c r="E21" i="3"/>
  <c r="D21" i="3"/>
  <c r="C21" i="3"/>
  <c r="B21" i="3"/>
  <c r="E20" i="3"/>
  <c r="D20" i="3"/>
  <c r="C20" i="3"/>
  <c r="B20" i="3"/>
  <c r="E19" i="3"/>
  <c r="D19" i="3"/>
  <c r="C19" i="3"/>
  <c r="E18" i="3"/>
  <c r="D18" i="3"/>
  <c r="C18" i="3"/>
  <c r="B18" i="3"/>
  <c r="E17" i="3"/>
  <c r="D17" i="3"/>
  <c r="C17" i="3"/>
  <c r="B17" i="3"/>
  <c r="E16" i="3"/>
  <c r="D16" i="3"/>
  <c r="C16" i="3"/>
  <c r="B16" i="3"/>
  <c r="E15" i="3"/>
  <c r="D15" i="3"/>
  <c r="C15" i="3"/>
  <c r="B15" i="3"/>
  <c r="E14" i="3"/>
  <c r="D14" i="3"/>
  <c r="C14" i="3"/>
  <c r="B14" i="3"/>
  <c r="E13" i="3"/>
  <c r="D13" i="3"/>
  <c r="C13" i="3"/>
  <c r="B13" i="3"/>
  <c r="E12" i="3"/>
  <c r="D12" i="3"/>
  <c r="C12" i="3"/>
  <c r="B12" i="3"/>
  <c r="E11" i="3"/>
  <c r="D11" i="3"/>
  <c r="C11" i="3"/>
  <c r="B11" i="3"/>
  <c r="E10" i="3"/>
  <c r="D10" i="3"/>
  <c r="C10" i="3"/>
  <c r="B10" i="3"/>
  <c r="E9" i="3"/>
  <c r="D9" i="3"/>
  <c r="C9" i="3"/>
  <c r="B9" i="3"/>
  <c r="E8" i="3"/>
  <c r="D8" i="3"/>
  <c r="C8" i="3"/>
  <c r="B8" i="3"/>
  <c r="E7" i="3"/>
  <c r="D7" i="3"/>
  <c r="C7" i="3"/>
  <c r="E6" i="3"/>
  <c r="D6" i="3"/>
  <c r="C6" i="3"/>
  <c r="B6" i="3"/>
  <c r="C5" i="3"/>
  <c r="B5" i="3"/>
  <c r="E4" i="3"/>
  <c r="D4" i="3"/>
  <c r="C4" i="3"/>
  <c r="B4" i="3"/>
  <c r="E3" i="3"/>
  <c r="D3" i="3"/>
  <c r="C3" i="3"/>
  <c r="B3" i="3"/>
  <c r="E2" i="3"/>
  <c r="D2" i="3"/>
  <c r="C2" i="3"/>
  <c r="B2" i="3"/>
  <c r="E2089" i="2"/>
  <c r="D2089" i="2"/>
  <c r="C2089" i="2"/>
  <c r="B2089" i="2"/>
  <c r="E2088" i="2"/>
  <c r="D2088" i="2"/>
  <c r="C2088" i="2"/>
  <c r="B2088" i="2"/>
  <c r="E2087" i="2"/>
  <c r="D2087" i="2"/>
  <c r="C2087" i="2"/>
  <c r="B2087" i="2"/>
  <c r="E2086" i="2"/>
  <c r="D2086" i="2"/>
  <c r="C2086" i="2"/>
  <c r="B2086" i="2"/>
  <c r="E2085" i="2"/>
  <c r="D2085" i="2"/>
  <c r="C2085" i="2"/>
  <c r="B2085" i="2"/>
  <c r="E2084" i="2"/>
  <c r="D2084" i="2"/>
  <c r="C2084" i="2"/>
  <c r="B2084" i="2"/>
  <c r="E2083" i="2"/>
  <c r="D2083" i="2"/>
  <c r="C2083" i="2"/>
  <c r="B2083" i="2"/>
  <c r="E2082" i="2"/>
  <c r="D2082" i="2"/>
  <c r="C2082" i="2"/>
  <c r="B2082" i="2"/>
  <c r="E2081" i="2"/>
  <c r="D2081" i="2"/>
  <c r="C2081" i="2"/>
  <c r="B2081" i="2"/>
  <c r="E2080" i="2"/>
  <c r="D2080" i="2"/>
  <c r="C2080" i="2"/>
  <c r="B2080" i="2"/>
  <c r="E2079" i="2"/>
  <c r="D2079" i="2"/>
  <c r="C2079" i="2"/>
  <c r="B2079" i="2"/>
  <c r="E2078" i="2"/>
  <c r="D2078" i="2"/>
  <c r="C2078" i="2"/>
  <c r="B2078" i="2"/>
  <c r="E2077" i="2"/>
  <c r="D2077" i="2"/>
  <c r="C2077" i="2"/>
  <c r="B2077" i="2"/>
  <c r="E2076" i="2"/>
  <c r="D2076" i="2"/>
  <c r="C2076" i="2"/>
  <c r="B2076" i="2"/>
  <c r="E2075" i="2"/>
  <c r="D2075" i="2"/>
  <c r="C2075" i="2"/>
  <c r="B2075" i="2"/>
  <c r="E2074" i="2"/>
  <c r="D2074" i="2"/>
  <c r="C2074" i="2"/>
  <c r="B2074" i="2"/>
  <c r="E2073" i="2"/>
  <c r="D2073" i="2"/>
  <c r="C2073" i="2"/>
  <c r="B2073" i="2"/>
  <c r="E2072" i="2"/>
  <c r="D2072" i="2"/>
  <c r="C2072" i="2"/>
  <c r="B2072" i="2"/>
  <c r="E2071" i="2"/>
  <c r="D2071" i="2"/>
  <c r="C2071" i="2"/>
  <c r="B2071" i="2"/>
  <c r="E2070" i="2"/>
  <c r="D2070" i="2"/>
  <c r="C2070" i="2"/>
  <c r="B2070" i="2"/>
  <c r="E2069" i="2"/>
  <c r="D2069" i="2"/>
  <c r="C2069" i="2"/>
  <c r="B2069" i="2"/>
  <c r="E2068" i="2"/>
  <c r="D2068" i="2"/>
  <c r="C2068" i="2"/>
  <c r="B2068" i="2"/>
  <c r="E2067" i="2"/>
  <c r="D2067" i="2"/>
  <c r="C2067" i="2"/>
  <c r="B2067" i="2"/>
  <c r="E2066" i="2"/>
  <c r="D2066" i="2"/>
  <c r="C2066" i="2"/>
  <c r="B2066" i="2"/>
  <c r="E2065" i="2"/>
  <c r="D2065" i="2"/>
  <c r="C2065" i="2"/>
  <c r="B2065" i="2"/>
  <c r="E2064" i="2"/>
  <c r="D2064" i="2"/>
  <c r="C2064" i="2"/>
  <c r="B2064" i="2"/>
  <c r="E2063" i="2"/>
  <c r="D2063" i="2"/>
  <c r="C2063" i="2"/>
  <c r="B2063" i="2"/>
  <c r="E2062" i="2"/>
  <c r="D2062" i="2"/>
  <c r="C2062" i="2"/>
  <c r="B2062" i="2"/>
  <c r="E2061" i="2"/>
  <c r="D2061" i="2"/>
  <c r="C2061" i="2"/>
  <c r="B2061" i="2"/>
  <c r="E2060" i="2"/>
  <c r="D2060" i="2"/>
  <c r="C2060" i="2"/>
  <c r="B2060" i="2"/>
  <c r="E2059" i="2"/>
  <c r="D2059" i="2"/>
  <c r="C2059" i="2"/>
  <c r="B2059" i="2"/>
  <c r="E2058" i="2"/>
  <c r="D2058" i="2"/>
  <c r="C2058" i="2"/>
  <c r="B2058" i="2"/>
  <c r="E2057" i="2"/>
  <c r="D2057" i="2"/>
  <c r="C2057" i="2"/>
  <c r="B2057" i="2"/>
  <c r="E2056" i="2"/>
  <c r="D2056" i="2"/>
  <c r="C2056" i="2"/>
  <c r="B2056" i="2"/>
  <c r="E2055" i="2"/>
  <c r="D2055" i="2"/>
  <c r="C2055" i="2"/>
  <c r="B2055" i="2"/>
  <c r="E2054" i="2"/>
  <c r="D2054" i="2"/>
  <c r="C2054" i="2"/>
  <c r="B2054" i="2"/>
  <c r="E2053" i="2"/>
  <c r="D2053" i="2"/>
  <c r="C2053" i="2"/>
  <c r="B2053" i="2"/>
  <c r="E2052" i="2"/>
  <c r="D2052" i="2"/>
  <c r="C2052" i="2"/>
  <c r="B2052" i="2"/>
  <c r="E2051" i="2"/>
  <c r="D2051" i="2"/>
  <c r="C2051" i="2"/>
  <c r="B2051" i="2"/>
  <c r="E2050" i="2"/>
  <c r="D2050" i="2"/>
  <c r="C2050" i="2"/>
  <c r="B2050" i="2"/>
  <c r="E2049" i="2"/>
  <c r="D2049" i="2"/>
  <c r="C2049" i="2"/>
  <c r="B2049" i="2"/>
  <c r="E2048" i="2"/>
  <c r="D2048" i="2"/>
  <c r="C2048" i="2"/>
  <c r="B2048" i="2"/>
  <c r="E2047" i="2"/>
  <c r="D2047" i="2"/>
  <c r="C2047" i="2"/>
  <c r="B2047" i="2"/>
  <c r="E2046" i="2"/>
  <c r="D2046" i="2"/>
  <c r="C2046" i="2"/>
  <c r="B2046" i="2"/>
  <c r="E2045" i="2"/>
  <c r="D2045" i="2"/>
  <c r="C2045" i="2"/>
  <c r="B2045" i="2"/>
  <c r="E2044" i="2"/>
  <c r="D2044" i="2"/>
  <c r="C2044" i="2"/>
  <c r="B2044" i="2"/>
  <c r="E2043" i="2"/>
  <c r="D2043" i="2"/>
  <c r="C2043" i="2"/>
  <c r="B2043" i="2"/>
  <c r="E2042" i="2"/>
  <c r="D2042" i="2"/>
  <c r="C2042" i="2"/>
  <c r="B2042" i="2"/>
  <c r="E2041" i="2"/>
  <c r="D2041" i="2"/>
  <c r="C2041" i="2"/>
  <c r="B2041" i="2"/>
  <c r="E2040" i="2"/>
  <c r="D2040" i="2"/>
  <c r="C2040" i="2"/>
  <c r="B2040" i="2"/>
  <c r="E2039" i="2"/>
  <c r="D2039" i="2"/>
  <c r="C2039" i="2"/>
  <c r="B2039" i="2"/>
  <c r="E2038" i="2"/>
  <c r="D2038" i="2"/>
  <c r="C2038" i="2"/>
  <c r="B2038" i="2"/>
  <c r="E2037" i="2"/>
  <c r="D2037" i="2"/>
  <c r="C2037" i="2"/>
  <c r="B2037" i="2"/>
  <c r="E2036" i="2"/>
  <c r="D2036" i="2"/>
  <c r="C2036" i="2"/>
  <c r="B2036" i="2"/>
  <c r="E2035" i="2"/>
  <c r="D2035" i="2"/>
  <c r="C2035" i="2"/>
  <c r="B2035" i="2"/>
  <c r="E2034" i="2"/>
  <c r="D2034" i="2"/>
  <c r="C2034" i="2"/>
  <c r="B2034" i="2"/>
  <c r="E2033" i="2"/>
  <c r="D2033" i="2"/>
  <c r="C2033" i="2"/>
  <c r="B2033" i="2"/>
  <c r="E2032" i="2"/>
  <c r="D2032" i="2"/>
  <c r="C2032" i="2"/>
  <c r="B2032" i="2"/>
  <c r="E2031" i="2"/>
  <c r="D2031" i="2"/>
  <c r="C2031" i="2"/>
  <c r="B2031" i="2"/>
  <c r="E2030" i="2"/>
  <c r="D2030" i="2"/>
  <c r="C2030" i="2"/>
  <c r="B2030" i="2"/>
  <c r="E2029" i="2"/>
  <c r="D2029" i="2"/>
  <c r="C2029" i="2"/>
  <c r="B2029" i="2"/>
  <c r="E2028" i="2"/>
  <c r="D2028" i="2"/>
  <c r="C2028" i="2"/>
  <c r="B2028" i="2"/>
  <c r="E2027" i="2"/>
  <c r="D2027" i="2"/>
  <c r="C2027" i="2"/>
  <c r="B2027" i="2"/>
  <c r="E2026" i="2"/>
  <c r="D2026" i="2"/>
  <c r="C2026" i="2"/>
  <c r="B2026" i="2"/>
  <c r="E2025" i="2"/>
  <c r="D2025" i="2"/>
  <c r="C2025" i="2"/>
  <c r="B2025" i="2"/>
  <c r="E2024" i="2"/>
  <c r="D2024" i="2"/>
  <c r="C2024" i="2"/>
  <c r="B2024" i="2"/>
  <c r="E2023" i="2"/>
  <c r="D2023" i="2"/>
  <c r="C2023" i="2"/>
  <c r="B2023" i="2"/>
  <c r="E2022" i="2"/>
  <c r="D2022" i="2"/>
  <c r="C2022" i="2"/>
  <c r="B2022" i="2"/>
  <c r="E2021" i="2"/>
  <c r="D2021" i="2"/>
  <c r="C2021" i="2"/>
  <c r="B2021" i="2"/>
  <c r="E2020" i="2"/>
  <c r="D2020" i="2"/>
  <c r="C2020" i="2"/>
  <c r="B2020" i="2"/>
  <c r="E2019" i="2"/>
  <c r="D2019" i="2"/>
  <c r="C2019" i="2"/>
  <c r="B2019" i="2"/>
  <c r="E2018" i="2"/>
  <c r="D2018" i="2"/>
  <c r="C2018" i="2"/>
  <c r="B2018" i="2"/>
  <c r="E2017" i="2"/>
  <c r="D2017" i="2"/>
  <c r="C2017" i="2"/>
  <c r="B2017" i="2"/>
  <c r="E2016" i="2"/>
  <c r="D2016" i="2"/>
  <c r="C2016" i="2"/>
  <c r="B2016" i="2"/>
  <c r="E2015" i="2"/>
  <c r="D2015" i="2"/>
  <c r="C2015" i="2"/>
  <c r="B2015" i="2"/>
  <c r="E2014" i="2"/>
  <c r="D2014" i="2"/>
  <c r="C2014" i="2"/>
  <c r="B2014" i="2"/>
  <c r="E2013" i="2"/>
  <c r="D2013" i="2"/>
  <c r="C2013" i="2"/>
  <c r="B2013" i="2"/>
  <c r="E2012" i="2"/>
  <c r="D2012" i="2"/>
  <c r="C2012" i="2"/>
  <c r="B2012" i="2"/>
  <c r="E2011" i="2"/>
  <c r="D2011" i="2"/>
  <c r="C2011" i="2"/>
  <c r="B2011" i="2"/>
  <c r="E2010" i="2"/>
  <c r="D2010" i="2"/>
  <c r="C2010" i="2"/>
  <c r="B2010" i="2"/>
  <c r="E2009" i="2"/>
  <c r="D2009" i="2"/>
  <c r="C2009" i="2"/>
  <c r="B2009" i="2"/>
  <c r="E2008" i="2"/>
  <c r="D2008" i="2"/>
  <c r="C2008" i="2"/>
  <c r="B2008" i="2"/>
  <c r="E2007" i="2"/>
  <c r="D2007" i="2"/>
  <c r="C2007" i="2"/>
  <c r="B2007" i="2"/>
  <c r="E2006" i="2"/>
  <c r="D2006" i="2"/>
  <c r="C2006" i="2"/>
  <c r="B2006" i="2"/>
  <c r="E2005" i="2"/>
  <c r="D2005" i="2"/>
  <c r="C2005" i="2"/>
  <c r="B2005" i="2"/>
  <c r="E2004" i="2"/>
  <c r="D2004" i="2"/>
  <c r="C2004" i="2"/>
  <c r="B2004" i="2"/>
  <c r="E2003" i="2"/>
  <c r="D2003" i="2"/>
  <c r="C2003" i="2"/>
  <c r="B2003" i="2"/>
  <c r="E2002" i="2"/>
  <c r="D2002" i="2"/>
  <c r="C2002" i="2"/>
  <c r="B2002" i="2"/>
  <c r="E2001" i="2"/>
  <c r="D2001" i="2"/>
  <c r="C2001" i="2"/>
  <c r="B2001" i="2"/>
  <c r="E2000" i="2"/>
  <c r="D2000" i="2"/>
  <c r="C2000" i="2"/>
  <c r="B2000" i="2"/>
  <c r="E1999" i="2"/>
  <c r="D1999" i="2"/>
  <c r="C1999" i="2"/>
  <c r="B1999" i="2"/>
  <c r="E1998" i="2"/>
  <c r="D1998" i="2"/>
  <c r="C1998" i="2"/>
  <c r="B1998" i="2"/>
  <c r="E1997" i="2"/>
  <c r="D1997" i="2"/>
  <c r="C1997" i="2"/>
  <c r="B1997" i="2"/>
  <c r="E1996" i="2"/>
  <c r="D1996" i="2"/>
  <c r="C1996" i="2"/>
  <c r="B1996" i="2"/>
  <c r="E1995" i="2"/>
  <c r="D1995" i="2"/>
  <c r="C1995" i="2"/>
  <c r="B1995" i="2"/>
  <c r="E1994" i="2"/>
  <c r="D1994" i="2"/>
  <c r="C1994" i="2"/>
  <c r="B1994" i="2"/>
  <c r="E1993" i="2"/>
  <c r="D1993" i="2"/>
  <c r="C1993" i="2"/>
  <c r="B1993" i="2"/>
  <c r="E1992" i="2"/>
  <c r="D1992" i="2"/>
  <c r="C1992" i="2"/>
  <c r="B1992" i="2"/>
  <c r="E1991" i="2"/>
  <c r="D1991" i="2"/>
  <c r="C1991" i="2"/>
  <c r="B1991" i="2"/>
  <c r="E1990" i="2"/>
  <c r="D1990" i="2"/>
  <c r="C1990" i="2"/>
  <c r="B1990" i="2"/>
  <c r="E1989" i="2"/>
  <c r="D1989" i="2"/>
  <c r="C1989" i="2"/>
  <c r="B1989" i="2"/>
  <c r="E1988" i="2"/>
  <c r="D1988" i="2"/>
  <c r="C1988" i="2"/>
  <c r="B1988" i="2"/>
  <c r="E1987" i="2"/>
  <c r="D1987" i="2"/>
  <c r="C1987" i="2"/>
  <c r="B1987" i="2"/>
  <c r="E1986" i="2"/>
  <c r="D1986" i="2"/>
  <c r="C1986" i="2"/>
  <c r="B1986" i="2"/>
  <c r="E1985" i="2"/>
  <c r="D1985" i="2"/>
  <c r="C1985" i="2"/>
  <c r="B1985" i="2"/>
  <c r="E1984" i="2"/>
  <c r="D1984" i="2"/>
  <c r="C1984" i="2"/>
  <c r="B1984" i="2"/>
  <c r="E1983" i="2"/>
  <c r="D1983" i="2"/>
  <c r="C1983" i="2"/>
  <c r="B1983" i="2"/>
  <c r="E1982" i="2"/>
  <c r="D1982" i="2"/>
  <c r="C1982" i="2"/>
  <c r="B1982" i="2"/>
  <c r="E1981" i="2"/>
  <c r="D1981" i="2"/>
  <c r="C1981" i="2"/>
  <c r="B1981" i="2"/>
  <c r="E1980" i="2"/>
  <c r="D1980" i="2"/>
  <c r="C1980" i="2"/>
  <c r="B1980" i="2"/>
  <c r="E1979" i="2"/>
  <c r="D1979" i="2"/>
  <c r="C1979" i="2"/>
  <c r="B1979" i="2"/>
  <c r="E1978" i="2"/>
  <c r="D1978" i="2"/>
  <c r="C1978" i="2"/>
  <c r="B1978" i="2"/>
  <c r="E1977" i="2"/>
  <c r="D1977" i="2"/>
  <c r="C1977" i="2"/>
  <c r="B1977" i="2"/>
  <c r="E1976" i="2"/>
  <c r="D1976" i="2"/>
  <c r="C1976" i="2"/>
  <c r="B1976" i="2"/>
  <c r="E1975" i="2"/>
  <c r="D1975" i="2"/>
  <c r="C1975" i="2"/>
  <c r="B1975" i="2"/>
  <c r="E1974" i="2"/>
  <c r="D1974" i="2"/>
  <c r="C1974" i="2"/>
  <c r="B1974" i="2"/>
  <c r="E1973" i="2"/>
  <c r="D1973" i="2"/>
  <c r="C1973" i="2"/>
  <c r="B1973" i="2"/>
  <c r="E1972" i="2"/>
  <c r="D1972" i="2"/>
  <c r="C1972" i="2"/>
  <c r="B1972" i="2"/>
  <c r="E1971" i="2"/>
  <c r="D1971" i="2"/>
  <c r="C1971" i="2"/>
  <c r="B1971" i="2"/>
  <c r="E1970" i="2"/>
  <c r="D1970" i="2"/>
  <c r="C1970" i="2"/>
  <c r="B1970" i="2"/>
  <c r="E1969" i="2"/>
  <c r="D1969" i="2"/>
  <c r="C1969" i="2"/>
  <c r="B1969" i="2"/>
  <c r="E1968" i="2"/>
  <c r="D1968" i="2"/>
  <c r="C1968" i="2"/>
  <c r="B1968" i="2"/>
  <c r="E1967" i="2"/>
  <c r="D1967" i="2"/>
  <c r="C1967" i="2"/>
  <c r="B1967" i="2"/>
  <c r="E1966" i="2"/>
  <c r="D1966" i="2"/>
  <c r="C1966" i="2"/>
  <c r="B1966" i="2"/>
  <c r="E1965" i="2"/>
  <c r="D1965" i="2"/>
  <c r="C1965" i="2"/>
  <c r="B1965" i="2"/>
  <c r="E1964" i="2"/>
  <c r="D1964" i="2"/>
  <c r="C1964" i="2"/>
  <c r="B1964" i="2"/>
  <c r="E1963" i="2"/>
  <c r="D1963" i="2"/>
  <c r="C1963" i="2"/>
  <c r="B1963" i="2"/>
  <c r="E1962" i="2"/>
  <c r="D1962" i="2"/>
  <c r="C1962" i="2"/>
  <c r="B1962" i="2"/>
  <c r="E1961" i="2"/>
  <c r="D1961" i="2"/>
  <c r="C1961" i="2"/>
  <c r="B1961" i="2"/>
  <c r="E1960" i="2"/>
  <c r="D1960" i="2"/>
  <c r="C1960" i="2"/>
  <c r="B1960" i="2"/>
  <c r="E1959" i="2"/>
  <c r="D1959" i="2"/>
  <c r="C1959" i="2"/>
  <c r="B1959" i="2"/>
  <c r="E1958" i="2"/>
  <c r="D1958" i="2"/>
  <c r="C1958" i="2"/>
  <c r="B1958" i="2"/>
  <c r="E1957" i="2"/>
  <c r="D1957" i="2"/>
  <c r="C1957" i="2"/>
  <c r="B1957" i="2"/>
  <c r="E1956" i="2"/>
  <c r="D1956" i="2"/>
  <c r="C1956" i="2"/>
  <c r="B1956" i="2"/>
  <c r="E1955" i="2"/>
  <c r="D1955" i="2"/>
  <c r="C1955" i="2"/>
  <c r="B1955" i="2"/>
  <c r="E1954" i="2"/>
  <c r="D1954" i="2"/>
  <c r="C1954" i="2"/>
  <c r="B1954" i="2"/>
  <c r="E1953" i="2"/>
  <c r="D1953" i="2"/>
  <c r="C1953" i="2"/>
  <c r="B1953" i="2"/>
  <c r="E1952" i="2"/>
  <c r="D1952" i="2"/>
  <c r="C1952" i="2"/>
  <c r="B1952" i="2"/>
  <c r="E1951" i="2"/>
  <c r="D1951" i="2"/>
  <c r="C1951" i="2"/>
  <c r="B1951" i="2"/>
  <c r="E1950" i="2"/>
  <c r="D1950" i="2"/>
  <c r="C1950" i="2"/>
  <c r="B1950" i="2"/>
  <c r="E1949" i="2"/>
  <c r="D1949" i="2"/>
  <c r="C1949" i="2"/>
  <c r="B1949" i="2"/>
  <c r="E1948" i="2"/>
  <c r="D1948" i="2"/>
  <c r="C1948" i="2"/>
  <c r="B1948" i="2"/>
  <c r="E1947" i="2"/>
  <c r="D1947" i="2"/>
  <c r="C1947" i="2"/>
  <c r="B1947" i="2"/>
  <c r="E1946" i="2"/>
  <c r="D1946" i="2"/>
  <c r="C1946" i="2"/>
  <c r="B1946" i="2"/>
  <c r="E1945" i="2"/>
  <c r="D1945" i="2"/>
  <c r="C1945" i="2"/>
  <c r="B1945" i="2"/>
  <c r="E1944" i="2"/>
  <c r="D1944" i="2"/>
  <c r="C1944" i="2"/>
  <c r="B1944" i="2"/>
  <c r="E1943" i="2"/>
  <c r="D1943" i="2"/>
  <c r="C1943" i="2"/>
  <c r="B1943" i="2"/>
  <c r="E1942" i="2"/>
  <c r="D1942" i="2"/>
  <c r="C1942" i="2"/>
  <c r="B1942" i="2"/>
  <c r="E1941" i="2"/>
  <c r="D1941" i="2"/>
  <c r="C1941" i="2"/>
  <c r="B1941" i="2"/>
  <c r="E1940" i="2"/>
  <c r="D1940" i="2"/>
  <c r="C1940" i="2"/>
  <c r="B1940" i="2"/>
  <c r="E1939" i="2"/>
  <c r="D1939" i="2"/>
  <c r="C1939" i="2"/>
  <c r="B1939" i="2"/>
  <c r="E1938" i="2"/>
  <c r="D1938" i="2"/>
  <c r="C1938" i="2"/>
  <c r="B1938" i="2"/>
  <c r="E1937" i="2"/>
  <c r="D1937" i="2"/>
  <c r="C1937" i="2"/>
  <c r="B1937" i="2"/>
  <c r="E1936" i="2"/>
  <c r="D1936" i="2"/>
  <c r="C1936" i="2"/>
  <c r="B1936" i="2"/>
  <c r="E1935" i="2"/>
  <c r="D1935" i="2"/>
  <c r="C1935" i="2"/>
  <c r="B1935" i="2"/>
  <c r="E1934" i="2"/>
  <c r="D1934" i="2"/>
  <c r="C1934" i="2"/>
  <c r="B1934" i="2"/>
  <c r="E1933" i="2"/>
  <c r="D1933" i="2"/>
  <c r="C1933" i="2"/>
  <c r="B1933" i="2"/>
  <c r="E1932" i="2"/>
  <c r="D1932" i="2"/>
  <c r="C1932" i="2"/>
  <c r="B1932" i="2"/>
  <c r="E1931" i="2"/>
  <c r="D1931" i="2"/>
  <c r="C1931" i="2"/>
  <c r="B1931" i="2"/>
  <c r="E1930" i="2"/>
  <c r="D1930" i="2"/>
  <c r="C1930" i="2"/>
  <c r="B1930" i="2"/>
  <c r="E1929" i="2"/>
  <c r="D1929" i="2"/>
  <c r="C1929" i="2"/>
  <c r="B1929" i="2"/>
  <c r="E1928" i="2"/>
  <c r="D1928" i="2"/>
  <c r="C1928" i="2"/>
  <c r="B1928" i="2"/>
  <c r="E1927" i="2"/>
  <c r="D1927" i="2"/>
  <c r="C1927" i="2"/>
  <c r="B1927" i="2"/>
  <c r="E1926" i="2"/>
  <c r="D1926" i="2"/>
  <c r="C1926" i="2"/>
  <c r="B1926" i="2"/>
  <c r="E1925" i="2"/>
  <c r="D1925" i="2"/>
  <c r="C1925" i="2"/>
  <c r="B1925" i="2"/>
  <c r="E1924" i="2"/>
  <c r="D1924" i="2"/>
  <c r="C1924" i="2"/>
  <c r="B1924" i="2"/>
  <c r="E1923" i="2"/>
  <c r="D1923" i="2"/>
  <c r="C1923" i="2"/>
  <c r="B1923" i="2"/>
  <c r="E1922" i="2"/>
  <c r="D1922" i="2"/>
  <c r="C1922" i="2"/>
  <c r="B1922" i="2"/>
  <c r="E1921" i="2"/>
  <c r="D1921" i="2"/>
  <c r="C1921" i="2"/>
  <c r="B1921" i="2"/>
  <c r="E1920" i="2"/>
  <c r="D1920" i="2"/>
  <c r="C1920" i="2"/>
  <c r="B1920" i="2"/>
  <c r="E1919" i="2"/>
  <c r="D1919" i="2"/>
  <c r="C1919" i="2"/>
  <c r="B1919" i="2"/>
  <c r="E1918" i="2"/>
  <c r="D1918" i="2"/>
  <c r="C1918" i="2"/>
  <c r="B1918" i="2"/>
  <c r="E1917" i="2"/>
  <c r="D1917" i="2"/>
  <c r="C1917" i="2"/>
  <c r="B1917" i="2"/>
  <c r="E1916" i="2"/>
  <c r="D1916" i="2"/>
  <c r="C1916" i="2"/>
  <c r="B1916" i="2"/>
  <c r="E1915" i="2"/>
  <c r="D1915" i="2"/>
  <c r="C1915" i="2"/>
  <c r="B1915" i="2"/>
  <c r="E1914" i="2"/>
  <c r="D1914" i="2"/>
  <c r="C1914" i="2"/>
  <c r="B1914" i="2"/>
  <c r="E1913" i="2"/>
  <c r="D1913" i="2"/>
  <c r="C1913" i="2"/>
  <c r="B1913" i="2"/>
  <c r="E1912" i="2"/>
  <c r="D1912" i="2"/>
  <c r="C1912" i="2"/>
  <c r="B1912" i="2"/>
  <c r="E1911" i="2"/>
  <c r="D1911" i="2"/>
  <c r="C1911" i="2"/>
  <c r="B1911" i="2"/>
  <c r="E1910" i="2"/>
  <c r="D1910" i="2"/>
  <c r="C1910" i="2"/>
  <c r="B1910" i="2"/>
  <c r="E1909" i="2"/>
  <c r="D1909" i="2"/>
  <c r="C1909" i="2"/>
  <c r="B1909" i="2"/>
  <c r="E1908" i="2"/>
  <c r="D1908" i="2"/>
  <c r="C1908" i="2"/>
  <c r="B1908" i="2"/>
  <c r="E1907" i="2"/>
  <c r="D1907" i="2"/>
  <c r="C1907" i="2"/>
  <c r="B1907" i="2"/>
  <c r="E1906" i="2"/>
  <c r="D1906" i="2"/>
  <c r="C1906" i="2"/>
  <c r="B1906" i="2"/>
  <c r="E1905" i="2"/>
  <c r="D1905" i="2"/>
  <c r="C1905" i="2"/>
  <c r="B1905" i="2"/>
  <c r="E1904" i="2"/>
  <c r="D1904" i="2"/>
  <c r="C1904" i="2"/>
  <c r="B1904" i="2"/>
  <c r="E1903" i="2"/>
  <c r="D1903" i="2"/>
  <c r="C1903" i="2"/>
  <c r="B1903" i="2"/>
  <c r="E1902" i="2"/>
  <c r="D1902" i="2"/>
  <c r="C1902" i="2"/>
  <c r="B1902" i="2"/>
  <c r="E1901" i="2"/>
  <c r="D1901" i="2"/>
  <c r="C1901" i="2"/>
  <c r="B1901" i="2"/>
  <c r="E1900" i="2"/>
  <c r="D1900" i="2"/>
  <c r="C1900" i="2"/>
  <c r="B1900" i="2"/>
  <c r="E1899" i="2"/>
  <c r="D1899" i="2"/>
  <c r="C1899" i="2"/>
  <c r="B1899" i="2"/>
  <c r="E1898" i="2"/>
  <c r="D1898" i="2"/>
  <c r="C1898" i="2"/>
  <c r="B1898" i="2"/>
  <c r="E1897" i="2"/>
  <c r="D1897" i="2"/>
  <c r="C1897" i="2"/>
  <c r="B1897" i="2"/>
  <c r="E1896" i="2"/>
  <c r="D1896" i="2"/>
  <c r="C1896" i="2"/>
  <c r="B1896" i="2"/>
  <c r="E1895" i="2"/>
  <c r="D1895" i="2"/>
  <c r="C1895" i="2"/>
  <c r="B1895" i="2"/>
  <c r="E1894" i="2"/>
  <c r="D1894" i="2"/>
  <c r="C1894" i="2"/>
  <c r="B1894" i="2"/>
  <c r="E1893" i="2"/>
  <c r="D1893" i="2"/>
  <c r="C1893" i="2"/>
  <c r="B1893" i="2"/>
  <c r="E1892" i="2"/>
  <c r="D1892" i="2"/>
  <c r="C1892" i="2"/>
  <c r="B1892" i="2"/>
  <c r="E1891" i="2"/>
  <c r="D1891" i="2"/>
  <c r="C1891" i="2"/>
  <c r="B1891" i="2"/>
  <c r="E1890" i="2"/>
  <c r="D1890" i="2"/>
  <c r="C1890" i="2"/>
  <c r="B1890" i="2"/>
  <c r="E1889" i="2"/>
  <c r="D1889" i="2"/>
  <c r="C1889" i="2"/>
  <c r="B1889" i="2"/>
  <c r="E1888" i="2"/>
  <c r="D1888" i="2"/>
  <c r="C1888" i="2"/>
  <c r="B1888" i="2"/>
  <c r="E1887" i="2"/>
  <c r="D1887" i="2"/>
  <c r="C1887" i="2"/>
  <c r="B1887" i="2"/>
  <c r="E1886" i="2"/>
  <c r="D1886" i="2"/>
  <c r="C1886" i="2"/>
  <c r="B1886" i="2"/>
  <c r="E1885" i="2"/>
  <c r="D1885" i="2"/>
  <c r="C1885" i="2"/>
  <c r="B1885" i="2"/>
  <c r="E1884" i="2"/>
  <c r="D1884" i="2"/>
  <c r="C1884" i="2"/>
  <c r="B1884" i="2"/>
  <c r="E1883" i="2"/>
  <c r="D1883" i="2"/>
  <c r="C1883" i="2"/>
  <c r="B1883" i="2"/>
  <c r="E1882" i="2"/>
  <c r="D1882" i="2"/>
  <c r="C1882" i="2"/>
  <c r="B1882" i="2"/>
  <c r="E1881" i="2"/>
  <c r="D1881" i="2"/>
  <c r="C1881" i="2"/>
  <c r="B1881" i="2"/>
  <c r="E1880" i="2"/>
  <c r="D1880" i="2"/>
  <c r="C1880" i="2"/>
  <c r="B1880" i="2"/>
  <c r="E1879" i="2"/>
  <c r="D1879" i="2"/>
  <c r="C1879" i="2"/>
  <c r="B1879" i="2"/>
  <c r="E1878" i="2"/>
  <c r="D1878" i="2"/>
  <c r="C1878" i="2"/>
  <c r="B1878" i="2"/>
  <c r="E1877" i="2"/>
  <c r="D1877" i="2"/>
  <c r="C1877" i="2"/>
  <c r="B1877" i="2"/>
  <c r="E1876" i="2"/>
  <c r="D1876" i="2"/>
  <c r="C1876" i="2"/>
  <c r="B1876" i="2"/>
  <c r="E1875" i="2"/>
  <c r="D1875" i="2"/>
  <c r="C1875" i="2"/>
  <c r="B1875" i="2"/>
  <c r="E1874" i="2"/>
  <c r="D1874" i="2"/>
  <c r="C1874" i="2"/>
  <c r="B1874" i="2"/>
  <c r="E1873" i="2"/>
  <c r="D1873" i="2"/>
  <c r="C1873" i="2"/>
  <c r="B1873" i="2"/>
  <c r="E1872" i="2"/>
  <c r="D1872" i="2"/>
  <c r="C1872" i="2"/>
  <c r="B1872" i="2"/>
  <c r="E1871" i="2"/>
  <c r="D1871" i="2"/>
  <c r="C1871" i="2"/>
  <c r="B1871" i="2"/>
  <c r="E1870" i="2"/>
  <c r="D1870" i="2"/>
  <c r="C1870" i="2"/>
  <c r="B1870" i="2"/>
  <c r="E1869" i="2"/>
  <c r="D1869" i="2"/>
  <c r="C1869" i="2"/>
  <c r="B1869" i="2"/>
  <c r="E1868" i="2"/>
  <c r="D1868" i="2"/>
  <c r="C1868" i="2"/>
  <c r="B1868" i="2"/>
  <c r="E1867" i="2"/>
  <c r="D1867" i="2"/>
  <c r="C1867" i="2"/>
  <c r="B1867" i="2"/>
  <c r="E1866" i="2"/>
  <c r="D1866" i="2"/>
  <c r="C1866" i="2"/>
  <c r="B1866" i="2"/>
  <c r="E1865" i="2"/>
  <c r="D1865" i="2"/>
  <c r="C1865" i="2"/>
  <c r="B1865" i="2"/>
  <c r="E1864" i="2"/>
  <c r="D1864" i="2"/>
  <c r="C1864" i="2"/>
  <c r="B1864" i="2"/>
  <c r="E1863" i="2"/>
  <c r="D1863" i="2"/>
  <c r="C1863" i="2"/>
  <c r="B1863" i="2"/>
  <c r="E1862" i="2"/>
  <c r="D1862" i="2"/>
  <c r="C1862" i="2"/>
  <c r="B1862" i="2"/>
  <c r="E1861" i="2"/>
  <c r="D1861" i="2"/>
  <c r="C1861" i="2"/>
  <c r="B1861" i="2"/>
  <c r="E1860" i="2"/>
  <c r="D1860" i="2"/>
  <c r="C1860" i="2"/>
  <c r="B1860" i="2"/>
  <c r="E1859" i="2"/>
  <c r="D1859" i="2"/>
  <c r="C1859" i="2"/>
  <c r="B1859" i="2"/>
  <c r="E1858" i="2"/>
  <c r="D1858" i="2"/>
  <c r="C1858" i="2"/>
  <c r="B1858" i="2"/>
  <c r="E1857" i="2"/>
  <c r="D1857" i="2"/>
  <c r="C1857" i="2"/>
  <c r="B1857" i="2"/>
  <c r="E1856" i="2"/>
  <c r="D1856" i="2"/>
  <c r="C1856" i="2"/>
  <c r="B1856" i="2"/>
  <c r="E1855" i="2"/>
  <c r="D1855" i="2"/>
  <c r="C1855" i="2"/>
  <c r="B1855" i="2"/>
  <c r="E1854" i="2"/>
  <c r="D1854" i="2"/>
  <c r="C1854" i="2"/>
  <c r="B1854" i="2"/>
  <c r="E1853" i="2"/>
  <c r="D1853" i="2"/>
  <c r="C1853" i="2"/>
  <c r="B1853" i="2"/>
  <c r="E1852" i="2"/>
  <c r="D1852" i="2"/>
  <c r="C1852" i="2"/>
  <c r="B1852" i="2"/>
  <c r="E1851" i="2"/>
  <c r="D1851" i="2"/>
  <c r="C1851" i="2"/>
  <c r="B1851" i="2"/>
  <c r="E1850" i="2"/>
  <c r="D1850" i="2"/>
  <c r="C1850" i="2"/>
  <c r="B1850" i="2"/>
  <c r="E1849" i="2"/>
  <c r="D1849" i="2"/>
  <c r="C1849" i="2"/>
  <c r="B1849" i="2"/>
  <c r="E1848" i="2"/>
  <c r="D1848" i="2"/>
  <c r="C1848" i="2"/>
  <c r="B1848" i="2"/>
  <c r="E1847" i="2"/>
  <c r="D1847" i="2"/>
  <c r="C1847" i="2"/>
  <c r="B1847" i="2"/>
  <c r="E1846" i="2"/>
  <c r="D1846" i="2"/>
  <c r="C1846" i="2"/>
  <c r="B1846" i="2"/>
  <c r="E1845" i="2"/>
  <c r="D1845" i="2"/>
  <c r="C1845" i="2"/>
  <c r="B1845" i="2"/>
  <c r="E1844" i="2"/>
  <c r="D1844" i="2"/>
  <c r="C1844" i="2"/>
  <c r="B1844" i="2"/>
  <c r="E1843" i="2"/>
  <c r="D1843" i="2"/>
  <c r="C1843" i="2"/>
  <c r="B1843" i="2"/>
  <c r="E1842" i="2"/>
  <c r="D1842" i="2"/>
  <c r="C1842" i="2"/>
  <c r="B1842" i="2"/>
  <c r="E1841" i="2"/>
  <c r="D1841" i="2"/>
  <c r="C1841" i="2"/>
  <c r="B1841" i="2"/>
  <c r="E1840" i="2"/>
  <c r="D1840" i="2"/>
  <c r="C1840" i="2"/>
  <c r="B1840" i="2"/>
  <c r="E1839" i="2"/>
  <c r="D1839" i="2"/>
  <c r="C1839" i="2"/>
  <c r="B1839" i="2"/>
  <c r="E1838" i="2"/>
  <c r="D1838" i="2"/>
  <c r="C1838" i="2"/>
  <c r="B1838" i="2"/>
  <c r="E1837" i="2"/>
  <c r="D1837" i="2"/>
  <c r="C1837" i="2"/>
  <c r="B1837" i="2"/>
  <c r="E1836" i="2"/>
  <c r="D1836" i="2"/>
  <c r="C1836" i="2"/>
  <c r="B1836" i="2"/>
  <c r="E1835" i="2"/>
  <c r="D1835" i="2"/>
  <c r="C1835" i="2"/>
  <c r="B1835" i="2"/>
  <c r="E1834" i="2"/>
  <c r="D1834" i="2"/>
  <c r="C1834" i="2"/>
  <c r="B1834" i="2"/>
  <c r="E1833" i="2"/>
  <c r="D1833" i="2"/>
  <c r="C1833" i="2"/>
  <c r="B1833" i="2"/>
  <c r="E1832" i="2"/>
  <c r="D1832" i="2"/>
  <c r="C1832" i="2"/>
  <c r="B1832" i="2"/>
  <c r="E1831" i="2"/>
  <c r="D1831" i="2"/>
  <c r="C1831" i="2"/>
  <c r="B1831" i="2"/>
  <c r="E1830" i="2"/>
  <c r="D1830" i="2"/>
  <c r="C1830" i="2"/>
  <c r="B1830" i="2"/>
  <c r="E1829" i="2"/>
  <c r="D1829" i="2"/>
  <c r="C1829" i="2"/>
  <c r="B1829" i="2"/>
  <c r="E1828" i="2"/>
  <c r="D1828" i="2"/>
  <c r="C1828" i="2"/>
  <c r="B1828" i="2"/>
  <c r="E1827" i="2"/>
  <c r="D1827" i="2"/>
  <c r="C1827" i="2"/>
  <c r="B1827" i="2"/>
  <c r="E1826" i="2"/>
  <c r="D1826" i="2"/>
  <c r="C1826" i="2"/>
  <c r="B1826" i="2"/>
  <c r="E1825" i="2"/>
  <c r="D1825" i="2"/>
  <c r="C1825" i="2"/>
  <c r="B1825" i="2"/>
  <c r="E1824" i="2"/>
  <c r="D1824" i="2"/>
  <c r="C1824" i="2"/>
  <c r="B1824" i="2"/>
  <c r="E1823" i="2"/>
  <c r="D1823" i="2"/>
  <c r="C1823" i="2"/>
  <c r="B1823" i="2"/>
  <c r="E1822" i="2"/>
  <c r="D1822" i="2"/>
  <c r="C1822" i="2"/>
  <c r="B1822" i="2"/>
  <c r="E1821" i="2"/>
  <c r="D1821" i="2"/>
  <c r="C1821" i="2"/>
  <c r="B1821" i="2"/>
  <c r="E1820" i="2"/>
  <c r="D1820" i="2"/>
  <c r="C1820" i="2"/>
  <c r="B1820" i="2"/>
  <c r="E1819" i="2"/>
  <c r="D1819" i="2"/>
  <c r="C1819" i="2"/>
  <c r="B1819" i="2"/>
  <c r="E1818" i="2"/>
  <c r="D1818" i="2"/>
  <c r="C1818" i="2"/>
  <c r="B1818" i="2"/>
  <c r="E1817" i="2"/>
  <c r="D1817" i="2"/>
  <c r="C1817" i="2"/>
  <c r="B1817" i="2"/>
  <c r="E1816" i="2"/>
  <c r="D1816" i="2"/>
  <c r="C1816" i="2"/>
  <c r="B1816" i="2"/>
  <c r="E1815" i="2"/>
  <c r="D1815" i="2"/>
  <c r="C1815" i="2"/>
  <c r="B1815" i="2"/>
  <c r="E1814" i="2"/>
  <c r="D1814" i="2"/>
  <c r="C1814" i="2"/>
  <c r="B1814" i="2"/>
  <c r="E1813" i="2"/>
  <c r="D1813" i="2"/>
  <c r="C1813" i="2"/>
  <c r="B1813" i="2"/>
  <c r="E1812" i="2"/>
  <c r="D1812" i="2"/>
  <c r="C1812" i="2"/>
  <c r="B1812" i="2"/>
  <c r="E1811" i="2"/>
  <c r="D1811" i="2"/>
  <c r="C1811" i="2"/>
  <c r="B1811" i="2"/>
  <c r="E1810" i="2"/>
  <c r="D1810" i="2"/>
  <c r="C1810" i="2"/>
  <c r="B1810" i="2"/>
  <c r="E1809" i="2"/>
  <c r="D1809" i="2"/>
  <c r="C1809" i="2"/>
  <c r="B1809" i="2"/>
  <c r="E1808" i="2"/>
  <c r="D1808" i="2"/>
  <c r="C1808" i="2"/>
  <c r="B1808" i="2"/>
  <c r="E1807" i="2"/>
  <c r="D1807" i="2"/>
  <c r="C1807" i="2"/>
  <c r="B1807" i="2"/>
  <c r="E1806" i="2"/>
  <c r="D1806" i="2"/>
  <c r="C1806" i="2"/>
  <c r="B1806" i="2"/>
  <c r="E1805" i="2"/>
  <c r="D1805" i="2"/>
  <c r="C1805" i="2"/>
  <c r="B1805" i="2"/>
  <c r="E1804" i="2"/>
  <c r="D1804" i="2"/>
  <c r="C1804" i="2"/>
  <c r="B1804" i="2"/>
  <c r="E1803" i="2"/>
  <c r="D1803" i="2"/>
  <c r="C1803" i="2"/>
  <c r="B1803" i="2"/>
  <c r="E1802" i="2"/>
  <c r="D1802" i="2"/>
  <c r="C1802" i="2"/>
  <c r="B1802" i="2"/>
  <c r="E1801" i="2"/>
  <c r="D1801" i="2"/>
  <c r="C1801" i="2"/>
  <c r="B1801" i="2"/>
  <c r="E1800" i="2"/>
  <c r="D1800" i="2"/>
  <c r="C1800" i="2"/>
  <c r="B1800" i="2"/>
  <c r="E1799" i="2"/>
  <c r="D1799" i="2"/>
  <c r="C1799" i="2"/>
  <c r="B1799" i="2"/>
  <c r="E1798" i="2"/>
  <c r="D1798" i="2"/>
  <c r="C1798" i="2"/>
  <c r="B1798" i="2"/>
  <c r="E1797" i="2"/>
  <c r="D1797" i="2"/>
  <c r="C1797" i="2"/>
  <c r="B1797" i="2"/>
  <c r="E1796" i="2"/>
  <c r="D1796" i="2"/>
  <c r="C1796" i="2"/>
  <c r="B1796" i="2"/>
  <c r="E1795" i="2"/>
  <c r="D1795" i="2"/>
  <c r="C1795" i="2"/>
  <c r="B1795" i="2"/>
  <c r="E1794" i="2"/>
  <c r="D1794" i="2"/>
  <c r="C1794" i="2"/>
  <c r="B1794" i="2"/>
  <c r="E1793" i="2"/>
  <c r="D1793" i="2"/>
  <c r="C1793" i="2"/>
  <c r="B1793" i="2"/>
  <c r="E1792" i="2"/>
  <c r="D1792" i="2"/>
  <c r="C1792" i="2"/>
  <c r="B1792" i="2"/>
  <c r="E1791" i="2"/>
  <c r="D1791" i="2"/>
  <c r="C1791" i="2"/>
  <c r="B1791" i="2"/>
  <c r="E1790" i="2"/>
  <c r="D1790" i="2"/>
  <c r="C1790" i="2"/>
  <c r="B1790" i="2"/>
  <c r="E1789" i="2"/>
  <c r="D1789" i="2"/>
  <c r="C1789" i="2"/>
  <c r="B1789" i="2"/>
  <c r="E1788" i="2"/>
  <c r="D1788" i="2"/>
  <c r="C1788" i="2"/>
  <c r="B1788" i="2"/>
  <c r="E1787" i="2"/>
  <c r="D1787" i="2"/>
  <c r="C1787" i="2"/>
  <c r="B1787" i="2"/>
  <c r="E1786" i="2"/>
  <c r="D1786" i="2"/>
  <c r="C1786" i="2"/>
  <c r="B1786" i="2"/>
  <c r="E1785" i="2"/>
  <c r="D1785" i="2"/>
  <c r="C1785" i="2"/>
  <c r="B1785" i="2"/>
  <c r="E1784" i="2"/>
  <c r="D1784" i="2"/>
  <c r="C1784" i="2"/>
  <c r="B1784" i="2"/>
  <c r="E1783" i="2"/>
  <c r="D1783" i="2"/>
  <c r="C1783" i="2"/>
  <c r="B1783" i="2"/>
  <c r="E1782" i="2"/>
  <c r="D1782" i="2"/>
  <c r="C1782" i="2"/>
  <c r="B1782" i="2"/>
  <c r="E1781" i="2"/>
  <c r="D1781" i="2"/>
  <c r="C1781" i="2"/>
  <c r="B1781" i="2"/>
  <c r="E1780" i="2"/>
  <c r="D1780" i="2"/>
  <c r="C1780" i="2"/>
  <c r="B1780" i="2"/>
  <c r="E1779" i="2"/>
  <c r="D1779" i="2"/>
  <c r="C1779" i="2"/>
  <c r="B1779" i="2"/>
  <c r="E1778" i="2"/>
  <c r="D1778" i="2"/>
  <c r="C1778" i="2"/>
  <c r="B1778" i="2"/>
  <c r="E1777" i="2"/>
  <c r="D1777" i="2"/>
  <c r="C1777" i="2"/>
  <c r="B1777" i="2"/>
  <c r="E1776" i="2"/>
  <c r="D1776" i="2"/>
  <c r="C1776" i="2"/>
  <c r="B1776" i="2"/>
  <c r="E1775" i="2"/>
  <c r="D1775" i="2"/>
  <c r="C1775" i="2"/>
  <c r="B1775" i="2"/>
  <c r="E1774" i="2"/>
  <c r="D1774" i="2"/>
  <c r="C1774" i="2"/>
  <c r="B1774" i="2"/>
  <c r="E1773" i="2"/>
  <c r="D1773" i="2"/>
  <c r="C1773" i="2"/>
  <c r="B1773" i="2"/>
  <c r="E1772" i="2"/>
  <c r="D1772" i="2"/>
  <c r="C1772" i="2"/>
  <c r="B1772" i="2"/>
  <c r="E1771" i="2"/>
  <c r="D1771" i="2"/>
  <c r="C1771" i="2"/>
  <c r="B1771" i="2"/>
  <c r="E1770" i="2"/>
  <c r="D1770" i="2"/>
  <c r="C1770" i="2"/>
  <c r="B1770" i="2"/>
  <c r="E1769" i="2"/>
  <c r="D1769" i="2"/>
  <c r="C1769" i="2"/>
  <c r="B1769" i="2"/>
  <c r="E1768" i="2"/>
  <c r="D1768" i="2"/>
  <c r="C1768" i="2"/>
  <c r="B1768" i="2"/>
  <c r="E1767" i="2"/>
  <c r="D1767" i="2"/>
  <c r="C1767" i="2"/>
  <c r="B1767" i="2"/>
  <c r="E1766" i="2"/>
  <c r="D1766" i="2"/>
  <c r="C1766" i="2"/>
  <c r="B1766" i="2"/>
  <c r="E1765" i="2"/>
  <c r="D1765" i="2"/>
  <c r="C1765" i="2"/>
  <c r="B1765" i="2"/>
  <c r="E1764" i="2"/>
  <c r="D1764" i="2"/>
  <c r="C1764" i="2"/>
  <c r="B1764" i="2"/>
  <c r="E1763" i="2"/>
  <c r="D1763" i="2"/>
  <c r="C1763" i="2"/>
  <c r="B1763" i="2"/>
  <c r="E1762" i="2"/>
  <c r="D1762" i="2"/>
  <c r="C1762" i="2"/>
  <c r="B1762" i="2"/>
  <c r="E1761" i="2"/>
  <c r="D1761" i="2"/>
  <c r="C1761" i="2"/>
  <c r="B1761" i="2"/>
  <c r="E1760" i="2"/>
  <c r="D1760" i="2"/>
  <c r="C1760" i="2"/>
  <c r="B1760" i="2"/>
  <c r="E1759" i="2"/>
  <c r="D1759" i="2"/>
  <c r="C1759" i="2"/>
  <c r="B1759" i="2"/>
  <c r="E1758" i="2"/>
  <c r="D1758" i="2"/>
  <c r="C1758" i="2"/>
  <c r="B1758" i="2"/>
  <c r="E1757" i="2"/>
  <c r="D1757" i="2"/>
  <c r="C1757" i="2"/>
  <c r="B1757" i="2"/>
  <c r="E1756" i="2"/>
  <c r="D1756" i="2"/>
  <c r="C1756" i="2"/>
  <c r="B1756" i="2"/>
  <c r="E1755" i="2"/>
  <c r="D1755" i="2"/>
  <c r="C1755" i="2"/>
  <c r="B1755" i="2"/>
  <c r="E1754" i="2"/>
  <c r="D1754" i="2"/>
  <c r="C1754" i="2"/>
  <c r="B1754" i="2"/>
  <c r="E1753" i="2"/>
  <c r="D1753" i="2"/>
  <c r="C1753" i="2"/>
  <c r="B1753" i="2"/>
  <c r="E1752" i="2"/>
  <c r="D1752" i="2"/>
  <c r="C1752" i="2"/>
  <c r="B1752" i="2"/>
  <c r="E1751" i="2"/>
  <c r="D1751" i="2"/>
  <c r="C1751" i="2"/>
  <c r="B1751" i="2"/>
  <c r="E1750" i="2"/>
  <c r="D1750" i="2"/>
  <c r="C1750" i="2"/>
  <c r="B1750" i="2"/>
  <c r="E1749" i="2"/>
  <c r="D1749" i="2"/>
  <c r="C1749" i="2"/>
  <c r="B1749" i="2"/>
  <c r="E1748" i="2"/>
  <c r="D1748" i="2"/>
  <c r="C1748" i="2"/>
  <c r="B1748" i="2"/>
  <c r="E1747" i="2"/>
  <c r="D1747" i="2"/>
  <c r="C1747" i="2"/>
  <c r="B1747" i="2"/>
  <c r="E1746" i="2"/>
  <c r="D1746" i="2"/>
  <c r="C1746" i="2"/>
  <c r="B1746" i="2"/>
  <c r="E1745" i="2"/>
  <c r="D1745" i="2"/>
  <c r="C1745" i="2"/>
  <c r="B1745" i="2"/>
  <c r="E1744" i="2"/>
  <c r="D1744" i="2"/>
  <c r="C1744" i="2"/>
  <c r="B1744" i="2"/>
  <c r="E1743" i="2"/>
  <c r="D1743" i="2"/>
  <c r="C1743" i="2"/>
  <c r="B1743" i="2"/>
  <c r="E1742" i="2"/>
  <c r="D1742" i="2"/>
  <c r="C1742" i="2"/>
  <c r="B1742" i="2"/>
  <c r="E1741" i="2"/>
  <c r="D1741" i="2"/>
  <c r="C1741" i="2"/>
  <c r="B1741" i="2"/>
  <c r="E1740" i="2"/>
  <c r="D1740" i="2"/>
  <c r="C1740" i="2"/>
  <c r="B1740" i="2"/>
  <c r="E1739" i="2"/>
  <c r="D1739" i="2"/>
  <c r="C1739" i="2"/>
  <c r="B1739" i="2"/>
  <c r="E1738" i="2"/>
  <c r="D1738" i="2"/>
  <c r="C1738" i="2"/>
  <c r="B1738" i="2"/>
  <c r="E1737" i="2"/>
  <c r="D1737" i="2"/>
  <c r="C1737" i="2"/>
  <c r="B1737" i="2"/>
  <c r="E1736" i="2"/>
  <c r="D1736" i="2"/>
  <c r="C1736" i="2"/>
  <c r="B1736" i="2"/>
  <c r="E1735" i="2"/>
  <c r="D1735" i="2"/>
  <c r="C1735" i="2"/>
  <c r="B1735" i="2"/>
  <c r="E1734" i="2"/>
  <c r="D1734" i="2"/>
  <c r="C1734" i="2"/>
  <c r="B1734" i="2"/>
  <c r="E1733" i="2"/>
  <c r="D1733" i="2"/>
  <c r="C1733" i="2"/>
  <c r="B1733" i="2"/>
  <c r="E1732" i="2"/>
  <c r="D1732" i="2"/>
  <c r="C1732" i="2"/>
  <c r="B1732" i="2"/>
  <c r="E1731" i="2"/>
  <c r="D1731" i="2"/>
  <c r="C1731" i="2"/>
  <c r="B1731" i="2"/>
  <c r="E1730" i="2"/>
  <c r="D1730" i="2"/>
  <c r="C1730" i="2"/>
  <c r="B1730" i="2"/>
  <c r="E1729" i="2"/>
  <c r="D1729" i="2"/>
  <c r="C1729" i="2"/>
  <c r="B1729" i="2"/>
  <c r="E1728" i="2"/>
  <c r="D1728" i="2"/>
  <c r="C1728" i="2"/>
  <c r="B1728" i="2"/>
  <c r="E1727" i="2"/>
  <c r="D1727" i="2"/>
  <c r="C1727" i="2"/>
  <c r="B1727" i="2"/>
  <c r="E1726" i="2"/>
  <c r="D1726" i="2"/>
  <c r="C1726" i="2"/>
  <c r="B1726" i="2"/>
  <c r="E1725" i="2"/>
  <c r="D1725" i="2"/>
  <c r="C1725" i="2"/>
  <c r="B1725" i="2"/>
  <c r="E1724" i="2"/>
  <c r="D1724" i="2"/>
  <c r="C1724" i="2"/>
  <c r="B1724" i="2"/>
  <c r="E1723" i="2"/>
  <c r="D1723" i="2"/>
  <c r="C1723" i="2"/>
  <c r="B1723" i="2"/>
  <c r="E1722" i="2"/>
  <c r="D1722" i="2"/>
  <c r="C1722" i="2"/>
  <c r="B1722" i="2"/>
  <c r="E1721" i="2"/>
  <c r="D1721" i="2"/>
  <c r="C1721" i="2"/>
  <c r="B1721" i="2"/>
  <c r="E1720" i="2"/>
  <c r="D1720" i="2"/>
  <c r="C1720" i="2"/>
  <c r="B1720" i="2"/>
  <c r="E1719" i="2"/>
  <c r="D1719" i="2"/>
  <c r="C1719" i="2"/>
  <c r="B1719" i="2"/>
  <c r="E1718" i="2"/>
  <c r="D1718" i="2"/>
  <c r="C1718" i="2"/>
  <c r="B1718" i="2"/>
  <c r="E1717" i="2"/>
  <c r="D1717" i="2"/>
  <c r="C1717" i="2"/>
  <c r="B1717" i="2"/>
  <c r="E1716" i="2"/>
  <c r="D1716" i="2"/>
  <c r="C1716" i="2"/>
  <c r="B1716" i="2"/>
  <c r="E1715" i="2"/>
  <c r="D1715" i="2"/>
  <c r="C1715" i="2"/>
  <c r="B1715" i="2"/>
  <c r="E1714" i="2"/>
  <c r="D1714" i="2"/>
  <c r="C1714" i="2"/>
  <c r="B1714" i="2"/>
  <c r="E1713" i="2"/>
  <c r="D1713" i="2"/>
  <c r="C1713" i="2"/>
  <c r="B1713" i="2"/>
  <c r="E1712" i="2"/>
  <c r="D1712" i="2"/>
  <c r="C1712" i="2"/>
  <c r="B1712" i="2"/>
  <c r="E1711" i="2"/>
  <c r="D1711" i="2"/>
  <c r="C1711" i="2"/>
  <c r="B1711" i="2"/>
  <c r="E1710" i="2"/>
  <c r="D1710" i="2"/>
  <c r="C1710" i="2"/>
  <c r="B1710" i="2"/>
  <c r="E1709" i="2"/>
  <c r="D1709" i="2"/>
  <c r="C1709" i="2"/>
  <c r="B1709" i="2"/>
  <c r="E1708" i="2"/>
  <c r="D1708" i="2"/>
  <c r="C1708" i="2"/>
  <c r="B1708" i="2"/>
  <c r="E1707" i="2"/>
  <c r="D1707" i="2"/>
  <c r="C1707" i="2"/>
  <c r="B1707" i="2"/>
  <c r="E1706" i="2"/>
  <c r="D1706" i="2"/>
  <c r="C1706" i="2"/>
  <c r="B1706" i="2"/>
  <c r="E1705" i="2"/>
  <c r="D1705" i="2"/>
  <c r="C1705" i="2"/>
  <c r="B1705" i="2"/>
  <c r="E1704" i="2"/>
  <c r="D1704" i="2"/>
  <c r="C1704" i="2"/>
  <c r="B1704" i="2"/>
  <c r="E1703" i="2"/>
  <c r="D1703" i="2"/>
  <c r="C1703" i="2"/>
  <c r="B1703" i="2"/>
  <c r="E1702" i="2"/>
  <c r="D1702" i="2"/>
  <c r="C1702" i="2"/>
  <c r="B1702" i="2"/>
  <c r="E1701" i="2"/>
  <c r="D1701" i="2"/>
  <c r="C1701" i="2"/>
  <c r="B1701" i="2"/>
  <c r="E1700" i="2"/>
  <c r="D1700" i="2"/>
  <c r="C1700" i="2"/>
  <c r="B1700" i="2"/>
  <c r="E1699" i="2"/>
  <c r="D1699" i="2"/>
  <c r="C1699" i="2"/>
  <c r="B1699" i="2"/>
  <c r="E1698" i="2"/>
  <c r="D1698" i="2"/>
  <c r="C1698" i="2"/>
  <c r="B1698" i="2"/>
  <c r="E1697" i="2"/>
  <c r="D1697" i="2"/>
  <c r="C1697" i="2"/>
  <c r="B1697" i="2"/>
  <c r="E1696" i="2"/>
  <c r="D1696" i="2"/>
  <c r="C1696" i="2"/>
  <c r="B1696" i="2"/>
  <c r="E1695" i="2"/>
  <c r="D1695" i="2"/>
  <c r="C1695" i="2"/>
  <c r="B1695" i="2"/>
  <c r="E1694" i="2"/>
  <c r="D1694" i="2"/>
  <c r="C1694" i="2"/>
  <c r="B1694" i="2"/>
  <c r="E1693" i="2"/>
  <c r="D1693" i="2"/>
  <c r="C1693" i="2"/>
  <c r="B1693" i="2"/>
  <c r="E1692" i="2"/>
  <c r="D1692" i="2"/>
  <c r="C1692" i="2"/>
  <c r="B1692" i="2"/>
  <c r="E1691" i="2"/>
  <c r="D1691" i="2"/>
  <c r="C1691" i="2"/>
  <c r="B1691" i="2"/>
  <c r="E1690" i="2"/>
  <c r="D1690" i="2"/>
  <c r="C1690" i="2"/>
  <c r="B1690" i="2"/>
  <c r="E1689" i="2"/>
  <c r="D1689" i="2"/>
  <c r="C1689" i="2"/>
  <c r="B1689" i="2"/>
  <c r="E1688" i="2"/>
  <c r="D1688" i="2"/>
  <c r="C1688" i="2"/>
  <c r="B1688" i="2"/>
  <c r="E1687" i="2"/>
  <c r="D1687" i="2"/>
  <c r="C1687" i="2"/>
  <c r="B1687" i="2"/>
  <c r="E1686" i="2"/>
  <c r="D1686" i="2"/>
  <c r="C1686" i="2"/>
  <c r="B1686" i="2"/>
  <c r="E1685" i="2"/>
  <c r="D1685" i="2"/>
  <c r="C1685" i="2"/>
  <c r="B1685" i="2"/>
  <c r="E1684" i="2"/>
  <c r="D1684" i="2"/>
  <c r="C1684" i="2"/>
  <c r="B1684" i="2"/>
  <c r="E1683" i="2"/>
  <c r="D1683" i="2"/>
  <c r="C1683" i="2"/>
  <c r="B1683" i="2"/>
  <c r="E1682" i="2"/>
  <c r="D1682" i="2"/>
  <c r="C1682" i="2"/>
  <c r="B1682" i="2"/>
  <c r="E1681" i="2"/>
  <c r="D1681" i="2"/>
  <c r="C1681" i="2"/>
  <c r="B1681" i="2"/>
  <c r="E1680" i="2"/>
  <c r="D1680" i="2"/>
  <c r="C1680" i="2"/>
  <c r="B1680" i="2"/>
  <c r="E1679" i="2"/>
  <c r="D1679" i="2"/>
  <c r="C1679" i="2"/>
  <c r="B1679" i="2"/>
  <c r="E1678" i="2"/>
  <c r="D1678" i="2"/>
  <c r="C1678" i="2"/>
  <c r="B1678" i="2"/>
  <c r="E1677" i="2"/>
  <c r="D1677" i="2"/>
  <c r="C1677" i="2"/>
  <c r="B1677" i="2"/>
  <c r="E1676" i="2"/>
  <c r="D1676" i="2"/>
  <c r="C1676" i="2"/>
  <c r="B1676" i="2"/>
  <c r="E1675" i="2"/>
  <c r="D1675" i="2"/>
  <c r="C1675" i="2"/>
  <c r="B1675" i="2"/>
  <c r="E1674" i="2"/>
  <c r="D1674" i="2"/>
  <c r="C1674" i="2"/>
  <c r="B1674" i="2"/>
  <c r="E1673" i="2"/>
  <c r="D1673" i="2"/>
  <c r="C1673" i="2"/>
  <c r="B1673" i="2"/>
  <c r="E1672" i="2"/>
  <c r="D1672" i="2"/>
  <c r="C1672" i="2"/>
  <c r="B1672" i="2"/>
  <c r="E1671" i="2"/>
  <c r="D1671" i="2"/>
  <c r="C1671" i="2"/>
  <c r="B1671" i="2"/>
  <c r="E1670" i="2"/>
  <c r="D1670" i="2"/>
  <c r="C1670" i="2"/>
  <c r="B1670" i="2"/>
  <c r="E1669" i="2"/>
  <c r="D1669" i="2"/>
  <c r="C1669" i="2"/>
  <c r="B1669" i="2"/>
  <c r="E1668" i="2"/>
  <c r="D1668" i="2"/>
  <c r="C1668" i="2"/>
  <c r="B1668" i="2"/>
  <c r="E1667" i="2"/>
  <c r="D1667" i="2"/>
  <c r="C1667" i="2"/>
  <c r="B1667" i="2"/>
  <c r="E1666" i="2"/>
  <c r="D1666" i="2"/>
  <c r="C1666" i="2"/>
  <c r="B1666" i="2"/>
  <c r="E1665" i="2"/>
  <c r="D1665" i="2"/>
  <c r="C1665" i="2"/>
  <c r="B1665" i="2"/>
  <c r="E1664" i="2"/>
  <c r="D1664" i="2"/>
  <c r="C1664" i="2"/>
  <c r="B1664" i="2"/>
  <c r="E1663" i="2"/>
  <c r="D1663" i="2"/>
  <c r="C1663" i="2"/>
  <c r="B1663" i="2"/>
  <c r="E1662" i="2"/>
  <c r="D1662" i="2"/>
  <c r="C1662" i="2"/>
  <c r="B1662" i="2"/>
  <c r="E1661" i="2"/>
  <c r="D1661" i="2"/>
  <c r="C1661" i="2"/>
  <c r="B1661" i="2"/>
  <c r="E1660" i="2"/>
  <c r="D1660" i="2"/>
  <c r="C1660" i="2"/>
  <c r="B1660" i="2"/>
  <c r="E1659" i="2"/>
  <c r="D1659" i="2"/>
  <c r="C1659" i="2"/>
  <c r="B1659" i="2"/>
  <c r="E1658" i="2"/>
  <c r="D1658" i="2"/>
  <c r="C1658" i="2"/>
  <c r="B1658" i="2"/>
  <c r="E1657" i="2"/>
  <c r="D1657" i="2"/>
  <c r="C1657" i="2"/>
  <c r="B1657" i="2"/>
  <c r="E1656" i="2"/>
  <c r="D1656" i="2"/>
  <c r="C1656" i="2"/>
  <c r="B1656" i="2"/>
  <c r="E1655" i="2"/>
  <c r="D1655" i="2"/>
  <c r="C1655" i="2"/>
  <c r="B1655" i="2"/>
  <c r="E1654" i="2"/>
  <c r="D1654" i="2"/>
  <c r="C1654" i="2"/>
  <c r="B1654" i="2"/>
  <c r="E1653" i="2"/>
  <c r="D1653" i="2"/>
  <c r="C1653" i="2"/>
  <c r="B1653" i="2"/>
  <c r="E1652" i="2"/>
  <c r="D1652" i="2"/>
  <c r="C1652" i="2"/>
  <c r="B1652" i="2"/>
  <c r="E1651" i="2"/>
  <c r="D1651" i="2"/>
  <c r="C1651" i="2"/>
  <c r="B1651" i="2"/>
  <c r="E1650" i="2"/>
  <c r="D1650" i="2"/>
  <c r="C1650" i="2"/>
  <c r="B1650" i="2"/>
  <c r="E1649" i="2"/>
  <c r="D1649" i="2"/>
  <c r="C1649" i="2"/>
  <c r="B1649" i="2"/>
  <c r="E1648" i="2"/>
  <c r="D1648" i="2"/>
  <c r="C1648" i="2"/>
  <c r="B1648" i="2"/>
  <c r="E1647" i="2"/>
  <c r="D1647" i="2"/>
  <c r="C1647" i="2"/>
  <c r="B1647" i="2"/>
  <c r="E1646" i="2"/>
  <c r="D1646" i="2"/>
  <c r="C1646" i="2"/>
  <c r="B1646" i="2"/>
  <c r="E1645" i="2"/>
  <c r="D1645" i="2"/>
  <c r="C1645" i="2"/>
  <c r="B1645" i="2"/>
  <c r="E1644" i="2"/>
  <c r="D1644" i="2"/>
  <c r="C1644" i="2"/>
  <c r="B1644" i="2"/>
  <c r="E1643" i="2"/>
  <c r="D1643" i="2"/>
  <c r="C1643" i="2"/>
  <c r="B1643" i="2"/>
  <c r="E1642" i="2"/>
  <c r="D1642" i="2"/>
  <c r="C1642" i="2"/>
  <c r="B1642" i="2"/>
  <c r="E1641" i="2"/>
  <c r="D1641" i="2"/>
  <c r="C1641" i="2"/>
  <c r="B1641" i="2"/>
  <c r="E1640" i="2"/>
  <c r="D1640" i="2"/>
  <c r="C1640" i="2"/>
  <c r="B1640" i="2"/>
  <c r="E1639" i="2"/>
  <c r="D1639" i="2"/>
  <c r="C1639" i="2"/>
  <c r="B1639" i="2"/>
  <c r="E1638" i="2"/>
  <c r="D1638" i="2"/>
  <c r="C1638" i="2"/>
  <c r="B1638" i="2"/>
  <c r="E1637" i="2"/>
  <c r="D1637" i="2"/>
  <c r="C1637" i="2"/>
  <c r="B1637" i="2"/>
  <c r="E1636" i="2"/>
  <c r="D1636" i="2"/>
  <c r="C1636" i="2"/>
  <c r="B1636" i="2"/>
  <c r="E1635" i="2"/>
  <c r="D1635" i="2"/>
  <c r="C1635" i="2"/>
  <c r="B1635" i="2"/>
  <c r="E1634" i="2"/>
  <c r="D1634" i="2"/>
  <c r="C1634" i="2"/>
  <c r="B1634" i="2"/>
  <c r="E1633" i="2"/>
  <c r="D1633" i="2"/>
  <c r="C1633" i="2"/>
  <c r="B1633" i="2"/>
  <c r="E1632" i="2"/>
  <c r="D1632" i="2"/>
  <c r="C1632" i="2"/>
  <c r="B1632" i="2"/>
  <c r="E1631" i="2"/>
  <c r="D1631" i="2"/>
  <c r="C1631" i="2"/>
  <c r="B1631" i="2"/>
  <c r="E1630" i="2"/>
  <c r="D1630" i="2"/>
  <c r="C1630" i="2"/>
  <c r="B1630" i="2"/>
  <c r="E1629" i="2"/>
  <c r="D1629" i="2"/>
  <c r="C1629" i="2"/>
  <c r="B1629" i="2"/>
  <c r="E1628" i="2"/>
  <c r="D1628" i="2"/>
  <c r="C1628" i="2"/>
  <c r="B1628" i="2"/>
  <c r="E1627" i="2"/>
  <c r="D1627" i="2"/>
  <c r="C1627" i="2"/>
  <c r="B1627" i="2"/>
  <c r="E1626" i="2"/>
  <c r="D1626" i="2"/>
  <c r="C1626" i="2"/>
  <c r="B1626" i="2"/>
  <c r="E1625" i="2"/>
  <c r="D1625" i="2"/>
  <c r="C1625" i="2"/>
  <c r="B1625" i="2"/>
  <c r="E1624" i="2"/>
  <c r="D1624" i="2"/>
  <c r="C1624" i="2"/>
  <c r="B1624" i="2"/>
  <c r="E1623" i="2"/>
  <c r="D1623" i="2"/>
  <c r="C1623" i="2"/>
  <c r="B1623" i="2"/>
  <c r="E1622" i="2"/>
  <c r="D1622" i="2"/>
  <c r="C1622" i="2"/>
  <c r="B1622" i="2"/>
  <c r="E1621" i="2"/>
  <c r="D1621" i="2"/>
  <c r="C1621" i="2"/>
  <c r="B1621" i="2"/>
  <c r="E1620" i="2"/>
  <c r="D1620" i="2"/>
  <c r="C1620" i="2"/>
  <c r="B1620" i="2"/>
  <c r="E1619" i="2"/>
  <c r="D1619" i="2"/>
  <c r="C1619" i="2"/>
  <c r="B1619" i="2"/>
  <c r="E1618" i="2"/>
  <c r="D1618" i="2"/>
  <c r="C1618" i="2"/>
  <c r="B1618" i="2"/>
  <c r="E1617" i="2"/>
  <c r="D1617" i="2"/>
  <c r="C1617" i="2"/>
  <c r="B1617" i="2"/>
  <c r="E1616" i="2"/>
  <c r="D1616" i="2"/>
  <c r="C1616" i="2"/>
  <c r="B1616" i="2"/>
  <c r="E1615" i="2"/>
  <c r="D1615" i="2"/>
  <c r="C1615" i="2"/>
  <c r="B1615" i="2"/>
  <c r="E1614" i="2"/>
  <c r="D1614" i="2"/>
  <c r="C1614" i="2"/>
  <c r="B1614" i="2"/>
  <c r="E1613" i="2"/>
  <c r="D1613" i="2"/>
  <c r="C1613" i="2"/>
  <c r="B1613" i="2"/>
  <c r="E1612" i="2"/>
  <c r="D1612" i="2"/>
  <c r="C1612" i="2"/>
  <c r="B1612" i="2"/>
  <c r="E1611" i="2"/>
  <c r="D1611" i="2"/>
  <c r="C1611" i="2"/>
  <c r="B1611" i="2"/>
  <c r="E1610" i="2"/>
  <c r="D1610" i="2"/>
  <c r="C1610" i="2"/>
  <c r="B1610" i="2"/>
  <c r="E1609" i="2"/>
  <c r="D1609" i="2"/>
  <c r="C1609" i="2"/>
  <c r="B1609" i="2"/>
  <c r="E1608" i="2"/>
  <c r="D1608" i="2"/>
  <c r="C1608" i="2"/>
  <c r="B1608" i="2"/>
  <c r="E1607" i="2"/>
  <c r="D1607" i="2"/>
  <c r="C1607" i="2"/>
  <c r="B1607" i="2"/>
  <c r="E1606" i="2"/>
  <c r="D1606" i="2"/>
  <c r="C1606" i="2"/>
  <c r="B1606" i="2"/>
  <c r="E1605" i="2"/>
  <c r="D1605" i="2"/>
  <c r="C1605" i="2"/>
  <c r="B1605" i="2"/>
  <c r="E1604" i="2"/>
  <c r="D1604" i="2"/>
  <c r="C1604" i="2"/>
  <c r="B1604" i="2"/>
  <c r="E1603" i="2"/>
  <c r="D1603" i="2"/>
  <c r="C1603" i="2"/>
  <c r="B1603" i="2"/>
  <c r="E1602" i="2"/>
  <c r="D1602" i="2"/>
  <c r="C1602" i="2"/>
  <c r="B1602" i="2"/>
  <c r="E1601" i="2"/>
  <c r="D1601" i="2"/>
  <c r="C1601" i="2"/>
  <c r="B1601" i="2"/>
  <c r="E1600" i="2"/>
  <c r="D1600" i="2"/>
  <c r="C1600" i="2"/>
  <c r="B1600" i="2"/>
  <c r="E1599" i="2"/>
  <c r="D1599" i="2"/>
  <c r="C1599" i="2"/>
  <c r="B1599" i="2"/>
  <c r="E1598" i="2"/>
  <c r="D1598" i="2"/>
  <c r="C1598" i="2"/>
  <c r="B1598" i="2"/>
  <c r="E1597" i="2"/>
  <c r="D1597" i="2"/>
  <c r="C1597" i="2"/>
  <c r="B1597" i="2"/>
  <c r="E1596" i="2"/>
  <c r="D1596" i="2"/>
  <c r="C1596" i="2"/>
  <c r="B1596" i="2"/>
  <c r="E1595" i="2"/>
  <c r="D1595" i="2"/>
  <c r="C1595" i="2"/>
  <c r="B1595" i="2"/>
  <c r="E1594" i="2"/>
  <c r="D1594" i="2"/>
  <c r="C1594" i="2"/>
  <c r="B1594" i="2"/>
  <c r="E1593" i="2"/>
  <c r="D1593" i="2"/>
  <c r="C1593" i="2"/>
  <c r="B1593" i="2"/>
  <c r="E1592" i="2"/>
  <c r="D1592" i="2"/>
  <c r="C1592" i="2"/>
  <c r="B1592" i="2"/>
  <c r="E1591" i="2"/>
  <c r="D1591" i="2"/>
  <c r="C1591" i="2"/>
  <c r="B1591" i="2"/>
  <c r="E1590" i="2"/>
  <c r="D1590" i="2"/>
  <c r="C1590" i="2"/>
  <c r="B1590" i="2"/>
  <c r="E1589" i="2"/>
  <c r="D1589" i="2"/>
  <c r="C1589" i="2"/>
  <c r="B1589" i="2"/>
  <c r="E1588" i="2"/>
  <c r="D1588" i="2"/>
  <c r="C1588" i="2"/>
  <c r="B1588" i="2"/>
  <c r="E1587" i="2"/>
  <c r="D1587" i="2"/>
  <c r="C1587" i="2"/>
  <c r="B1587" i="2"/>
  <c r="E1586" i="2"/>
  <c r="D1586" i="2"/>
  <c r="C1586" i="2"/>
  <c r="B1586" i="2"/>
  <c r="E1585" i="2"/>
  <c r="D1585" i="2"/>
  <c r="C1585" i="2"/>
  <c r="B1585" i="2"/>
  <c r="E1584" i="2"/>
  <c r="D1584" i="2"/>
  <c r="C1584" i="2"/>
  <c r="B1584" i="2"/>
  <c r="E1583" i="2"/>
  <c r="D1583" i="2"/>
  <c r="C1583" i="2"/>
  <c r="B1583" i="2"/>
  <c r="E1582" i="2"/>
  <c r="D1582" i="2"/>
  <c r="C1582" i="2"/>
  <c r="B1582" i="2"/>
  <c r="E1581" i="2"/>
  <c r="D1581" i="2"/>
  <c r="C1581" i="2"/>
  <c r="B1581" i="2"/>
  <c r="E1580" i="2"/>
  <c r="D1580" i="2"/>
  <c r="C1580" i="2"/>
  <c r="B1580" i="2"/>
  <c r="E1579" i="2"/>
  <c r="D1579" i="2"/>
  <c r="C1579" i="2"/>
  <c r="B1579" i="2"/>
  <c r="E1578" i="2"/>
  <c r="D1578" i="2"/>
  <c r="C1578" i="2"/>
  <c r="B1578" i="2"/>
  <c r="E1577" i="2"/>
  <c r="D1577" i="2"/>
  <c r="C1577" i="2"/>
  <c r="B1577" i="2"/>
  <c r="E1576" i="2"/>
  <c r="D1576" i="2"/>
  <c r="C1576" i="2"/>
  <c r="B1576" i="2"/>
  <c r="E1575" i="2"/>
  <c r="D1575" i="2"/>
  <c r="C1575" i="2"/>
  <c r="B1575" i="2"/>
  <c r="E1574" i="2"/>
  <c r="D1574" i="2"/>
  <c r="C1574" i="2"/>
  <c r="B1574" i="2"/>
  <c r="E1573" i="2"/>
  <c r="D1573" i="2"/>
  <c r="C1573" i="2"/>
  <c r="B1573" i="2"/>
  <c r="E1572" i="2"/>
  <c r="D1572" i="2"/>
  <c r="C1572" i="2"/>
  <c r="B1572" i="2"/>
  <c r="E1571" i="2"/>
  <c r="D1571" i="2"/>
  <c r="C1571" i="2"/>
  <c r="B1571" i="2"/>
  <c r="E1570" i="2"/>
  <c r="D1570" i="2"/>
  <c r="C1570" i="2"/>
  <c r="B1570" i="2"/>
  <c r="E1569" i="2"/>
  <c r="D1569" i="2"/>
  <c r="C1569" i="2"/>
  <c r="B1569" i="2"/>
  <c r="E1568" i="2"/>
  <c r="D1568" i="2"/>
  <c r="C1568" i="2"/>
  <c r="B1568" i="2"/>
  <c r="E1567" i="2"/>
  <c r="D1567" i="2"/>
  <c r="C1567" i="2"/>
  <c r="B1567" i="2"/>
  <c r="E1566" i="2"/>
  <c r="D1566" i="2"/>
  <c r="C1566" i="2"/>
  <c r="B1566" i="2"/>
  <c r="E1565" i="2"/>
  <c r="D1565" i="2"/>
  <c r="C1565" i="2"/>
  <c r="B1565" i="2"/>
  <c r="E1564" i="2"/>
  <c r="D1564" i="2"/>
  <c r="C1564" i="2"/>
  <c r="B1564" i="2"/>
  <c r="E1563" i="2"/>
  <c r="D1563" i="2"/>
  <c r="C1563" i="2"/>
  <c r="B1563" i="2"/>
  <c r="E1562" i="2"/>
  <c r="D1562" i="2"/>
  <c r="C1562" i="2"/>
  <c r="B1562" i="2"/>
  <c r="E1561" i="2"/>
  <c r="D1561" i="2"/>
  <c r="C1561" i="2"/>
  <c r="B1561" i="2"/>
  <c r="E1560" i="2"/>
  <c r="D1560" i="2"/>
  <c r="C1560" i="2"/>
  <c r="B1560" i="2"/>
  <c r="E1559" i="2"/>
  <c r="D1559" i="2"/>
  <c r="C1559" i="2"/>
  <c r="B1559" i="2"/>
  <c r="E1558" i="2"/>
  <c r="D1558" i="2"/>
  <c r="C1558" i="2"/>
  <c r="B1558" i="2"/>
  <c r="E1557" i="2"/>
  <c r="D1557" i="2"/>
  <c r="C1557" i="2"/>
  <c r="B1557" i="2"/>
  <c r="E1556" i="2"/>
  <c r="D1556" i="2"/>
  <c r="C1556" i="2"/>
  <c r="B1556" i="2"/>
  <c r="E1555" i="2"/>
  <c r="D1555" i="2"/>
  <c r="C1555" i="2"/>
  <c r="B1555" i="2"/>
  <c r="E1554" i="2"/>
  <c r="D1554" i="2"/>
  <c r="C1554" i="2"/>
  <c r="B1554" i="2"/>
  <c r="E1553" i="2"/>
  <c r="D1553" i="2"/>
  <c r="C1553" i="2"/>
  <c r="B1553" i="2"/>
  <c r="E1552" i="2"/>
  <c r="D1552" i="2"/>
  <c r="C1552" i="2"/>
  <c r="B1552" i="2"/>
  <c r="E1551" i="2"/>
  <c r="D1551" i="2"/>
  <c r="C1551" i="2"/>
  <c r="B1551" i="2"/>
  <c r="E1550" i="2"/>
  <c r="D1550" i="2"/>
  <c r="C1550" i="2"/>
  <c r="B1550" i="2"/>
  <c r="E1549" i="2"/>
  <c r="D1549" i="2"/>
  <c r="C1549" i="2"/>
  <c r="B1549" i="2"/>
  <c r="E1548" i="2"/>
  <c r="D1548" i="2"/>
  <c r="C1548" i="2"/>
  <c r="B1548" i="2"/>
  <c r="E1547" i="2"/>
  <c r="D1547" i="2"/>
  <c r="C1547" i="2"/>
  <c r="B1547" i="2"/>
  <c r="E1546" i="2"/>
  <c r="D1546" i="2"/>
  <c r="C1546" i="2"/>
  <c r="B1546" i="2"/>
  <c r="E1545" i="2"/>
  <c r="D1545" i="2"/>
  <c r="C1545" i="2"/>
  <c r="B1545" i="2"/>
  <c r="E1544" i="2"/>
  <c r="D1544" i="2"/>
  <c r="C1544" i="2"/>
  <c r="B1544" i="2"/>
  <c r="E1543" i="2"/>
  <c r="D1543" i="2"/>
  <c r="C1543" i="2"/>
  <c r="B1543" i="2"/>
  <c r="E1542" i="2"/>
  <c r="D1542" i="2"/>
  <c r="C1542" i="2"/>
  <c r="B1542" i="2"/>
  <c r="E1541" i="2"/>
  <c r="D1541" i="2"/>
  <c r="C1541" i="2"/>
  <c r="B1541" i="2"/>
  <c r="E1540" i="2"/>
  <c r="D1540" i="2"/>
  <c r="C1540" i="2"/>
  <c r="B1540" i="2"/>
  <c r="E1539" i="2"/>
  <c r="D1539" i="2"/>
  <c r="C1539" i="2"/>
  <c r="B1539" i="2"/>
  <c r="E1538" i="2"/>
  <c r="D1538" i="2"/>
  <c r="C1538" i="2"/>
  <c r="B1538" i="2"/>
  <c r="E1537" i="2"/>
  <c r="D1537" i="2"/>
  <c r="C1537" i="2"/>
  <c r="B1537" i="2"/>
  <c r="E1536" i="2"/>
  <c r="D1536" i="2"/>
  <c r="C1536" i="2"/>
  <c r="B1536" i="2"/>
  <c r="E1535" i="2"/>
  <c r="D1535" i="2"/>
  <c r="C1535" i="2"/>
  <c r="B1535" i="2"/>
  <c r="E1534" i="2"/>
  <c r="D1534" i="2"/>
  <c r="C1534" i="2"/>
  <c r="B1534" i="2"/>
  <c r="E1533" i="2"/>
  <c r="D1533" i="2"/>
  <c r="C1533" i="2"/>
  <c r="B1533" i="2"/>
  <c r="E1532" i="2"/>
  <c r="D1532" i="2"/>
  <c r="C1532" i="2"/>
  <c r="B1532" i="2"/>
  <c r="E1531" i="2"/>
  <c r="D1531" i="2"/>
  <c r="C1531" i="2"/>
  <c r="B1531" i="2"/>
  <c r="E1530" i="2"/>
  <c r="D1530" i="2"/>
  <c r="C1530" i="2"/>
  <c r="B1530" i="2"/>
  <c r="E1529" i="2"/>
  <c r="D1529" i="2"/>
  <c r="C1529" i="2"/>
  <c r="B1529" i="2"/>
  <c r="E1528" i="2"/>
  <c r="D1528" i="2"/>
  <c r="C1528" i="2"/>
  <c r="B1528" i="2"/>
  <c r="E1527" i="2"/>
  <c r="D1527" i="2"/>
  <c r="C1527" i="2"/>
  <c r="B1527" i="2"/>
  <c r="E1526" i="2"/>
  <c r="D1526" i="2"/>
  <c r="C1526" i="2"/>
  <c r="B1526" i="2"/>
  <c r="E1525" i="2"/>
  <c r="D1525" i="2"/>
  <c r="C1525" i="2"/>
  <c r="B1525" i="2"/>
  <c r="E1524" i="2"/>
  <c r="D1524" i="2"/>
  <c r="C1524" i="2"/>
  <c r="B1524" i="2"/>
  <c r="E1523" i="2"/>
  <c r="D1523" i="2"/>
  <c r="C1523" i="2"/>
  <c r="B1523" i="2"/>
  <c r="E1522" i="2"/>
  <c r="D1522" i="2"/>
  <c r="C1522" i="2"/>
  <c r="B1522" i="2"/>
  <c r="E1521" i="2"/>
  <c r="D1521" i="2"/>
  <c r="C1521" i="2"/>
  <c r="B1521" i="2"/>
  <c r="E1520" i="2"/>
  <c r="D1520" i="2"/>
  <c r="C1520" i="2"/>
  <c r="B1520" i="2"/>
  <c r="E1519" i="2"/>
  <c r="D1519" i="2"/>
  <c r="C1519" i="2"/>
  <c r="B1519" i="2"/>
  <c r="E1518" i="2"/>
  <c r="D1518" i="2"/>
  <c r="C1518" i="2"/>
  <c r="B1518" i="2"/>
  <c r="E1517" i="2"/>
  <c r="D1517" i="2"/>
  <c r="C1517" i="2"/>
  <c r="B1517" i="2"/>
  <c r="E1516" i="2"/>
  <c r="D1516" i="2"/>
  <c r="C1516" i="2"/>
  <c r="B1516" i="2"/>
  <c r="E1515" i="2"/>
  <c r="D1515" i="2"/>
  <c r="C1515" i="2"/>
  <c r="B1515" i="2"/>
  <c r="E1514" i="2"/>
  <c r="D1514" i="2"/>
  <c r="C1514" i="2"/>
  <c r="B1514" i="2"/>
  <c r="E1513" i="2"/>
  <c r="D1513" i="2"/>
  <c r="C1513" i="2"/>
  <c r="B1513" i="2"/>
  <c r="E1512" i="2"/>
  <c r="D1512" i="2"/>
  <c r="C1512" i="2"/>
  <c r="B1512" i="2"/>
  <c r="E1511" i="2"/>
  <c r="D1511" i="2"/>
  <c r="C1511" i="2"/>
  <c r="B1511" i="2"/>
  <c r="E1510" i="2"/>
  <c r="D1510" i="2"/>
  <c r="C1510" i="2"/>
  <c r="B1510" i="2"/>
  <c r="E1509" i="2"/>
  <c r="D1509" i="2"/>
  <c r="C1509" i="2"/>
  <c r="B1509" i="2"/>
  <c r="E1508" i="2"/>
  <c r="D1508" i="2"/>
  <c r="C1508" i="2"/>
  <c r="B1508" i="2"/>
  <c r="E1507" i="2"/>
  <c r="D1507" i="2"/>
  <c r="C1507" i="2"/>
  <c r="B1507" i="2"/>
  <c r="E1506" i="2"/>
  <c r="D1506" i="2"/>
  <c r="C1506" i="2"/>
  <c r="B1506" i="2"/>
  <c r="E1505" i="2"/>
  <c r="D1505" i="2"/>
  <c r="C1505" i="2"/>
  <c r="B1505" i="2"/>
  <c r="E1504" i="2"/>
  <c r="D1504" i="2"/>
  <c r="C1504" i="2"/>
  <c r="B1504" i="2"/>
  <c r="E1503" i="2"/>
  <c r="D1503" i="2"/>
  <c r="C1503" i="2"/>
  <c r="B1503" i="2"/>
  <c r="E1502" i="2"/>
  <c r="D1502" i="2"/>
  <c r="C1502" i="2"/>
  <c r="B1502" i="2"/>
  <c r="E1501" i="2"/>
  <c r="D1501" i="2"/>
  <c r="C1501" i="2"/>
  <c r="B1501" i="2"/>
  <c r="E1500" i="2"/>
  <c r="D1500" i="2"/>
  <c r="C1500" i="2"/>
  <c r="B1500" i="2"/>
  <c r="E1499" i="2"/>
  <c r="D1499" i="2"/>
  <c r="C1499" i="2"/>
  <c r="B1499" i="2"/>
  <c r="E1498" i="2"/>
  <c r="D1498" i="2"/>
  <c r="C1498" i="2"/>
  <c r="B1498" i="2"/>
  <c r="E1497" i="2"/>
  <c r="D1497" i="2"/>
  <c r="C1497" i="2"/>
  <c r="B1497" i="2"/>
  <c r="E1496" i="2"/>
  <c r="D1496" i="2"/>
  <c r="C1496" i="2"/>
  <c r="B1496" i="2"/>
  <c r="E1495" i="2"/>
  <c r="D1495" i="2"/>
  <c r="C1495" i="2"/>
  <c r="B1495" i="2"/>
  <c r="E1494" i="2"/>
  <c r="D1494" i="2"/>
  <c r="C1494" i="2"/>
  <c r="B1494" i="2"/>
  <c r="E1493" i="2"/>
  <c r="D1493" i="2"/>
  <c r="C1493" i="2"/>
  <c r="B1493" i="2"/>
  <c r="E1492" i="2"/>
  <c r="D1492" i="2"/>
  <c r="C1492" i="2"/>
  <c r="B1492" i="2"/>
  <c r="E1491" i="2"/>
  <c r="D1491" i="2"/>
  <c r="C1491" i="2"/>
  <c r="B1491" i="2"/>
  <c r="E1490" i="2"/>
  <c r="D1490" i="2"/>
  <c r="C1490" i="2"/>
  <c r="B1490" i="2"/>
  <c r="E1489" i="2"/>
  <c r="D1489" i="2"/>
  <c r="C1489" i="2"/>
  <c r="B1489" i="2"/>
  <c r="E1488" i="2"/>
  <c r="D1488" i="2"/>
  <c r="C1488" i="2"/>
  <c r="B1488" i="2"/>
  <c r="E1487" i="2"/>
  <c r="D1487" i="2"/>
  <c r="C1487" i="2"/>
  <c r="B1487" i="2"/>
  <c r="E1486" i="2"/>
  <c r="D1486" i="2"/>
  <c r="C1486" i="2"/>
  <c r="B1486" i="2"/>
  <c r="E1485" i="2"/>
  <c r="D1485" i="2"/>
  <c r="C1485" i="2"/>
  <c r="B1485" i="2"/>
  <c r="E1484" i="2"/>
  <c r="D1484" i="2"/>
  <c r="C1484" i="2"/>
  <c r="B1484" i="2"/>
  <c r="E1483" i="2"/>
  <c r="D1483" i="2"/>
  <c r="C1483" i="2"/>
  <c r="B1483" i="2"/>
  <c r="E1482" i="2"/>
  <c r="D1482" i="2"/>
  <c r="C1482" i="2"/>
  <c r="B1482" i="2"/>
  <c r="E1481" i="2"/>
  <c r="D1481" i="2"/>
  <c r="C1481" i="2"/>
  <c r="B1481" i="2"/>
  <c r="E1480" i="2"/>
  <c r="D1480" i="2"/>
  <c r="C1480" i="2"/>
  <c r="B1480" i="2"/>
  <c r="E1479" i="2"/>
  <c r="D1479" i="2"/>
  <c r="C1479" i="2"/>
  <c r="B1479" i="2"/>
  <c r="E1478" i="2"/>
  <c r="D1478" i="2"/>
  <c r="C1478" i="2"/>
  <c r="B1478" i="2"/>
  <c r="E1477" i="2"/>
  <c r="D1477" i="2"/>
  <c r="C1477" i="2"/>
  <c r="B1477" i="2"/>
  <c r="E1476" i="2"/>
  <c r="D1476" i="2"/>
  <c r="C1476" i="2"/>
  <c r="B1476" i="2"/>
  <c r="E1475" i="2"/>
  <c r="D1475" i="2"/>
  <c r="C1475" i="2"/>
  <c r="B1475" i="2"/>
  <c r="E1474" i="2"/>
  <c r="D1474" i="2"/>
  <c r="C1474" i="2"/>
  <c r="B1474" i="2"/>
  <c r="E1473" i="2"/>
  <c r="D1473" i="2"/>
  <c r="C1473" i="2"/>
  <c r="B1473" i="2"/>
  <c r="E1472" i="2"/>
  <c r="D1472" i="2"/>
  <c r="C1472" i="2"/>
  <c r="B1472" i="2"/>
  <c r="E1471" i="2"/>
  <c r="D1471" i="2"/>
  <c r="C1471" i="2"/>
  <c r="B1471" i="2"/>
  <c r="E1470" i="2"/>
  <c r="D1470" i="2"/>
  <c r="C1470" i="2"/>
  <c r="B1470" i="2"/>
  <c r="E1469" i="2"/>
  <c r="D1469" i="2"/>
  <c r="C1469" i="2"/>
  <c r="B1469" i="2"/>
  <c r="E1468" i="2"/>
  <c r="D1468" i="2"/>
  <c r="C1468" i="2"/>
  <c r="B1468" i="2"/>
  <c r="E1467" i="2"/>
  <c r="D1467" i="2"/>
  <c r="C1467" i="2"/>
  <c r="B1467" i="2"/>
  <c r="E1466" i="2"/>
  <c r="D1466" i="2"/>
  <c r="C1466" i="2"/>
  <c r="B1466" i="2"/>
  <c r="E1465" i="2"/>
  <c r="D1465" i="2"/>
  <c r="C1465" i="2"/>
  <c r="B1465" i="2"/>
  <c r="E1464" i="2"/>
  <c r="D1464" i="2"/>
  <c r="C1464" i="2"/>
  <c r="B1464" i="2"/>
  <c r="E1463" i="2"/>
  <c r="D1463" i="2"/>
  <c r="C1463" i="2"/>
  <c r="B1463" i="2"/>
  <c r="E1462" i="2"/>
  <c r="D1462" i="2"/>
  <c r="C1462" i="2"/>
  <c r="B1462" i="2"/>
  <c r="E1461" i="2"/>
  <c r="D1461" i="2"/>
  <c r="C1461" i="2"/>
  <c r="B1461" i="2"/>
  <c r="E1460" i="2"/>
  <c r="D1460" i="2"/>
  <c r="C1460" i="2"/>
  <c r="B1460" i="2"/>
  <c r="E1459" i="2"/>
  <c r="D1459" i="2"/>
  <c r="C1459" i="2"/>
  <c r="B1459" i="2"/>
  <c r="E1458" i="2"/>
  <c r="D1458" i="2"/>
  <c r="C1458" i="2"/>
  <c r="B1458" i="2"/>
  <c r="E1457" i="2"/>
  <c r="D1457" i="2"/>
  <c r="C1457" i="2"/>
  <c r="B1457" i="2"/>
  <c r="E1456" i="2"/>
  <c r="D1456" i="2"/>
  <c r="C1456" i="2"/>
  <c r="B1456" i="2"/>
  <c r="E1455" i="2"/>
  <c r="D1455" i="2"/>
  <c r="C1455" i="2"/>
  <c r="B1455" i="2"/>
  <c r="E1454" i="2"/>
  <c r="D1454" i="2"/>
  <c r="C1454" i="2"/>
  <c r="B1454" i="2"/>
  <c r="E1453" i="2"/>
  <c r="D1453" i="2"/>
  <c r="C1453" i="2"/>
  <c r="B1453" i="2"/>
  <c r="E1452" i="2"/>
  <c r="D1452" i="2"/>
  <c r="C1452" i="2"/>
  <c r="B1452" i="2"/>
  <c r="E1451" i="2"/>
  <c r="D1451" i="2"/>
  <c r="C1451" i="2"/>
  <c r="B1451" i="2"/>
  <c r="E1450" i="2"/>
  <c r="D1450" i="2"/>
  <c r="C1450" i="2"/>
  <c r="B1450" i="2"/>
  <c r="E1449" i="2"/>
  <c r="D1449" i="2"/>
  <c r="C1449" i="2"/>
  <c r="B1449" i="2"/>
  <c r="E1448" i="2"/>
  <c r="D1448" i="2"/>
  <c r="C1448" i="2"/>
  <c r="B1448" i="2"/>
  <c r="E1447" i="2"/>
  <c r="D1447" i="2"/>
  <c r="C1447" i="2"/>
  <c r="B1447" i="2"/>
  <c r="E1446" i="2"/>
  <c r="D1446" i="2"/>
  <c r="C1446" i="2"/>
  <c r="B1446" i="2"/>
  <c r="E1445" i="2"/>
  <c r="D1445" i="2"/>
  <c r="C1445" i="2"/>
  <c r="B1445" i="2"/>
  <c r="E1444" i="2"/>
  <c r="D1444" i="2"/>
  <c r="C1444" i="2"/>
  <c r="B1444" i="2"/>
  <c r="E1443" i="2"/>
  <c r="D1443" i="2"/>
  <c r="C1443" i="2"/>
  <c r="B1443" i="2"/>
  <c r="E1442" i="2"/>
  <c r="D1442" i="2"/>
  <c r="C1442" i="2"/>
  <c r="B1442" i="2"/>
  <c r="E1441" i="2"/>
  <c r="D1441" i="2"/>
  <c r="C1441" i="2"/>
  <c r="B1441" i="2"/>
  <c r="E1440" i="2"/>
  <c r="D1440" i="2"/>
  <c r="C1440" i="2"/>
  <c r="B1440" i="2"/>
  <c r="E1439" i="2"/>
  <c r="D1439" i="2"/>
  <c r="C1439" i="2"/>
  <c r="B1439" i="2"/>
  <c r="E1438" i="2"/>
  <c r="D1438" i="2"/>
  <c r="C1438" i="2"/>
  <c r="B1438" i="2"/>
  <c r="E1437" i="2"/>
  <c r="D1437" i="2"/>
  <c r="C1437" i="2"/>
  <c r="B1437" i="2"/>
  <c r="E1436" i="2"/>
  <c r="D1436" i="2"/>
  <c r="C1436" i="2"/>
  <c r="B1436" i="2"/>
  <c r="E1435" i="2"/>
  <c r="D1435" i="2"/>
  <c r="C1435" i="2"/>
  <c r="B1435" i="2"/>
  <c r="E1434" i="2"/>
  <c r="D1434" i="2"/>
  <c r="C1434" i="2"/>
  <c r="B1434" i="2"/>
  <c r="E1433" i="2"/>
  <c r="D1433" i="2"/>
  <c r="C1433" i="2"/>
  <c r="B1433" i="2"/>
  <c r="E1432" i="2"/>
  <c r="D1432" i="2"/>
  <c r="C1432" i="2"/>
  <c r="B1432" i="2"/>
  <c r="E1431" i="2"/>
  <c r="D1431" i="2"/>
  <c r="C1431" i="2"/>
  <c r="B1431" i="2"/>
  <c r="E1430" i="2"/>
  <c r="D1430" i="2"/>
  <c r="C1430" i="2"/>
  <c r="B1430" i="2"/>
  <c r="E1429" i="2"/>
  <c r="D1429" i="2"/>
  <c r="C1429" i="2"/>
  <c r="B1429" i="2"/>
  <c r="E1428" i="2"/>
  <c r="D1428" i="2"/>
  <c r="C1428" i="2"/>
  <c r="B1428" i="2"/>
  <c r="E1427" i="2"/>
  <c r="D1427" i="2"/>
  <c r="C1427" i="2"/>
  <c r="B1427" i="2"/>
  <c r="E1426" i="2"/>
  <c r="D1426" i="2"/>
  <c r="C1426" i="2"/>
  <c r="B1426" i="2"/>
  <c r="E1425" i="2"/>
  <c r="D1425" i="2"/>
  <c r="C1425" i="2"/>
  <c r="B1425" i="2"/>
  <c r="E1424" i="2"/>
  <c r="D1424" i="2"/>
  <c r="C1424" i="2"/>
  <c r="B1424" i="2"/>
  <c r="E1423" i="2"/>
  <c r="D1423" i="2"/>
  <c r="C1423" i="2"/>
  <c r="B1423" i="2"/>
  <c r="E1422" i="2"/>
  <c r="D1422" i="2"/>
  <c r="C1422" i="2"/>
  <c r="B1422" i="2"/>
  <c r="E1421" i="2"/>
  <c r="D1421" i="2"/>
  <c r="C1421" i="2"/>
  <c r="B1421" i="2"/>
  <c r="E1420" i="2"/>
  <c r="D1420" i="2"/>
  <c r="C1420" i="2"/>
  <c r="B1420" i="2"/>
  <c r="E1419" i="2"/>
  <c r="D1419" i="2"/>
  <c r="C1419" i="2"/>
  <c r="B1419" i="2"/>
  <c r="E1418" i="2"/>
  <c r="D1418" i="2"/>
  <c r="C1418" i="2"/>
  <c r="B1418" i="2"/>
  <c r="E1417" i="2"/>
  <c r="D1417" i="2"/>
  <c r="C1417" i="2"/>
  <c r="B1417" i="2"/>
  <c r="E1416" i="2"/>
  <c r="D1416" i="2"/>
  <c r="C1416" i="2"/>
  <c r="B1416" i="2"/>
  <c r="E1415" i="2"/>
  <c r="D1415" i="2"/>
  <c r="C1415" i="2"/>
  <c r="B1415" i="2"/>
  <c r="E1414" i="2"/>
  <c r="D1414" i="2"/>
  <c r="C1414" i="2"/>
  <c r="B1414" i="2"/>
  <c r="E1413" i="2"/>
  <c r="D1413" i="2"/>
  <c r="C1413" i="2"/>
  <c r="B1413" i="2"/>
  <c r="E1412" i="2"/>
  <c r="D1412" i="2"/>
  <c r="C1412" i="2"/>
  <c r="B1412" i="2"/>
  <c r="E1411" i="2"/>
  <c r="D1411" i="2"/>
  <c r="C1411" i="2"/>
  <c r="B1411" i="2"/>
  <c r="E1410" i="2"/>
  <c r="D1410" i="2"/>
  <c r="C1410" i="2"/>
  <c r="B1410" i="2"/>
  <c r="E1409" i="2"/>
  <c r="D1409" i="2"/>
  <c r="C1409" i="2"/>
  <c r="B1409" i="2"/>
  <c r="E1408" i="2"/>
  <c r="D1408" i="2"/>
  <c r="C1408" i="2"/>
  <c r="B1408" i="2"/>
  <c r="E1407" i="2"/>
  <c r="D1407" i="2"/>
  <c r="C1407" i="2"/>
  <c r="B1407" i="2"/>
  <c r="E1406" i="2"/>
  <c r="D1406" i="2"/>
  <c r="C1406" i="2"/>
  <c r="B1406" i="2"/>
  <c r="E1405" i="2"/>
  <c r="D1405" i="2"/>
  <c r="C1405" i="2"/>
  <c r="B1405" i="2"/>
  <c r="E1404" i="2"/>
  <c r="D1404" i="2"/>
  <c r="C1404" i="2"/>
  <c r="B1404" i="2"/>
  <c r="E1403" i="2"/>
  <c r="D1403" i="2"/>
  <c r="C1403" i="2"/>
  <c r="B1403" i="2"/>
  <c r="E1402" i="2"/>
  <c r="D1402" i="2"/>
  <c r="C1402" i="2"/>
  <c r="B1402" i="2"/>
  <c r="E1401" i="2"/>
  <c r="D1401" i="2"/>
  <c r="C1401" i="2"/>
  <c r="B1401" i="2"/>
  <c r="E1400" i="2"/>
  <c r="D1400" i="2"/>
  <c r="C1400" i="2"/>
  <c r="B1400" i="2"/>
  <c r="E1399" i="2"/>
  <c r="D1399" i="2"/>
  <c r="C1399" i="2"/>
  <c r="B1399" i="2"/>
  <c r="E1398" i="2"/>
  <c r="D1398" i="2"/>
  <c r="C1398" i="2"/>
  <c r="B1398" i="2"/>
  <c r="E1397" i="2"/>
  <c r="D1397" i="2"/>
  <c r="C1397" i="2"/>
  <c r="B1397" i="2"/>
  <c r="E1396" i="2"/>
  <c r="D1396" i="2"/>
  <c r="C1396" i="2"/>
  <c r="B1396" i="2"/>
  <c r="E1395" i="2"/>
  <c r="D1395" i="2"/>
  <c r="C1395" i="2"/>
  <c r="B1395" i="2"/>
  <c r="E1394" i="2"/>
  <c r="D1394" i="2"/>
  <c r="C1394" i="2"/>
  <c r="B1394" i="2"/>
  <c r="E1393" i="2"/>
  <c r="D1393" i="2"/>
  <c r="C1393" i="2"/>
  <c r="B1393" i="2"/>
  <c r="E1392" i="2"/>
  <c r="D1392" i="2"/>
  <c r="C1392" i="2"/>
  <c r="B1392" i="2"/>
  <c r="E1391" i="2"/>
  <c r="D1391" i="2"/>
  <c r="C1391" i="2"/>
  <c r="B1391" i="2"/>
  <c r="E1390" i="2"/>
  <c r="D1390" i="2"/>
  <c r="C1390" i="2"/>
  <c r="B1390" i="2"/>
  <c r="E1389" i="2"/>
  <c r="D1389" i="2"/>
  <c r="C1389" i="2"/>
  <c r="B1389" i="2"/>
  <c r="E1388" i="2"/>
  <c r="D1388" i="2"/>
  <c r="C1388" i="2"/>
  <c r="B1388" i="2"/>
  <c r="E1387" i="2"/>
  <c r="D1387" i="2"/>
  <c r="C1387" i="2"/>
  <c r="B1387" i="2"/>
  <c r="E1386" i="2"/>
  <c r="D1386" i="2"/>
  <c r="C1386" i="2"/>
  <c r="B1386" i="2"/>
  <c r="E1385" i="2"/>
  <c r="D1385" i="2"/>
  <c r="C1385" i="2"/>
  <c r="B1385" i="2"/>
  <c r="E1384" i="2"/>
  <c r="D1384" i="2"/>
  <c r="C1384" i="2"/>
  <c r="B1384" i="2"/>
  <c r="E1383" i="2"/>
  <c r="D1383" i="2"/>
  <c r="C1383" i="2"/>
  <c r="B1383" i="2"/>
  <c r="E1382" i="2"/>
  <c r="D1382" i="2"/>
  <c r="C1382" i="2"/>
  <c r="B1382" i="2"/>
  <c r="E1381" i="2"/>
  <c r="D1381" i="2"/>
  <c r="C1381" i="2"/>
  <c r="B1381" i="2"/>
  <c r="E1380" i="2"/>
  <c r="D1380" i="2"/>
  <c r="C1380" i="2"/>
  <c r="B1380" i="2"/>
  <c r="E1379" i="2"/>
  <c r="D1379" i="2"/>
  <c r="C1379" i="2"/>
  <c r="B1379" i="2"/>
  <c r="E1378" i="2"/>
  <c r="D1378" i="2"/>
  <c r="C1378" i="2"/>
  <c r="B1378" i="2"/>
  <c r="E1377" i="2"/>
  <c r="D1377" i="2"/>
  <c r="C1377" i="2"/>
  <c r="B1377" i="2"/>
  <c r="E1376" i="2"/>
  <c r="D1376" i="2"/>
  <c r="C1376" i="2"/>
  <c r="B1376" i="2"/>
  <c r="E1375" i="2"/>
  <c r="D1375" i="2"/>
  <c r="C1375" i="2"/>
  <c r="B1375" i="2"/>
  <c r="E1374" i="2"/>
  <c r="D1374" i="2"/>
  <c r="C1374" i="2"/>
  <c r="B1374" i="2"/>
  <c r="E1373" i="2"/>
  <c r="D1373" i="2"/>
  <c r="C1373" i="2"/>
  <c r="B1373" i="2"/>
  <c r="E1372" i="2"/>
  <c r="D1372" i="2"/>
  <c r="C1372" i="2"/>
  <c r="B1372" i="2"/>
  <c r="E1371" i="2"/>
  <c r="D1371" i="2"/>
  <c r="C1371" i="2"/>
  <c r="B1371" i="2"/>
  <c r="E1370" i="2"/>
  <c r="D1370" i="2"/>
  <c r="C1370" i="2"/>
  <c r="B1370" i="2"/>
  <c r="E1369" i="2"/>
  <c r="D1369" i="2"/>
  <c r="C1369" i="2"/>
  <c r="B1369" i="2"/>
  <c r="E1368" i="2"/>
  <c r="D1368" i="2"/>
  <c r="C1368" i="2"/>
  <c r="B1368" i="2"/>
  <c r="E1367" i="2"/>
  <c r="D1367" i="2"/>
  <c r="C1367" i="2"/>
  <c r="B1367" i="2"/>
  <c r="E1366" i="2"/>
  <c r="D1366" i="2"/>
  <c r="C1366" i="2"/>
  <c r="B1366" i="2"/>
  <c r="E1365" i="2"/>
  <c r="D1365" i="2"/>
  <c r="C1365" i="2"/>
  <c r="B1365" i="2"/>
  <c r="E1364" i="2"/>
  <c r="D1364" i="2"/>
  <c r="C1364" i="2"/>
  <c r="B1364" i="2"/>
  <c r="E1363" i="2"/>
  <c r="D1363" i="2"/>
  <c r="C1363" i="2"/>
  <c r="B1363" i="2"/>
  <c r="E1362" i="2"/>
  <c r="D1362" i="2"/>
  <c r="C1362" i="2"/>
  <c r="B1362" i="2"/>
  <c r="E1361" i="2"/>
  <c r="D1361" i="2"/>
  <c r="C1361" i="2"/>
  <c r="B1361" i="2"/>
  <c r="E1360" i="2"/>
  <c r="D1360" i="2"/>
  <c r="C1360" i="2"/>
  <c r="B1360" i="2"/>
  <c r="E1359" i="2"/>
  <c r="D1359" i="2"/>
  <c r="C1359" i="2"/>
  <c r="B1359" i="2"/>
  <c r="E1358" i="2"/>
  <c r="D1358" i="2"/>
  <c r="C1358" i="2"/>
  <c r="B1358" i="2"/>
  <c r="E1357" i="2"/>
  <c r="D1357" i="2"/>
  <c r="C1357" i="2"/>
  <c r="B1357" i="2"/>
  <c r="E1356" i="2"/>
  <c r="D1356" i="2"/>
  <c r="C1356" i="2"/>
  <c r="B1356" i="2"/>
  <c r="E1355" i="2"/>
  <c r="D1355" i="2"/>
  <c r="C1355" i="2"/>
  <c r="B1355" i="2"/>
  <c r="E1354" i="2"/>
  <c r="D1354" i="2"/>
  <c r="C1354" i="2"/>
  <c r="B1354" i="2"/>
  <c r="E1353" i="2"/>
  <c r="D1353" i="2"/>
  <c r="C1353" i="2"/>
  <c r="B1353" i="2"/>
  <c r="E1352" i="2"/>
  <c r="D1352" i="2"/>
  <c r="C1352" i="2"/>
  <c r="B1352" i="2"/>
  <c r="E1351" i="2"/>
  <c r="D1351" i="2"/>
  <c r="C1351" i="2"/>
  <c r="B1351" i="2"/>
  <c r="E1350" i="2"/>
  <c r="D1350" i="2"/>
  <c r="C1350" i="2"/>
  <c r="B1350" i="2"/>
  <c r="E1349" i="2"/>
  <c r="D1349" i="2"/>
  <c r="C1349" i="2"/>
  <c r="B1349" i="2"/>
  <c r="E1348" i="2"/>
  <c r="D1348" i="2"/>
  <c r="C1348" i="2"/>
  <c r="B1348" i="2"/>
  <c r="E1347" i="2"/>
  <c r="D1347" i="2"/>
  <c r="C1347" i="2"/>
  <c r="B1347" i="2"/>
  <c r="E1346" i="2"/>
  <c r="D1346" i="2"/>
  <c r="C1346" i="2"/>
  <c r="B1346" i="2"/>
  <c r="E1345" i="2"/>
  <c r="D1345" i="2"/>
  <c r="C1345" i="2"/>
  <c r="B1345" i="2"/>
  <c r="E1344" i="2"/>
  <c r="D1344" i="2"/>
  <c r="C1344" i="2"/>
  <c r="B1344" i="2"/>
  <c r="E1343" i="2"/>
  <c r="D1343" i="2"/>
  <c r="C1343" i="2"/>
  <c r="B1343" i="2"/>
  <c r="E1342" i="2"/>
  <c r="D1342" i="2"/>
  <c r="C1342" i="2"/>
  <c r="B1342" i="2"/>
  <c r="E1341" i="2"/>
  <c r="D1341" i="2"/>
  <c r="C1341" i="2"/>
  <c r="B1341" i="2"/>
  <c r="E1340" i="2"/>
  <c r="D1340" i="2"/>
  <c r="C1340" i="2"/>
  <c r="B1340" i="2"/>
  <c r="E1339" i="2"/>
  <c r="D1339" i="2"/>
  <c r="C1339" i="2"/>
  <c r="B1339" i="2"/>
  <c r="E1338" i="2"/>
  <c r="D1338" i="2"/>
  <c r="C1338" i="2"/>
  <c r="B1338" i="2"/>
  <c r="E1337" i="2"/>
  <c r="D1337" i="2"/>
  <c r="C1337" i="2"/>
  <c r="B1337" i="2"/>
  <c r="E1336" i="2"/>
  <c r="D1336" i="2"/>
  <c r="C1336" i="2"/>
  <c r="B1336" i="2"/>
  <c r="E1335" i="2"/>
  <c r="D1335" i="2"/>
  <c r="C1335" i="2"/>
  <c r="B1335" i="2"/>
  <c r="E1334" i="2"/>
  <c r="D1334" i="2"/>
  <c r="C1334" i="2"/>
  <c r="B1334" i="2"/>
  <c r="E1333" i="2"/>
  <c r="D1333" i="2"/>
  <c r="C1333" i="2"/>
  <c r="B1333" i="2"/>
  <c r="E1332" i="2"/>
  <c r="D1332" i="2"/>
  <c r="C1332" i="2"/>
  <c r="B1332" i="2"/>
  <c r="E1331" i="2"/>
  <c r="D1331" i="2"/>
  <c r="C1331" i="2"/>
  <c r="B1331" i="2"/>
  <c r="E1330" i="2"/>
  <c r="D1330" i="2"/>
  <c r="C1330" i="2"/>
  <c r="B1330" i="2"/>
  <c r="E1329" i="2"/>
  <c r="D1329" i="2"/>
  <c r="C1329" i="2"/>
  <c r="B1329" i="2"/>
  <c r="E1328" i="2"/>
  <c r="D1328" i="2"/>
  <c r="C1328" i="2"/>
  <c r="B1328" i="2"/>
  <c r="E1327" i="2"/>
  <c r="D1327" i="2"/>
  <c r="C1327" i="2"/>
  <c r="B1327" i="2"/>
  <c r="E1326" i="2"/>
  <c r="D1326" i="2"/>
  <c r="C1326" i="2"/>
  <c r="B1326" i="2"/>
  <c r="E1325" i="2"/>
  <c r="D1325" i="2"/>
  <c r="C1325" i="2"/>
  <c r="B1325" i="2"/>
  <c r="E1324" i="2"/>
  <c r="D1324" i="2"/>
  <c r="C1324" i="2"/>
  <c r="B1324" i="2"/>
  <c r="E1323" i="2"/>
  <c r="D1323" i="2"/>
  <c r="C1323" i="2"/>
  <c r="B1323" i="2"/>
  <c r="E1322" i="2"/>
  <c r="D1322" i="2"/>
  <c r="C1322" i="2"/>
  <c r="B1322" i="2"/>
  <c r="E1321" i="2"/>
  <c r="D1321" i="2"/>
  <c r="C1321" i="2"/>
  <c r="B1321" i="2"/>
  <c r="E1320" i="2"/>
  <c r="D1320" i="2"/>
  <c r="C1320" i="2"/>
  <c r="B1320" i="2"/>
  <c r="E1319" i="2"/>
  <c r="D1319" i="2"/>
  <c r="C1319" i="2"/>
  <c r="B1319" i="2"/>
  <c r="E1318" i="2"/>
  <c r="D1318" i="2"/>
  <c r="C1318" i="2"/>
  <c r="B1318" i="2"/>
  <c r="E1317" i="2"/>
  <c r="D1317" i="2"/>
  <c r="C1317" i="2"/>
  <c r="B1317" i="2"/>
  <c r="E1316" i="2"/>
  <c r="D1316" i="2"/>
  <c r="C1316" i="2"/>
  <c r="B1316" i="2"/>
  <c r="E1315" i="2"/>
  <c r="D1315" i="2"/>
  <c r="C1315" i="2"/>
  <c r="B1315" i="2"/>
  <c r="E1314" i="2"/>
  <c r="D1314" i="2"/>
  <c r="C1314" i="2"/>
  <c r="B1314" i="2"/>
  <c r="E1313" i="2"/>
  <c r="D1313" i="2"/>
  <c r="C1313" i="2"/>
  <c r="B1313" i="2"/>
  <c r="E1312" i="2"/>
  <c r="D1312" i="2"/>
  <c r="C1312" i="2"/>
  <c r="B1312" i="2"/>
  <c r="E1311" i="2"/>
  <c r="D1311" i="2"/>
  <c r="C1311" i="2"/>
  <c r="B1311" i="2"/>
  <c r="E1310" i="2"/>
  <c r="D1310" i="2"/>
  <c r="C1310" i="2"/>
  <c r="B1310" i="2"/>
  <c r="E1309" i="2"/>
  <c r="D1309" i="2"/>
  <c r="C1309" i="2"/>
  <c r="B1309" i="2"/>
  <c r="E1308" i="2"/>
  <c r="D1308" i="2"/>
  <c r="C1308" i="2"/>
  <c r="B1308" i="2"/>
  <c r="E1307" i="2"/>
  <c r="D1307" i="2"/>
  <c r="C1307" i="2"/>
  <c r="B1307" i="2"/>
  <c r="E1306" i="2"/>
  <c r="D1306" i="2"/>
  <c r="C1306" i="2"/>
  <c r="B1306" i="2"/>
  <c r="E1305" i="2"/>
  <c r="D1305" i="2"/>
  <c r="C1305" i="2"/>
  <c r="B1305" i="2"/>
  <c r="E1304" i="2"/>
  <c r="D1304" i="2"/>
  <c r="C1304" i="2"/>
  <c r="B1304" i="2"/>
  <c r="E1303" i="2"/>
  <c r="D1303" i="2"/>
  <c r="C1303" i="2"/>
  <c r="B1303" i="2"/>
  <c r="E1302" i="2"/>
  <c r="D1302" i="2"/>
  <c r="C1302" i="2"/>
  <c r="B1302" i="2"/>
  <c r="E1301" i="2"/>
  <c r="D1301" i="2"/>
  <c r="C1301" i="2"/>
  <c r="B1301" i="2"/>
  <c r="E1300" i="2"/>
  <c r="D1300" i="2"/>
  <c r="C1300" i="2"/>
  <c r="B1300" i="2"/>
  <c r="E1299" i="2"/>
  <c r="D1299" i="2"/>
  <c r="C1299" i="2"/>
  <c r="B1299" i="2"/>
  <c r="E1298" i="2"/>
  <c r="D1298" i="2"/>
  <c r="C1298" i="2"/>
  <c r="B1298" i="2"/>
  <c r="E1297" i="2"/>
  <c r="D1297" i="2"/>
  <c r="C1297" i="2"/>
  <c r="B1297" i="2"/>
  <c r="E1296" i="2"/>
  <c r="D1296" i="2"/>
  <c r="C1296" i="2"/>
  <c r="B1296" i="2"/>
  <c r="E1295" i="2"/>
  <c r="D1295" i="2"/>
  <c r="C1295" i="2"/>
  <c r="B1295" i="2"/>
  <c r="E1294" i="2"/>
  <c r="D1294" i="2"/>
  <c r="C1294" i="2"/>
  <c r="B1294" i="2"/>
  <c r="E1293" i="2"/>
  <c r="D1293" i="2"/>
  <c r="C1293" i="2"/>
  <c r="B1293" i="2"/>
  <c r="E1292" i="2"/>
  <c r="D1292" i="2"/>
  <c r="C1292" i="2"/>
  <c r="B1292" i="2"/>
  <c r="E1291" i="2"/>
  <c r="D1291" i="2"/>
  <c r="C1291" i="2"/>
  <c r="B1291" i="2"/>
  <c r="E1290" i="2"/>
  <c r="D1290" i="2"/>
  <c r="C1290" i="2"/>
  <c r="B1290" i="2"/>
  <c r="E1289" i="2"/>
  <c r="D1289" i="2"/>
  <c r="C1289" i="2"/>
  <c r="B1289" i="2"/>
  <c r="E1288" i="2"/>
  <c r="D1288" i="2"/>
  <c r="C1288" i="2"/>
  <c r="B1288" i="2"/>
  <c r="E1287" i="2"/>
  <c r="D1287" i="2"/>
  <c r="C1287" i="2"/>
  <c r="B1287" i="2"/>
  <c r="E1286" i="2"/>
  <c r="D1286" i="2"/>
  <c r="C1286" i="2"/>
  <c r="B1286" i="2"/>
  <c r="E1285" i="2"/>
  <c r="D1285" i="2"/>
  <c r="C1285" i="2"/>
  <c r="B1285" i="2"/>
  <c r="E1284" i="2"/>
  <c r="D1284" i="2"/>
  <c r="C1284" i="2"/>
  <c r="B1284" i="2"/>
  <c r="E1283" i="2"/>
  <c r="D1283" i="2"/>
  <c r="C1283" i="2"/>
  <c r="B1283" i="2"/>
  <c r="E1282" i="2"/>
  <c r="D1282" i="2"/>
  <c r="C1282" i="2"/>
  <c r="B1282" i="2"/>
  <c r="E1281" i="2"/>
  <c r="D1281" i="2"/>
  <c r="C1281" i="2"/>
  <c r="B1281" i="2"/>
  <c r="E1280" i="2"/>
  <c r="D1280" i="2"/>
  <c r="C1280" i="2"/>
  <c r="B1280" i="2"/>
  <c r="E1279" i="2"/>
  <c r="D1279" i="2"/>
  <c r="C1279" i="2"/>
  <c r="B1279" i="2"/>
  <c r="E1278" i="2"/>
  <c r="D1278" i="2"/>
  <c r="C1278" i="2"/>
  <c r="B1278" i="2"/>
  <c r="E1277" i="2"/>
  <c r="D1277" i="2"/>
  <c r="C1277" i="2"/>
  <c r="B1277" i="2"/>
  <c r="E1276" i="2"/>
  <c r="D1276" i="2"/>
  <c r="C1276" i="2"/>
  <c r="B1276" i="2"/>
  <c r="E1275" i="2"/>
  <c r="D1275" i="2"/>
  <c r="C1275" i="2"/>
  <c r="B1275" i="2"/>
  <c r="E1274" i="2"/>
  <c r="D1274" i="2"/>
  <c r="C1274" i="2"/>
  <c r="B1274" i="2"/>
  <c r="E1273" i="2"/>
  <c r="D1273" i="2"/>
  <c r="C1273" i="2"/>
  <c r="B1273" i="2"/>
  <c r="E1272" i="2"/>
  <c r="D1272" i="2"/>
  <c r="C1272" i="2"/>
  <c r="B1272" i="2"/>
  <c r="E1271" i="2"/>
  <c r="D1271" i="2"/>
  <c r="C1271" i="2"/>
  <c r="B1271" i="2"/>
  <c r="E1270" i="2"/>
  <c r="D1270" i="2"/>
  <c r="C1270" i="2"/>
  <c r="B1270" i="2"/>
  <c r="E1269" i="2"/>
  <c r="D1269" i="2"/>
  <c r="C1269" i="2"/>
  <c r="B1269" i="2"/>
  <c r="E1268" i="2"/>
  <c r="D1268" i="2"/>
  <c r="C1268" i="2"/>
  <c r="B1268" i="2"/>
  <c r="E1267" i="2"/>
  <c r="D1267" i="2"/>
  <c r="C1267" i="2"/>
  <c r="B1267" i="2"/>
  <c r="E1266" i="2"/>
  <c r="D1266" i="2"/>
  <c r="C1266" i="2"/>
  <c r="B1266" i="2"/>
  <c r="E1265" i="2"/>
  <c r="D1265" i="2"/>
  <c r="C1265" i="2"/>
  <c r="B1265" i="2"/>
  <c r="E1264" i="2"/>
  <c r="D1264" i="2"/>
  <c r="C1264" i="2"/>
  <c r="B1264" i="2"/>
  <c r="E1263" i="2"/>
  <c r="D1263" i="2"/>
  <c r="C1263" i="2"/>
  <c r="B1263" i="2"/>
  <c r="E1262" i="2"/>
  <c r="D1262" i="2"/>
  <c r="C1262" i="2"/>
  <c r="B1262" i="2"/>
  <c r="E1261" i="2"/>
  <c r="D1261" i="2"/>
  <c r="C1261" i="2"/>
  <c r="B1261" i="2"/>
  <c r="E1260" i="2"/>
  <c r="D1260" i="2"/>
  <c r="C1260" i="2"/>
  <c r="B1260" i="2"/>
  <c r="E1259" i="2"/>
  <c r="D1259" i="2"/>
  <c r="C1259" i="2"/>
  <c r="B1259" i="2"/>
  <c r="E1258" i="2"/>
  <c r="D1258" i="2"/>
  <c r="C1258" i="2"/>
  <c r="B1258" i="2"/>
  <c r="E1257" i="2"/>
  <c r="D1257" i="2"/>
  <c r="C1257" i="2"/>
  <c r="B1257" i="2"/>
  <c r="E1256" i="2"/>
  <c r="D1256" i="2"/>
  <c r="C1256" i="2"/>
  <c r="B1256" i="2"/>
  <c r="E1255" i="2"/>
  <c r="D1255" i="2"/>
  <c r="C1255" i="2"/>
  <c r="B1255" i="2"/>
  <c r="E1254" i="2"/>
  <c r="D1254" i="2"/>
  <c r="C1254" i="2"/>
  <c r="B1254" i="2"/>
  <c r="E1253" i="2"/>
  <c r="D1253" i="2"/>
  <c r="C1253" i="2"/>
  <c r="B1253" i="2"/>
  <c r="E1252" i="2"/>
  <c r="D1252" i="2"/>
  <c r="C1252" i="2"/>
  <c r="B1252" i="2"/>
  <c r="E1251" i="2"/>
  <c r="D1251" i="2"/>
  <c r="C1251" i="2"/>
  <c r="B1251" i="2"/>
  <c r="E1250" i="2"/>
  <c r="D1250" i="2"/>
  <c r="C1250" i="2"/>
  <c r="B1250" i="2"/>
  <c r="E1249" i="2"/>
  <c r="D1249" i="2"/>
  <c r="C1249" i="2"/>
  <c r="B1249" i="2"/>
  <c r="E1248" i="2"/>
  <c r="D1248" i="2"/>
  <c r="C1248" i="2"/>
  <c r="B1248" i="2"/>
  <c r="E1247" i="2"/>
  <c r="D1247" i="2"/>
  <c r="C1247" i="2"/>
  <c r="B1247" i="2"/>
  <c r="E1246" i="2"/>
  <c r="D1246" i="2"/>
  <c r="C1246" i="2"/>
  <c r="B1246" i="2"/>
  <c r="E1245" i="2"/>
  <c r="D1245" i="2"/>
  <c r="C1245" i="2"/>
  <c r="B1245" i="2"/>
  <c r="E1244" i="2"/>
  <c r="D1244" i="2"/>
  <c r="C1244" i="2"/>
  <c r="B1244" i="2"/>
  <c r="E1243" i="2"/>
  <c r="D1243" i="2"/>
  <c r="C1243" i="2"/>
  <c r="B1243" i="2"/>
  <c r="E1242" i="2"/>
  <c r="D1242" i="2"/>
  <c r="C1242" i="2"/>
  <c r="B1242" i="2"/>
  <c r="E1241" i="2"/>
  <c r="D1241" i="2"/>
  <c r="C1241" i="2"/>
  <c r="B1241" i="2"/>
  <c r="E1240" i="2"/>
  <c r="D1240" i="2"/>
  <c r="C1240" i="2"/>
  <c r="B1240" i="2"/>
  <c r="E1239" i="2"/>
  <c r="D1239" i="2"/>
  <c r="C1239" i="2"/>
  <c r="B1239" i="2"/>
  <c r="E1238" i="2"/>
  <c r="D1238" i="2"/>
  <c r="C1238" i="2"/>
  <c r="B1238" i="2"/>
  <c r="E1237" i="2"/>
  <c r="D1237" i="2"/>
  <c r="C1237" i="2"/>
  <c r="B1237" i="2"/>
  <c r="E1236" i="2"/>
  <c r="D1236" i="2"/>
  <c r="C1236" i="2"/>
  <c r="B1236" i="2"/>
  <c r="E1235" i="2"/>
  <c r="D1235" i="2"/>
  <c r="C1235" i="2"/>
  <c r="B1235" i="2"/>
  <c r="E1234" i="2"/>
  <c r="D1234" i="2"/>
  <c r="C1234" i="2"/>
  <c r="B1234" i="2"/>
  <c r="E1233" i="2"/>
  <c r="D1233" i="2"/>
  <c r="C1233" i="2"/>
  <c r="B1233" i="2"/>
  <c r="E1232" i="2"/>
  <c r="D1232" i="2"/>
  <c r="C1232" i="2"/>
  <c r="B1232" i="2"/>
  <c r="E1231" i="2"/>
  <c r="D1231" i="2"/>
  <c r="C1231" i="2"/>
  <c r="B1231" i="2"/>
  <c r="E1230" i="2"/>
  <c r="D1230" i="2"/>
  <c r="C1230" i="2"/>
  <c r="B1230" i="2"/>
  <c r="E1229" i="2"/>
  <c r="D1229" i="2"/>
  <c r="C1229" i="2"/>
  <c r="B1229" i="2"/>
  <c r="E1228" i="2"/>
  <c r="D1228" i="2"/>
  <c r="C1228" i="2"/>
  <c r="B1228" i="2"/>
  <c r="E1227" i="2"/>
  <c r="D1227" i="2"/>
  <c r="C1227" i="2"/>
  <c r="B1227" i="2"/>
  <c r="E1226" i="2"/>
  <c r="D1226" i="2"/>
  <c r="C1226" i="2"/>
  <c r="B1226" i="2"/>
  <c r="E1225" i="2"/>
  <c r="D1225" i="2"/>
  <c r="C1225" i="2"/>
  <c r="B1225" i="2"/>
  <c r="E1224" i="2"/>
  <c r="D1224" i="2"/>
  <c r="C1224" i="2"/>
  <c r="B1224" i="2"/>
  <c r="E1223" i="2"/>
  <c r="D1223" i="2"/>
  <c r="C1223" i="2"/>
  <c r="B1223" i="2"/>
  <c r="E1222" i="2"/>
  <c r="D1222" i="2"/>
  <c r="C1222" i="2"/>
  <c r="B1222" i="2"/>
  <c r="E1221" i="2"/>
  <c r="D1221" i="2"/>
  <c r="C1221" i="2"/>
  <c r="B1221" i="2"/>
  <c r="E1220" i="2"/>
  <c r="D1220" i="2"/>
  <c r="C1220" i="2"/>
  <c r="B1220" i="2"/>
  <c r="E1219" i="2"/>
  <c r="D1219" i="2"/>
  <c r="C1219" i="2"/>
  <c r="B1219" i="2"/>
  <c r="E1218" i="2"/>
  <c r="D1218" i="2"/>
  <c r="C1218" i="2"/>
  <c r="B1218" i="2"/>
  <c r="E1217" i="2"/>
  <c r="D1217" i="2"/>
  <c r="C1217" i="2"/>
  <c r="B1217" i="2"/>
  <c r="E1216" i="2"/>
  <c r="D1216" i="2"/>
  <c r="C1216" i="2"/>
  <c r="B1216" i="2"/>
  <c r="E1215" i="2"/>
  <c r="D1215" i="2"/>
  <c r="C1215" i="2"/>
  <c r="B1215" i="2"/>
  <c r="E1214" i="2"/>
  <c r="D1214" i="2"/>
  <c r="C1214" i="2"/>
  <c r="B1214" i="2"/>
  <c r="E1213" i="2"/>
  <c r="D1213" i="2"/>
  <c r="C1213" i="2"/>
  <c r="B1213" i="2"/>
  <c r="E1212" i="2"/>
  <c r="D1212" i="2"/>
  <c r="C1212" i="2"/>
  <c r="B1212" i="2"/>
  <c r="E1211" i="2"/>
  <c r="D1211" i="2"/>
  <c r="C1211" i="2"/>
  <c r="B1211" i="2"/>
  <c r="E1210" i="2"/>
  <c r="D1210" i="2"/>
  <c r="C1210" i="2"/>
  <c r="B1210" i="2"/>
  <c r="E1209" i="2"/>
  <c r="D1209" i="2"/>
  <c r="C1209" i="2"/>
  <c r="B1209" i="2"/>
  <c r="E1208" i="2"/>
  <c r="D1208" i="2"/>
  <c r="C1208" i="2"/>
  <c r="B1208" i="2"/>
  <c r="E1207" i="2"/>
  <c r="D1207" i="2"/>
  <c r="C1207" i="2"/>
  <c r="B1207" i="2"/>
  <c r="E1206" i="2"/>
  <c r="D1206" i="2"/>
  <c r="C1206" i="2"/>
  <c r="B1206" i="2"/>
  <c r="E1205" i="2"/>
  <c r="D1205" i="2"/>
  <c r="C1205" i="2"/>
  <c r="B1205" i="2"/>
  <c r="E1204" i="2"/>
  <c r="D1204" i="2"/>
  <c r="C1204" i="2"/>
  <c r="B1204" i="2"/>
  <c r="E1203" i="2"/>
  <c r="D1203" i="2"/>
  <c r="C1203" i="2"/>
  <c r="B1203" i="2"/>
  <c r="E1202" i="2"/>
  <c r="D1202" i="2"/>
  <c r="C1202" i="2"/>
  <c r="B1202" i="2"/>
  <c r="E1201" i="2"/>
  <c r="D1201" i="2"/>
  <c r="C1201" i="2"/>
  <c r="B1201" i="2"/>
  <c r="E1200" i="2"/>
  <c r="D1200" i="2"/>
  <c r="C1200" i="2"/>
  <c r="B1200" i="2"/>
  <c r="E1199" i="2"/>
  <c r="D1199" i="2"/>
  <c r="C1199" i="2"/>
  <c r="B1199" i="2"/>
  <c r="E1198" i="2"/>
  <c r="D1198" i="2"/>
  <c r="C1198" i="2"/>
  <c r="B1198" i="2"/>
  <c r="E1197" i="2"/>
  <c r="D1197" i="2"/>
  <c r="C1197" i="2"/>
  <c r="B1197" i="2"/>
  <c r="E1196" i="2"/>
  <c r="D1196" i="2"/>
  <c r="C1196" i="2"/>
  <c r="B1196" i="2"/>
  <c r="E1195" i="2"/>
  <c r="D1195" i="2"/>
  <c r="C1195" i="2"/>
  <c r="B1195" i="2"/>
  <c r="E1194" i="2"/>
  <c r="D1194" i="2"/>
  <c r="C1194" i="2"/>
  <c r="B1194" i="2"/>
  <c r="E1193" i="2"/>
  <c r="D1193" i="2"/>
  <c r="C1193" i="2"/>
  <c r="B1193" i="2"/>
  <c r="E1192" i="2"/>
  <c r="D1192" i="2"/>
  <c r="C1192" i="2"/>
  <c r="B1192" i="2"/>
  <c r="E1191" i="2"/>
  <c r="D1191" i="2"/>
  <c r="C1191" i="2"/>
  <c r="B1191" i="2"/>
  <c r="E1190" i="2"/>
  <c r="D1190" i="2"/>
  <c r="C1190" i="2"/>
  <c r="B1190" i="2"/>
  <c r="E1189" i="2"/>
  <c r="D1189" i="2"/>
  <c r="C1189" i="2"/>
  <c r="B1189" i="2"/>
  <c r="E1188" i="2"/>
  <c r="D1188" i="2"/>
  <c r="C1188" i="2"/>
  <c r="B1188" i="2"/>
  <c r="E1187" i="2"/>
  <c r="D1187" i="2"/>
  <c r="C1187" i="2"/>
  <c r="B1187" i="2"/>
  <c r="E1186" i="2"/>
  <c r="D1186" i="2"/>
  <c r="C1186" i="2"/>
  <c r="B1186" i="2"/>
  <c r="E1185" i="2"/>
  <c r="D1185" i="2"/>
  <c r="C1185" i="2"/>
  <c r="B1185" i="2"/>
  <c r="E1184" i="2"/>
  <c r="D1184" i="2"/>
  <c r="C1184" i="2"/>
  <c r="B1184" i="2"/>
  <c r="E1183" i="2"/>
  <c r="D1183" i="2"/>
  <c r="C1183" i="2"/>
  <c r="B1183" i="2"/>
  <c r="E1182" i="2"/>
  <c r="D1182" i="2"/>
  <c r="C1182" i="2"/>
  <c r="B1182" i="2"/>
  <c r="E1181" i="2"/>
  <c r="D1181" i="2"/>
  <c r="C1181" i="2"/>
  <c r="B1181" i="2"/>
  <c r="E1180" i="2"/>
  <c r="D1180" i="2"/>
  <c r="C1180" i="2"/>
  <c r="B1180" i="2"/>
  <c r="E1179" i="2"/>
  <c r="D1179" i="2"/>
  <c r="C1179" i="2"/>
  <c r="B1179" i="2"/>
  <c r="E1178" i="2"/>
  <c r="D1178" i="2"/>
  <c r="C1178" i="2"/>
  <c r="B1178" i="2"/>
  <c r="E1177" i="2"/>
  <c r="D1177" i="2"/>
  <c r="C1177" i="2"/>
  <c r="B1177" i="2"/>
  <c r="E1176" i="2"/>
  <c r="D1176" i="2"/>
  <c r="C1176" i="2"/>
  <c r="B1176" i="2"/>
  <c r="E1175" i="2"/>
  <c r="D1175" i="2"/>
  <c r="C1175" i="2"/>
  <c r="B1175" i="2"/>
  <c r="E1174" i="2"/>
  <c r="D1174" i="2"/>
  <c r="C1174" i="2"/>
  <c r="B1174" i="2"/>
  <c r="E1173" i="2"/>
  <c r="D1173" i="2"/>
  <c r="C1173" i="2"/>
  <c r="B1173" i="2"/>
  <c r="E1172" i="2"/>
  <c r="D1172" i="2"/>
  <c r="C1172" i="2"/>
  <c r="B1172" i="2"/>
  <c r="E1171" i="2"/>
  <c r="D1171" i="2"/>
  <c r="C1171" i="2"/>
  <c r="E1170" i="2"/>
  <c r="D1170" i="2"/>
  <c r="C1170" i="2"/>
  <c r="B1170" i="2"/>
  <c r="E1169" i="2"/>
  <c r="D1169" i="2"/>
  <c r="C1169" i="2"/>
  <c r="B1169" i="2"/>
  <c r="E1168" i="2"/>
  <c r="D1168" i="2"/>
  <c r="C1168" i="2"/>
  <c r="B1168" i="2"/>
  <c r="E1167" i="2"/>
  <c r="D1167" i="2"/>
  <c r="C1167" i="2"/>
  <c r="B1167" i="2"/>
  <c r="E1166" i="2"/>
  <c r="D1166" i="2"/>
  <c r="C1166" i="2"/>
  <c r="B1166" i="2"/>
  <c r="E1165" i="2"/>
  <c r="D1165" i="2"/>
  <c r="C1165" i="2"/>
  <c r="B1165" i="2"/>
  <c r="E1164" i="2"/>
  <c r="D1164" i="2"/>
  <c r="C1164" i="2"/>
  <c r="B1164" i="2"/>
  <c r="E1163" i="2"/>
  <c r="D1163" i="2"/>
  <c r="C1163" i="2"/>
  <c r="B1163" i="2"/>
  <c r="E1162" i="2"/>
  <c r="D1162" i="2"/>
  <c r="C1162" i="2"/>
  <c r="B1162" i="2"/>
  <c r="E1161" i="2"/>
  <c r="D1161" i="2"/>
  <c r="C1161" i="2"/>
  <c r="B1161" i="2"/>
  <c r="E1160" i="2"/>
  <c r="D1160" i="2"/>
  <c r="C1160" i="2"/>
  <c r="B1160" i="2"/>
  <c r="E1159" i="2"/>
  <c r="D1159" i="2"/>
  <c r="C1159" i="2"/>
  <c r="E1158" i="2"/>
  <c r="D1158" i="2"/>
  <c r="C1158" i="2"/>
  <c r="E1157" i="2"/>
  <c r="D1157" i="2"/>
  <c r="C1157" i="2"/>
  <c r="B1157" i="2"/>
  <c r="E1156" i="2"/>
  <c r="D1156" i="2"/>
  <c r="C1156" i="2"/>
  <c r="B1156" i="2"/>
  <c r="E1155" i="2"/>
  <c r="D1155" i="2"/>
  <c r="C1155" i="2"/>
  <c r="B1155" i="2"/>
  <c r="E1154" i="2"/>
  <c r="D1154" i="2"/>
  <c r="C1154" i="2"/>
  <c r="B1154" i="2"/>
  <c r="E1153" i="2"/>
  <c r="D1153" i="2"/>
  <c r="C1153" i="2"/>
  <c r="B1153" i="2"/>
  <c r="E1152" i="2"/>
  <c r="D1152" i="2"/>
  <c r="C1152" i="2"/>
  <c r="B1152" i="2"/>
  <c r="E1151" i="2"/>
  <c r="D1151" i="2"/>
  <c r="C1151" i="2"/>
  <c r="B1151" i="2"/>
  <c r="E1150" i="2"/>
  <c r="D1150" i="2"/>
  <c r="C1150" i="2"/>
  <c r="B1150" i="2"/>
  <c r="E1149" i="2"/>
  <c r="D1149" i="2"/>
  <c r="C1149" i="2"/>
  <c r="B1149" i="2"/>
  <c r="E1148" i="2"/>
  <c r="D1148" i="2"/>
  <c r="C1148" i="2"/>
  <c r="B1148" i="2"/>
  <c r="E1147" i="2"/>
  <c r="D1147" i="2"/>
  <c r="C1147" i="2"/>
  <c r="B1147" i="2"/>
  <c r="E1146" i="2"/>
  <c r="D1146" i="2"/>
  <c r="C1146" i="2"/>
  <c r="B1146" i="2"/>
  <c r="E1145" i="2"/>
  <c r="D1145" i="2"/>
  <c r="C1145" i="2"/>
  <c r="B1145" i="2"/>
  <c r="E1144" i="2"/>
  <c r="D1144" i="2"/>
  <c r="C1144" i="2"/>
  <c r="B1144" i="2"/>
  <c r="E1143" i="2"/>
  <c r="D1143" i="2"/>
  <c r="C1143" i="2"/>
  <c r="B1143" i="2"/>
  <c r="E1142" i="2"/>
  <c r="D1142" i="2"/>
  <c r="C1142" i="2"/>
  <c r="B1142" i="2"/>
  <c r="E1141" i="2"/>
  <c r="D1141" i="2"/>
  <c r="C1141" i="2"/>
  <c r="B1141" i="2"/>
  <c r="E1140" i="2"/>
  <c r="D1140" i="2"/>
  <c r="C1140" i="2"/>
  <c r="B1140" i="2"/>
  <c r="E1139" i="2"/>
  <c r="D1139" i="2"/>
  <c r="C1139" i="2"/>
  <c r="B1139" i="2"/>
  <c r="E1138" i="2"/>
  <c r="D1138" i="2"/>
  <c r="C1138" i="2"/>
  <c r="B1138" i="2"/>
  <c r="E1137" i="2"/>
  <c r="D1137" i="2"/>
  <c r="C1137" i="2"/>
  <c r="B1137" i="2"/>
  <c r="E1136" i="2"/>
  <c r="D1136" i="2"/>
  <c r="C1136" i="2"/>
  <c r="B1136" i="2"/>
  <c r="E1135" i="2"/>
  <c r="D1135" i="2"/>
  <c r="C1135" i="2"/>
  <c r="B1135" i="2"/>
  <c r="E1134" i="2"/>
  <c r="D1134" i="2"/>
  <c r="C1134" i="2"/>
  <c r="B1134" i="2"/>
  <c r="E1133" i="2"/>
  <c r="D1133" i="2"/>
  <c r="C1133" i="2"/>
  <c r="B1133" i="2"/>
  <c r="E1132" i="2"/>
  <c r="D1132" i="2"/>
  <c r="C1132" i="2"/>
  <c r="B1132" i="2"/>
  <c r="E1131" i="2"/>
  <c r="D1131" i="2"/>
  <c r="C1131" i="2"/>
  <c r="B1131" i="2"/>
  <c r="E1130" i="2"/>
  <c r="D1130" i="2"/>
  <c r="C1130" i="2"/>
  <c r="B1130" i="2"/>
  <c r="E1129" i="2"/>
  <c r="D1129" i="2"/>
  <c r="C1129" i="2"/>
  <c r="B1129" i="2"/>
  <c r="E1128" i="2"/>
  <c r="D1128" i="2"/>
  <c r="C1128" i="2"/>
  <c r="B1128" i="2"/>
  <c r="E1127" i="2"/>
  <c r="D1127" i="2"/>
  <c r="C1127" i="2"/>
  <c r="E1126" i="2"/>
  <c r="D1126" i="2"/>
  <c r="C1126" i="2"/>
  <c r="B1126" i="2"/>
  <c r="E1125" i="2"/>
  <c r="D1125" i="2"/>
  <c r="C1125" i="2"/>
  <c r="E1124" i="2"/>
  <c r="D1124" i="2"/>
  <c r="C1124" i="2"/>
  <c r="B1124" i="2"/>
  <c r="E1123" i="2"/>
  <c r="D1123" i="2"/>
  <c r="C1123" i="2"/>
  <c r="E1122" i="2"/>
  <c r="D1122" i="2"/>
  <c r="C1122" i="2"/>
  <c r="B1122" i="2"/>
  <c r="E1121" i="2"/>
  <c r="D1121" i="2"/>
  <c r="C1121" i="2"/>
  <c r="E1120" i="2"/>
  <c r="D1120" i="2"/>
  <c r="C1120" i="2"/>
  <c r="B1120" i="2"/>
  <c r="E1119" i="2"/>
  <c r="D1119" i="2"/>
  <c r="C1119" i="2"/>
  <c r="B1119" i="2"/>
  <c r="E1118" i="2"/>
  <c r="D1118" i="2"/>
  <c r="C1118" i="2"/>
  <c r="B1118" i="2"/>
  <c r="E1117" i="2"/>
  <c r="D1117" i="2"/>
  <c r="C1117" i="2"/>
  <c r="B1117" i="2"/>
  <c r="E1116" i="2"/>
  <c r="D1116" i="2"/>
  <c r="C1116" i="2"/>
  <c r="B1116" i="2"/>
  <c r="E1115" i="2"/>
  <c r="D1115" i="2"/>
  <c r="C1115" i="2"/>
  <c r="B1115" i="2"/>
  <c r="E1114" i="2"/>
  <c r="D1114" i="2"/>
  <c r="C1114" i="2"/>
  <c r="B1114" i="2"/>
  <c r="E1113" i="2"/>
  <c r="D1113" i="2"/>
  <c r="C1113" i="2"/>
  <c r="B1113" i="2"/>
  <c r="E1112" i="2"/>
  <c r="D1112" i="2"/>
  <c r="C1112" i="2"/>
  <c r="B1112" i="2"/>
  <c r="E1111" i="2"/>
  <c r="D1111" i="2"/>
  <c r="C1111" i="2"/>
  <c r="B1111" i="2"/>
  <c r="E1110" i="2"/>
  <c r="D1110" i="2"/>
  <c r="C1110" i="2"/>
  <c r="B1110" i="2"/>
  <c r="E1109" i="2"/>
  <c r="D1109" i="2"/>
  <c r="C1109" i="2"/>
  <c r="B1109" i="2"/>
  <c r="E1108" i="2"/>
  <c r="D1108" i="2"/>
  <c r="C1108" i="2"/>
  <c r="B1108" i="2"/>
  <c r="E1107" i="2"/>
  <c r="D1107" i="2"/>
  <c r="C1107" i="2"/>
  <c r="B1107" i="2"/>
  <c r="E1106" i="2"/>
  <c r="D1106" i="2"/>
  <c r="C1106" i="2"/>
  <c r="B1106" i="2"/>
  <c r="E1105" i="2"/>
  <c r="D1105" i="2"/>
  <c r="C1105" i="2"/>
  <c r="B1105" i="2"/>
  <c r="E1104" i="2"/>
  <c r="D1104" i="2"/>
  <c r="C1104" i="2"/>
  <c r="B1104" i="2"/>
  <c r="E1103" i="2"/>
  <c r="D1103" i="2"/>
  <c r="C1103" i="2"/>
  <c r="B1103" i="2"/>
  <c r="E1102" i="2"/>
  <c r="D1102" i="2"/>
  <c r="C1102" i="2"/>
  <c r="B1102" i="2"/>
  <c r="E1101" i="2"/>
  <c r="D1101" i="2"/>
  <c r="C1101" i="2"/>
  <c r="B1101" i="2"/>
  <c r="E1100" i="2"/>
  <c r="D1100" i="2"/>
  <c r="C1100" i="2"/>
  <c r="B1100" i="2"/>
  <c r="E1099" i="2"/>
  <c r="D1099" i="2"/>
  <c r="C1099" i="2"/>
  <c r="B1099" i="2"/>
  <c r="E1098" i="2"/>
  <c r="D1098" i="2"/>
  <c r="C1098" i="2"/>
  <c r="B1098" i="2"/>
  <c r="E1097" i="2"/>
  <c r="D1097" i="2"/>
  <c r="C1097" i="2"/>
  <c r="B1097" i="2"/>
  <c r="E1096" i="2"/>
  <c r="D1096" i="2"/>
  <c r="C1096" i="2"/>
  <c r="B1096" i="2"/>
  <c r="E1095" i="2"/>
  <c r="D1095" i="2"/>
  <c r="C1095" i="2"/>
  <c r="B1095" i="2"/>
  <c r="E1094" i="2"/>
  <c r="D1094" i="2"/>
  <c r="C1094" i="2"/>
  <c r="B1094" i="2"/>
  <c r="E1093" i="2"/>
  <c r="D1093" i="2"/>
  <c r="C1093" i="2"/>
  <c r="B1093" i="2"/>
  <c r="E1092" i="2"/>
  <c r="D1092" i="2"/>
  <c r="C1092" i="2"/>
  <c r="B1092" i="2"/>
  <c r="E1091" i="2"/>
  <c r="D1091" i="2"/>
  <c r="C1091" i="2"/>
  <c r="B1091" i="2"/>
  <c r="E1090" i="2"/>
  <c r="D1090" i="2"/>
  <c r="C1090" i="2"/>
  <c r="B1090" i="2"/>
  <c r="E1089" i="2"/>
  <c r="D1089" i="2"/>
  <c r="C1089" i="2"/>
  <c r="B1089" i="2"/>
  <c r="E1088" i="2"/>
  <c r="D1088" i="2"/>
  <c r="C1088" i="2"/>
  <c r="B1088" i="2"/>
  <c r="E1087" i="2"/>
  <c r="D1087" i="2"/>
  <c r="C1087" i="2"/>
  <c r="B1087" i="2"/>
  <c r="E1086" i="2"/>
  <c r="D1086" i="2"/>
  <c r="C1086" i="2"/>
  <c r="B1086" i="2"/>
  <c r="E1085" i="2"/>
  <c r="D1085" i="2"/>
  <c r="C1085" i="2"/>
  <c r="B1085" i="2"/>
  <c r="E1084" i="2"/>
  <c r="D1084" i="2"/>
  <c r="C1084" i="2"/>
  <c r="B1084" i="2"/>
  <c r="E1083" i="2"/>
  <c r="D1083" i="2"/>
  <c r="C1083" i="2"/>
  <c r="B1083" i="2"/>
  <c r="E1082" i="2"/>
  <c r="D1082" i="2"/>
  <c r="C1082" i="2"/>
  <c r="B1082" i="2"/>
  <c r="E1081" i="2"/>
  <c r="D1081" i="2"/>
  <c r="C1081" i="2"/>
  <c r="B1081" i="2"/>
  <c r="E1080" i="2"/>
  <c r="D1080" i="2"/>
  <c r="C1080" i="2"/>
  <c r="B1080" i="2"/>
  <c r="E1079" i="2"/>
  <c r="D1079" i="2"/>
  <c r="C1079" i="2"/>
  <c r="B1079" i="2"/>
  <c r="E1078" i="2"/>
  <c r="D1078" i="2"/>
  <c r="C1078" i="2"/>
  <c r="B1078" i="2"/>
  <c r="E1077" i="2"/>
  <c r="D1077" i="2"/>
  <c r="C1077" i="2"/>
  <c r="B1077" i="2"/>
  <c r="E1076" i="2"/>
  <c r="D1076" i="2"/>
  <c r="C1076" i="2"/>
  <c r="B1076" i="2"/>
  <c r="E1075" i="2"/>
  <c r="D1075" i="2"/>
  <c r="C1075" i="2"/>
  <c r="B1075" i="2"/>
  <c r="E1074" i="2"/>
  <c r="D1074" i="2"/>
  <c r="C1074" i="2"/>
  <c r="B1074" i="2"/>
  <c r="E1073" i="2"/>
  <c r="D1073" i="2"/>
  <c r="C1073" i="2"/>
  <c r="B1073" i="2"/>
  <c r="E1072" i="2"/>
  <c r="D1072" i="2"/>
  <c r="C1072" i="2"/>
  <c r="B1072" i="2"/>
  <c r="E1071" i="2"/>
  <c r="D1071" i="2"/>
  <c r="C1071" i="2"/>
  <c r="B1071" i="2"/>
  <c r="E1070" i="2"/>
  <c r="D1070" i="2"/>
  <c r="C1070" i="2"/>
  <c r="B1070" i="2"/>
  <c r="E1069" i="2"/>
  <c r="D1069" i="2"/>
  <c r="C1069" i="2"/>
  <c r="B1069" i="2"/>
  <c r="E1068" i="2"/>
  <c r="D1068" i="2"/>
  <c r="C1068" i="2"/>
  <c r="B1068" i="2"/>
  <c r="E1067" i="2"/>
  <c r="D1067" i="2"/>
  <c r="C1067" i="2"/>
  <c r="B1067" i="2"/>
  <c r="E1066" i="2"/>
  <c r="D1066" i="2"/>
  <c r="C1066" i="2"/>
  <c r="B1066" i="2"/>
  <c r="E1065" i="2"/>
  <c r="D1065" i="2"/>
  <c r="C1065" i="2"/>
  <c r="B1065" i="2"/>
  <c r="E1064" i="2"/>
  <c r="D1064" i="2"/>
  <c r="C1064" i="2"/>
  <c r="B1064" i="2"/>
  <c r="E1063" i="2"/>
  <c r="D1063" i="2"/>
  <c r="C1063" i="2"/>
  <c r="B1063" i="2"/>
  <c r="E1062" i="2"/>
  <c r="D1062" i="2"/>
  <c r="C1062" i="2"/>
  <c r="B1062" i="2"/>
  <c r="E1061" i="2"/>
  <c r="D1061" i="2"/>
  <c r="C1061" i="2"/>
  <c r="B1061" i="2"/>
  <c r="E1060" i="2"/>
  <c r="D1060" i="2"/>
  <c r="C1060" i="2"/>
  <c r="B1060" i="2"/>
  <c r="E1059" i="2"/>
  <c r="D1059" i="2"/>
  <c r="C1059" i="2"/>
  <c r="B1059" i="2"/>
  <c r="E1058" i="2"/>
  <c r="D1058" i="2"/>
  <c r="C1058" i="2"/>
  <c r="B1058" i="2"/>
  <c r="E1057" i="2"/>
  <c r="D1057" i="2"/>
  <c r="C1057" i="2"/>
  <c r="B1057" i="2"/>
  <c r="E1056" i="2"/>
  <c r="D1056" i="2"/>
  <c r="C1056" i="2"/>
  <c r="B1056" i="2"/>
  <c r="E1055" i="2"/>
  <c r="D1055" i="2"/>
  <c r="C1055" i="2"/>
  <c r="B1055" i="2"/>
  <c r="E1054" i="2"/>
  <c r="D1054" i="2"/>
  <c r="C1054" i="2"/>
  <c r="B1054" i="2"/>
  <c r="E1053" i="2"/>
  <c r="D1053" i="2"/>
  <c r="C1053" i="2"/>
  <c r="B1053" i="2"/>
  <c r="E1052" i="2"/>
  <c r="D1052" i="2"/>
  <c r="C1052" i="2"/>
  <c r="B1052" i="2"/>
  <c r="E1051" i="2"/>
  <c r="D1051" i="2"/>
  <c r="C1051" i="2"/>
  <c r="B1051" i="2"/>
  <c r="E1050" i="2"/>
  <c r="D1050" i="2"/>
  <c r="C1050" i="2"/>
  <c r="B1050" i="2"/>
  <c r="E1049" i="2"/>
  <c r="D1049" i="2"/>
  <c r="C1049" i="2"/>
  <c r="B1049" i="2"/>
  <c r="E1048" i="2"/>
  <c r="D1048" i="2"/>
  <c r="C1048" i="2"/>
  <c r="B1048" i="2"/>
  <c r="E1047" i="2"/>
  <c r="D1047" i="2"/>
  <c r="C1047" i="2"/>
  <c r="B1047" i="2"/>
  <c r="E1046" i="2"/>
  <c r="D1046" i="2"/>
  <c r="C1046" i="2"/>
  <c r="B1046" i="2"/>
  <c r="E1045" i="2"/>
  <c r="D1045" i="2"/>
  <c r="C1045" i="2"/>
  <c r="E1044" i="2"/>
  <c r="D1044" i="2"/>
  <c r="C1044" i="2"/>
  <c r="B1044" i="2"/>
  <c r="E1043" i="2"/>
  <c r="D1043" i="2"/>
  <c r="C1043" i="2"/>
  <c r="B1043" i="2"/>
  <c r="E1042" i="2"/>
  <c r="D1042" i="2"/>
  <c r="C1042" i="2"/>
  <c r="B1042" i="2"/>
  <c r="E1041" i="2"/>
  <c r="D1041" i="2"/>
  <c r="C1041" i="2"/>
  <c r="B1041" i="2"/>
  <c r="E1040" i="2"/>
  <c r="D1040" i="2"/>
  <c r="C1040" i="2"/>
  <c r="B1040" i="2"/>
  <c r="E1039" i="2"/>
  <c r="D1039" i="2"/>
  <c r="C1039" i="2"/>
  <c r="B1039" i="2"/>
  <c r="E1038" i="2"/>
  <c r="D1038" i="2"/>
  <c r="C1038" i="2"/>
  <c r="B1038" i="2"/>
  <c r="E1037" i="2"/>
  <c r="D1037" i="2"/>
  <c r="C1037" i="2"/>
  <c r="B1037" i="2"/>
  <c r="E1036" i="2"/>
  <c r="D1036" i="2"/>
  <c r="C1036" i="2"/>
  <c r="B1036" i="2"/>
  <c r="E1035" i="2"/>
  <c r="D1035" i="2"/>
  <c r="C1035" i="2"/>
  <c r="B1035" i="2"/>
  <c r="E1034" i="2"/>
  <c r="D1034" i="2"/>
  <c r="C1034" i="2"/>
  <c r="B1034" i="2"/>
  <c r="E1033" i="2"/>
  <c r="D1033" i="2"/>
  <c r="C1033" i="2"/>
  <c r="B1033" i="2"/>
  <c r="E1032" i="2"/>
  <c r="D1032" i="2"/>
  <c r="C1032" i="2"/>
  <c r="B1032" i="2"/>
  <c r="E1031" i="2"/>
  <c r="D1031" i="2"/>
  <c r="C1031" i="2"/>
  <c r="B1031" i="2"/>
  <c r="E1030" i="2"/>
  <c r="D1030" i="2"/>
  <c r="C1030" i="2"/>
  <c r="B1030" i="2"/>
  <c r="E1029" i="2"/>
  <c r="D1029" i="2"/>
  <c r="C1029" i="2"/>
  <c r="B1029" i="2"/>
  <c r="E1028" i="2"/>
  <c r="D1028" i="2"/>
  <c r="C1028" i="2"/>
  <c r="B1028" i="2"/>
  <c r="E1027" i="2"/>
  <c r="D1027" i="2"/>
  <c r="C1027" i="2"/>
  <c r="B1027" i="2"/>
  <c r="E1026" i="2"/>
  <c r="D1026" i="2"/>
  <c r="C1026" i="2"/>
  <c r="B1026" i="2"/>
  <c r="E1025" i="2"/>
  <c r="D1025" i="2"/>
  <c r="C1025" i="2"/>
  <c r="B1025" i="2"/>
  <c r="E1024" i="2"/>
  <c r="D1024" i="2"/>
  <c r="C1024" i="2"/>
  <c r="B1024" i="2"/>
  <c r="E1023" i="2"/>
  <c r="D1023" i="2"/>
  <c r="C1023" i="2"/>
  <c r="B1023" i="2"/>
  <c r="E1022" i="2"/>
  <c r="D1022" i="2"/>
  <c r="C1022" i="2"/>
  <c r="B1022" i="2"/>
  <c r="E1021" i="2"/>
  <c r="D1021" i="2"/>
  <c r="C1021" i="2"/>
  <c r="B1021" i="2"/>
  <c r="E1020" i="2"/>
  <c r="D1020" i="2"/>
  <c r="C1020" i="2"/>
  <c r="B1020" i="2"/>
  <c r="E1019" i="2"/>
  <c r="D1019" i="2"/>
  <c r="C1019" i="2"/>
  <c r="B1019" i="2"/>
  <c r="E1018" i="2"/>
  <c r="D1018" i="2"/>
  <c r="C1018" i="2"/>
  <c r="B1018" i="2"/>
  <c r="E1017" i="2"/>
  <c r="D1017" i="2"/>
  <c r="C1017" i="2"/>
  <c r="B1017" i="2"/>
  <c r="E1016" i="2"/>
  <c r="D1016" i="2"/>
  <c r="C1016" i="2"/>
  <c r="B1016" i="2"/>
  <c r="E1015" i="2"/>
  <c r="D1015" i="2"/>
  <c r="C1015" i="2"/>
  <c r="B1015" i="2"/>
  <c r="E1014" i="2"/>
  <c r="D1014" i="2"/>
  <c r="C1014" i="2"/>
  <c r="B1014" i="2"/>
  <c r="E1013" i="2"/>
  <c r="D1013" i="2"/>
  <c r="C1013" i="2"/>
  <c r="B1013" i="2"/>
  <c r="E1012" i="2"/>
  <c r="D1012" i="2"/>
  <c r="C1012" i="2"/>
  <c r="B1012" i="2"/>
  <c r="E1011" i="2"/>
  <c r="D1011" i="2"/>
  <c r="C1011" i="2"/>
  <c r="B1011" i="2"/>
  <c r="E1010" i="2"/>
  <c r="D1010" i="2"/>
  <c r="C1010" i="2"/>
  <c r="B1010" i="2"/>
  <c r="E1009" i="2"/>
  <c r="D1009" i="2"/>
  <c r="C1009" i="2"/>
  <c r="B1009" i="2"/>
  <c r="E1008" i="2"/>
  <c r="D1008" i="2"/>
  <c r="C1008" i="2"/>
  <c r="B1008" i="2"/>
  <c r="E1007" i="2"/>
  <c r="D1007" i="2"/>
  <c r="C1007" i="2"/>
  <c r="B1007" i="2"/>
  <c r="E1006" i="2"/>
  <c r="D1006" i="2"/>
  <c r="C1006" i="2"/>
  <c r="B1006" i="2"/>
  <c r="E1005" i="2"/>
  <c r="D1005" i="2"/>
  <c r="C1005" i="2"/>
  <c r="B1005" i="2"/>
  <c r="E1004" i="2"/>
  <c r="D1004" i="2"/>
  <c r="C1004" i="2"/>
  <c r="B1004" i="2"/>
  <c r="E1003" i="2"/>
  <c r="D1003" i="2"/>
  <c r="C1003" i="2"/>
  <c r="B1003" i="2"/>
  <c r="E1002" i="2"/>
  <c r="D1002" i="2"/>
  <c r="C1002" i="2"/>
  <c r="B1002" i="2"/>
  <c r="E1001" i="2"/>
  <c r="D1001" i="2"/>
  <c r="C1001" i="2"/>
  <c r="B1001" i="2"/>
  <c r="E1000" i="2"/>
  <c r="D1000" i="2"/>
  <c r="C1000" i="2"/>
  <c r="B1000" i="2"/>
  <c r="E999" i="2"/>
  <c r="D999" i="2"/>
  <c r="C999" i="2"/>
  <c r="B999" i="2"/>
  <c r="E998" i="2"/>
  <c r="D998" i="2"/>
  <c r="C998" i="2"/>
  <c r="B998" i="2"/>
  <c r="E997" i="2"/>
  <c r="D997" i="2"/>
  <c r="C997" i="2"/>
  <c r="B997" i="2"/>
  <c r="E996" i="2"/>
  <c r="D996" i="2"/>
  <c r="C996" i="2"/>
  <c r="B996" i="2"/>
  <c r="E995" i="2"/>
  <c r="D995" i="2"/>
  <c r="C995" i="2"/>
  <c r="B995" i="2"/>
  <c r="E994" i="2"/>
  <c r="D994" i="2"/>
  <c r="C994" i="2"/>
  <c r="B994" i="2"/>
  <c r="E993" i="2"/>
  <c r="D993" i="2"/>
  <c r="C993" i="2"/>
  <c r="B993" i="2"/>
  <c r="E992" i="2"/>
  <c r="D992" i="2"/>
  <c r="C992" i="2"/>
  <c r="B992" i="2"/>
  <c r="E991" i="2"/>
  <c r="D991" i="2"/>
  <c r="C991" i="2"/>
  <c r="B991" i="2"/>
  <c r="E990" i="2"/>
  <c r="D990" i="2"/>
  <c r="C990" i="2"/>
  <c r="B990" i="2"/>
  <c r="E989" i="2"/>
  <c r="D989" i="2"/>
  <c r="C989" i="2"/>
  <c r="B989" i="2"/>
  <c r="E988" i="2"/>
  <c r="D988" i="2"/>
  <c r="C988" i="2"/>
  <c r="B988" i="2"/>
  <c r="E987" i="2"/>
  <c r="D987" i="2"/>
  <c r="C987" i="2"/>
  <c r="B987" i="2"/>
  <c r="E986" i="2"/>
  <c r="D986" i="2"/>
  <c r="C986" i="2"/>
  <c r="B986" i="2"/>
  <c r="E985" i="2"/>
  <c r="D985" i="2"/>
  <c r="C985" i="2"/>
  <c r="B985" i="2"/>
  <c r="E984" i="2"/>
  <c r="D984" i="2"/>
  <c r="C984" i="2"/>
  <c r="B984" i="2"/>
  <c r="E983" i="2"/>
  <c r="D983" i="2"/>
  <c r="C983" i="2"/>
  <c r="B983" i="2"/>
  <c r="E982" i="2"/>
  <c r="D982" i="2"/>
  <c r="C982" i="2"/>
  <c r="B982" i="2"/>
  <c r="E981" i="2"/>
  <c r="D981" i="2"/>
  <c r="C981" i="2"/>
  <c r="B981" i="2"/>
  <c r="E980" i="2"/>
  <c r="D980" i="2"/>
  <c r="C980" i="2"/>
  <c r="B980" i="2"/>
  <c r="E979" i="2"/>
  <c r="D979" i="2"/>
  <c r="C979" i="2"/>
  <c r="B979" i="2"/>
  <c r="E978" i="2"/>
  <c r="D978" i="2"/>
  <c r="C978" i="2"/>
  <c r="B978" i="2"/>
  <c r="E977" i="2"/>
  <c r="D977" i="2"/>
  <c r="C977" i="2"/>
  <c r="B977" i="2"/>
  <c r="E976" i="2"/>
  <c r="D976" i="2"/>
  <c r="C976" i="2"/>
  <c r="B976" i="2"/>
  <c r="E975" i="2"/>
  <c r="D975" i="2"/>
  <c r="C975" i="2"/>
  <c r="B975" i="2"/>
  <c r="E974" i="2"/>
  <c r="D974" i="2"/>
  <c r="C974" i="2"/>
  <c r="B974" i="2"/>
  <c r="E973" i="2"/>
  <c r="D973" i="2"/>
  <c r="C973" i="2"/>
  <c r="B973" i="2"/>
  <c r="E972" i="2"/>
  <c r="D972" i="2"/>
  <c r="C972" i="2"/>
  <c r="B972" i="2"/>
  <c r="E971" i="2"/>
  <c r="D971" i="2"/>
  <c r="C971" i="2"/>
  <c r="B971" i="2"/>
  <c r="E970" i="2"/>
  <c r="D970" i="2"/>
  <c r="C970" i="2"/>
  <c r="B970" i="2"/>
  <c r="E969" i="2"/>
  <c r="D969" i="2"/>
  <c r="C969" i="2"/>
  <c r="B969" i="2"/>
  <c r="E968" i="2"/>
  <c r="D968" i="2"/>
  <c r="C968" i="2"/>
  <c r="B968" i="2"/>
  <c r="E967" i="2"/>
  <c r="D967" i="2"/>
  <c r="C967" i="2"/>
  <c r="B967" i="2"/>
  <c r="E966" i="2"/>
  <c r="D966" i="2"/>
  <c r="C966" i="2"/>
  <c r="B966" i="2"/>
  <c r="E965" i="2"/>
  <c r="D965" i="2"/>
  <c r="C965" i="2"/>
  <c r="B965" i="2"/>
  <c r="E964" i="2"/>
  <c r="D964" i="2"/>
  <c r="C964" i="2"/>
  <c r="B964" i="2"/>
  <c r="E963" i="2"/>
  <c r="D963" i="2"/>
  <c r="C963" i="2"/>
  <c r="B963" i="2"/>
  <c r="E962" i="2"/>
  <c r="D962" i="2"/>
  <c r="C962" i="2"/>
  <c r="B962" i="2"/>
  <c r="E961" i="2"/>
  <c r="D961" i="2"/>
  <c r="C961" i="2"/>
  <c r="B961" i="2"/>
  <c r="E960" i="2"/>
  <c r="D960" i="2"/>
  <c r="C960" i="2"/>
  <c r="B960" i="2"/>
  <c r="E959" i="2"/>
  <c r="D959" i="2"/>
  <c r="C959" i="2"/>
  <c r="B959" i="2"/>
  <c r="E958" i="2"/>
  <c r="D958" i="2"/>
  <c r="C958" i="2"/>
  <c r="B958" i="2"/>
  <c r="E957" i="2"/>
  <c r="D957" i="2"/>
  <c r="C957" i="2"/>
  <c r="B957" i="2"/>
  <c r="E956" i="2"/>
  <c r="D956" i="2"/>
  <c r="C956" i="2"/>
  <c r="B956" i="2"/>
  <c r="E955" i="2"/>
  <c r="D955" i="2"/>
  <c r="C955" i="2"/>
  <c r="B955" i="2"/>
  <c r="E954" i="2"/>
  <c r="D954" i="2"/>
  <c r="C954" i="2"/>
  <c r="B954" i="2"/>
  <c r="E953" i="2"/>
  <c r="D953" i="2"/>
  <c r="C953" i="2"/>
  <c r="B953" i="2"/>
  <c r="E952" i="2"/>
  <c r="D952" i="2"/>
  <c r="C952" i="2"/>
  <c r="B952" i="2"/>
  <c r="E951" i="2"/>
  <c r="D951" i="2"/>
  <c r="C951" i="2"/>
  <c r="B951" i="2"/>
  <c r="E950" i="2"/>
  <c r="D950" i="2"/>
  <c r="C950" i="2"/>
  <c r="B950" i="2"/>
  <c r="E949" i="2"/>
  <c r="D949" i="2"/>
  <c r="C949" i="2"/>
  <c r="B949" i="2"/>
  <c r="E948" i="2"/>
  <c r="D948" i="2"/>
  <c r="C948" i="2"/>
  <c r="B948" i="2"/>
  <c r="E947" i="2"/>
  <c r="D947" i="2"/>
  <c r="C947" i="2"/>
  <c r="B947" i="2"/>
  <c r="E946" i="2"/>
  <c r="D946" i="2"/>
  <c r="C946" i="2"/>
  <c r="B946" i="2"/>
  <c r="E945" i="2"/>
  <c r="D945" i="2"/>
  <c r="C945" i="2"/>
  <c r="B945" i="2"/>
  <c r="E944" i="2"/>
  <c r="D944" i="2"/>
  <c r="C944" i="2"/>
  <c r="B944" i="2"/>
  <c r="E943" i="2"/>
  <c r="D943" i="2"/>
  <c r="C943" i="2"/>
  <c r="B943" i="2"/>
  <c r="E942" i="2"/>
  <c r="D942" i="2"/>
  <c r="C942" i="2"/>
  <c r="B942" i="2"/>
  <c r="E941" i="2"/>
  <c r="D941" i="2"/>
  <c r="C941" i="2"/>
  <c r="B941" i="2"/>
  <c r="E940" i="2"/>
  <c r="D940" i="2"/>
  <c r="C940" i="2"/>
  <c r="B940" i="2"/>
  <c r="E939" i="2"/>
  <c r="D939" i="2"/>
  <c r="C939" i="2"/>
  <c r="B939" i="2"/>
  <c r="E938" i="2"/>
  <c r="D938" i="2"/>
  <c r="C938" i="2"/>
  <c r="B938" i="2"/>
  <c r="E937" i="2"/>
  <c r="D937" i="2"/>
  <c r="C937" i="2"/>
  <c r="B937" i="2"/>
  <c r="E936" i="2"/>
  <c r="D936" i="2"/>
  <c r="C936" i="2"/>
  <c r="B936" i="2"/>
  <c r="E935" i="2"/>
  <c r="D935" i="2"/>
  <c r="C935" i="2"/>
  <c r="B935" i="2"/>
  <c r="E934" i="2"/>
  <c r="D934" i="2"/>
  <c r="C934" i="2"/>
  <c r="B934" i="2"/>
  <c r="E933" i="2"/>
  <c r="D933" i="2"/>
  <c r="C933" i="2"/>
  <c r="B933" i="2"/>
  <c r="E932" i="2"/>
  <c r="D932" i="2"/>
  <c r="C932" i="2"/>
  <c r="B932" i="2"/>
  <c r="E931" i="2"/>
  <c r="D931" i="2"/>
  <c r="C931" i="2"/>
  <c r="B931" i="2"/>
  <c r="E930" i="2"/>
  <c r="D930" i="2"/>
  <c r="C930" i="2"/>
  <c r="B930" i="2"/>
  <c r="E929" i="2"/>
  <c r="D929" i="2"/>
  <c r="C929" i="2"/>
  <c r="B929" i="2"/>
  <c r="E928" i="2"/>
  <c r="D928" i="2"/>
  <c r="C928" i="2"/>
  <c r="B928" i="2"/>
  <c r="E927" i="2"/>
  <c r="D927" i="2"/>
  <c r="C927" i="2"/>
  <c r="B927" i="2"/>
  <c r="E926" i="2"/>
  <c r="D926" i="2"/>
  <c r="C926" i="2"/>
  <c r="B926" i="2"/>
  <c r="E925" i="2"/>
  <c r="D925" i="2"/>
  <c r="C925" i="2"/>
  <c r="B925" i="2"/>
  <c r="E924" i="2"/>
  <c r="D924" i="2"/>
  <c r="C924" i="2"/>
  <c r="B924" i="2"/>
  <c r="E923" i="2"/>
  <c r="D923" i="2"/>
  <c r="C923" i="2"/>
  <c r="B923" i="2"/>
  <c r="E922" i="2"/>
  <c r="D922" i="2"/>
  <c r="C922" i="2"/>
  <c r="B922" i="2"/>
  <c r="E921" i="2"/>
  <c r="D921" i="2"/>
  <c r="C921" i="2"/>
  <c r="B921" i="2"/>
  <c r="E920" i="2"/>
  <c r="D920" i="2"/>
  <c r="C920" i="2"/>
  <c r="B920" i="2"/>
  <c r="E919" i="2"/>
  <c r="D919" i="2"/>
  <c r="C919" i="2"/>
  <c r="B919" i="2"/>
  <c r="E918" i="2"/>
  <c r="D918" i="2"/>
  <c r="C918" i="2"/>
  <c r="B918" i="2"/>
  <c r="E917" i="2"/>
  <c r="D917" i="2"/>
  <c r="C917" i="2"/>
  <c r="B917" i="2"/>
  <c r="E916" i="2"/>
  <c r="D916" i="2"/>
  <c r="C916" i="2"/>
  <c r="B916" i="2"/>
  <c r="E915" i="2"/>
  <c r="D915" i="2"/>
  <c r="C915" i="2"/>
  <c r="B915" i="2"/>
  <c r="E914" i="2"/>
  <c r="D914" i="2"/>
  <c r="C914" i="2"/>
  <c r="B914" i="2"/>
  <c r="E913" i="2"/>
  <c r="D913" i="2"/>
  <c r="C913" i="2"/>
  <c r="B913" i="2"/>
  <c r="E912" i="2"/>
  <c r="D912" i="2"/>
  <c r="C912" i="2"/>
  <c r="B912" i="2"/>
  <c r="E911" i="2"/>
  <c r="D911" i="2"/>
  <c r="C911" i="2"/>
  <c r="B911" i="2"/>
  <c r="E910" i="2"/>
  <c r="D910" i="2"/>
  <c r="C910" i="2"/>
  <c r="B910" i="2"/>
  <c r="E909" i="2"/>
  <c r="D909" i="2"/>
  <c r="C909" i="2"/>
  <c r="B909" i="2"/>
  <c r="E908" i="2"/>
  <c r="D908" i="2"/>
  <c r="C908" i="2"/>
  <c r="B908" i="2"/>
  <c r="E907" i="2"/>
  <c r="D907" i="2"/>
  <c r="C907" i="2"/>
  <c r="B907" i="2"/>
  <c r="E906" i="2"/>
  <c r="D906" i="2"/>
  <c r="C906" i="2"/>
  <c r="B906" i="2"/>
  <c r="E905" i="2"/>
  <c r="D905" i="2"/>
  <c r="C905" i="2"/>
  <c r="B905" i="2"/>
  <c r="E904" i="2"/>
  <c r="D904" i="2"/>
  <c r="C904" i="2"/>
  <c r="B904" i="2"/>
  <c r="E903" i="2"/>
  <c r="D903" i="2"/>
  <c r="C903" i="2"/>
  <c r="B903" i="2"/>
  <c r="E902" i="2"/>
  <c r="D902" i="2"/>
  <c r="C902" i="2"/>
  <c r="B902" i="2"/>
  <c r="E901" i="2"/>
  <c r="D901" i="2"/>
  <c r="C901" i="2"/>
  <c r="B901" i="2"/>
  <c r="E900" i="2"/>
  <c r="D900" i="2"/>
  <c r="C900" i="2"/>
  <c r="B900" i="2"/>
  <c r="E899" i="2"/>
  <c r="D899" i="2"/>
  <c r="C899" i="2"/>
  <c r="B899" i="2"/>
  <c r="E898" i="2"/>
  <c r="D898" i="2"/>
  <c r="C898" i="2"/>
  <c r="B898" i="2"/>
  <c r="E897" i="2"/>
  <c r="D897" i="2"/>
  <c r="C897" i="2"/>
  <c r="B897" i="2"/>
  <c r="E896" i="2"/>
  <c r="D896" i="2"/>
  <c r="C896" i="2"/>
  <c r="B896" i="2"/>
  <c r="E895" i="2"/>
  <c r="D895" i="2"/>
  <c r="C895" i="2"/>
  <c r="B895" i="2"/>
  <c r="E894" i="2"/>
  <c r="D894" i="2"/>
  <c r="C894" i="2"/>
  <c r="B894" i="2"/>
  <c r="E893" i="2"/>
  <c r="D893" i="2"/>
  <c r="C893" i="2"/>
  <c r="B893" i="2"/>
  <c r="E892" i="2"/>
  <c r="D892" i="2"/>
  <c r="C892" i="2"/>
  <c r="B892" i="2"/>
  <c r="E891" i="2"/>
  <c r="D891" i="2"/>
  <c r="C891" i="2"/>
  <c r="B891" i="2"/>
  <c r="E890" i="2"/>
  <c r="D890" i="2"/>
  <c r="C890" i="2"/>
  <c r="B890" i="2"/>
  <c r="E889" i="2"/>
  <c r="D889" i="2"/>
  <c r="C889" i="2"/>
  <c r="B889" i="2"/>
  <c r="E888" i="2"/>
  <c r="D888" i="2"/>
  <c r="C888" i="2"/>
  <c r="B888" i="2"/>
  <c r="E887" i="2"/>
  <c r="D887" i="2"/>
  <c r="C887" i="2"/>
  <c r="B887" i="2"/>
  <c r="E886" i="2"/>
  <c r="D886" i="2"/>
  <c r="C886" i="2"/>
  <c r="B886" i="2"/>
  <c r="E885" i="2"/>
  <c r="D885" i="2"/>
  <c r="C885" i="2"/>
  <c r="B885" i="2"/>
  <c r="E884" i="2"/>
  <c r="D884" i="2"/>
  <c r="C884" i="2"/>
  <c r="B884" i="2"/>
  <c r="E883" i="2"/>
  <c r="D883" i="2"/>
  <c r="C883" i="2"/>
  <c r="B883" i="2"/>
  <c r="E882" i="2"/>
  <c r="D882" i="2"/>
  <c r="C882" i="2"/>
  <c r="B882" i="2"/>
  <c r="E881" i="2"/>
  <c r="D881" i="2"/>
  <c r="C881" i="2"/>
  <c r="B881" i="2"/>
  <c r="E880" i="2"/>
  <c r="D880" i="2"/>
  <c r="C880" i="2"/>
  <c r="B880" i="2"/>
  <c r="E879" i="2"/>
  <c r="D879" i="2"/>
  <c r="C879" i="2"/>
  <c r="B879" i="2"/>
  <c r="E878" i="2"/>
  <c r="D878" i="2"/>
  <c r="C878" i="2"/>
  <c r="E877" i="2"/>
  <c r="D877" i="2"/>
  <c r="C877" i="2"/>
  <c r="E876" i="2"/>
  <c r="D876" i="2"/>
  <c r="C876" i="2"/>
  <c r="B876" i="2"/>
  <c r="E875" i="2"/>
  <c r="D875" i="2"/>
  <c r="C875" i="2"/>
  <c r="B875" i="2"/>
  <c r="E874" i="2"/>
  <c r="D874" i="2"/>
  <c r="C874" i="2"/>
  <c r="B874" i="2"/>
  <c r="E873" i="2"/>
  <c r="D873" i="2"/>
  <c r="C873" i="2"/>
  <c r="B873" i="2"/>
  <c r="E872" i="2"/>
  <c r="D872" i="2"/>
  <c r="C872" i="2"/>
  <c r="B872" i="2"/>
  <c r="E871" i="2"/>
  <c r="D871" i="2"/>
  <c r="C871" i="2"/>
  <c r="B871" i="2"/>
  <c r="E870" i="2"/>
  <c r="D870" i="2"/>
  <c r="C870" i="2"/>
  <c r="E869" i="2"/>
  <c r="D869" i="2"/>
  <c r="C869" i="2"/>
  <c r="B869" i="2"/>
  <c r="E868" i="2"/>
  <c r="D868" i="2"/>
  <c r="C868" i="2"/>
  <c r="B868" i="2"/>
  <c r="E867" i="2"/>
  <c r="D867" i="2"/>
  <c r="C867" i="2"/>
  <c r="B867" i="2"/>
  <c r="E866" i="2"/>
  <c r="D866" i="2"/>
  <c r="C866" i="2"/>
  <c r="B866" i="2"/>
  <c r="E865" i="2"/>
  <c r="D865" i="2"/>
  <c r="C865" i="2"/>
  <c r="B865" i="2"/>
  <c r="E864" i="2"/>
  <c r="D864" i="2"/>
  <c r="C864" i="2"/>
  <c r="B864" i="2"/>
  <c r="E863" i="2"/>
  <c r="D863" i="2"/>
  <c r="C863" i="2"/>
  <c r="B863" i="2"/>
  <c r="E862" i="2"/>
  <c r="D862" i="2"/>
  <c r="C862" i="2"/>
  <c r="B862" i="2"/>
  <c r="E861" i="2"/>
  <c r="D861" i="2"/>
  <c r="C861" i="2"/>
  <c r="B861" i="2"/>
  <c r="E860" i="2"/>
  <c r="D860" i="2"/>
  <c r="C860" i="2"/>
  <c r="B860" i="2"/>
  <c r="E859" i="2"/>
  <c r="D859" i="2"/>
  <c r="C859" i="2"/>
  <c r="B859" i="2"/>
  <c r="E858" i="2"/>
  <c r="D858" i="2"/>
  <c r="C858" i="2"/>
  <c r="B858" i="2"/>
  <c r="E857" i="2"/>
  <c r="D857" i="2"/>
  <c r="C857" i="2"/>
  <c r="B857" i="2"/>
  <c r="E856" i="2"/>
  <c r="D856" i="2"/>
  <c r="C856" i="2"/>
  <c r="B856" i="2"/>
  <c r="E855" i="2"/>
  <c r="D855" i="2"/>
  <c r="C855" i="2"/>
  <c r="B855" i="2"/>
  <c r="E854" i="2"/>
  <c r="D854" i="2"/>
  <c r="C854" i="2"/>
  <c r="B854" i="2"/>
  <c r="E853" i="2"/>
  <c r="D853" i="2"/>
  <c r="C853" i="2"/>
  <c r="B853" i="2"/>
  <c r="E852" i="2"/>
  <c r="D852" i="2"/>
  <c r="C852" i="2"/>
  <c r="B852" i="2"/>
  <c r="E851" i="2"/>
  <c r="D851" i="2"/>
  <c r="C851" i="2"/>
  <c r="B851" i="2"/>
  <c r="E850" i="2"/>
  <c r="D850" i="2"/>
  <c r="C850" i="2"/>
  <c r="B850" i="2"/>
  <c r="E849" i="2"/>
  <c r="D849" i="2"/>
  <c r="C849" i="2"/>
  <c r="B849" i="2"/>
  <c r="E848" i="2"/>
  <c r="D848" i="2"/>
  <c r="C848" i="2"/>
  <c r="B848" i="2"/>
  <c r="E847" i="2"/>
  <c r="D847" i="2"/>
  <c r="C847" i="2"/>
  <c r="B847" i="2"/>
  <c r="E846" i="2"/>
  <c r="D846" i="2"/>
  <c r="C846" i="2"/>
  <c r="B846" i="2"/>
  <c r="E845" i="2"/>
  <c r="D845" i="2"/>
  <c r="C845" i="2"/>
  <c r="B845" i="2"/>
  <c r="E844" i="2"/>
  <c r="D844" i="2"/>
  <c r="C844" i="2"/>
  <c r="B844" i="2"/>
  <c r="E843" i="2"/>
  <c r="D843" i="2"/>
  <c r="C843" i="2"/>
  <c r="B843" i="2"/>
  <c r="E842" i="2"/>
  <c r="D842" i="2"/>
  <c r="C842" i="2"/>
  <c r="B842" i="2"/>
  <c r="E841" i="2"/>
  <c r="D841" i="2"/>
  <c r="C841" i="2"/>
  <c r="B841" i="2"/>
  <c r="E840" i="2"/>
  <c r="D840" i="2"/>
  <c r="C840" i="2"/>
  <c r="B840" i="2"/>
  <c r="E839" i="2"/>
  <c r="D839" i="2"/>
  <c r="C839" i="2"/>
  <c r="B839" i="2"/>
  <c r="E838" i="2"/>
  <c r="D838" i="2"/>
  <c r="C838" i="2"/>
  <c r="B838" i="2"/>
  <c r="E837" i="2"/>
  <c r="D837" i="2"/>
  <c r="C837" i="2"/>
  <c r="B837" i="2"/>
  <c r="E836" i="2"/>
  <c r="D836" i="2"/>
  <c r="C836" i="2"/>
  <c r="B836" i="2"/>
  <c r="E835" i="2"/>
  <c r="D835" i="2"/>
  <c r="C835" i="2"/>
  <c r="B835" i="2"/>
  <c r="E834" i="2"/>
  <c r="D834" i="2"/>
  <c r="C834" i="2"/>
  <c r="B834" i="2"/>
  <c r="E833" i="2"/>
  <c r="D833" i="2"/>
  <c r="C833" i="2"/>
  <c r="B833" i="2"/>
  <c r="E832" i="2"/>
  <c r="D832" i="2"/>
  <c r="C832" i="2"/>
  <c r="B832" i="2"/>
  <c r="E831" i="2"/>
  <c r="D831" i="2"/>
  <c r="C831" i="2"/>
  <c r="B831" i="2"/>
  <c r="E830" i="2"/>
  <c r="D830" i="2"/>
  <c r="C830" i="2"/>
  <c r="B830" i="2"/>
  <c r="E829" i="2"/>
  <c r="D829" i="2"/>
  <c r="C829" i="2"/>
  <c r="B829" i="2"/>
  <c r="E828" i="2"/>
  <c r="D828" i="2"/>
  <c r="C828" i="2"/>
  <c r="B828" i="2"/>
  <c r="E827" i="2"/>
  <c r="D827" i="2"/>
  <c r="C827" i="2"/>
  <c r="B827" i="2"/>
  <c r="E826" i="2"/>
  <c r="D826" i="2"/>
  <c r="C826" i="2"/>
  <c r="B826" i="2"/>
  <c r="E825" i="2"/>
  <c r="D825" i="2"/>
  <c r="C825" i="2"/>
  <c r="B825" i="2"/>
  <c r="E824" i="2"/>
  <c r="D824" i="2"/>
  <c r="C824" i="2"/>
  <c r="B824" i="2"/>
  <c r="E823" i="2"/>
  <c r="D823" i="2"/>
  <c r="C823" i="2"/>
  <c r="B823" i="2"/>
  <c r="E822" i="2"/>
  <c r="D822" i="2"/>
  <c r="C822" i="2"/>
  <c r="B822" i="2"/>
  <c r="E821" i="2"/>
  <c r="D821" i="2"/>
  <c r="C821" i="2"/>
  <c r="B821" i="2"/>
  <c r="E820" i="2"/>
  <c r="D820" i="2"/>
  <c r="C820" i="2"/>
  <c r="B820" i="2"/>
  <c r="E819" i="2"/>
  <c r="D819" i="2"/>
  <c r="C819" i="2"/>
  <c r="B819" i="2"/>
  <c r="E818" i="2"/>
  <c r="D818" i="2"/>
  <c r="C818" i="2"/>
  <c r="B818" i="2"/>
  <c r="E817" i="2"/>
  <c r="D817" i="2"/>
  <c r="C817" i="2"/>
  <c r="B817" i="2"/>
  <c r="E816" i="2"/>
  <c r="D816" i="2"/>
  <c r="C816" i="2"/>
  <c r="B816" i="2"/>
  <c r="E815" i="2"/>
  <c r="D815" i="2"/>
  <c r="C815" i="2"/>
  <c r="B815" i="2"/>
  <c r="E814" i="2"/>
  <c r="D814" i="2"/>
  <c r="C814" i="2"/>
  <c r="B814" i="2"/>
  <c r="E813" i="2"/>
  <c r="D813" i="2"/>
  <c r="C813" i="2"/>
  <c r="B813" i="2"/>
  <c r="E812" i="2"/>
  <c r="D812" i="2"/>
  <c r="C812" i="2"/>
  <c r="B812" i="2"/>
  <c r="E811" i="2"/>
  <c r="D811" i="2"/>
  <c r="C811" i="2"/>
  <c r="B811" i="2"/>
  <c r="E810" i="2"/>
  <c r="D810" i="2"/>
  <c r="C810" i="2"/>
  <c r="B810" i="2"/>
  <c r="E809" i="2"/>
  <c r="D809" i="2"/>
  <c r="C809" i="2"/>
  <c r="B809" i="2"/>
  <c r="E808" i="2"/>
  <c r="D808" i="2"/>
  <c r="C808" i="2"/>
  <c r="B808" i="2"/>
  <c r="E807" i="2"/>
  <c r="D807" i="2"/>
  <c r="C807" i="2"/>
  <c r="B807" i="2"/>
  <c r="E806" i="2"/>
  <c r="D806" i="2"/>
  <c r="C806" i="2"/>
  <c r="B806" i="2"/>
  <c r="E805" i="2"/>
  <c r="D805" i="2"/>
  <c r="C805" i="2"/>
  <c r="B805" i="2"/>
  <c r="E804" i="2"/>
  <c r="D804" i="2"/>
  <c r="C804" i="2"/>
  <c r="B804" i="2"/>
  <c r="E803" i="2"/>
  <c r="D803" i="2"/>
  <c r="C803" i="2"/>
  <c r="B803" i="2"/>
  <c r="E802" i="2"/>
  <c r="D802" i="2"/>
  <c r="C802" i="2"/>
  <c r="B802" i="2"/>
  <c r="E801" i="2"/>
  <c r="D801" i="2"/>
  <c r="C801" i="2"/>
  <c r="B801" i="2"/>
  <c r="E800" i="2"/>
  <c r="D800" i="2"/>
  <c r="C800" i="2"/>
  <c r="B800" i="2"/>
  <c r="E799" i="2"/>
  <c r="D799" i="2"/>
  <c r="C799" i="2"/>
  <c r="B799" i="2"/>
  <c r="E798" i="2"/>
  <c r="D798" i="2"/>
  <c r="C798" i="2"/>
  <c r="B798" i="2"/>
  <c r="E797" i="2"/>
  <c r="D797" i="2"/>
  <c r="C797" i="2"/>
  <c r="B797" i="2"/>
  <c r="E796" i="2"/>
  <c r="D796" i="2"/>
  <c r="C796" i="2"/>
  <c r="B796" i="2"/>
  <c r="E795" i="2"/>
  <c r="D795" i="2"/>
  <c r="C795" i="2"/>
  <c r="B795" i="2"/>
  <c r="E794" i="2"/>
  <c r="D794" i="2"/>
  <c r="C794" i="2"/>
  <c r="B794" i="2"/>
  <c r="E793" i="2"/>
  <c r="D793" i="2"/>
  <c r="C793" i="2"/>
  <c r="B793" i="2"/>
  <c r="E792" i="2"/>
  <c r="D792" i="2"/>
  <c r="C792" i="2"/>
  <c r="B792" i="2"/>
  <c r="E791" i="2"/>
  <c r="D791" i="2"/>
  <c r="C791" i="2"/>
  <c r="B791" i="2"/>
  <c r="E790" i="2"/>
  <c r="D790" i="2"/>
  <c r="C790" i="2"/>
  <c r="B790" i="2"/>
  <c r="E789" i="2"/>
  <c r="D789" i="2"/>
  <c r="C789" i="2"/>
  <c r="B789" i="2"/>
  <c r="E788" i="2"/>
  <c r="D788" i="2"/>
  <c r="C788" i="2"/>
  <c r="B788" i="2"/>
  <c r="E787" i="2"/>
  <c r="D787" i="2"/>
  <c r="C787" i="2"/>
  <c r="B787" i="2"/>
  <c r="E786" i="2"/>
  <c r="D786" i="2"/>
  <c r="C786" i="2"/>
  <c r="B786" i="2"/>
  <c r="E785" i="2"/>
  <c r="D785" i="2"/>
  <c r="C785" i="2"/>
  <c r="B785" i="2"/>
  <c r="E784" i="2"/>
  <c r="D784" i="2"/>
  <c r="C784" i="2"/>
  <c r="B784" i="2"/>
  <c r="E783" i="2"/>
  <c r="D783" i="2"/>
  <c r="C783" i="2"/>
  <c r="B783" i="2"/>
  <c r="E782" i="2"/>
  <c r="D782" i="2"/>
  <c r="C782" i="2"/>
  <c r="B782" i="2"/>
  <c r="E781" i="2"/>
  <c r="D781" i="2"/>
  <c r="C781" i="2"/>
  <c r="B781" i="2"/>
  <c r="E780" i="2"/>
  <c r="D780" i="2"/>
  <c r="C780" i="2"/>
  <c r="B780" i="2"/>
  <c r="E779" i="2"/>
  <c r="D779" i="2"/>
  <c r="C779" i="2"/>
  <c r="B779" i="2"/>
  <c r="E778" i="2"/>
  <c r="D778" i="2"/>
  <c r="C778" i="2"/>
  <c r="B778" i="2"/>
  <c r="E777" i="2"/>
  <c r="D777" i="2"/>
  <c r="C777" i="2"/>
  <c r="B777" i="2"/>
  <c r="E776" i="2"/>
  <c r="D776" i="2"/>
  <c r="C776" i="2"/>
  <c r="B776" i="2"/>
  <c r="E775" i="2"/>
  <c r="D775" i="2"/>
  <c r="C775" i="2"/>
  <c r="B775" i="2"/>
  <c r="E774" i="2"/>
  <c r="D774" i="2"/>
  <c r="C774" i="2"/>
  <c r="B774" i="2"/>
  <c r="E773" i="2"/>
  <c r="D773" i="2"/>
  <c r="C773" i="2"/>
  <c r="B773" i="2"/>
  <c r="E772" i="2"/>
  <c r="D772" i="2"/>
  <c r="C772" i="2"/>
  <c r="B772" i="2"/>
  <c r="E771" i="2"/>
  <c r="D771" i="2"/>
  <c r="C771" i="2"/>
  <c r="B771" i="2"/>
  <c r="E770" i="2"/>
  <c r="D770" i="2"/>
  <c r="C770" i="2"/>
  <c r="B770" i="2"/>
  <c r="E769" i="2"/>
  <c r="D769" i="2"/>
  <c r="C769" i="2"/>
  <c r="B769" i="2"/>
  <c r="E768" i="2"/>
  <c r="D768" i="2"/>
  <c r="C768" i="2"/>
  <c r="B768" i="2"/>
  <c r="E767" i="2"/>
  <c r="D767" i="2"/>
  <c r="C767" i="2"/>
  <c r="B767" i="2"/>
  <c r="E766" i="2"/>
  <c r="D766" i="2"/>
  <c r="C766" i="2"/>
  <c r="B766" i="2"/>
  <c r="E765" i="2"/>
  <c r="D765" i="2"/>
  <c r="C765" i="2"/>
  <c r="B765" i="2"/>
  <c r="E764" i="2"/>
  <c r="D764" i="2"/>
  <c r="C764" i="2"/>
  <c r="B764" i="2"/>
  <c r="E763" i="2"/>
  <c r="D763" i="2"/>
  <c r="C763" i="2"/>
  <c r="B763" i="2"/>
  <c r="E762" i="2"/>
  <c r="D762" i="2"/>
  <c r="C762" i="2"/>
  <c r="B762" i="2"/>
  <c r="E761" i="2"/>
  <c r="D761" i="2"/>
  <c r="C761" i="2"/>
  <c r="B761" i="2"/>
  <c r="E760" i="2"/>
  <c r="D760" i="2"/>
  <c r="C760" i="2"/>
  <c r="B760" i="2"/>
  <c r="E759" i="2"/>
  <c r="D759" i="2"/>
  <c r="C759" i="2"/>
  <c r="B759" i="2"/>
  <c r="E758" i="2"/>
  <c r="D758" i="2"/>
  <c r="C758" i="2"/>
  <c r="B758" i="2"/>
  <c r="E757" i="2"/>
  <c r="D757" i="2"/>
  <c r="C757" i="2"/>
  <c r="B757" i="2"/>
  <c r="E756" i="2"/>
  <c r="D756" i="2"/>
  <c r="C756" i="2"/>
  <c r="B756" i="2"/>
  <c r="E755" i="2"/>
  <c r="D755" i="2"/>
  <c r="C755" i="2"/>
  <c r="B755" i="2"/>
  <c r="E754" i="2"/>
  <c r="D754" i="2"/>
  <c r="C754" i="2"/>
  <c r="B754" i="2"/>
  <c r="E753" i="2"/>
  <c r="D753" i="2"/>
  <c r="C753" i="2"/>
  <c r="E752" i="2"/>
  <c r="D752" i="2"/>
  <c r="C752" i="2"/>
  <c r="B752" i="2"/>
  <c r="E751" i="2"/>
  <c r="D751" i="2"/>
  <c r="C751" i="2"/>
  <c r="B751" i="2"/>
  <c r="E750" i="2"/>
  <c r="D750" i="2"/>
  <c r="C750" i="2"/>
  <c r="B750" i="2"/>
  <c r="E749" i="2"/>
  <c r="D749" i="2"/>
  <c r="C749" i="2"/>
  <c r="B749" i="2"/>
  <c r="E748" i="2"/>
  <c r="D748" i="2"/>
  <c r="C748" i="2"/>
  <c r="B748" i="2"/>
  <c r="E747" i="2"/>
  <c r="D747" i="2"/>
  <c r="C747" i="2"/>
  <c r="B747" i="2"/>
  <c r="E746" i="2"/>
  <c r="D746" i="2"/>
  <c r="C746" i="2"/>
  <c r="B746" i="2"/>
  <c r="E745" i="2"/>
  <c r="D745" i="2"/>
  <c r="C745" i="2"/>
  <c r="B745" i="2"/>
  <c r="E744" i="2"/>
  <c r="D744" i="2"/>
  <c r="C744" i="2"/>
  <c r="B744" i="2"/>
  <c r="E743" i="2"/>
  <c r="D743" i="2"/>
  <c r="C743" i="2"/>
  <c r="B743" i="2"/>
  <c r="E742" i="2"/>
  <c r="D742" i="2"/>
  <c r="C742" i="2"/>
  <c r="B742" i="2"/>
  <c r="E741" i="2"/>
  <c r="D741" i="2"/>
  <c r="C741" i="2"/>
  <c r="B741" i="2"/>
  <c r="E740" i="2"/>
  <c r="D740" i="2"/>
  <c r="C740" i="2"/>
  <c r="B740" i="2"/>
  <c r="E739" i="2"/>
  <c r="D739" i="2"/>
  <c r="C739" i="2"/>
  <c r="B739" i="2"/>
  <c r="E738" i="2"/>
  <c r="D738" i="2"/>
  <c r="C738" i="2"/>
  <c r="B738" i="2"/>
  <c r="E737" i="2"/>
  <c r="D737" i="2"/>
  <c r="C737" i="2"/>
  <c r="B737" i="2"/>
  <c r="E736" i="2"/>
  <c r="D736" i="2"/>
  <c r="C736" i="2"/>
  <c r="B736" i="2"/>
  <c r="E735" i="2"/>
  <c r="D735" i="2"/>
  <c r="C735" i="2"/>
  <c r="B735" i="2"/>
  <c r="E734" i="2"/>
  <c r="D734" i="2"/>
  <c r="C734" i="2"/>
  <c r="B734" i="2"/>
  <c r="E733" i="2"/>
  <c r="D733" i="2"/>
  <c r="C733" i="2"/>
  <c r="B733" i="2"/>
  <c r="E732" i="2"/>
  <c r="D732" i="2"/>
  <c r="C732" i="2"/>
  <c r="B732" i="2"/>
  <c r="E731" i="2"/>
  <c r="D731" i="2"/>
  <c r="C731" i="2"/>
  <c r="B731" i="2"/>
  <c r="E730" i="2"/>
  <c r="D730" i="2"/>
  <c r="C730" i="2"/>
  <c r="B730" i="2"/>
  <c r="E729" i="2"/>
  <c r="D729" i="2"/>
  <c r="C729" i="2"/>
  <c r="B729" i="2"/>
  <c r="E728" i="2"/>
  <c r="D728" i="2"/>
  <c r="C728" i="2"/>
  <c r="B728" i="2"/>
  <c r="E727" i="2"/>
  <c r="D727" i="2"/>
  <c r="C727" i="2"/>
  <c r="B727" i="2"/>
  <c r="E726" i="2"/>
  <c r="D726" i="2"/>
  <c r="C726" i="2"/>
  <c r="B726" i="2"/>
  <c r="E725" i="2"/>
  <c r="D725" i="2"/>
  <c r="C725" i="2"/>
  <c r="B725" i="2"/>
  <c r="E724" i="2"/>
  <c r="D724" i="2"/>
  <c r="C724" i="2"/>
  <c r="B724" i="2"/>
  <c r="E723" i="2"/>
  <c r="D723" i="2"/>
  <c r="C723" i="2"/>
  <c r="B723" i="2"/>
  <c r="E722" i="2"/>
  <c r="D722" i="2"/>
  <c r="C722" i="2"/>
  <c r="B722" i="2"/>
  <c r="E721" i="2"/>
  <c r="D721" i="2"/>
  <c r="C721" i="2"/>
  <c r="B721" i="2"/>
  <c r="E720" i="2"/>
  <c r="D720" i="2"/>
  <c r="C720" i="2"/>
  <c r="B720" i="2"/>
  <c r="E719" i="2"/>
  <c r="D719" i="2"/>
  <c r="C719" i="2"/>
  <c r="B719" i="2"/>
  <c r="E718" i="2"/>
  <c r="D718" i="2"/>
  <c r="C718" i="2"/>
  <c r="B718" i="2"/>
  <c r="E717" i="2"/>
  <c r="D717" i="2"/>
  <c r="C717" i="2"/>
  <c r="B717" i="2"/>
  <c r="E716" i="2"/>
  <c r="D716" i="2"/>
  <c r="C716" i="2"/>
  <c r="B716" i="2"/>
  <c r="E715" i="2"/>
  <c r="D715" i="2"/>
  <c r="C715" i="2"/>
  <c r="B715" i="2"/>
  <c r="E714" i="2"/>
  <c r="D714" i="2"/>
  <c r="C714" i="2"/>
  <c r="B714" i="2"/>
  <c r="E713" i="2"/>
  <c r="D713" i="2"/>
  <c r="C713" i="2"/>
  <c r="B713" i="2"/>
  <c r="E712" i="2"/>
  <c r="D712" i="2"/>
  <c r="C712" i="2"/>
  <c r="B712" i="2"/>
  <c r="E711" i="2"/>
  <c r="D711" i="2"/>
  <c r="C711" i="2"/>
  <c r="B711" i="2"/>
  <c r="E710" i="2"/>
  <c r="D710" i="2"/>
  <c r="C710" i="2"/>
  <c r="B710" i="2"/>
  <c r="E709" i="2"/>
  <c r="D709" i="2"/>
  <c r="C709" i="2"/>
  <c r="B709" i="2"/>
  <c r="E708" i="2"/>
  <c r="D708" i="2"/>
  <c r="C708" i="2"/>
  <c r="B708" i="2"/>
  <c r="E707" i="2"/>
  <c r="D707" i="2"/>
  <c r="C707" i="2"/>
  <c r="B707" i="2"/>
  <c r="E706" i="2"/>
  <c r="D706" i="2"/>
  <c r="C706" i="2"/>
  <c r="B706" i="2"/>
  <c r="E705" i="2"/>
  <c r="D705" i="2"/>
  <c r="C705" i="2"/>
  <c r="B705" i="2"/>
  <c r="E704" i="2"/>
  <c r="D704" i="2"/>
  <c r="C704" i="2"/>
  <c r="B704" i="2"/>
  <c r="E703" i="2"/>
  <c r="D703" i="2"/>
  <c r="C703" i="2"/>
  <c r="B703" i="2"/>
  <c r="E702" i="2"/>
  <c r="D702" i="2"/>
  <c r="C702" i="2"/>
  <c r="B702" i="2"/>
  <c r="E701" i="2"/>
  <c r="D701" i="2"/>
  <c r="C701" i="2"/>
  <c r="B701" i="2"/>
  <c r="E700" i="2"/>
  <c r="D700" i="2"/>
  <c r="C700" i="2"/>
  <c r="B700" i="2"/>
  <c r="E699" i="2"/>
  <c r="D699" i="2"/>
  <c r="C699" i="2"/>
  <c r="B699" i="2"/>
  <c r="E698" i="2"/>
  <c r="D698" i="2"/>
  <c r="C698" i="2"/>
  <c r="B698" i="2"/>
  <c r="E697" i="2"/>
  <c r="D697" i="2"/>
  <c r="C697" i="2"/>
  <c r="B697" i="2"/>
  <c r="E696" i="2"/>
  <c r="D696" i="2"/>
  <c r="C696" i="2"/>
  <c r="B696" i="2"/>
  <c r="E695" i="2"/>
  <c r="D695" i="2"/>
  <c r="C695" i="2"/>
  <c r="B695" i="2"/>
  <c r="E694" i="2"/>
  <c r="D694" i="2"/>
  <c r="C694" i="2"/>
  <c r="B694" i="2"/>
  <c r="E693" i="2"/>
  <c r="D693" i="2"/>
  <c r="C693" i="2"/>
  <c r="B693" i="2"/>
  <c r="E692" i="2"/>
  <c r="D692" i="2"/>
  <c r="C692" i="2"/>
  <c r="B692" i="2"/>
  <c r="E691" i="2"/>
  <c r="D691" i="2"/>
  <c r="C691" i="2"/>
  <c r="B691" i="2"/>
  <c r="E690" i="2"/>
  <c r="D690" i="2"/>
  <c r="C690" i="2"/>
  <c r="B690" i="2"/>
  <c r="E689" i="2"/>
  <c r="D689" i="2"/>
  <c r="C689" i="2"/>
  <c r="B689" i="2"/>
  <c r="E688" i="2"/>
  <c r="D688" i="2"/>
  <c r="C688" i="2"/>
  <c r="B688" i="2"/>
  <c r="E687" i="2"/>
  <c r="D687" i="2"/>
  <c r="C687" i="2"/>
  <c r="B687" i="2"/>
  <c r="E686" i="2"/>
  <c r="D686" i="2"/>
  <c r="C686" i="2"/>
  <c r="B686" i="2"/>
  <c r="E685" i="2"/>
  <c r="D685" i="2"/>
  <c r="C685" i="2"/>
  <c r="B685" i="2"/>
  <c r="E684" i="2"/>
  <c r="D684" i="2"/>
  <c r="C684" i="2"/>
  <c r="B684" i="2"/>
  <c r="E683" i="2"/>
  <c r="D683" i="2"/>
  <c r="C683" i="2"/>
  <c r="B683" i="2"/>
  <c r="E682" i="2"/>
  <c r="D682" i="2"/>
  <c r="C682" i="2"/>
  <c r="B682" i="2"/>
  <c r="E681" i="2"/>
  <c r="D681" i="2"/>
  <c r="C681" i="2"/>
  <c r="B681" i="2"/>
  <c r="E680" i="2"/>
  <c r="D680" i="2"/>
  <c r="C680" i="2"/>
  <c r="B680" i="2"/>
  <c r="E679" i="2"/>
  <c r="D679" i="2"/>
  <c r="C679" i="2"/>
  <c r="B679" i="2"/>
  <c r="E678" i="2"/>
  <c r="D678" i="2"/>
  <c r="C678" i="2"/>
  <c r="E677" i="2"/>
  <c r="D677" i="2"/>
  <c r="C677" i="2"/>
  <c r="B677" i="2"/>
  <c r="E676" i="2"/>
  <c r="D676" i="2"/>
  <c r="C676" i="2"/>
  <c r="B676" i="2"/>
  <c r="E675" i="2"/>
  <c r="D675" i="2"/>
  <c r="C675" i="2"/>
  <c r="B675" i="2"/>
  <c r="E674" i="2"/>
  <c r="D674" i="2"/>
  <c r="C674" i="2"/>
  <c r="B674" i="2"/>
  <c r="E673" i="2"/>
  <c r="D673" i="2"/>
  <c r="C673" i="2"/>
  <c r="B673" i="2"/>
  <c r="E672" i="2"/>
  <c r="D672" i="2"/>
  <c r="C672" i="2"/>
  <c r="B672" i="2"/>
  <c r="E671" i="2"/>
  <c r="D671" i="2"/>
  <c r="C671" i="2"/>
  <c r="B671" i="2"/>
  <c r="E670" i="2"/>
  <c r="D670" i="2"/>
  <c r="C670" i="2"/>
  <c r="B670" i="2"/>
  <c r="E669" i="2"/>
  <c r="D669" i="2"/>
  <c r="C669" i="2"/>
  <c r="B669" i="2"/>
  <c r="E668" i="2"/>
  <c r="D668" i="2"/>
  <c r="C668" i="2"/>
  <c r="B668" i="2"/>
  <c r="E667" i="2"/>
  <c r="D667" i="2"/>
  <c r="C667" i="2"/>
  <c r="B667" i="2"/>
  <c r="E666" i="2"/>
  <c r="D666" i="2"/>
  <c r="C666" i="2"/>
  <c r="B666" i="2"/>
  <c r="E665" i="2"/>
  <c r="D665" i="2"/>
  <c r="C665" i="2"/>
  <c r="B665" i="2"/>
  <c r="E664" i="2"/>
  <c r="D664" i="2"/>
  <c r="C664" i="2"/>
  <c r="B664" i="2"/>
  <c r="E663" i="2"/>
  <c r="D663" i="2"/>
  <c r="C663" i="2"/>
  <c r="B663" i="2"/>
  <c r="E662" i="2"/>
  <c r="D662" i="2"/>
  <c r="C662" i="2"/>
  <c r="B662" i="2"/>
  <c r="E661" i="2"/>
  <c r="D661" i="2"/>
  <c r="C661" i="2"/>
  <c r="B661" i="2"/>
  <c r="E660" i="2"/>
  <c r="D660" i="2"/>
  <c r="C660" i="2"/>
  <c r="B660" i="2"/>
  <c r="E659" i="2"/>
  <c r="D659" i="2"/>
  <c r="C659" i="2"/>
  <c r="B659" i="2"/>
  <c r="E658" i="2"/>
  <c r="D658" i="2"/>
  <c r="C658" i="2"/>
  <c r="B658" i="2"/>
  <c r="E657" i="2"/>
  <c r="D657" i="2"/>
  <c r="C657" i="2"/>
  <c r="B657" i="2"/>
  <c r="E656" i="2"/>
  <c r="D656" i="2"/>
  <c r="C656" i="2"/>
  <c r="B656" i="2"/>
  <c r="E655" i="2"/>
  <c r="D655" i="2"/>
  <c r="C655" i="2"/>
  <c r="B655" i="2"/>
  <c r="E654" i="2"/>
  <c r="D654" i="2"/>
  <c r="C654" i="2"/>
  <c r="B654" i="2"/>
  <c r="E653" i="2"/>
  <c r="D653" i="2"/>
  <c r="C653" i="2"/>
  <c r="B653" i="2"/>
  <c r="E652" i="2"/>
  <c r="D652" i="2"/>
  <c r="C652" i="2"/>
  <c r="B652" i="2"/>
  <c r="E651" i="2"/>
  <c r="D651" i="2"/>
  <c r="C651" i="2"/>
  <c r="B651" i="2"/>
  <c r="E650" i="2"/>
  <c r="D650" i="2"/>
  <c r="C650" i="2"/>
  <c r="B650" i="2"/>
  <c r="E649" i="2"/>
  <c r="D649" i="2"/>
  <c r="C649" i="2"/>
  <c r="B649" i="2"/>
  <c r="E648" i="2"/>
  <c r="D648" i="2"/>
  <c r="C648" i="2"/>
  <c r="B648" i="2"/>
  <c r="E647" i="2"/>
  <c r="D647" i="2"/>
  <c r="C647" i="2"/>
  <c r="B647" i="2"/>
  <c r="E646" i="2"/>
  <c r="D646" i="2"/>
  <c r="C646" i="2"/>
  <c r="B646" i="2"/>
  <c r="E645" i="2"/>
  <c r="D645" i="2"/>
  <c r="C645" i="2"/>
  <c r="B645" i="2"/>
  <c r="E644" i="2"/>
  <c r="D644" i="2"/>
  <c r="C644" i="2"/>
  <c r="B644" i="2"/>
  <c r="E643" i="2"/>
  <c r="D643" i="2"/>
  <c r="C643" i="2"/>
  <c r="B643" i="2"/>
  <c r="E642" i="2"/>
  <c r="D642" i="2"/>
  <c r="C642" i="2"/>
  <c r="B642" i="2"/>
  <c r="E641" i="2"/>
  <c r="D641" i="2"/>
  <c r="C641" i="2"/>
  <c r="B641" i="2"/>
  <c r="E640" i="2"/>
  <c r="D640" i="2"/>
  <c r="C640" i="2"/>
  <c r="B640" i="2"/>
  <c r="E639" i="2"/>
  <c r="D639" i="2"/>
  <c r="C639" i="2"/>
  <c r="B639" i="2"/>
  <c r="E638" i="2"/>
  <c r="D638" i="2"/>
  <c r="C638" i="2"/>
  <c r="B638" i="2"/>
  <c r="E637" i="2"/>
  <c r="D637" i="2"/>
  <c r="C637" i="2"/>
  <c r="B637" i="2"/>
  <c r="E636" i="2"/>
  <c r="D636" i="2"/>
  <c r="C636" i="2"/>
  <c r="B636" i="2"/>
  <c r="E635" i="2"/>
  <c r="D635" i="2"/>
  <c r="C635" i="2"/>
  <c r="B635" i="2"/>
  <c r="E634" i="2"/>
  <c r="D634" i="2"/>
  <c r="C634" i="2"/>
  <c r="B634" i="2"/>
  <c r="E633" i="2"/>
  <c r="D633" i="2"/>
  <c r="C633" i="2"/>
  <c r="B633" i="2"/>
  <c r="E632" i="2"/>
  <c r="D632" i="2"/>
  <c r="C632" i="2"/>
  <c r="B632" i="2"/>
  <c r="E631" i="2"/>
  <c r="D631" i="2"/>
  <c r="C631" i="2"/>
  <c r="B631" i="2"/>
  <c r="E630" i="2"/>
  <c r="D630" i="2"/>
  <c r="C630" i="2"/>
  <c r="B630" i="2"/>
  <c r="E629" i="2"/>
  <c r="D629" i="2"/>
  <c r="C629" i="2"/>
  <c r="B629" i="2"/>
  <c r="E628" i="2"/>
  <c r="D628" i="2"/>
  <c r="C628" i="2"/>
  <c r="B628" i="2"/>
  <c r="E627" i="2"/>
  <c r="D627" i="2"/>
  <c r="C627" i="2"/>
  <c r="B627" i="2"/>
  <c r="E626" i="2"/>
  <c r="D626" i="2"/>
  <c r="C626" i="2"/>
  <c r="B626" i="2"/>
  <c r="E625" i="2"/>
  <c r="D625" i="2"/>
  <c r="C625" i="2"/>
  <c r="B625" i="2"/>
  <c r="E624" i="2"/>
  <c r="D624" i="2"/>
  <c r="C624" i="2"/>
  <c r="B624" i="2"/>
  <c r="E623" i="2"/>
  <c r="D623" i="2"/>
  <c r="C623" i="2"/>
  <c r="B623" i="2"/>
  <c r="E622" i="2"/>
  <c r="D622" i="2"/>
  <c r="C622" i="2"/>
  <c r="B622" i="2"/>
  <c r="E621" i="2"/>
  <c r="D621" i="2"/>
  <c r="C621" i="2"/>
  <c r="B621" i="2"/>
  <c r="E620" i="2"/>
  <c r="D620" i="2"/>
  <c r="C620" i="2"/>
  <c r="B620" i="2"/>
  <c r="E619" i="2"/>
  <c r="D619" i="2"/>
  <c r="C619" i="2"/>
  <c r="B619" i="2"/>
  <c r="E618" i="2"/>
  <c r="D618" i="2"/>
  <c r="C618" i="2"/>
  <c r="B618" i="2"/>
  <c r="E617" i="2"/>
  <c r="D617" i="2"/>
  <c r="C617" i="2"/>
  <c r="B617" i="2"/>
  <c r="E616" i="2"/>
  <c r="D616" i="2"/>
  <c r="C616" i="2"/>
  <c r="B616" i="2"/>
  <c r="E615" i="2"/>
  <c r="D615" i="2"/>
  <c r="C615" i="2"/>
  <c r="B615" i="2"/>
  <c r="E614" i="2"/>
  <c r="D614" i="2"/>
  <c r="C614" i="2"/>
  <c r="B614" i="2"/>
  <c r="E613" i="2"/>
  <c r="D613" i="2"/>
  <c r="C613" i="2"/>
  <c r="B613" i="2"/>
  <c r="E612" i="2"/>
  <c r="D612" i="2"/>
  <c r="C612" i="2"/>
  <c r="B612" i="2"/>
  <c r="E611" i="2"/>
  <c r="D611" i="2"/>
  <c r="C611" i="2"/>
  <c r="B611" i="2"/>
  <c r="E610" i="2"/>
  <c r="D610" i="2"/>
  <c r="C610" i="2"/>
  <c r="B610" i="2"/>
  <c r="E609" i="2"/>
  <c r="D609" i="2"/>
  <c r="C609" i="2"/>
  <c r="B609" i="2"/>
  <c r="E608" i="2"/>
  <c r="D608" i="2"/>
  <c r="C608" i="2"/>
  <c r="B608" i="2"/>
  <c r="E607" i="2"/>
  <c r="D607" i="2"/>
  <c r="C607" i="2"/>
  <c r="B607" i="2"/>
  <c r="E606" i="2"/>
  <c r="D606" i="2"/>
  <c r="C606" i="2"/>
  <c r="B606" i="2"/>
  <c r="E605" i="2"/>
  <c r="D605" i="2"/>
  <c r="C605" i="2"/>
  <c r="B605" i="2"/>
  <c r="E604" i="2"/>
  <c r="D604" i="2"/>
  <c r="C604" i="2"/>
  <c r="B604" i="2"/>
  <c r="E603" i="2"/>
  <c r="D603" i="2"/>
  <c r="C603" i="2"/>
  <c r="B603" i="2"/>
  <c r="E602" i="2"/>
  <c r="D602" i="2"/>
  <c r="C602" i="2"/>
  <c r="B602" i="2"/>
  <c r="E601" i="2"/>
  <c r="D601" i="2"/>
  <c r="C601" i="2"/>
  <c r="B601" i="2"/>
  <c r="E600" i="2"/>
  <c r="D600" i="2"/>
  <c r="C600" i="2"/>
  <c r="B600" i="2"/>
  <c r="E599" i="2"/>
  <c r="D599" i="2"/>
  <c r="C599" i="2"/>
  <c r="B599" i="2"/>
  <c r="E598" i="2"/>
  <c r="D598" i="2"/>
  <c r="C598" i="2"/>
  <c r="B598" i="2"/>
  <c r="E597" i="2"/>
  <c r="D597" i="2"/>
  <c r="C597" i="2"/>
  <c r="B597" i="2"/>
  <c r="E596" i="2"/>
  <c r="D596" i="2"/>
  <c r="C596" i="2"/>
  <c r="B596" i="2"/>
  <c r="E595" i="2"/>
  <c r="D595" i="2"/>
  <c r="C595" i="2"/>
  <c r="B595" i="2"/>
  <c r="E594" i="2"/>
  <c r="D594" i="2"/>
  <c r="C594" i="2"/>
  <c r="B594" i="2"/>
  <c r="E593" i="2"/>
  <c r="D593" i="2"/>
  <c r="C593" i="2"/>
  <c r="B593" i="2"/>
  <c r="E592" i="2"/>
  <c r="D592" i="2"/>
  <c r="C592" i="2"/>
  <c r="B592" i="2"/>
  <c r="E591" i="2"/>
  <c r="D591" i="2"/>
  <c r="C591" i="2"/>
  <c r="B591" i="2"/>
  <c r="E590" i="2"/>
  <c r="D590" i="2"/>
  <c r="C590" i="2"/>
  <c r="B590" i="2"/>
  <c r="E589" i="2"/>
  <c r="D589" i="2"/>
  <c r="C589" i="2"/>
  <c r="B589" i="2"/>
  <c r="E588" i="2"/>
  <c r="D588" i="2"/>
  <c r="C588" i="2"/>
  <c r="B588" i="2"/>
  <c r="E587" i="2"/>
  <c r="D587" i="2"/>
  <c r="C587" i="2"/>
  <c r="B587" i="2"/>
  <c r="E586" i="2"/>
  <c r="D586" i="2"/>
  <c r="C586" i="2"/>
  <c r="B586" i="2"/>
  <c r="E585" i="2"/>
  <c r="D585" i="2"/>
  <c r="C585" i="2"/>
  <c r="B585" i="2"/>
  <c r="E584" i="2"/>
  <c r="D584" i="2"/>
  <c r="C584" i="2"/>
  <c r="B584" i="2"/>
  <c r="E583" i="2"/>
  <c r="D583" i="2"/>
  <c r="C583" i="2"/>
  <c r="B583" i="2"/>
  <c r="E582" i="2"/>
  <c r="D582" i="2"/>
  <c r="C582" i="2"/>
  <c r="B582" i="2"/>
  <c r="E581" i="2"/>
  <c r="D581" i="2"/>
  <c r="C581" i="2"/>
  <c r="B581" i="2"/>
  <c r="E580" i="2"/>
  <c r="D580" i="2"/>
  <c r="C580" i="2"/>
  <c r="B580" i="2"/>
  <c r="E579" i="2"/>
  <c r="D579" i="2"/>
  <c r="C579" i="2"/>
  <c r="B579" i="2"/>
  <c r="E578" i="2"/>
  <c r="D578" i="2"/>
  <c r="C578" i="2"/>
  <c r="B578" i="2"/>
  <c r="E577" i="2"/>
  <c r="D577" i="2"/>
  <c r="C577" i="2"/>
  <c r="B577" i="2"/>
  <c r="E576" i="2"/>
  <c r="D576" i="2"/>
  <c r="C576" i="2"/>
  <c r="B576" i="2"/>
  <c r="E575" i="2"/>
  <c r="D575" i="2"/>
  <c r="C575" i="2"/>
  <c r="B575" i="2"/>
  <c r="E574" i="2"/>
  <c r="D574" i="2"/>
  <c r="C574" i="2"/>
  <c r="B574" i="2"/>
  <c r="E573" i="2"/>
  <c r="D573" i="2"/>
  <c r="C573" i="2"/>
  <c r="B573" i="2"/>
  <c r="E572" i="2"/>
  <c r="D572" i="2"/>
  <c r="C572" i="2"/>
  <c r="B572" i="2"/>
  <c r="E571" i="2"/>
  <c r="D571" i="2"/>
  <c r="C571" i="2"/>
  <c r="B571" i="2"/>
  <c r="E570" i="2"/>
  <c r="D570" i="2"/>
  <c r="C570" i="2"/>
  <c r="B570" i="2"/>
  <c r="E569" i="2"/>
  <c r="D569" i="2"/>
  <c r="C569" i="2"/>
  <c r="B569" i="2"/>
  <c r="E568" i="2"/>
  <c r="D568" i="2"/>
  <c r="C568" i="2"/>
  <c r="B568" i="2"/>
  <c r="E567" i="2"/>
  <c r="D567" i="2"/>
  <c r="C567" i="2"/>
  <c r="B567" i="2"/>
  <c r="E566" i="2"/>
  <c r="D566" i="2"/>
  <c r="C566" i="2"/>
  <c r="E565" i="2"/>
  <c r="D565" i="2"/>
  <c r="C565" i="2"/>
  <c r="B565" i="2"/>
  <c r="E564" i="2"/>
  <c r="D564" i="2"/>
  <c r="C564" i="2"/>
  <c r="B564" i="2"/>
  <c r="E563" i="2"/>
  <c r="D563" i="2"/>
  <c r="C563" i="2"/>
  <c r="B563" i="2"/>
  <c r="E562" i="2"/>
  <c r="D562" i="2"/>
  <c r="C562" i="2"/>
  <c r="B562" i="2"/>
  <c r="E561" i="2"/>
  <c r="D561" i="2"/>
  <c r="C561" i="2"/>
  <c r="B561" i="2"/>
  <c r="E560" i="2"/>
  <c r="D560" i="2"/>
  <c r="C560" i="2"/>
  <c r="B560" i="2"/>
  <c r="E559" i="2"/>
  <c r="D559" i="2"/>
  <c r="C559" i="2"/>
  <c r="B559" i="2"/>
  <c r="E558" i="2"/>
  <c r="D558" i="2"/>
  <c r="C558" i="2"/>
  <c r="B558" i="2"/>
  <c r="E557" i="2"/>
  <c r="D557" i="2"/>
  <c r="C557" i="2"/>
  <c r="B557" i="2"/>
  <c r="E556" i="2"/>
  <c r="D556" i="2"/>
  <c r="C556" i="2"/>
  <c r="B556" i="2"/>
  <c r="E555" i="2"/>
  <c r="D555" i="2"/>
  <c r="C555" i="2"/>
  <c r="E554" i="2"/>
  <c r="D554" i="2"/>
  <c r="C554" i="2"/>
  <c r="B554" i="2"/>
  <c r="E553" i="2"/>
  <c r="D553" i="2"/>
  <c r="C553" i="2"/>
  <c r="B553" i="2"/>
  <c r="E552" i="2"/>
  <c r="D552" i="2"/>
  <c r="C552" i="2"/>
  <c r="B552" i="2"/>
  <c r="E551" i="2"/>
  <c r="D551" i="2"/>
  <c r="C551" i="2"/>
  <c r="E550" i="2"/>
  <c r="D550" i="2"/>
  <c r="C550" i="2"/>
  <c r="B550" i="2"/>
  <c r="E549" i="2"/>
  <c r="D549" i="2"/>
  <c r="C549" i="2"/>
  <c r="B549" i="2"/>
  <c r="E548" i="2"/>
  <c r="D548" i="2"/>
  <c r="C548" i="2"/>
  <c r="B548" i="2"/>
  <c r="E547" i="2"/>
  <c r="D547" i="2"/>
  <c r="C547" i="2"/>
  <c r="B547" i="2"/>
  <c r="E546" i="2"/>
  <c r="D546" i="2"/>
  <c r="C546" i="2"/>
  <c r="B546" i="2"/>
  <c r="E545" i="2"/>
  <c r="D545" i="2"/>
  <c r="C545" i="2"/>
  <c r="B545" i="2"/>
  <c r="E544" i="2"/>
  <c r="D544" i="2"/>
  <c r="C544" i="2"/>
  <c r="B544" i="2"/>
  <c r="E543" i="2"/>
  <c r="D543" i="2"/>
  <c r="C543" i="2"/>
  <c r="E542" i="2"/>
  <c r="D542" i="2"/>
  <c r="C542" i="2"/>
  <c r="B542" i="2"/>
  <c r="E541" i="2"/>
  <c r="D541" i="2"/>
  <c r="C541" i="2"/>
  <c r="B541" i="2"/>
  <c r="E540" i="2"/>
  <c r="D540" i="2"/>
  <c r="C540" i="2"/>
  <c r="B540" i="2"/>
  <c r="E539" i="2"/>
  <c r="D539" i="2"/>
  <c r="C539" i="2"/>
  <c r="B539" i="2"/>
  <c r="E538" i="2"/>
  <c r="D538" i="2"/>
  <c r="C538" i="2"/>
  <c r="B538" i="2"/>
  <c r="E537" i="2"/>
  <c r="D537" i="2"/>
  <c r="C537" i="2"/>
  <c r="B537" i="2"/>
  <c r="E536" i="2"/>
  <c r="D536" i="2"/>
  <c r="C536" i="2"/>
  <c r="B536" i="2"/>
  <c r="E535" i="2"/>
  <c r="D535" i="2"/>
  <c r="C535" i="2"/>
  <c r="B535" i="2"/>
  <c r="E534" i="2"/>
  <c r="D534" i="2"/>
  <c r="C534" i="2"/>
  <c r="B534" i="2"/>
  <c r="E533" i="2"/>
  <c r="D533" i="2"/>
  <c r="C533" i="2"/>
  <c r="B533" i="2"/>
  <c r="E532" i="2"/>
  <c r="D532" i="2"/>
  <c r="C532" i="2"/>
  <c r="B532" i="2"/>
  <c r="E531" i="2"/>
  <c r="D531" i="2"/>
  <c r="C531" i="2"/>
  <c r="E530" i="2"/>
  <c r="D530" i="2"/>
  <c r="C530" i="2"/>
  <c r="B530" i="2"/>
  <c r="E529" i="2"/>
  <c r="D529" i="2"/>
  <c r="C529" i="2"/>
  <c r="B529" i="2"/>
  <c r="E528" i="2"/>
  <c r="D528" i="2"/>
  <c r="C528" i="2"/>
  <c r="B528" i="2"/>
  <c r="E527" i="2"/>
  <c r="D527" i="2"/>
  <c r="C527" i="2"/>
  <c r="B527" i="2"/>
  <c r="E526" i="2"/>
  <c r="D526" i="2"/>
  <c r="C526" i="2"/>
  <c r="B526" i="2"/>
  <c r="E525" i="2"/>
  <c r="D525" i="2"/>
  <c r="C525" i="2"/>
  <c r="B525" i="2"/>
  <c r="E524" i="2"/>
  <c r="D524" i="2"/>
  <c r="C524" i="2"/>
  <c r="B524" i="2"/>
  <c r="E523" i="2"/>
  <c r="D523" i="2"/>
  <c r="C523" i="2"/>
  <c r="B523" i="2"/>
  <c r="E522" i="2"/>
  <c r="D522" i="2"/>
  <c r="C522" i="2"/>
  <c r="B522" i="2"/>
  <c r="E521" i="2"/>
  <c r="D521" i="2"/>
  <c r="C521" i="2"/>
  <c r="B521" i="2"/>
  <c r="E520" i="2"/>
  <c r="D520" i="2"/>
  <c r="C520" i="2"/>
  <c r="B520" i="2"/>
  <c r="E519" i="2"/>
  <c r="D519" i="2"/>
  <c r="C519" i="2"/>
  <c r="B519" i="2"/>
  <c r="E518" i="2"/>
  <c r="D518" i="2"/>
  <c r="C518" i="2"/>
  <c r="B518" i="2"/>
  <c r="E517" i="2"/>
  <c r="D517" i="2"/>
  <c r="C517" i="2"/>
  <c r="B517" i="2"/>
  <c r="E516" i="2"/>
  <c r="D516" i="2"/>
  <c r="C516" i="2"/>
  <c r="B516" i="2"/>
  <c r="E515" i="2"/>
  <c r="D515" i="2"/>
  <c r="C515" i="2"/>
  <c r="B515" i="2"/>
  <c r="E514" i="2"/>
  <c r="D514" i="2"/>
  <c r="C514" i="2"/>
  <c r="B514" i="2"/>
  <c r="E513" i="2"/>
  <c r="D513" i="2"/>
  <c r="C513" i="2"/>
  <c r="B513" i="2"/>
  <c r="E512" i="2"/>
  <c r="D512" i="2"/>
  <c r="C512" i="2"/>
  <c r="B512" i="2"/>
  <c r="E511" i="2"/>
  <c r="D511" i="2"/>
  <c r="C511" i="2"/>
  <c r="B511" i="2"/>
  <c r="E510" i="2"/>
  <c r="D510" i="2"/>
  <c r="C510" i="2"/>
  <c r="B510" i="2"/>
  <c r="E509" i="2"/>
  <c r="D509" i="2"/>
  <c r="C509" i="2"/>
  <c r="B509" i="2"/>
  <c r="E508" i="2"/>
  <c r="D508" i="2"/>
  <c r="C508" i="2"/>
  <c r="B508" i="2"/>
  <c r="E507" i="2"/>
  <c r="D507" i="2"/>
  <c r="C507" i="2"/>
  <c r="B507" i="2"/>
  <c r="E506" i="2"/>
  <c r="D506" i="2"/>
  <c r="C506" i="2"/>
  <c r="B506" i="2"/>
  <c r="E505" i="2"/>
  <c r="D505" i="2"/>
  <c r="C505" i="2"/>
  <c r="B505" i="2"/>
  <c r="E504" i="2"/>
  <c r="D504" i="2"/>
  <c r="C504" i="2"/>
  <c r="B504" i="2"/>
  <c r="E503" i="2"/>
  <c r="D503" i="2"/>
  <c r="C503" i="2"/>
  <c r="B503" i="2"/>
  <c r="E502" i="2"/>
  <c r="D502" i="2"/>
  <c r="C502" i="2"/>
  <c r="B502" i="2"/>
  <c r="E501" i="2"/>
  <c r="D501" i="2"/>
  <c r="C501" i="2"/>
  <c r="B501" i="2"/>
  <c r="E500" i="2"/>
  <c r="D500" i="2"/>
  <c r="C500" i="2"/>
  <c r="B500" i="2"/>
  <c r="E499" i="2"/>
  <c r="D499" i="2"/>
  <c r="C499" i="2"/>
  <c r="B499" i="2"/>
  <c r="E498" i="2"/>
  <c r="D498" i="2"/>
  <c r="C498" i="2"/>
  <c r="B498" i="2"/>
  <c r="E497" i="2"/>
  <c r="D497" i="2"/>
  <c r="C497" i="2"/>
  <c r="B497" i="2"/>
  <c r="E496" i="2"/>
  <c r="D496" i="2"/>
  <c r="C496" i="2"/>
  <c r="B496" i="2"/>
  <c r="E495" i="2"/>
  <c r="D495" i="2"/>
  <c r="C495" i="2"/>
  <c r="B495" i="2"/>
  <c r="E494" i="2"/>
  <c r="D494" i="2"/>
  <c r="C494" i="2"/>
  <c r="B494" i="2"/>
  <c r="E493" i="2"/>
  <c r="D493" i="2"/>
  <c r="C493" i="2"/>
  <c r="B493" i="2"/>
  <c r="E492" i="2"/>
  <c r="D492" i="2"/>
  <c r="C492" i="2"/>
  <c r="B492" i="2"/>
  <c r="E491" i="2"/>
  <c r="D491" i="2"/>
  <c r="C491" i="2"/>
  <c r="B491" i="2"/>
  <c r="E490" i="2"/>
  <c r="D490" i="2"/>
  <c r="C490" i="2"/>
  <c r="B490" i="2"/>
  <c r="E489" i="2"/>
  <c r="D489" i="2"/>
  <c r="C489" i="2"/>
  <c r="B489" i="2"/>
  <c r="E488" i="2"/>
  <c r="D488" i="2"/>
  <c r="C488" i="2"/>
  <c r="B488" i="2"/>
  <c r="E487" i="2"/>
  <c r="D487" i="2"/>
  <c r="C487" i="2"/>
  <c r="E486" i="2"/>
  <c r="D486" i="2"/>
  <c r="C486" i="2"/>
  <c r="B486" i="2"/>
  <c r="E485" i="2"/>
  <c r="D485" i="2"/>
  <c r="C485" i="2"/>
  <c r="B485" i="2"/>
  <c r="E484" i="2"/>
  <c r="D484" i="2"/>
  <c r="C484" i="2"/>
  <c r="B484" i="2"/>
  <c r="E483" i="2"/>
  <c r="D483" i="2"/>
  <c r="C483" i="2"/>
  <c r="B483" i="2"/>
  <c r="E482" i="2"/>
  <c r="D482" i="2"/>
  <c r="C482" i="2"/>
  <c r="B482" i="2"/>
  <c r="E481" i="2"/>
  <c r="D481" i="2"/>
  <c r="C481" i="2"/>
  <c r="B481" i="2"/>
  <c r="E480" i="2"/>
  <c r="D480" i="2"/>
  <c r="C480" i="2"/>
  <c r="B480" i="2"/>
  <c r="E479" i="2"/>
  <c r="D479" i="2"/>
  <c r="C479" i="2"/>
  <c r="B479" i="2"/>
  <c r="E478" i="2"/>
  <c r="D478" i="2"/>
  <c r="C478" i="2"/>
  <c r="B478" i="2"/>
  <c r="E477" i="2"/>
  <c r="D477" i="2"/>
  <c r="C477" i="2"/>
  <c r="B477" i="2"/>
  <c r="E476" i="2"/>
  <c r="D476" i="2"/>
  <c r="C476" i="2"/>
  <c r="B476" i="2"/>
  <c r="E475" i="2"/>
  <c r="D475" i="2"/>
  <c r="C475" i="2"/>
  <c r="B475" i="2"/>
  <c r="E474" i="2"/>
  <c r="D474" i="2"/>
  <c r="C474" i="2"/>
  <c r="B474" i="2"/>
  <c r="E473" i="2"/>
  <c r="D473" i="2"/>
  <c r="C473" i="2"/>
  <c r="B473" i="2"/>
  <c r="E472" i="2"/>
  <c r="D472" i="2"/>
  <c r="C472" i="2"/>
  <c r="B472" i="2"/>
  <c r="E471" i="2"/>
  <c r="D471" i="2"/>
  <c r="C471" i="2"/>
  <c r="B471" i="2"/>
  <c r="E470" i="2"/>
  <c r="D470" i="2"/>
  <c r="C470" i="2"/>
  <c r="B470" i="2"/>
  <c r="E469" i="2"/>
  <c r="D469" i="2"/>
  <c r="C469" i="2"/>
  <c r="B469" i="2"/>
  <c r="E468" i="2"/>
  <c r="D468" i="2"/>
  <c r="C468" i="2"/>
  <c r="B468" i="2"/>
  <c r="E467" i="2"/>
  <c r="D467" i="2"/>
  <c r="C467" i="2"/>
  <c r="B467" i="2"/>
  <c r="E466" i="2"/>
  <c r="D466" i="2"/>
  <c r="C466" i="2"/>
  <c r="B466" i="2"/>
  <c r="E465" i="2"/>
  <c r="D465" i="2"/>
  <c r="C465" i="2"/>
  <c r="B465" i="2"/>
  <c r="E464" i="2"/>
  <c r="D464" i="2"/>
  <c r="C464" i="2"/>
  <c r="B464" i="2"/>
  <c r="E463" i="2"/>
  <c r="D463" i="2"/>
  <c r="C463" i="2"/>
  <c r="B463" i="2"/>
  <c r="E462" i="2"/>
  <c r="D462" i="2"/>
  <c r="C462" i="2"/>
  <c r="B462" i="2"/>
  <c r="E461" i="2"/>
  <c r="D461" i="2"/>
  <c r="C461" i="2"/>
  <c r="B461" i="2"/>
  <c r="E460" i="2"/>
  <c r="D460" i="2"/>
  <c r="C460" i="2"/>
  <c r="B460" i="2"/>
  <c r="E459" i="2"/>
  <c r="D459" i="2"/>
  <c r="C459" i="2"/>
  <c r="B459" i="2"/>
  <c r="E458" i="2"/>
  <c r="D458" i="2"/>
  <c r="C458" i="2"/>
  <c r="B458" i="2"/>
  <c r="E457" i="2"/>
  <c r="D457" i="2"/>
  <c r="C457" i="2"/>
  <c r="B457" i="2"/>
  <c r="E456" i="2"/>
  <c r="D456" i="2"/>
  <c r="C456" i="2"/>
  <c r="B456" i="2"/>
  <c r="E455" i="2"/>
  <c r="D455" i="2"/>
  <c r="C455" i="2"/>
  <c r="B455" i="2"/>
  <c r="E454" i="2"/>
  <c r="D454" i="2"/>
  <c r="C454" i="2"/>
  <c r="B454" i="2"/>
  <c r="E453" i="2"/>
  <c r="D453" i="2"/>
  <c r="C453" i="2"/>
  <c r="B453" i="2"/>
  <c r="E452" i="2"/>
  <c r="D452" i="2"/>
  <c r="C452" i="2"/>
  <c r="B452" i="2"/>
  <c r="E451" i="2"/>
  <c r="D451" i="2"/>
  <c r="C451" i="2"/>
  <c r="B451" i="2"/>
  <c r="E450" i="2"/>
  <c r="D450" i="2"/>
  <c r="C450" i="2"/>
  <c r="B450" i="2"/>
  <c r="E449" i="2"/>
  <c r="D449" i="2"/>
  <c r="C449" i="2"/>
  <c r="B449" i="2"/>
  <c r="E448" i="2"/>
  <c r="D448" i="2"/>
  <c r="C448" i="2"/>
  <c r="B448" i="2"/>
  <c r="E447" i="2"/>
  <c r="D447" i="2"/>
  <c r="C447" i="2"/>
  <c r="B447" i="2"/>
  <c r="E446" i="2"/>
  <c r="D446" i="2"/>
  <c r="C446" i="2"/>
  <c r="B446" i="2"/>
  <c r="E445" i="2"/>
  <c r="D445" i="2"/>
  <c r="C445" i="2"/>
  <c r="B445" i="2"/>
  <c r="E444" i="2"/>
  <c r="D444" i="2"/>
  <c r="C444" i="2"/>
  <c r="B444" i="2"/>
  <c r="E443" i="2"/>
  <c r="D443" i="2"/>
  <c r="C443" i="2"/>
  <c r="B443" i="2"/>
  <c r="E442" i="2"/>
  <c r="D442" i="2"/>
  <c r="C442" i="2"/>
  <c r="B442" i="2"/>
  <c r="E441" i="2"/>
  <c r="D441" i="2"/>
  <c r="C441" i="2"/>
  <c r="B441" i="2"/>
  <c r="E440" i="2"/>
  <c r="D440" i="2"/>
  <c r="C440" i="2"/>
  <c r="B440" i="2"/>
  <c r="E439" i="2"/>
  <c r="D439" i="2"/>
  <c r="C439" i="2"/>
  <c r="B439" i="2"/>
  <c r="E438" i="2"/>
  <c r="D438" i="2"/>
  <c r="C438" i="2"/>
  <c r="B438" i="2"/>
  <c r="E437" i="2"/>
  <c r="D437" i="2"/>
  <c r="C437" i="2"/>
  <c r="B437" i="2"/>
  <c r="E436" i="2"/>
  <c r="D436" i="2"/>
  <c r="C436" i="2"/>
  <c r="B436" i="2"/>
  <c r="E435" i="2"/>
  <c r="D435" i="2"/>
  <c r="C435" i="2"/>
  <c r="B435" i="2"/>
  <c r="E434" i="2"/>
  <c r="D434" i="2"/>
  <c r="C434" i="2"/>
  <c r="B434" i="2"/>
  <c r="E433" i="2"/>
  <c r="D433" i="2"/>
  <c r="C433" i="2"/>
  <c r="B433" i="2"/>
  <c r="E432" i="2"/>
  <c r="D432" i="2"/>
  <c r="C432" i="2"/>
  <c r="B432" i="2"/>
  <c r="E431" i="2"/>
  <c r="D431" i="2"/>
  <c r="C431" i="2"/>
  <c r="B431" i="2"/>
  <c r="E430" i="2"/>
  <c r="D430" i="2"/>
  <c r="C430" i="2"/>
  <c r="B430" i="2"/>
  <c r="E429" i="2"/>
  <c r="D429" i="2"/>
  <c r="C429" i="2"/>
  <c r="B429" i="2"/>
  <c r="E428" i="2"/>
  <c r="D428" i="2"/>
  <c r="C428" i="2"/>
  <c r="B428" i="2"/>
  <c r="E427" i="2"/>
  <c r="D427" i="2"/>
  <c r="C427" i="2"/>
  <c r="B427" i="2"/>
  <c r="E426" i="2"/>
  <c r="D426" i="2"/>
  <c r="C426" i="2"/>
  <c r="B426" i="2"/>
  <c r="E425" i="2"/>
  <c r="D425" i="2"/>
  <c r="C425" i="2"/>
  <c r="B425" i="2"/>
  <c r="E424" i="2"/>
  <c r="D424" i="2"/>
  <c r="C424" i="2"/>
  <c r="B424" i="2"/>
  <c r="E423" i="2"/>
  <c r="D423" i="2"/>
  <c r="C423" i="2"/>
  <c r="B423" i="2"/>
  <c r="E422" i="2"/>
  <c r="D422" i="2"/>
  <c r="C422" i="2"/>
  <c r="B422" i="2"/>
  <c r="E421" i="2"/>
  <c r="D421" i="2"/>
  <c r="C421" i="2"/>
  <c r="B421" i="2"/>
  <c r="E420" i="2"/>
  <c r="D420" i="2"/>
  <c r="C420" i="2"/>
  <c r="B420" i="2"/>
  <c r="E419" i="2"/>
  <c r="D419" i="2"/>
  <c r="C419" i="2"/>
  <c r="B419" i="2"/>
  <c r="E418" i="2"/>
  <c r="D418" i="2"/>
  <c r="C418" i="2"/>
  <c r="B418" i="2"/>
  <c r="E417" i="2"/>
  <c r="D417" i="2"/>
  <c r="C417" i="2"/>
  <c r="B417" i="2"/>
  <c r="E416" i="2"/>
  <c r="D416" i="2"/>
  <c r="C416" i="2"/>
  <c r="B416" i="2"/>
  <c r="E415" i="2"/>
  <c r="D415" i="2"/>
  <c r="C415" i="2"/>
  <c r="B415" i="2"/>
  <c r="E414" i="2"/>
  <c r="D414" i="2"/>
  <c r="C414" i="2"/>
  <c r="B414" i="2"/>
  <c r="E413" i="2"/>
  <c r="D413" i="2"/>
  <c r="C413" i="2"/>
  <c r="B413" i="2"/>
  <c r="E412" i="2"/>
  <c r="D412" i="2"/>
  <c r="C412" i="2"/>
  <c r="B412" i="2"/>
  <c r="E411" i="2"/>
  <c r="D411" i="2"/>
  <c r="C411" i="2"/>
  <c r="B411" i="2"/>
  <c r="E410" i="2"/>
  <c r="D410" i="2"/>
  <c r="C410" i="2"/>
  <c r="B410" i="2"/>
  <c r="E409" i="2"/>
  <c r="D409" i="2"/>
  <c r="C409" i="2"/>
  <c r="B409" i="2"/>
  <c r="E408" i="2"/>
  <c r="D408" i="2"/>
  <c r="C408" i="2"/>
  <c r="B408" i="2"/>
  <c r="E407" i="2"/>
  <c r="D407" i="2"/>
  <c r="C407" i="2"/>
  <c r="B407" i="2"/>
  <c r="E406" i="2"/>
  <c r="D406" i="2"/>
  <c r="C406" i="2"/>
  <c r="B406" i="2"/>
  <c r="E405" i="2"/>
  <c r="D405" i="2"/>
  <c r="C405" i="2"/>
  <c r="B405" i="2"/>
  <c r="E404" i="2"/>
  <c r="D404" i="2"/>
  <c r="C404" i="2"/>
  <c r="B404" i="2"/>
  <c r="E403" i="2"/>
  <c r="D403" i="2"/>
  <c r="C403" i="2"/>
  <c r="B403" i="2"/>
  <c r="E402" i="2"/>
  <c r="D402" i="2"/>
  <c r="C402" i="2"/>
  <c r="B402" i="2"/>
  <c r="E401" i="2"/>
  <c r="D401" i="2"/>
  <c r="C401" i="2"/>
  <c r="B401" i="2"/>
  <c r="E400" i="2"/>
  <c r="D400" i="2"/>
  <c r="C400" i="2"/>
  <c r="B400" i="2"/>
  <c r="E399" i="2"/>
  <c r="D399" i="2"/>
  <c r="C399" i="2"/>
  <c r="B399" i="2"/>
  <c r="E398" i="2"/>
  <c r="D398" i="2"/>
  <c r="C398" i="2"/>
  <c r="B398" i="2"/>
  <c r="E397" i="2"/>
  <c r="D397" i="2"/>
  <c r="C397" i="2"/>
  <c r="B397" i="2"/>
  <c r="E396" i="2"/>
  <c r="D396" i="2"/>
  <c r="C396" i="2"/>
  <c r="B396" i="2"/>
  <c r="E395" i="2"/>
  <c r="D395" i="2"/>
  <c r="C395" i="2"/>
  <c r="B395" i="2"/>
  <c r="E394" i="2"/>
  <c r="D394" i="2"/>
  <c r="C394" i="2"/>
  <c r="B394" i="2"/>
  <c r="E393" i="2"/>
  <c r="D393" i="2"/>
  <c r="C393" i="2"/>
  <c r="B393" i="2"/>
  <c r="E392" i="2"/>
  <c r="D392" i="2"/>
  <c r="C392" i="2"/>
  <c r="B392" i="2"/>
  <c r="E391" i="2"/>
  <c r="D391" i="2"/>
  <c r="C391" i="2"/>
  <c r="B391" i="2"/>
  <c r="E390" i="2"/>
  <c r="D390" i="2"/>
  <c r="C390" i="2"/>
  <c r="B390" i="2"/>
  <c r="E389" i="2"/>
  <c r="D389" i="2"/>
  <c r="C389" i="2"/>
  <c r="B389" i="2"/>
  <c r="E388" i="2"/>
  <c r="D388" i="2"/>
  <c r="C388" i="2"/>
  <c r="B388" i="2"/>
  <c r="E387" i="2"/>
  <c r="D387" i="2"/>
  <c r="C387" i="2"/>
  <c r="B387" i="2"/>
  <c r="E386" i="2"/>
  <c r="D386" i="2"/>
  <c r="C386" i="2"/>
  <c r="B386" i="2"/>
  <c r="E385" i="2"/>
  <c r="D385" i="2"/>
  <c r="C385" i="2"/>
  <c r="B385" i="2"/>
  <c r="E384" i="2"/>
  <c r="D384" i="2"/>
  <c r="C384" i="2"/>
  <c r="B384" i="2"/>
  <c r="E383" i="2"/>
  <c r="D383" i="2"/>
  <c r="C383" i="2"/>
  <c r="B383" i="2"/>
  <c r="E382" i="2"/>
  <c r="D382" i="2"/>
  <c r="C382" i="2"/>
  <c r="B382" i="2"/>
  <c r="E381" i="2"/>
  <c r="D381" i="2"/>
  <c r="C381" i="2"/>
  <c r="B381" i="2"/>
  <c r="E380" i="2"/>
  <c r="D380" i="2"/>
  <c r="C380" i="2"/>
  <c r="B380" i="2"/>
  <c r="E379" i="2"/>
  <c r="D379" i="2"/>
  <c r="C379" i="2"/>
  <c r="B379" i="2"/>
  <c r="E378" i="2"/>
  <c r="D378" i="2"/>
  <c r="C378" i="2"/>
  <c r="B378" i="2"/>
  <c r="E377" i="2"/>
  <c r="D377" i="2"/>
  <c r="C377" i="2"/>
  <c r="B377" i="2"/>
  <c r="E376" i="2"/>
  <c r="D376" i="2"/>
  <c r="C376" i="2"/>
  <c r="B376" i="2"/>
  <c r="E375" i="2"/>
  <c r="D375" i="2"/>
  <c r="C375" i="2"/>
  <c r="B375" i="2"/>
  <c r="E374" i="2"/>
  <c r="D374" i="2"/>
  <c r="C374" i="2"/>
  <c r="B374" i="2"/>
  <c r="E373" i="2"/>
  <c r="D373" i="2"/>
  <c r="C373" i="2"/>
  <c r="B373" i="2"/>
  <c r="E372" i="2"/>
  <c r="D372" i="2"/>
  <c r="C372" i="2"/>
  <c r="B372" i="2"/>
  <c r="E371" i="2"/>
  <c r="D371" i="2"/>
  <c r="C371" i="2"/>
  <c r="B371" i="2"/>
  <c r="E370" i="2"/>
  <c r="D370" i="2"/>
  <c r="C370" i="2"/>
  <c r="B370" i="2"/>
  <c r="E369" i="2"/>
  <c r="D369" i="2"/>
  <c r="C369" i="2"/>
  <c r="B369" i="2"/>
  <c r="E368" i="2"/>
  <c r="D368" i="2"/>
  <c r="C368" i="2"/>
  <c r="B368" i="2"/>
  <c r="E367" i="2"/>
  <c r="D367" i="2"/>
  <c r="C367" i="2"/>
  <c r="B367" i="2"/>
  <c r="E366" i="2"/>
  <c r="D366" i="2"/>
  <c r="C366" i="2"/>
  <c r="B366" i="2"/>
  <c r="E365" i="2"/>
  <c r="D365" i="2"/>
  <c r="C365" i="2"/>
  <c r="B365" i="2"/>
  <c r="E364" i="2"/>
  <c r="D364" i="2"/>
  <c r="C364" i="2"/>
  <c r="B364" i="2"/>
  <c r="E363" i="2"/>
  <c r="D363" i="2"/>
  <c r="C363" i="2"/>
  <c r="B363" i="2"/>
  <c r="E362" i="2"/>
  <c r="D362" i="2"/>
  <c r="C362" i="2"/>
  <c r="B362" i="2"/>
  <c r="E361" i="2"/>
  <c r="D361" i="2"/>
  <c r="C361" i="2"/>
  <c r="B361" i="2"/>
  <c r="E360" i="2"/>
  <c r="D360" i="2"/>
  <c r="C360" i="2"/>
  <c r="B360" i="2"/>
  <c r="E359" i="2"/>
  <c r="D359" i="2"/>
  <c r="C359" i="2"/>
  <c r="B359" i="2"/>
  <c r="E358" i="2"/>
  <c r="D358" i="2"/>
  <c r="C358" i="2"/>
  <c r="B358" i="2"/>
  <c r="E357" i="2"/>
  <c r="D357" i="2"/>
  <c r="C357" i="2"/>
  <c r="B357" i="2"/>
  <c r="E356" i="2"/>
  <c r="D356" i="2"/>
  <c r="C356" i="2"/>
  <c r="B356" i="2"/>
  <c r="E355" i="2"/>
  <c r="D355" i="2"/>
  <c r="C355" i="2"/>
  <c r="B355" i="2"/>
  <c r="E354" i="2"/>
  <c r="D354" i="2"/>
  <c r="C354" i="2"/>
  <c r="B354" i="2"/>
  <c r="E353" i="2"/>
  <c r="D353" i="2"/>
  <c r="C353" i="2"/>
  <c r="B353" i="2"/>
  <c r="E352" i="2"/>
  <c r="D352" i="2"/>
  <c r="C352" i="2"/>
  <c r="B352" i="2"/>
  <c r="E351" i="2"/>
  <c r="D351" i="2"/>
  <c r="C351" i="2"/>
  <c r="B351" i="2"/>
  <c r="E350" i="2"/>
  <c r="D350" i="2"/>
  <c r="C350" i="2"/>
  <c r="B350" i="2"/>
  <c r="E349" i="2"/>
  <c r="D349" i="2"/>
  <c r="C349" i="2"/>
  <c r="B349" i="2"/>
  <c r="E348" i="2"/>
  <c r="D348" i="2"/>
  <c r="C348" i="2"/>
  <c r="B348" i="2"/>
  <c r="E347" i="2"/>
  <c r="D347" i="2"/>
  <c r="C347" i="2"/>
  <c r="B347" i="2"/>
  <c r="E346" i="2"/>
  <c r="D346" i="2"/>
  <c r="C346" i="2"/>
  <c r="B346" i="2"/>
  <c r="E345" i="2"/>
  <c r="D345" i="2"/>
  <c r="C345" i="2"/>
  <c r="B345" i="2"/>
  <c r="E344" i="2"/>
  <c r="D344" i="2"/>
  <c r="C344" i="2"/>
  <c r="B344" i="2"/>
  <c r="E343" i="2"/>
  <c r="D343" i="2"/>
  <c r="C343" i="2"/>
  <c r="B343" i="2"/>
  <c r="E342" i="2"/>
  <c r="D342" i="2"/>
  <c r="C342" i="2"/>
  <c r="B342" i="2"/>
  <c r="E341" i="2"/>
  <c r="D341" i="2"/>
  <c r="C341" i="2"/>
  <c r="B341" i="2"/>
  <c r="E340" i="2"/>
  <c r="D340" i="2"/>
  <c r="C340" i="2"/>
  <c r="B340" i="2"/>
  <c r="E339" i="2"/>
  <c r="D339" i="2"/>
  <c r="C339" i="2"/>
  <c r="B339" i="2"/>
  <c r="E338" i="2"/>
  <c r="D338" i="2"/>
  <c r="C338" i="2"/>
  <c r="B338" i="2"/>
  <c r="E337" i="2"/>
  <c r="D337" i="2"/>
  <c r="C337" i="2"/>
  <c r="B337" i="2"/>
  <c r="E336" i="2"/>
  <c r="D336" i="2"/>
  <c r="C336" i="2"/>
  <c r="B336" i="2"/>
  <c r="E335" i="2"/>
  <c r="D335" i="2"/>
  <c r="C335" i="2"/>
  <c r="B335" i="2"/>
  <c r="E334" i="2"/>
  <c r="D334" i="2"/>
  <c r="C334" i="2"/>
  <c r="B334" i="2"/>
  <c r="E333" i="2"/>
  <c r="D333" i="2"/>
  <c r="C333" i="2"/>
  <c r="B333" i="2"/>
  <c r="E332" i="2"/>
  <c r="D332" i="2"/>
  <c r="C332" i="2"/>
  <c r="B332" i="2"/>
  <c r="E331" i="2"/>
  <c r="D331" i="2"/>
  <c r="C331" i="2"/>
  <c r="B331" i="2"/>
  <c r="E330" i="2"/>
  <c r="D330" i="2"/>
  <c r="C330" i="2"/>
  <c r="B330" i="2"/>
  <c r="E329" i="2"/>
  <c r="D329" i="2"/>
  <c r="C329" i="2"/>
  <c r="B329" i="2"/>
  <c r="E328" i="2"/>
  <c r="D328" i="2"/>
  <c r="C328" i="2"/>
  <c r="B328" i="2"/>
  <c r="E327" i="2"/>
  <c r="D327" i="2"/>
  <c r="C327" i="2"/>
  <c r="B327" i="2"/>
  <c r="E326" i="2"/>
  <c r="D326" i="2"/>
  <c r="C326" i="2"/>
  <c r="B326" i="2"/>
  <c r="E325" i="2"/>
  <c r="D325" i="2"/>
  <c r="C325" i="2"/>
  <c r="B325" i="2"/>
  <c r="E324" i="2"/>
  <c r="D324" i="2"/>
  <c r="C324" i="2"/>
  <c r="E323" i="2"/>
  <c r="D323" i="2"/>
  <c r="C323" i="2"/>
  <c r="B323" i="2"/>
  <c r="E322" i="2"/>
  <c r="D322" i="2"/>
  <c r="C322" i="2"/>
  <c r="B322" i="2"/>
  <c r="E321" i="2"/>
  <c r="D321" i="2"/>
  <c r="C321" i="2"/>
  <c r="B321" i="2"/>
  <c r="E320" i="2"/>
  <c r="D320" i="2"/>
  <c r="C320" i="2"/>
  <c r="B320" i="2"/>
  <c r="E319" i="2"/>
  <c r="D319" i="2"/>
  <c r="C319" i="2"/>
  <c r="B319" i="2"/>
  <c r="E318" i="2"/>
  <c r="D318" i="2"/>
  <c r="C318" i="2"/>
  <c r="B318" i="2"/>
  <c r="E317" i="2"/>
  <c r="D317" i="2"/>
  <c r="C317" i="2"/>
  <c r="B317" i="2"/>
  <c r="E316" i="2"/>
  <c r="D316" i="2"/>
  <c r="C316" i="2"/>
  <c r="B316" i="2"/>
  <c r="E315" i="2"/>
  <c r="D315" i="2"/>
  <c r="C315" i="2"/>
  <c r="B315" i="2"/>
  <c r="E314" i="2"/>
  <c r="D314" i="2"/>
  <c r="C314" i="2"/>
  <c r="B314" i="2"/>
  <c r="E313" i="2"/>
  <c r="D313" i="2"/>
  <c r="C313" i="2"/>
  <c r="B313" i="2"/>
  <c r="E312" i="2"/>
  <c r="D312" i="2"/>
  <c r="C312" i="2"/>
  <c r="B312" i="2"/>
  <c r="E311" i="2"/>
  <c r="D311" i="2"/>
  <c r="C311" i="2"/>
  <c r="B311" i="2"/>
  <c r="E310" i="2"/>
  <c r="D310" i="2"/>
  <c r="C310" i="2"/>
  <c r="E309" i="2"/>
  <c r="D309" i="2"/>
  <c r="C309" i="2"/>
  <c r="B309" i="2"/>
  <c r="E308" i="2"/>
  <c r="D308" i="2"/>
  <c r="C308" i="2"/>
  <c r="B308" i="2"/>
  <c r="E307" i="2"/>
  <c r="D307" i="2"/>
  <c r="C307" i="2"/>
  <c r="B307" i="2"/>
  <c r="E306" i="2"/>
  <c r="D306" i="2"/>
  <c r="C306" i="2"/>
  <c r="B306" i="2"/>
  <c r="E305" i="2"/>
  <c r="D305" i="2"/>
  <c r="C305" i="2"/>
  <c r="B305" i="2"/>
  <c r="E304" i="2"/>
  <c r="D304" i="2"/>
  <c r="C304" i="2"/>
  <c r="B304" i="2"/>
  <c r="E303" i="2"/>
  <c r="D303" i="2"/>
  <c r="C303" i="2"/>
  <c r="B303" i="2"/>
  <c r="E302" i="2"/>
  <c r="D302" i="2"/>
  <c r="C302" i="2"/>
  <c r="B302" i="2"/>
  <c r="E301" i="2"/>
  <c r="D301" i="2"/>
  <c r="C301" i="2"/>
  <c r="B301" i="2"/>
  <c r="E300" i="2"/>
  <c r="D300" i="2"/>
  <c r="C300" i="2"/>
  <c r="B300" i="2"/>
  <c r="E299" i="2"/>
  <c r="D299" i="2"/>
  <c r="C299" i="2"/>
  <c r="B299" i="2"/>
  <c r="E298" i="2"/>
  <c r="D298" i="2"/>
  <c r="C298" i="2"/>
  <c r="B298" i="2"/>
  <c r="E297" i="2"/>
  <c r="D297" i="2"/>
  <c r="C297" i="2"/>
  <c r="E296" i="2"/>
  <c r="D296" i="2"/>
  <c r="C296" i="2"/>
  <c r="B296" i="2"/>
  <c r="E295" i="2"/>
  <c r="D295" i="2"/>
  <c r="C295" i="2"/>
  <c r="B295" i="2"/>
  <c r="E294" i="2"/>
  <c r="D294" i="2"/>
  <c r="C294" i="2"/>
  <c r="B294" i="2"/>
  <c r="E293" i="2"/>
  <c r="D293" i="2"/>
  <c r="C293" i="2"/>
  <c r="B293" i="2"/>
  <c r="E292" i="2"/>
  <c r="D292" i="2"/>
  <c r="C292" i="2"/>
  <c r="B292" i="2"/>
  <c r="E291" i="2"/>
  <c r="D291" i="2"/>
  <c r="C291" i="2"/>
  <c r="B291" i="2"/>
  <c r="E290" i="2"/>
  <c r="D290" i="2"/>
  <c r="C290" i="2"/>
  <c r="B290" i="2"/>
  <c r="E289" i="2"/>
  <c r="D289" i="2"/>
  <c r="C289" i="2"/>
  <c r="B289" i="2"/>
  <c r="E288" i="2"/>
  <c r="D288" i="2"/>
  <c r="C288" i="2"/>
  <c r="B288" i="2"/>
  <c r="E287" i="2"/>
  <c r="D287" i="2"/>
  <c r="C287" i="2"/>
  <c r="B287" i="2"/>
  <c r="E286" i="2"/>
  <c r="D286" i="2"/>
  <c r="C286" i="2"/>
  <c r="B286" i="2"/>
  <c r="E285" i="2"/>
  <c r="D285" i="2"/>
  <c r="C285" i="2"/>
  <c r="B285" i="2"/>
  <c r="E284" i="2"/>
  <c r="D284" i="2"/>
  <c r="C284" i="2"/>
  <c r="B284" i="2"/>
  <c r="E283" i="2"/>
  <c r="D283" i="2"/>
  <c r="C283" i="2"/>
  <c r="B283" i="2"/>
  <c r="E282" i="2"/>
  <c r="D282" i="2"/>
  <c r="C282" i="2"/>
  <c r="B282" i="2"/>
  <c r="E281" i="2"/>
  <c r="D281" i="2"/>
  <c r="C281" i="2"/>
  <c r="B281" i="2"/>
  <c r="E280" i="2"/>
  <c r="D280" i="2"/>
  <c r="C280" i="2"/>
  <c r="B280" i="2"/>
  <c r="E279" i="2"/>
  <c r="D279" i="2"/>
  <c r="C279" i="2"/>
  <c r="B279" i="2"/>
  <c r="E278" i="2"/>
  <c r="D278" i="2"/>
  <c r="C278" i="2"/>
  <c r="B278" i="2"/>
  <c r="E277" i="2"/>
  <c r="D277" i="2"/>
  <c r="C277" i="2"/>
  <c r="B277" i="2"/>
  <c r="E276" i="2"/>
  <c r="D276" i="2"/>
  <c r="C276" i="2"/>
  <c r="B276" i="2"/>
  <c r="E275" i="2"/>
  <c r="D275" i="2"/>
  <c r="C275" i="2"/>
  <c r="B275" i="2"/>
  <c r="E274" i="2"/>
  <c r="D274" i="2"/>
  <c r="C274" i="2"/>
  <c r="B274" i="2"/>
  <c r="E273" i="2"/>
  <c r="D273" i="2"/>
  <c r="C273" i="2"/>
  <c r="B273" i="2"/>
  <c r="E272" i="2"/>
  <c r="D272" i="2"/>
  <c r="C272" i="2"/>
  <c r="B272" i="2"/>
  <c r="E271" i="2"/>
  <c r="D271" i="2"/>
  <c r="C271" i="2"/>
  <c r="B271" i="2"/>
  <c r="E270" i="2"/>
  <c r="D270" i="2"/>
  <c r="C270" i="2"/>
  <c r="E269" i="2"/>
  <c r="D269" i="2"/>
  <c r="C269" i="2"/>
  <c r="B269" i="2"/>
  <c r="E268" i="2"/>
  <c r="D268" i="2"/>
  <c r="C268" i="2"/>
  <c r="B268" i="2"/>
  <c r="E267" i="2"/>
  <c r="D267" i="2"/>
  <c r="C267" i="2"/>
  <c r="B267" i="2"/>
  <c r="E266" i="2"/>
  <c r="D266" i="2"/>
  <c r="C266" i="2"/>
  <c r="B266" i="2"/>
  <c r="E265" i="2"/>
  <c r="D265" i="2"/>
  <c r="C265" i="2"/>
  <c r="B265" i="2"/>
  <c r="E264" i="2"/>
  <c r="D264" i="2"/>
  <c r="C264" i="2"/>
  <c r="B264" i="2"/>
  <c r="E263" i="2"/>
  <c r="D263" i="2"/>
  <c r="C263" i="2"/>
  <c r="B263" i="2"/>
  <c r="E262" i="2"/>
  <c r="D262" i="2"/>
  <c r="C262" i="2"/>
  <c r="B262" i="2"/>
  <c r="E261" i="2"/>
  <c r="D261" i="2"/>
  <c r="C261" i="2"/>
  <c r="B261" i="2"/>
  <c r="E260" i="2"/>
  <c r="D260" i="2"/>
  <c r="C260" i="2"/>
  <c r="B260" i="2"/>
  <c r="E259" i="2"/>
  <c r="D259" i="2"/>
  <c r="C259" i="2"/>
  <c r="B259" i="2"/>
  <c r="E258" i="2"/>
  <c r="D258" i="2"/>
  <c r="C258" i="2"/>
  <c r="B258" i="2"/>
  <c r="E257" i="2"/>
  <c r="D257" i="2"/>
  <c r="C257" i="2"/>
  <c r="B257" i="2"/>
  <c r="E256" i="2"/>
  <c r="D256" i="2"/>
  <c r="C256" i="2"/>
  <c r="B256" i="2"/>
  <c r="E255" i="2"/>
  <c r="D255" i="2"/>
  <c r="C255" i="2"/>
  <c r="E254" i="2"/>
  <c r="D254" i="2"/>
  <c r="C254" i="2"/>
  <c r="B254" i="2"/>
  <c r="E253" i="2"/>
  <c r="D253" i="2"/>
  <c r="C253" i="2"/>
  <c r="B253" i="2"/>
  <c r="E252" i="2"/>
  <c r="D252" i="2"/>
  <c r="C252" i="2"/>
  <c r="B252" i="2"/>
  <c r="E251" i="2"/>
  <c r="D251" i="2"/>
  <c r="C251" i="2"/>
  <c r="B251" i="2"/>
  <c r="E250" i="2"/>
  <c r="D250" i="2"/>
  <c r="C250" i="2"/>
  <c r="B250" i="2"/>
  <c r="E249" i="2"/>
  <c r="D249" i="2"/>
  <c r="C249" i="2"/>
  <c r="B249" i="2"/>
  <c r="E248" i="2"/>
  <c r="D248" i="2"/>
  <c r="C248" i="2"/>
  <c r="B248" i="2"/>
  <c r="E247" i="2"/>
  <c r="D247" i="2"/>
  <c r="C247" i="2"/>
  <c r="B247" i="2"/>
  <c r="E246" i="2"/>
  <c r="D246" i="2"/>
  <c r="C246" i="2"/>
  <c r="B246" i="2"/>
  <c r="E245" i="2"/>
  <c r="D245" i="2"/>
  <c r="C245" i="2"/>
  <c r="B245" i="2"/>
  <c r="E244" i="2"/>
  <c r="D244" i="2"/>
  <c r="C244" i="2"/>
  <c r="B244" i="2"/>
  <c r="E243" i="2"/>
  <c r="D243" i="2"/>
  <c r="C243" i="2"/>
  <c r="B243" i="2"/>
  <c r="E242" i="2"/>
  <c r="D242" i="2"/>
  <c r="C242" i="2"/>
  <c r="E241" i="2"/>
  <c r="D241" i="2"/>
  <c r="C241" i="2"/>
  <c r="B241" i="2"/>
  <c r="E240" i="2"/>
  <c r="D240" i="2"/>
  <c r="C240" i="2"/>
  <c r="B240" i="2"/>
  <c r="E239" i="2"/>
  <c r="D239" i="2"/>
  <c r="C239" i="2"/>
  <c r="B239" i="2"/>
  <c r="E238" i="2"/>
  <c r="D238" i="2"/>
  <c r="C238" i="2"/>
  <c r="B238" i="2"/>
  <c r="E237" i="2"/>
  <c r="D237" i="2"/>
  <c r="C237" i="2"/>
  <c r="B237" i="2"/>
  <c r="E236" i="2"/>
  <c r="D236" i="2"/>
  <c r="C236" i="2"/>
  <c r="B236" i="2"/>
  <c r="E235" i="2"/>
  <c r="D235" i="2"/>
  <c r="C235" i="2"/>
  <c r="B235" i="2"/>
  <c r="E234" i="2"/>
  <c r="D234" i="2"/>
  <c r="C234" i="2"/>
  <c r="B234" i="2"/>
  <c r="E233" i="2"/>
  <c r="D233" i="2"/>
  <c r="C233" i="2"/>
  <c r="B233" i="2"/>
  <c r="E232" i="2"/>
  <c r="D232" i="2"/>
  <c r="C232" i="2"/>
  <c r="B232" i="2"/>
  <c r="E231" i="2"/>
  <c r="D231" i="2"/>
  <c r="C231" i="2"/>
  <c r="B231" i="2"/>
  <c r="E230" i="2"/>
  <c r="D230" i="2"/>
  <c r="C230" i="2"/>
  <c r="B230" i="2"/>
  <c r="E229" i="2"/>
  <c r="D229" i="2"/>
  <c r="C229" i="2"/>
  <c r="B229" i="2"/>
  <c r="E228" i="2"/>
  <c r="D228" i="2"/>
  <c r="C228" i="2"/>
  <c r="B228" i="2"/>
  <c r="E227" i="2"/>
  <c r="D227" i="2"/>
  <c r="C227" i="2"/>
  <c r="B227" i="2"/>
  <c r="E226" i="2"/>
  <c r="D226" i="2"/>
  <c r="C226" i="2"/>
  <c r="B226" i="2"/>
  <c r="E225" i="2"/>
  <c r="D225" i="2"/>
  <c r="C225" i="2"/>
  <c r="B225" i="2"/>
  <c r="E224" i="2"/>
  <c r="D224" i="2"/>
  <c r="C224" i="2"/>
  <c r="B224" i="2"/>
  <c r="E223" i="2"/>
  <c r="D223" i="2"/>
  <c r="C223" i="2"/>
  <c r="B223" i="2"/>
  <c r="E222" i="2"/>
  <c r="D222" i="2"/>
  <c r="C222" i="2"/>
  <c r="B222" i="2"/>
  <c r="E221" i="2"/>
  <c r="D221" i="2"/>
  <c r="C221" i="2"/>
  <c r="B221" i="2"/>
  <c r="E220" i="2"/>
  <c r="D220" i="2"/>
  <c r="C220" i="2"/>
  <c r="B220" i="2"/>
  <c r="E219" i="2"/>
  <c r="D219" i="2"/>
  <c r="C219" i="2"/>
  <c r="B219" i="2"/>
  <c r="E218" i="2"/>
  <c r="D218" i="2"/>
  <c r="C218" i="2"/>
  <c r="B218" i="2"/>
  <c r="E217" i="2"/>
  <c r="D217" i="2"/>
  <c r="C217" i="2"/>
  <c r="B217" i="2"/>
  <c r="E216" i="2"/>
  <c r="D216" i="2"/>
  <c r="C216" i="2"/>
  <c r="B216" i="2"/>
  <c r="E215" i="2"/>
  <c r="D215" i="2"/>
  <c r="C215" i="2"/>
  <c r="B215" i="2"/>
  <c r="E214" i="2"/>
  <c r="D214" i="2"/>
  <c r="C214" i="2"/>
  <c r="B214" i="2"/>
  <c r="E213" i="2"/>
  <c r="D213" i="2"/>
  <c r="C213" i="2"/>
  <c r="B213" i="2"/>
  <c r="E212" i="2"/>
  <c r="D212" i="2"/>
  <c r="C212" i="2"/>
  <c r="B212" i="2"/>
  <c r="E211" i="2"/>
  <c r="D211" i="2"/>
  <c r="C211" i="2"/>
  <c r="B211" i="2"/>
  <c r="E210" i="2"/>
  <c r="D210" i="2"/>
  <c r="C210" i="2"/>
  <c r="B210" i="2"/>
  <c r="E209" i="2"/>
  <c r="D209" i="2"/>
  <c r="C209" i="2"/>
  <c r="B209" i="2"/>
  <c r="E208" i="2"/>
  <c r="D208" i="2"/>
  <c r="C208" i="2"/>
  <c r="B208" i="2"/>
  <c r="E207" i="2"/>
  <c r="D207" i="2"/>
  <c r="C207" i="2"/>
  <c r="B207" i="2"/>
  <c r="E206" i="2"/>
  <c r="D206" i="2"/>
  <c r="C206" i="2"/>
  <c r="B206" i="2"/>
  <c r="E205" i="2"/>
  <c r="D205" i="2"/>
  <c r="C205" i="2"/>
  <c r="B205" i="2"/>
  <c r="E204" i="2"/>
  <c r="D204" i="2"/>
  <c r="C204" i="2"/>
  <c r="B204" i="2"/>
  <c r="E203" i="2"/>
  <c r="D203" i="2"/>
  <c r="C203" i="2"/>
  <c r="B203" i="2"/>
  <c r="E202" i="2"/>
  <c r="D202" i="2"/>
  <c r="C202" i="2"/>
  <c r="B202" i="2"/>
  <c r="E201" i="2"/>
  <c r="D201" i="2"/>
  <c r="C201" i="2"/>
  <c r="B201" i="2"/>
  <c r="E200" i="2"/>
  <c r="D200" i="2"/>
  <c r="C200" i="2"/>
  <c r="B200" i="2"/>
  <c r="E199" i="2"/>
  <c r="D199" i="2"/>
  <c r="C199" i="2"/>
  <c r="B199" i="2"/>
  <c r="E198" i="2"/>
  <c r="D198" i="2"/>
  <c r="C198" i="2"/>
  <c r="B198" i="2"/>
  <c r="E197" i="2"/>
  <c r="D197" i="2"/>
  <c r="C197" i="2"/>
  <c r="B197" i="2"/>
  <c r="E196" i="2"/>
  <c r="D196" i="2"/>
  <c r="C196" i="2"/>
  <c r="B196" i="2"/>
  <c r="E195" i="2"/>
  <c r="D195" i="2"/>
  <c r="C195" i="2"/>
  <c r="B195" i="2"/>
  <c r="E194" i="2"/>
  <c r="D194" i="2"/>
  <c r="C194" i="2"/>
  <c r="B194" i="2"/>
  <c r="E193" i="2"/>
  <c r="D193" i="2"/>
  <c r="C193" i="2"/>
  <c r="B193" i="2"/>
  <c r="E192" i="2"/>
  <c r="D192" i="2"/>
  <c r="C192" i="2"/>
  <c r="B192" i="2"/>
  <c r="E191" i="2"/>
  <c r="D191" i="2"/>
  <c r="C191" i="2"/>
  <c r="B191" i="2"/>
  <c r="E190" i="2"/>
  <c r="D190" i="2"/>
  <c r="C190" i="2"/>
  <c r="B190" i="2"/>
  <c r="E189" i="2"/>
  <c r="D189" i="2"/>
  <c r="C189" i="2"/>
  <c r="B189" i="2"/>
  <c r="E188" i="2"/>
  <c r="D188" i="2"/>
  <c r="C188" i="2"/>
  <c r="B188" i="2"/>
  <c r="E187" i="2"/>
  <c r="D187" i="2"/>
  <c r="C187" i="2"/>
  <c r="B187" i="2"/>
  <c r="E186" i="2"/>
  <c r="D186" i="2"/>
  <c r="C186" i="2"/>
  <c r="B186" i="2"/>
  <c r="E185" i="2"/>
  <c r="D185" i="2"/>
  <c r="C185" i="2"/>
  <c r="E184" i="2"/>
  <c r="D184" i="2"/>
  <c r="C184" i="2"/>
  <c r="E183" i="2"/>
  <c r="D183" i="2"/>
  <c r="C183" i="2"/>
  <c r="B183" i="2"/>
  <c r="E182" i="2"/>
  <c r="D182" i="2"/>
  <c r="C182" i="2"/>
  <c r="B182" i="2"/>
  <c r="E181" i="2"/>
  <c r="D181" i="2"/>
  <c r="C181" i="2"/>
  <c r="B181" i="2"/>
  <c r="E180" i="2"/>
  <c r="D180" i="2"/>
  <c r="C180" i="2"/>
  <c r="B180" i="2"/>
  <c r="E179" i="2"/>
  <c r="D179" i="2"/>
  <c r="C179" i="2"/>
  <c r="B179" i="2"/>
  <c r="E178" i="2"/>
  <c r="D178" i="2"/>
  <c r="C178" i="2"/>
  <c r="B178" i="2"/>
  <c r="E177" i="2"/>
  <c r="D177" i="2"/>
  <c r="C177" i="2"/>
  <c r="B177" i="2"/>
  <c r="E176" i="2"/>
  <c r="D176" i="2"/>
  <c r="C176" i="2"/>
  <c r="B176" i="2"/>
  <c r="E175" i="2"/>
  <c r="D175" i="2"/>
  <c r="C175" i="2"/>
  <c r="B175" i="2"/>
  <c r="E174" i="2"/>
  <c r="D174" i="2"/>
  <c r="C174" i="2"/>
  <c r="B174" i="2"/>
  <c r="E173" i="2"/>
  <c r="D173" i="2"/>
  <c r="C173" i="2"/>
  <c r="B173" i="2"/>
  <c r="E172" i="2"/>
  <c r="D172" i="2"/>
  <c r="C172" i="2"/>
  <c r="B172" i="2"/>
  <c r="E171" i="2"/>
  <c r="D171" i="2"/>
  <c r="C171" i="2"/>
  <c r="B171" i="2"/>
  <c r="E170" i="2"/>
  <c r="D170" i="2"/>
  <c r="C170" i="2"/>
  <c r="E169" i="2"/>
  <c r="D169" i="2"/>
  <c r="C169" i="2"/>
  <c r="B169" i="2"/>
  <c r="E168" i="2"/>
  <c r="D168" i="2"/>
  <c r="C168" i="2"/>
  <c r="B168" i="2"/>
  <c r="E167" i="2"/>
  <c r="D167" i="2"/>
  <c r="C167" i="2"/>
  <c r="B167" i="2"/>
  <c r="E166" i="2"/>
  <c r="D166" i="2"/>
  <c r="C166" i="2"/>
  <c r="B166" i="2"/>
  <c r="E165" i="2"/>
  <c r="D165" i="2"/>
  <c r="C165" i="2"/>
  <c r="B165" i="2"/>
  <c r="E164" i="2"/>
  <c r="D164" i="2"/>
  <c r="C164" i="2"/>
  <c r="B164" i="2"/>
  <c r="E163" i="2"/>
  <c r="D163" i="2"/>
  <c r="C163" i="2"/>
  <c r="B163" i="2"/>
  <c r="E162" i="2"/>
  <c r="D162" i="2"/>
  <c r="C162" i="2"/>
  <c r="B162" i="2"/>
  <c r="E161" i="2"/>
  <c r="D161" i="2"/>
  <c r="C161" i="2"/>
  <c r="B161" i="2"/>
  <c r="E160" i="2"/>
  <c r="D160" i="2"/>
  <c r="C160" i="2"/>
  <c r="B160" i="2"/>
  <c r="E159" i="2"/>
  <c r="D159" i="2"/>
  <c r="C159" i="2"/>
  <c r="B159" i="2"/>
  <c r="E158" i="2"/>
  <c r="D158" i="2"/>
  <c r="C158" i="2"/>
  <c r="B158" i="2"/>
  <c r="E157" i="2"/>
  <c r="D157" i="2"/>
  <c r="C157" i="2"/>
  <c r="B157" i="2"/>
  <c r="E156" i="2"/>
  <c r="D156" i="2"/>
  <c r="C156" i="2"/>
  <c r="B156" i="2"/>
  <c r="E155" i="2"/>
  <c r="D155" i="2"/>
  <c r="C155" i="2"/>
  <c r="B155" i="2"/>
  <c r="E154" i="2"/>
  <c r="D154" i="2"/>
  <c r="C154" i="2"/>
  <c r="B154" i="2"/>
  <c r="E153" i="2"/>
  <c r="D153" i="2"/>
  <c r="C153" i="2"/>
  <c r="B153" i="2"/>
  <c r="E152" i="2"/>
  <c r="D152" i="2"/>
  <c r="C152" i="2"/>
  <c r="B152" i="2"/>
  <c r="E151" i="2"/>
  <c r="D151" i="2"/>
  <c r="C151" i="2"/>
  <c r="B151" i="2"/>
  <c r="E150" i="2"/>
  <c r="D150" i="2"/>
  <c r="C150" i="2"/>
  <c r="B150" i="2"/>
  <c r="E149" i="2"/>
  <c r="D149" i="2"/>
  <c r="C149" i="2"/>
  <c r="B149" i="2"/>
  <c r="E148" i="2"/>
  <c r="D148" i="2"/>
  <c r="C148" i="2"/>
  <c r="B148" i="2"/>
  <c r="E147" i="2"/>
  <c r="D147" i="2"/>
  <c r="C147" i="2"/>
  <c r="B147" i="2"/>
  <c r="E146" i="2"/>
  <c r="D146" i="2"/>
  <c r="C146" i="2"/>
  <c r="B146" i="2"/>
  <c r="E145" i="2"/>
  <c r="D145" i="2"/>
  <c r="C145" i="2"/>
  <c r="B145" i="2"/>
  <c r="E144" i="2"/>
  <c r="D144" i="2"/>
  <c r="C144" i="2"/>
  <c r="B144" i="2"/>
  <c r="E143" i="2"/>
  <c r="D143" i="2"/>
  <c r="C143" i="2"/>
  <c r="B143" i="2"/>
  <c r="E142" i="2"/>
  <c r="D142" i="2"/>
  <c r="C142" i="2"/>
  <c r="B142" i="2"/>
  <c r="E141" i="2"/>
  <c r="D141" i="2"/>
  <c r="C141" i="2"/>
  <c r="B141" i="2"/>
  <c r="E140" i="2"/>
  <c r="D140" i="2"/>
  <c r="C140" i="2"/>
  <c r="B140" i="2"/>
  <c r="E139" i="2"/>
  <c r="D139" i="2"/>
  <c r="C139" i="2"/>
  <c r="B139" i="2"/>
  <c r="E138" i="2"/>
  <c r="D138" i="2"/>
  <c r="C138" i="2"/>
  <c r="B138" i="2"/>
  <c r="E137" i="2"/>
  <c r="D137" i="2"/>
  <c r="C137" i="2"/>
  <c r="B137" i="2"/>
  <c r="E136" i="2"/>
  <c r="D136" i="2"/>
  <c r="C136" i="2"/>
  <c r="E135" i="2"/>
  <c r="D135" i="2"/>
  <c r="C135" i="2"/>
  <c r="B135" i="2"/>
  <c r="E134" i="2"/>
  <c r="D134" i="2"/>
  <c r="C134" i="2"/>
  <c r="B134" i="2"/>
  <c r="E133" i="2"/>
  <c r="D133" i="2"/>
  <c r="C133" i="2"/>
  <c r="B133" i="2"/>
  <c r="E132" i="2"/>
  <c r="D132" i="2"/>
  <c r="C132" i="2"/>
  <c r="B132" i="2"/>
  <c r="E131" i="2"/>
  <c r="D131" i="2"/>
  <c r="C131" i="2"/>
  <c r="B131" i="2"/>
  <c r="E130" i="2"/>
  <c r="D130" i="2"/>
  <c r="C130" i="2"/>
  <c r="E129" i="2"/>
  <c r="D129" i="2"/>
  <c r="C129" i="2"/>
  <c r="B129" i="2"/>
  <c r="E128" i="2"/>
  <c r="D128" i="2"/>
  <c r="C128" i="2"/>
  <c r="B128" i="2"/>
  <c r="E127" i="2"/>
  <c r="D127" i="2"/>
  <c r="C127" i="2"/>
  <c r="B127" i="2"/>
  <c r="E126" i="2"/>
  <c r="D126" i="2"/>
  <c r="C126" i="2"/>
  <c r="B126" i="2"/>
  <c r="E125" i="2"/>
  <c r="D125" i="2"/>
  <c r="C125" i="2"/>
  <c r="B125" i="2"/>
  <c r="E124" i="2"/>
  <c r="D124" i="2"/>
  <c r="C124" i="2"/>
  <c r="B124" i="2"/>
  <c r="E123" i="2"/>
  <c r="D123" i="2"/>
  <c r="C123" i="2"/>
  <c r="B123" i="2"/>
  <c r="E122" i="2"/>
  <c r="D122" i="2"/>
  <c r="C122" i="2"/>
  <c r="B122" i="2"/>
  <c r="E121" i="2"/>
  <c r="D121" i="2"/>
  <c r="C121" i="2"/>
  <c r="B121" i="2"/>
  <c r="E120" i="2"/>
  <c r="D120" i="2"/>
  <c r="C120" i="2"/>
  <c r="B120" i="2"/>
  <c r="E119" i="2"/>
  <c r="D119" i="2"/>
  <c r="C119" i="2"/>
  <c r="B119" i="2"/>
  <c r="E118" i="2"/>
  <c r="D118" i="2"/>
  <c r="C118" i="2"/>
  <c r="B118" i="2"/>
  <c r="E117" i="2"/>
  <c r="D117" i="2"/>
  <c r="C117" i="2"/>
  <c r="B117" i="2"/>
  <c r="E116" i="2"/>
  <c r="D116" i="2"/>
  <c r="C116" i="2"/>
  <c r="E115" i="2"/>
  <c r="D115" i="2"/>
  <c r="C115" i="2"/>
  <c r="B115" i="2"/>
  <c r="E114" i="2"/>
  <c r="D114" i="2"/>
  <c r="C114" i="2"/>
  <c r="B114" i="2"/>
  <c r="E113" i="2"/>
  <c r="D113" i="2"/>
  <c r="C113" i="2"/>
  <c r="B113" i="2"/>
  <c r="E112" i="2"/>
  <c r="D112" i="2"/>
  <c r="C112" i="2"/>
  <c r="B112" i="2"/>
  <c r="E111" i="2"/>
  <c r="D111" i="2"/>
  <c r="C111" i="2"/>
  <c r="B111" i="2"/>
  <c r="E110" i="2"/>
  <c r="D110" i="2"/>
  <c r="C110" i="2"/>
  <c r="B110" i="2"/>
  <c r="E109" i="2"/>
  <c r="D109" i="2"/>
  <c r="C109" i="2"/>
  <c r="B109" i="2"/>
  <c r="E108" i="2"/>
  <c r="D108" i="2"/>
  <c r="C108" i="2"/>
  <c r="B108" i="2"/>
  <c r="E107" i="2"/>
  <c r="D107" i="2"/>
  <c r="C107" i="2"/>
  <c r="B107" i="2"/>
  <c r="E106" i="2"/>
  <c r="D106" i="2"/>
  <c r="C106" i="2"/>
  <c r="B106" i="2"/>
  <c r="E105" i="2"/>
  <c r="D105" i="2"/>
  <c r="C105" i="2"/>
  <c r="B105" i="2"/>
  <c r="E104" i="2"/>
  <c r="D104" i="2"/>
  <c r="C104" i="2"/>
  <c r="E103" i="2"/>
  <c r="D103" i="2"/>
  <c r="C103" i="2"/>
  <c r="B103" i="2"/>
  <c r="E102" i="2"/>
  <c r="D102" i="2"/>
  <c r="C102" i="2"/>
  <c r="B102" i="2"/>
  <c r="E101" i="2"/>
  <c r="D101" i="2"/>
  <c r="C101" i="2"/>
  <c r="B101" i="2"/>
  <c r="E100" i="2"/>
  <c r="D100" i="2"/>
  <c r="C100" i="2"/>
  <c r="B100" i="2"/>
  <c r="E99" i="2"/>
  <c r="D99" i="2"/>
  <c r="C99" i="2"/>
  <c r="B99" i="2"/>
  <c r="E98" i="2"/>
  <c r="D98" i="2"/>
  <c r="C98" i="2"/>
  <c r="B98" i="2"/>
  <c r="E97" i="2"/>
  <c r="D97" i="2"/>
  <c r="C97" i="2"/>
  <c r="B97" i="2"/>
  <c r="E96" i="2"/>
  <c r="D96" i="2"/>
  <c r="C96" i="2"/>
  <c r="B96" i="2"/>
  <c r="E95" i="2"/>
  <c r="D95" i="2"/>
  <c r="C95" i="2"/>
  <c r="B95" i="2"/>
  <c r="E94" i="2"/>
  <c r="D94" i="2"/>
  <c r="C94" i="2"/>
  <c r="B94" i="2"/>
  <c r="E93" i="2"/>
  <c r="D93" i="2"/>
  <c r="C93" i="2"/>
  <c r="B93" i="2"/>
  <c r="E92" i="2"/>
  <c r="D92" i="2"/>
  <c r="C92" i="2"/>
  <c r="B92" i="2"/>
  <c r="E91" i="2"/>
  <c r="D91" i="2"/>
  <c r="C91" i="2"/>
  <c r="B91" i="2"/>
  <c r="E90" i="2"/>
  <c r="D90" i="2"/>
  <c r="C90" i="2"/>
  <c r="B90" i="2"/>
  <c r="E89" i="2"/>
  <c r="D89" i="2"/>
  <c r="C89" i="2"/>
  <c r="B89" i="2"/>
  <c r="E88" i="2"/>
  <c r="D88" i="2"/>
  <c r="C88" i="2"/>
  <c r="B88" i="2"/>
  <c r="E87" i="2"/>
  <c r="D87" i="2"/>
  <c r="C87" i="2"/>
  <c r="B87" i="2"/>
  <c r="E86" i="2"/>
  <c r="D86" i="2"/>
  <c r="C86" i="2"/>
  <c r="B86" i="2"/>
  <c r="E85" i="2"/>
  <c r="D85" i="2"/>
  <c r="C85" i="2"/>
  <c r="B85" i="2"/>
  <c r="E84" i="2"/>
  <c r="D84" i="2"/>
  <c r="C84" i="2"/>
  <c r="B84" i="2"/>
  <c r="E83" i="2"/>
  <c r="D83" i="2"/>
  <c r="C83" i="2"/>
  <c r="B83" i="2"/>
  <c r="E82" i="2"/>
  <c r="D82" i="2"/>
  <c r="C82" i="2"/>
  <c r="B82" i="2"/>
  <c r="E81" i="2"/>
  <c r="D81" i="2"/>
  <c r="C81" i="2"/>
  <c r="B81" i="2"/>
  <c r="E80" i="2"/>
  <c r="D80" i="2"/>
  <c r="C80" i="2"/>
  <c r="B80" i="2"/>
  <c r="E79" i="2"/>
  <c r="D79" i="2"/>
  <c r="C79" i="2"/>
  <c r="B79" i="2"/>
  <c r="E78" i="2"/>
  <c r="D78" i="2"/>
  <c r="C78" i="2"/>
  <c r="B78" i="2"/>
  <c r="E77" i="2"/>
  <c r="D77" i="2"/>
  <c r="C77" i="2"/>
  <c r="B77" i="2"/>
  <c r="E76" i="2"/>
  <c r="D76" i="2"/>
  <c r="C76" i="2"/>
  <c r="B76" i="2"/>
  <c r="E75" i="2"/>
  <c r="D75" i="2"/>
  <c r="C75" i="2"/>
  <c r="B75" i="2"/>
  <c r="E74" i="2"/>
  <c r="D74" i="2"/>
  <c r="C74" i="2"/>
  <c r="B74" i="2"/>
  <c r="E73" i="2"/>
  <c r="D73" i="2"/>
  <c r="C73" i="2"/>
  <c r="B73" i="2"/>
  <c r="E72" i="2"/>
  <c r="D72" i="2"/>
  <c r="C72" i="2"/>
  <c r="B72" i="2"/>
  <c r="E71" i="2"/>
  <c r="D71" i="2"/>
  <c r="C71" i="2"/>
  <c r="B71" i="2"/>
  <c r="E70" i="2"/>
  <c r="D70" i="2"/>
  <c r="C70" i="2"/>
  <c r="B70" i="2"/>
  <c r="E69" i="2"/>
  <c r="D69" i="2"/>
  <c r="C69" i="2"/>
  <c r="B69" i="2"/>
  <c r="E68" i="2"/>
  <c r="D68" i="2"/>
  <c r="C68" i="2"/>
  <c r="B68" i="2"/>
  <c r="E67" i="2"/>
  <c r="D67" i="2"/>
  <c r="C67" i="2"/>
  <c r="B67" i="2"/>
  <c r="E66" i="2"/>
  <c r="D66" i="2"/>
  <c r="C66" i="2"/>
  <c r="B66" i="2"/>
  <c r="E65" i="2"/>
  <c r="D65" i="2"/>
  <c r="C65" i="2"/>
  <c r="B65" i="2"/>
  <c r="E64" i="2"/>
  <c r="D64" i="2"/>
  <c r="C64" i="2"/>
  <c r="B64" i="2"/>
  <c r="E63" i="2"/>
  <c r="D63" i="2"/>
  <c r="C63" i="2"/>
  <c r="E62" i="2"/>
  <c r="D62" i="2"/>
  <c r="C62" i="2"/>
  <c r="B62" i="2"/>
  <c r="E61" i="2"/>
  <c r="D61" i="2"/>
  <c r="C61" i="2"/>
  <c r="E60" i="2"/>
  <c r="D60" i="2"/>
  <c r="C60" i="2"/>
  <c r="B60" i="2"/>
  <c r="E59" i="2"/>
  <c r="D59" i="2"/>
  <c r="C59" i="2"/>
  <c r="B59" i="2"/>
  <c r="E58" i="2"/>
  <c r="D58" i="2"/>
  <c r="C58" i="2"/>
  <c r="B58" i="2"/>
  <c r="E57" i="2"/>
  <c r="D57" i="2"/>
  <c r="C57" i="2"/>
  <c r="B57" i="2"/>
  <c r="E56" i="2"/>
  <c r="D56" i="2"/>
  <c r="C56" i="2"/>
  <c r="B56" i="2"/>
  <c r="E55" i="2"/>
  <c r="D55" i="2"/>
  <c r="C55" i="2"/>
  <c r="B55" i="2"/>
  <c r="E54" i="2"/>
  <c r="D54" i="2"/>
  <c r="C54" i="2"/>
  <c r="B54" i="2"/>
  <c r="E53" i="2"/>
  <c r="D53" i="2"/>
  <c r="C53" i="2"/>
  <c r="B53" i="2"/>
  <c r="E52" i="2"/>
  <c r="D52" i="2"/>
  <c r="C52" i="2"/>
  <c r="B52" i="2"/>
  <c r="E51" i="2"/>
  <c r="D51" i="2"/>
  <c r="C51" i="2"/>
  <c r="B51" i="2"/>
  <c r="E50" i="2"/>
  <c r="D50" i="2"/>
  <c r="C50" i="2"/>
  <c r="B50" i="2"/>
  <c r="E49" i="2"/>
  <c r="D49" i="2"/>
  <c r="C49" i="2"/>
  <c r="B49" i="2"/>
  <c r="E48" i="2"/>
  <c r="D48" i="2"/>
  <c r="C48" i="2"/>
  <c r="B48" i="2"/>
  <c r="E47" i="2"/>
  <c r="D47" i="2"/>
  <c r="C47" i="2"/>
  <c r="B47" i="2"/>
  <c r="E46" i="2"/>
  <c r="D46" i="2"/>
  <c r="C46" i="2"/>
  <c r="B46" i="2"/>
  <c r="E45" i="2"/>
  <c r="D45" i="2"/>
  <c r="C45" i="2"/>
  <c r="B45" i="2"/>
  <c r="E44" i="2"/>
  <c r="D44" i="2"/>
  <c r="C44" i="2"/>
  <c r="B44" i="2"/>
  <c r="E43" i="2"/>
  <c r="D43" i="2"/>
  <c r="C43" i="2"/>
  <c r="B43" i="2"/>
  <c r="E42" i="2"/>
  <c r="D42" i="2"/>
  <c r="C42" i="2"/>
  <c r="B42" i="2"/>
  <c r="E41" i="2"/>
  <c r="D41" i="2"/>
  <c r="C41" i="2"/>
  <c r="B41" i="2"/>
  <c r="E40" i="2"/>
  <c r="D40" i="2"/>
  <c r="C40" i="2"/>
  <c r="B40" i="2"/>
  <c r="E39" i="2"/>
  <c r="D39" i="2"/>
  <c r="C39" i="2"/>
  <c r="B39" i="2"/>
  <c r="E38" i="2"/>
  <c r="D38" i="2"/>
  <c r="C38" i="2"/>
  <c r="B38" i="2"/>
  <c r="E37" i="2"/>
  <c r="D37" i="2"/>
  <c r="C37" i="2"/>
  <c r="B37" i="2"/>
  <c r="E36" i="2"/>
  <c r="D36" i="2"/>
  <c r="C36" i="2"/>
  <c r="B36" i="2"/>
  <c r="E35" i="2"/>
  <c r="D35" i="2"/>
  <c r="C35" i="2"/>
  <c r="B35" i="2"/>
  <c r="E34" i="2"/>
  <c r="D34" i="2"/>
  <c r="C34" i="2"/>
  <c r="B34" i="2"/>
  <c r="E33" i="2"/>
  <c r="D33" i="2"/>
  <c r="C33" i="2"/>
  <c r="E32" i="2"/>
  <c r="D32" i="2"/>
  <c r="C32" i="2"/>
  <c r="B32" i="2"/>
  <c r="E31" i="2"/>
  <c r="D31" i="2"/>
  <c r="C31" i="2"/>
  <c r="B31" i="2"/>
  <c r="E30" i="2"/>
  <c r="D30" i="2"/>
  <c r="C30" i="2"/>
  <c r="B30" i="2"/>
  <c r="E29" i="2"/>
  <c r="D29" i="2"/>
  <c r="C29" i="2"/>
  <c r="B29" i="2"/>
  <c r="E28" i="2"/>
  <c r="D28" i="2"/>
  <c r="C28" i="2"/>
  <c r="B28" i="2"/>
  <c r="E27" i="2"/>
  <c r="D27" i="2"/>
  <c r="C27" i="2"/>
  <c r="B27" i="2"/>
  <c r="E26" i="2"/>
  <c r="D26" i="2"/>
  <c r="C26" i="2"/>
  <c r="B26" i="2"/>
  <c r="E25" i="2"/>
  <c r="D25" i="2"/>
  <c r="C25" i="2"/>
  <c r="B25" i="2"/>
  <c r="E24" i="2"/>
  <c r="D24" i="2"/>
  <c r="C24" i="2"/>
  <c r="B24" i="2"/>
  <c r="E23" i="2"/>
  <c r="D23" i="2"/>
  <c r="C23" i="2"/>
  <c r="B23" i="2"/>
  <c r="E22" i="2"/>
  <c r="D22" i="2"/>
  <c r="C22" i="2"/>
  <c r="B22" i="2"/>
  <c r="E21" i="2"/>
  <c r="D21" i="2"/>
  <c r="C21" i="2"/>
  <c r="B21" i="2"/>
  <c r="E20" i="2"/>
  <c r="D20" i="2"/>
  <c r="C20" i="2"/>
  <c r="B20" i="2"/>
  <c r="E19" i="2"/>
  <c r="D19" i="2"/>
  <c r="C19" i="2"/>
  <c r="B19" i="2"/>
  <c r="E18" i="2"/>
  <c r="D18" i="2"/>
  <c r="C18" i="2"/>
  <c r="B18" i="2"/>
  <c r="E17" i="2"/>
  <c r="D17" i="2"/>
  <c r="C17" i="2"/>
  <c r="B17" i="2"/>
  <c r="E16" i="2"/>
  <c r="D16" i="2"/>
  <c r="C16" i="2"/>
  <c r="B16" i="2"/>
  <c r="E15" i="2"/>
  <c r="D15" i="2"/>
  <c r="C15" i="2"/>
  <c r="B15" i="2"/>
  <c r="E14" i="2"/>
  <c r="D14" i="2"/>
  <c r="C14" i="2"/>
  <c r="B14" i="2"/>
  <c r="E13" i="2"/>
  <c r="D13" i="2"/>
  <c r="C13" i="2"/>
  <c r="B13" i="2"/>
  <c r="E12" i="2"/>
  <c r="D12" i="2"/>
  <c r="C12" i="2"/>
  <c r="B12" i="2"/>
  <c r="E11" i="2"/>
  <c r="D11" i="2"/>
  <c r="C11" i="2"/>
  <c r="B11" i="2"/>
  <c r="E10" i="2"/>
  <c r="D10" i="2"/>
  <c r="C10" i="2"/>
  <c r="B10" i="2"/>
  <c r="E9" i="2"/>
  <c r="D9" i="2"/>
  <c r="C9" i="2"/>
  <c r="B9" i="2"/>
  <c r="E8" i="2"/>
  <c r="D8" i="2"/>
  <c r="C8" i="2"/>
  <c r="B8" i="2"/>
  <c r="E7" i="2"/>
  <c r="D7" i="2"/>
  <c r="C7" i="2"/>
  <c r="B7" i="2"/>
  <c r="E6" i="2"/>
  <c r="D6" i="2"/>
  <c r="C6" i="2"/>
  <c r="B6" i="2"/>
  <c r="E5" i="2"/>
  <c r="D5" i="2"/>
  <c r="C5" i="2"/>
  <c r="B5" i="2"/>
  <c r="E4" i="2"/>
  <c r="D4" i="2"/>
  <c r="C4" i="2"/>
  <c r="B4" i="2"/>
  <c r="E3" i="2"/>
  <c r="D3" i="2"/>
  <c r="C3" i="2"/>
  <c r="B3" i="2"/>
  <c r="E2" i="2"/>
  <c r="D2" i="2"/>
  <c r="C2" i="2"/>
  <c r="B2" i="2"/>
  <c r="E1060" i="1"/>
  <c r="D1060" i="1"/>
  <c r="C1060" i="1"/>
  <c r="B1060" i="1"/>
  <c r="E1059" i="1"/>
  <c r="D1059" i="1"/>
  <c r="C1059" i="1"/>
  <c r="B1059" i="1"/>
  <c r="E1058" i="1"/>
  <c r="D1058" i="1"/>
  <c r="C1058" i="1"/>
  <c r="B1058" i="1"/>
  <c r="E1057" i="1"/>
  <c r="D1057" i="1"/>
  <c r="C1057" i="1"/>
  <c r="B1057" i="1"/>
  <c r="E1056" i="1"/>
  <c r="D1056" i="1"/>
  <c r="C1056" i="1"/>
  <c r="B1056" i="1"/>
  <c r="E1055" i="1"/>
  <c r="D1055" i="1"/>
  <c r="C1055" i="1"/>
  <c r="B1055" i="1"/>
  <c r="E1054" i="1"/>
  <c r="D1054" i="1"/>
  <c r="C1054" i="1"/>
  <c r="B1054" i="1"/>
  <c r="E1053" i="1"/>
  <c r="D1053" i="1"/>
  <c r="C1053" i="1"/>
  <c r="B1053" i="1"/>
  <c r="E1052" i="1"/>
  <c r="D1052" i="1"/>
  <c r="C1052" i="1"/>
  <c r="B1052" i="1"/>
  <c r="E1051" i="1"/>
  <c r="D1051" i="1"/>
  <c r="C1051" i="1"/>
  <c r="B1051" i="1"/>
  <c r="E1050" i="1"/>
  <c r="D1050" i="1"/>
  <c r="C1050" i="1"/>
  <c r="B1050" i="1"/>
  <c r="E1049" i="1"/>
  <c r="D1049" i="1"/>
  <c r="C1049" i="1"/>
  <c r="B1049" i="1"/>
  <c r="E1048" i="1"/>
  <c r="D1048" i="1"/>
  <c r="C1048" i="1"/>
  <c r="B1048" i="1"/>
  <c r="E1047" i="1"/>
  <c r="D1047" i="1"/>
  <c r="C1047" i="1"/>
  <c r="B1047" i="1"/>
  <c r="E1046" i="1"/>
  <c r="D1046" i="1"/>
  <c r="C1046" i="1"/>
  <c r="B1046" i="1"/>
  <c r="E1045" i="1"/>
  <c r="D1045" i="1"/>
  <c r="C1045" i="1"/>
  <c r="B1045" i="1"/>
  <c r="E1044" i="1"/>
  <c r="D1044" i="1"/>
  <c r="C1044" i="1"/>
  <c r="B1044" i="1"/>
  <c r="E1043" i="1"/>
  <c r="D1043" i="1"/>
  <c r="C1043" i="1"/>
  <c r="B1043" i="1"/>
  <c r="E1042" i="1"/>
  <c r="D1042" i="1"/>
  <c r="C1042" i="1"/>
  <c r="B1042" i="1"/>
  <c r="E1041" i="1"/>
  <c r="D1041" i="1"/>
  <c r="C1041" i="1"/>
  <c r="B1041" i="1"/>
  <c r="E1040" i="1"/>
  <c r="D1040" i="1"/>
  <c r="C1040" i="1"/>
  <c r="B1040" i="1"/>
  <c r="E1039" i="1"/>
  <c r="D1039" i="1"/>
  <c r="C1039" i="1"/>
  <c r="B1039" i="1"/>
  <c r="E1038" i="1"/>
  <c r="D1038" i="1"/>
  <c r="C1038" i="1"/>
  <c r="B1038" i="1"/>
  <c r="E1037" i="1"/>
  <c r="D1037" i="1"/>
  <c r="C1037" i="1"/>
  <c r="B1037" i="1"/>
  <c r="E1036" i="1"/>
  <c r="D1036" i="1"/>
  <c r="C1036" i="1"/>
  <c r="B1036" i="1"/>
  <c r="E1035" i="1"/>
  <c r="D1035" i="1"/>
  <c r="C1035" i="1"/>
  <c r="B1035" i="1"/>
  <c r="E1034" i="1"/>
  <c r="D1034" i="1"/>
  <c r="C1034" i="1"/>
  <c r="B1034" i="1"/>
  <c r="E1033" i="1"/>
  <c r="D1033" i="1"/>
  <c r="C1033" i="1"/>
  <c r="B1033" i="1"/>
  <c r="E1032" i="1"/>
  <c r="D1032" i="1"/>
  <c r="C1032" i="1"/>
  <c r="B1032" i="1"/>
  <c r="E1031" i="1"/>
  <c r="D1031" i="1"/>
  <c r="C1031" i="1"/>
  <c r="B1031" i="1"/>
  <c r="E1030" i="1"/>
  <c r="D1030" i="1"/>
  <c r="C1030" i="1"/>
  <c r="B1030" i="1"/>
  <c r="E1029" i="1"/>
  <c r="D1029" i="1"/>
  <c r="C1029" i="1"/>
  <c r="B1029" i="1"/>
  <c r="E1028" i="1"/>
  <c r="D1028" i="1"/>
  <c r="C1028" i="1"/>
  <c r="B1028" i="1"/>
  <c r="E1027" i="1"/>
  <c r="D1027" i="1"/>
  <c r="C1027" i="1"/>
  <c r="B1027" i="1"/>
  <c r="E1026" i="1"/>
  <c r="D1026" i="1"/>
  <c r="C1026" i="1"/>
  <c r="B1026" i="1"/>
  <c r="E1025" i="1"/>
  <c r="D1025" i="1"/>
  <c r="C1025" i="1"/>
  <c r="B1025" i="1"/>
  <c r="E1024" i="1"/>
  <c r="D1024" i="1"/>
  <c r="C1024" i="1"/>
  <c r="B1024" i="1"/>
  <c r="E1023" i="1"/>
  <c r="D1023" i="1"/>
  <c r="C1023" i="1"/>
  <c r="B1023" i="1"/>
  <c r="E1022" i="1"/>
  <c r="D1022" i="1"/>
  <c r="C1022" i="1"/>
  <c r="B1022" i="1"/>
  <c r="E1021" i="1"/>
  <c r="D1021" i="1"/>
  <c r="C1021" i="1"/>
  <c r="B1021" i="1"/>
  <c r="E1020" i="1"/>
  <c r="D1020" i="1"/>
  <c r="C1020" i="1"/>
  <c r="B1020" i="1"/>
  <c r="E1019" i="1"/>
  <c r="D1019" i="1"/>
  <c r="C1019" i="1"/>
  <c r="B1019" i="1"/>
  <c r="E1018" i="1"/>
  <c r="D1018" i="1"/>
  <c r="C1018" i="1"/>
  <c r="B1018" i="1"/>
  <c r="E1017" i="1"/>
  <c r="D1017" i="1"/>
  <c r="C1017" i="1"/>
  <c r="B1017" i="1"/>
  <c r="E1016" i="1"/>
  <c r="D1016" i="1"/>
  <c r="C1016" i="1"/>
  <c r="B1016" i="1"/>
  <c r="E1015" i="1"/>
  <c r="D1015" i="1"/>
  <c r="C1015" i="1"/>
  <c r="B1015" i="1"/>
  <c r="E1014" i="1"/>
  <c r="D1014" i="1"/>
  <c r="C1014" i="1"/>
  <c r="B1014" i="1"/>
  <c r="E1013" i="1"/>
  <c r="D1013" i="1"/>
  <c r="C1013" i="1"/>
  <c r="B1013" i="1"/>
  <c r="E1012" i="1"/>
  <c r="D1012" i="1"/>
  <c r="C1012" i="1"/>
  <c r="B1012" i="1"/>
  <c r="E1011" i="1"/>
  <c r="D1011" i="1"/>
  <c r="C1011" i="1"/>
  <c r="B1011" i="1"/>
  <c r="E1010" i="1"/>
  <c r="D1010" i="1"/>
  <c r="C1010" i="1"/>
  <c r="B1010" i="1"/>
  <c r="E1009" i="1"/>
  <c r="D1009" i="1"/>
  <c r="C1009" i="1"/>
  <c r="B1009" i="1"/>
  <c r="E1008" i="1"/>
  <c r="D1008" i="1"/>
  <c r="C1008" i="1"/>
  <c r="B1008" i="1"/>
  <c r="E1007" i="1"/>
  <c r="D1007" i="1"/>
  <c r="C1007" i="1"/>
  <c r="B1007" i="1"/>
  <c r="E1006" i="1"/>
  <c r="D1006" i="1"/>
  <c r="C1006" i="1"/>
  <c r="B1006" i="1"/>
  <c r="E1005" i="1"/>
  <c r="D1005" i="1"/>
  <c r="C1005" i="1"/>
  <c r="B1005" i="1"/>
  <c r="E1004" i="1"/>
  <c r="D1004" i="1"/>
  <c r="C1004" i="1"/>
  <c r="B1004" i="1"/>
  <c r="E1003" i="1"/>
  <c r="D1003" i="1"/>
  <c r="C1003" i="1"/>
  <c r="B1003" i="1"/>
  <c r="E1002" i="1"/>
  <c r="D1002" i="1"/>
  <c r="C1002" i="1"/>
  <c r="B1002" i="1"/>
  <c r="E1001" i="1"/>
  <c r="D1001" i="1"/>
  <c r="C1001" i="1"/>
  <c r="B1001" i="1"/>
  <c r="E1000" i="1"/>
  <c r="D1000" i="1"/>
  <c r="C1000" i="1"/>
  <c r="B1000" i="1"/>
  <c r="E999" i="1"/>
  <c r="D999" i="1"/>
  <c r="C999" i="1"/>
  <c r="B999" i="1"/>
  <c r="E998" i="1"/>
  <c r="D998" i="1"/>
  <c r="C998" i="1"/>
  <c r="B998" i="1"/>
  <c r="E997" i="1"/>
  <c r="D997" i="1"/>
  <c r="C997" i="1"/>
  <c r="B997" i="1"/>
  <c r="E996" i="1"/>
  <c r="D996" i="1"/>
  <c r="C996" i="1"/>
  <c r="B996" i="1"/>
  <c r="E995" i="1"/>
  <c r="D995" i="1"/>
  <c r="C995" i="1"/>
  <c r="B995" i="1"/>
  <c r="E994" i="1"/>
  <c r="D994" i="1"/>
  <c r="C994" i="1"/>
  <c r="B994" i="1"/>
  <c r="E993" i="1"/>
  <c r="D993" i="1"/>
  <c r="C993" i="1"/>
  <c r="B993" i="1"/>
  <c r="E992" i="1"/>
  <c r="D992" i="1"/>
  <c r="C992" i="1"/>
  <c r="B992" i="1"/>
  <c r="E991" i="1"/>
  <c r="D991" i="1"/>
  <c r="C991" i="1"/>
  <c r="B991" i="1"/>
  <c r="E990" i="1"/>
  <c r="D990" i="1"/>
  <c r="C990" i="1"/>
  <c r="B990" i="1"/>
  <c r="E989" i="1"/>
  <c r="D989" i="1"/>
  <c r="C989" i="1"/>
  <c r="B989" i="1"/>
  <c r="E988" i="1"/>
  <c r="D988" i="1"/>
  <c r="C988" i="1"/>
  <c r="B988" i="1"/>
  <c r="E987" i="1"/>
  <c r="D987" i="1"/>
  <c r="C987" i="1"/>
  <c r="B987" i="1"/>
  <c r="E986" i="1"/>
  <c r="D986" i="1"/>
  <c r="C986" i="1"/>
  <c r="B986" i="1"/>
  <c r="E985" i="1"/>
  <c r="D985" i="1"/>
  <c r="C985" i="1"/>
  <c r="B985" i="1"/>
  <c r="E984" i="1"/>
  <c r="D984" i="1"/>
  <c r="C984" i="1"/>
  <c r="B984" i="1"/>
  <c r="E983" i="1"/>
  <c r="D983" i="1"/>
  <c r="C983" i="1"/>
  <c r="B983" i="1"/>
  <c r="E982" i="1"/>
  <c r="D982" i="1"/>
  <c r="C982" i="1"/>
  <c r="B982" i="1"/>
  <c r="E981" i="1"/>
  <c r="D981" i="1"/>
  <c r="C981" i="1"/>
  <c r="B981" i="1"/>
  <c r="E980" i="1"/>
  <c r="D980" i="1"/>
  <c r="C980" i="1"/>
  <c r="B980" i="1"/>
  <c r="E979" i="1"/>
  <c r="D979" i="1"/>
  <c r="C979" i="1"/>
  <c r="B979" i="1"/>
  <c r="E978" i="1"/>
  <c r="D978" i="1"/>
  <c r="C978" i="1"/>
  <c r="B978" i="1"/>
  <c r="E977" i="1"/>
  <c r="D977" i="1"/>
  <c r="C977" i="1"/>
  <c r="B977" i="1"/>
  <c r="E976" i="1"/>
  <c r="D976" i="1"/>
  <c r="C976" i="1"/>
  <c r="B976" i="1"/>
  <c r="E975" i="1"/>
  <c r="D975" i="1"/>
  <c r="C975" i="1"/>
  <c r="B975" i="1"/>
  <c r="E974" i="1"/>
  <c r="D974" i="1"/>
  <c r="C974" i="1"/>
  <c r="B974" i="1"/>
  <c r="E973" i="1"/>
  <c r="D973" i="1"/>
  <c r="C973" i="1"/>
  <c r="B973" i="1"/>
  <c r="E972" i="1"/>
  <c r="D972" i="1"/>
  <c r="C972" i="1"/>
  <c r="B972" i="1"/>
  <c r="E971" i="1"/>
  <c r="D971" i="1"/>
  <c r="C971" i="1"/>
  <c r="B971" i="1"/>
  <c r="E970" i="1"/>
  <c r="D970" i="1"/>
  <c r="C970" i="1"/>
  <c r="B970" i="1"/>
  <c r="E969" i="1"/>
  <c r="D969" i="1"/>
  <c r="C969" i="1"/>
  <c r="B969" i="1"/>
  <c r="E968" i="1"/>
  <c r="D968" i="1"/>
  <c r="C968" i="1"/>
  <c r="B968" i="1"/>
  <c r="E967" i="1"/>
  <c r="D967" i="1"/>
  <c r="C967" i="1"/>
  <c r="B967" i="1"/>
  <c r="E966" i="1"/>
  <c r="D966" i="1"/>
  <c r="C966" i="1"/>
  <c r="B966" i="1"/>
  <c r="E965" i="1"/>
  <c r="D965" i="1"/>
  <c r="C965" i="1"/>
  <c r="B965" i="1"/>
  <c r="E964" i="1"/>
  <c r="D964" i="1"/>
  <c r="C964" i="1"/>
  <c r="B964" i="1"/>
  <c r="E963" i="1"/>
  <c r="D963" i="1"/>
  <c r="C963" i="1"/>
  <c r="B963" i="1"/>
  <c r="E962" i="1"/>
  <c r="D962" i="1"/>
  <c r="C962" i="1"/>
  <c r="B962" i="1"/>
  <c r="E961" i="1"/>
  <c r="D961" i="1"/>
  <c r="C961" i="1"/>
  <c r="B961" i="1"/>
  <c r="E960" i="1"/>
  <c r="D960" i="1"/>
  <c r="C960" i="1"/>
  <c r="B960" i="1"/>
  <c r="E959" i="1"/>
  <c r="D959" i="1"/>
  <c r="C959" i="1"/>
  <c r="B959" i="1"/>
  <c r="E958" i="1"/>
  <c r="D958" i="1"/>
  <c r="C958" i="1"/>
  <c r="B958" i="1"/>
  <c r="E957" i="1"/>
  <c r="D957" i="1"/>
  <c r="C957" i="1"/>
  <c r="B957" i="1"/>
  <c r="E956" i="1"/>
  <c r="D956" i="1"/>
  <c r="C956" i="1"/>
  <c r="B956" i="1"/>
  <c r="E955" i="1"/>
  <c r="D955" i="1"/>
  <c r="C955" i="1"/>
  <c r="B955" i="1"/>
  <c r="E954" i="1"/>
  <c r="D954" i="1"/>
  <c r="C954" i="1"/>
  <c r="B954" i="1"/>
  <c r="E953" i="1"/>
  <c r="D953" i="1"/>
  <c r="C953" i="1"/>
  <c r="B953" i="1"/>
  <c r="E952" i="1"/>
  <c r="D952" i="1"/>
  <c r="C952" i="1"/>
  <c r="B952" i="1"/>
  <c r="E951" i="1"/>
  <c r="D951" i="1"/>
  <c r="C951" i="1"/>
  <c r="B951" i="1"/>
  <c r="E950" i="1"/>
  <c r="D950" i="1"/>
  <c r="C950" i="1"/>
  <c r="B950" i="1"/>
  <c r="E949" i="1"/>
  <c r="D949" i="1"/>
  <c r="C949" i="1"/>
  <c r="B949" i="1"/>
  <c r="E948" i="1"/>
  <c r="D948" i="1"/>
  <c r="C948" i="1"/>
  <c r="B948" i="1"/>
  <c r="E947" i="1"/>
  <c r="D947" i="1"/>
  <c r="C947" i="1"/>
  <c r="B947" i="1"/>
  <c r="E946" i="1"/>
  <c r="D946" i="1"/>
  <c r="C946" i="1"/>
  <c r="B946" i="1"/>
  <c r="E945" i="1"/>
  <c r="D945" i="1"/>
  <c r="C945" i="1"/>
  <c r="B945" i="1"/>
  <c r="E944" i="1"/>
  <c r="D944" i="1"/>
  <c r="C944" i="1"/>
  <c r="B944" i="1"/>
  <c r="E943" i="1"/>
  <c r="D943" i="1"/>
  <c r="C943" i="1"/>
  <c r="B943" i="1"/>
  <c r="E942" i="1"/>
  <c r="D942" i="1"/>
  <c r="C942" i="1"/>
  <c r="B942" i="1"/>
  <c r="E941" i="1"/>
  <c r="D941" i="1"/>
  <c r="C941" i="1"/>
  <c r="B941" i="1"/>
  <c r="E940" i="1"/>
  <c r="D940" i="1"/>
  <c r="C940" i="1"/>
  <c r="B940" i="1"/>
  <c r="E939" i="1"/>
  <c r="D939" i="1"/>
  <c r="C939" i="1"/>
  <c r="B939" i="1"/>
  <c r="E938" i="1"/>
  <c r="D938" i="1"/>
  <c r="C938" i="1"/>
  <c r="B938" i="1"/>
  <c r="E937" i="1"/>
  <c r="D937" i="1"/>
  <c r="C937" i="1"/>
  <c r="B937" i="1"/>
  <c r="E936" i="1"/>
  <c r="D936" i="1"/>
  <c r="C936" i="1"/>
  <c r="B936" i="1"/>
  <c r="E935" i="1"/>
  <c r="D935" i="1"/>
  <c r="C935" i="1"/>
  <c r="B935" i="1"/>
  <c r="E934" i="1"/>
  <c r="D934" i="1"/>
  <c r="C934" i="1"/>
  <c r="B934" i="1"/>
  <c r="E933" i="1"/>
  <c r="D933" i="1"/>
  <c r="C933" i="1"/>
  <c r="B933" i="1"/>
  <c r="E932" i="1"/>
  <c r="D932" i="1"/>
  <c r="C932" i="1"/>
  <c r="B932" i="1"/>
  <c r="E931" i="1"/>
  <c r="D931" i="1"/>
  <c r="C931" i="1"/>
  <c r="B931" i="1"/>
  <c r="E930" i="1"/>
  <c r="D930" i="1"/>
  <c r="C930" i="1"/>
  <c r="B930" i="1"/>
  <c r="E929" i="1"/>
  <c r="D929" i="1"/>
  <c r="C929" i="1"/>
  <c r="B929" i="1"/>
  <c r="E928" i="1"/>
  <c r="D928" i="1"/>
  <c r="C928" i="1"/>
  <c r="B928" i="1"/>
  <c r="E927" i="1"/>
  <c r="D927" i="1"/>
  <c r="C927" i="1"/>
  <c r="B927" i="1"/>
  <c r="E926" i="1"/>
  <c r="D926" i="1"/>
  <c r="C926" i="1"/>
  <c r="B926" i="1"/>
  <c r="E925" i="1"/>
  <c r="D925" i="1"/>
  <c r="C925" i="1"/>
  <c r="B925" i="1"/>
  <c r="E924" i="1"/>
  <c r="D924" i="1"/>
  <c r="C924" i="1"/>
  <c r="B924" i="1"/>
  <c r="E923" i="1"/>
  <c r="D923" i="1"/>
  <c r="C923" i="1"/>
  <c r="B923" i="1"/>
  <c r="E922" i="1"/>
  <c r="D922" i="1"/>
  <c r="C922" i="1"/>
  <c r="B922" i="1"/>
  <c r="E921" i="1"/>
  <c r="D921" i="1"/>
  <c r="C921" i="1"/>
  <c r="B921" i="1"/>
  <c r="E920" i="1"/>
  <c r="D920" i="1"/>
  <c r="C920" i="1"/>
  <c r="B920" i="1"/>
  <c r="E919" i="1"/>
  <c r="D919" i="1"/>
  <c r="C919" i="1"/>
  <c r="B919" i="1"/>
  <c r="E918" i="1"/>
  <c r="D918" i="1"/>
  <c r="C918" i="1"/>
  <c r="B918" i="1"/>
  <c r="E917" i="1"/>
  <c r="D917" i="1"/>
  <c r="C917" i="1"/>
  <c r="B917" i="1"/>
  <c r="E916" i="1"/>
  <c r="D916" i="1"/>
  <c r="C916" i="1"/>
  <c r="B916" i="1"/>
  <c r="E915" i="1"/>
  <c r="D915" i="1"/>
  <c r="C915" i="1"/>
  <c r="B915" i="1"/>
  <c r="E914" i="1"/>
  <c r="D914" i="1"/>
  <c r="C914" i="1"/>
  <c r="B914" i="1"/>
  <c r="E913" i="1"/>
  <c r="D913" i="1"/>
  <c r="C913" i="1"/>
  <c r="B913" i="1"/>
  <c r="E912" i="1"/>
  <c r="D912" i="1"/>
  <c r="C912" i="1"/>
  <c r="B912" i="1"/>
  <c r="E911" i="1"/>
  <c r="D911" i="1"/>
  <c r="C911" i="1"/>
  <c r="B911" i="1"/>
  <c r="E910" i="1"/>
  <c r="D910" i="1"/>
  <c r="C910" i="1"/>
  <c r="B910" i="1"/>
  <c r="E909" i="1"/>
  <c r="D909" i="1"/>
  <c r="C909" i="1"/>
  <c r="B909" i="1"/>
  <c r="E908" i="1"/>
  <c r="D908" i="1"/>
  <c r="C908" i="1"/>
  <c r="B908" i="1"/>
  <c r="E907" i="1"/>
  <c r="D907" i="1"/>
  <c r="C907" i="1"/>
  <c r="B907" i="1"/>
  <c r="E906" i="1"/>
  <c r="D906" i="1"/>
  <c r="C906" i="1"/>
  <c r="B906" i="1"/>
  <c r="E905" i="1"/>
  <c r="D905" i="1"/>
  <c r="C905" i="1"/>
  <c r="B905" i="1"/>
  <c r="E904" i="1"/>
  <c r="D904" i="1"/>
  <c r="C904" i="1"/>
  <c r="B904" i="1"/>
  <c r="E903" i="1"/>
  <c r="D903" i="1"/>
  <c r="C903" i="1"/>
  <c r="B903" i="1"/>
  <c r="E902" i="1"/>
  <c r="D902" i="1"/>
  <c r="C902" i="1"/>
  <c r="B902" i="1"/>
  <c r="E901" i="1"/>
  <c r="D901" i="1"/>
  <c r="C901" i="1"/>
  <c r="B901" i="1"/>
  <c r="E900" i="1"/>
  <c r="D900" i="1"/>
  <c r="C900" i="1"/>
  <c r="B900" i="1"/>
  <c r="E899" i="1"/>
  <c r="D899" i="1"/>
  <c r="C899" i="1"/>
  <c r="B899" i="1"/>
  <c r="E898" i="1"/>
  <c r="D898" i="1"/>
  <c r="C898" i="1"/>
  <c r="B898" i="1"/>
  <c r="E897" i="1"/>
  <c r="D897" i="1"/>
  <c r="C897" i="1"/>
  <c r="B897" i="1"/>
  <c r="E896" i="1"/>
  <c r="D896" i="1"/>
  <c r="C896" i="1"/>
  <c r="B896" i="1"/>
  <c r="E895" i="1"/>
  <c r="D895" i="1"/>
  <c r="C895" i="1"/>
  <c r="B895" i="1"/>
  <c r="E894" i="1"/>
  <c r="D894" i="1"/>
  <c r="C894" i="1"/>
  <c r="B894" i="1"/>
  <c r="E893" i="1"/>
  <c r="D893" i="1"/>
  <c r="C893" i="1"/>
  <c r="B893" i="1"/>
  <c r="E892" i="1"/>
  <c r="D892" i="1"/>
  <c r="C892" i="1"/>
  <c r="B892" i="1"/>
  <c r="E891" i="1"/>
  <c r="D891" i="1"/>
  <c r="C891" i="1"/>
  <c r="B891" i="1"/>
  <c r="E890" i="1"/>
  <c r="D890" i="1"/>
  <c r="C890" i="1"/>
  <c r="B890" i="1"/>
  <c r="E889" i="1"/>
  <c r="D889" i="1"/>
  <c r="C889" i="1"/>
  <c r="B889" i="1"/>
  <c r="E888" i="1"/>
  <c r="D888" i="1"/>
  <c r="C888" i="1"/>
  <c r="B888" i="1"/>
  <c r="E887" i="1"/>
  <c r="D887" i="1"/>
  <c r="C887" i="1"/>
  <c r="B887" i="1"/>
  <c r="E886" i="1"/>
  <c r="D886" i="1"/>
  <c r="C886" i="1"/>
  <c r="B886" i="1"/>
  <c r="E885" i="1"/>
  <c r="D885" i="1"/>
  <c r="C885" i="1"/>
  <c r="B885" i="1"/>
  <c r="E884" i="1"/>
  <c r="D884" i="1"/>
  <c r="C884" i="1"/>
  <c r="B884" i="1"/>
  <c r="E883" i="1"/>
  <c r="D883" i="1"/>
  <c r="C883" i="1"/>
  <c r="B883" i="1"/>
  <c r="E882" i="1"/>
  <c r="D882" i="1"/>
  <c r="C882" i="1"/>
  <c r="B882" i="1"/>
  <c r="E881" i="1"/>
  <c r="D881" i="1"/>
  <c r="C881" i="1"/>
  <c r="B881" i="1"/>
  <c r="E880" i="1"/>
  <c r="D880" i="1"/>
  <c r="C880" i="1"/>
  <c r="B880" i="1"/>
  <c r="E879" i="1"/>
  <c r="D879" i="1"/>
  <c r="C879" i="1"/>
  <c r="B879" i="1"/>
  <c r="E878" i="1"/>
  <c r="D878" i="1"/>
  <c r="C878" i="1"/>
  <c r="B878" i="1"/>
  <c r="E877" i="1"/>
  <c r="D877" i="1"/>
  <c r="C877" i="1"/>
  <c r="B877" i="1"/>
  <c r="E876" i="1"/>
  <c r="D876" i="1"/>
  <c r="C876" i="1"/>
  <c r="B876" i="1"/>
  <c r="E875" i="1"/>
  <c r="D875" i="1"/>
  <c r="C875" i="1"/>
  <c r="B875" i="1"/>
  <c r="E874" i="1"/>
  <c r="D874" i="1"/>
  <c r="C874" i="1"/>
  <c r="B874" i="1"/>
  <c r="E873" i="1"/>
  <c r="D873" i="1"/>
  <c r="C873" i="1"/>
  <c r="B873" i="1"/>
  <c r="E872" i="1"/>
  <c r="D872" i="1"/>
  <c r="C872" i="1"/>
  <c r="B872" i="1"/>
  <c r="E871" i="1"/>
  <c r="D871" i="1"/>
  <c r="C871" i="1"/>
  <c r="B871" i="1"/>
  <c r="E870" i="1"/>
  <c r="D870" i="1"/>
  <c r="C870" i="1"/>
  <c r="B870" i="1"/>
  <c r="E869" i="1"/>
  <c r="D869" i="1"/>
  <c r="C869" i="1"/>
  <c r="B869" i="1"/>
  <c r="E868" i="1"/>
  <c r="D868" i="1"/>
  <c r="C868" i="1"/>
  <c r="B868" i="1"/>
  <c r="E867" i="1"/>
  <c r="D867" i="1"/>
  <c r="C867" i="1"/>
  <c r="B867" i="1"/>
  <c r="E866" i="1"/>
  <c r="D866" i="1"/>
  <c r="C866" i="1"/>
  <c r="B866" i="1"/>
  <c r="E865" i="1"/>
  <c r="D865" i="1"/>
  <c r="C865" i="1"/>
  <c r="B865" i="1"/>
  <c r="E864" i="1"/>
  <c r="D864" i="1"/>
  <c r="C864" i="1"/>
  <c r="B864" i="1"/>
  <c r="E863" i="1"/>
  <c r="D863" i="1"/>
  <c r="C863" i="1"/>
  <c r="B863" i="1"/>
  <c r="E862" i="1"/>
  <c r="D862" i="1"/>
  <c r="C862" i="1"/>
  <c r="B862" i="1"/>
  <c r="E861" i="1"/>
  <c r="D861" i="1"/>
  <c r="C861" i="1"/>
  <c r="B861" i="1"/>
  <c r="E860" i="1"/>
  <c r="D860" i="1"/>
  <c r="C860" i="1"/>
  <c r="B860" i="1"/>
  <c r="E859" i="1"/>
  <c r="D859" i="1"/>
  <c r="C859" i="1"/>
  <c r="B859" i="1"/>
  <c r="E858" i="1"/>
  <c r="D858" i="1"/>
  <c r="C858" i="1"/>
  <c r="B858" i="1"/>
  <c r="E857" i="1"/>
  <c r="D857" i="1"/>
  <c r="C857" i="1"/>
  <c r="B857" i="1"/>
  <c r="E856" i="1"/>
  <c r="D856" i="1"/>
  <c r="C856" i="1"/>
  <c r="B856" i="1"/>
  <c r="E855" i="1"/>
  <c r="D855" i="1"/>
  <c r="C855" i="1"/>
  <c r="B855" i="1"/>
  <c r="E854" i="1"/>
  <c r="D854" i="1"/>
  <c r="C854" i="1"/>
  <c r="B854" i="1"/>
  <c r="E853" i="1"/>
  <c r="D853" i="1"/>
  <c r="C853" i="1"/>
  <c r="B853" i="1"/>
  <c r="E852" i="1"/>
  <c r="D852" i="1"/>
  <c r="C852" i="1"/>
  <c r="B852" i="1"/>
  <c r="E851" i="1"/>
  <c r="D851" i="1"/>
  <c r="C851" i="1"/>
  <c r="B851" i="1"/>
  <c r="E850" i="1"/>
  <c r="D850" i="1"/>
  <c r="C850" i="1"/>
  <c r="B850" i="1"/>
  <c r="E849" i="1"/>
  <c r="D849" i="1"/>
  <c r="C849" i="1"/>
  <c r="B849" i="1"/>
  <c r="E848" i="1"/>
  <c r="D848" i="1"/>
  <c r="C848" i="1"/>
  <c r="B848" i="1"/>
  <c r="E847" i="1"/>
  <c r="D847" i="1"/>
  <c r="C847" i="1"/>
  <c r="B847" i="1"/>
  <c r="E846" i="1"/>
  <c r="D846" i="1"/>
  <c r="C846" i="1"/>
  <c r="B846" i="1"/>
  <c r="E845" i="1"/>
  <c r="D845" i="1"/>
  <c r="C845" i="1"/>
  <c r="B845" i="1"/>
  <c r="E844" i="1"/>
  <c r="D844" i="1"/>
  <c r="C844" i="1"/>
  <c r="B844" i="1"/>
  <c r="E843" i="1"/>
  <c r="D843" i="1"/>
  <c r="C843" i="1"/>
  <c r="B843" i="1"/>
  <c r="E842" i="1"/>
  <c r="D842" i="1"/>
  <c r="C842" i="1"/>
  <c r="B842" i="1"/>
  <c r="E841" i="1"/>
  <c r="D841" i="1"/>
  <c r="C841" i="1"/>
  <c r="B841" i="1"/>
  <c r="E840" i="1"/>
  <c r="D840" i="1"/>
  <c r="C840" i="1"/>
  <c r="B840" i="1"/>
  <c r="E839" i="1"/>
  <c r="D839" i="1"/>
  <c r="C839" i="1"/>
  <c r="B839" i="1"/>
  <c r="E838" i="1"/>
  <c r="D838" i="1"/>
  <c r="C838" i="1"/>
  <c r="B838" i="1"/>
  <c r="E837" i="1"/>
  <c r="D837" i="1"/>
  <c r="C837" i="1"/>
  <c r="B837" i="1"/>
  <c r="E836" i="1"/>
  <c r="D836" i="1"/>
  <c r="C836" i="1"/>
  <c r="B836" i="1"/>
  <c r="E835" i="1"/>
  <c r="D835" i="1"/>
  <c r="C835" i="1"/>
  <c r="B835" i="1"/>
  <c r="E834" i="1"/>
  <c r="D834" i="1"/>
  <c r="C834" i="1"/>
  <c r="B834" i="1"/>
  <c r="E833" i="1"/>
  <c r="D833" i="1"/>
  <c r="C833" i="1"/>
  <c r="B833" i="1"/>
  <c r="E832" i="1"/>
  <c r="D832" i="1"/>
  <c r="C832" i="1"/>
  <c r="B832" i="1"/>
  <c r="E831" i="1"/>
  <c r="D831" i="1"/>
  <c r="C831" i="1"/>
  <c r="B831" i="1"/>
  <c r="E830" i="1"/>
  <c r="D830" i="1"/>
  <c r="C830" i="1"/>
  <c r="B830" i="1"/>
  <c r="E829" i="1"/>
  <c r="D829" i="1"/>
  <c r="C829" i="1"/>
  <c r="B829" i="1"/>
  <c r="E828" i="1"/>
  <c r="D828" i="1"/>
  <c r="C828" i="1"/>
  <c r="B828" i="1"/>
  <c r="E827" i="1"/>
  <c r="D827" i="1"/>
  <c r="C827" i="1"/>
  <c r="B827" i="1"/>
  <c r="E826" i="1"/>
  <c r="D826" i="1"/>
  <c r="C826" i="1"/>
  <c r="B826" i="1"/>
  <c r="E825" i="1"/>
  <c r="D825" i="1"/>
  <c r="C825" i="1"/>
  <c r="B825" i="1"/>
  <c r="E824" i="1"/>
  <c r="D824" i="1"/>
  <c r="C824" i="1"/>
  <c r="B824" i="1"/>
  <c r="E823" i="1"/>
  <c r="D823" i="1"/>
  <c r="C823" i="1"/>
  <c r="B823" i="1"/>
  <c r="E822" i="1"/>
  <c r="D822" i="1"/>
  <c r="C822" i="1"/>
  <c r="B822" i="1"/>
  <c r="E821" i="1"/>
  <c r="D821" i="1"/>
  <c r="C821" i="1"/>
  <c r="B821" i="1"/>
  <c r="E820" i="1"/>
  <c r="D820" i="1"/>
  <c r="C820" i="1"/>
  <c r="B820" i="1"/>
  <c r="E819" i="1"/>
  <c r="D819" i="1"/>
  <c r="C819" i="1"/>
  <c r="B819" i="1"/>
  <c r="E818" i="1"/>
  <c r="D818" i="1"/>
  <c r="C818" i="1"/>
  <c r="B818" i="1"/>
  <c r="E817" i="1"/>
  <c r="D817" i="1"/>
  <c r="C817" i="1"/>
  <c r="B817" i="1"/>
  <c r="E816" i="1"/>
  <c r="D816" i="1"/>
  <c r="C816" i="1"/>
  <c r="B816" i="1"/>
  <c r="E815" i="1"/>
  <c r="D815" i="1"/>
  <c r="C815" i="1"/>
  <c r="B815" i="1"/>
  <c r="E814" i="1"/>
  <c r="D814" i="1"/>
  <c r="C814" i="1"/>
  <c r="B814" i="1"/>
  <c r="E813" i="1"/>
  <c r="D813" i="1"/>
  <c r="C813" i="1"/>
  <c r="B813" i="1"/>
  <c r="E812" i="1"/>
  <c r="D812" i="1"/>
  <c r="C812" i="1"/>
  <c r="B812" i="1"/>
  <c r="E811" i="1"/>
  <c r="D811" i="1"/>
  <c r="C811" i="1"/>
  <c r="B811" i="1"/>
  <c r="E810" i="1"/>
  <c r="D810" i="1"/>
  <c r="C810" i="1"/>
  <c r="B810" i="1"/>
  <c r="E809" i="1"/>
  <c r="D809" i="1"/>
  <c r="C809" i="1"/>
  <c r="B809" i="1"/>
  <c r="E808" i="1"/>
  <c r="D808" i="1"/>
  <c r="C808" i="1"/>
  <c r="B808" i="1"/>
  <c r="E807" i="1"/>
  <c r="D807" i="1"/>
  <c r="C807" i="1"/>
  <c r="B807" i="1"/>
  <c r="E806" i="1"/>
  <c r="D806" i="1"/>
  <c r="C806" i="1"/>
  <c r="B806" i="1"/>
  <c r="E805" i="1"/>
  <c r="D805" i="1"/>
  <c r="C805" i="1"/>
  <c r="B805" i="1"/>
  <c r="E804" i="1"/>
  <c r="D804" i="1"/>
  <c r="C804" i="1"/>
  <c r="B804" i="1"/>
  <c r="E803" i="1"/>
  <c r="D803" i="1"/>
  <c r="C803" i="1"/>
  <c r="B803" i="1"/>
  <c r="E802" i="1"/>
  <c r="D802" i="1"/>
  <c r="C802" i="1"/>
  <c r="B802" i="1"/>
  <c r="E801" i="1"/>
  <c r="D801" i="1"/>
  <c r="C801" i="1"/>
  <c r="B801" i="1"/>
  <c r="E800" i="1"/>
  <c r="D800" i="1"/>
  <c r="C800" i="1"/>
  <c r="B800" i="1"/>
  <c r="E799" i="1"/>
  <c r="D799" i="1"/>
  <c r="C799" i="1"/>
  <c r="B799" i="1"/>
  <c r="E798" i="1"/>
  <c r="D798" i="1"/>
  <c r="C798" i="1"/>
  <c r="B798" i="1"/>
  <c r="E797" i="1"/>
  <c r="D797" i="1"/>
  <c r="C797" i="1"/>
  <c r="B797" i="1"/>
  <c r="E796" i="1"/>
  <c r="D796" i="1"/>
  <c r="C796" i="1"/>
  <c r="B796" i="1"/>
  <c r="E795" i="1"/>
  <c r="D795" i="1"/>
  <c r="C795" i="1"/>
  <c r="B795" i="1"/>
  <c r="E794" i="1"/>
  <c r="D794" i="1"/>
  <c r="C794" i="1"/>
  <c r="B794" i="1"/>
  <c r="E793" i="1"/>
  <c r="D793" i="1"/>
  <c r="C793" i="1"/>
  <c r="B793" i="1"/>
  <c r="E792" i="1"/>
  <c r="D792" i="1"/>
  <c r="C792" i="1"/>
  <c r="B792" i="1"/>
  <c r="E791" i="1"/>
  <c r="D791" i="1"/>
  <c r="C791" i="1"/>
  <c r="B791" i="1"/>
  <c r="E790" i="1"/>
  <c r="D790" i="1"/>
  <c r="C790" i="1"/>
  <c r="B790" i="1"/>
  <c r="E789" i="1"/>
  <c r="D789" i="1"/>
  <c r="C789" i="1"/>
  <c r="B789" i="1"/>
  <c r="E788" i="1"/>
  <c r="D788" i="1"/>
  <c r="C788" i="1"/>
  <c r="B788" i="1"/>
  <c r="E787" i="1"/>
  <c r="D787" i="1"/>
  <c r="C787" i="1"/>
  <c r="B787" i="1"/>
  <c r="E786" i="1"/>
  <c r="D786" i="1"/>
  <c r="C786" i="1"/>
  <c r="B786" i="1"/>
  <c r="E785" i="1"/>
  <c r="D785" i="1"/>
  <c r="C785" i="1"/>
  <c r="B785" i="1"/>
  <c r="E784" i="1"/>
  <c r="D784" i="1"/>
  <c r="C784" i="1"/>
  <c r="B784" i="1"/>
  <c r="E783" i="1"/>
  <c r="D783" i="1"/>
  <c r="C783" i="1"/>
  <c r="B783" i="1"/>
  <c r="E782" i="1"/>
  <c r="D782" i="1"/>
  <c r="C782" i="1"/>
  <c r="B782" i="1"/>
  <c r="E781" i="1"/>
  <c r="D781" i="1"/>
  <c r="C781" i="1"/>
  <c r="B781" i="1"/>
  <c r="E780" i="1"/>
  <c r="D780" i="1"/>
  <c r="C780" i="1"/>
  <c r="B780" i="1"/>
  <c r="E779" i="1"/>
  <c r="D779" i="1"/>
  <c r="C779" i="1"/>
  <c r="B779" i="1"/>
  <c r="E778" i="1"/>
  <c r="D778" i="1"/>
  <c r="C778" i="1"/>
  <c r="B778" i="1"/>
  <c r="E777" i="1"/>
  <c r="D777" i="1"/>
  <c r="C777" i="1"/>
  <c r="B777" i="1"/>
  <c r="E776" i="1"/>
  <c r="D776" i="1"/>
  <c r="C776" i="1"/>
  <c r="B776" i="1"/>
  <c r="E775" i="1"/>
  <c r="D775" i="1"/>
  <c r="C775" i="1"/>
  <c r="B775" i="1"/>
  <c r="E774" i="1"/>
  <c r="D774" i="1"/>
  <c r="C774" i="1"/>
  <c r="B774" i="1"/>
  <c r="E773" i="1"/>
  <c r="D773" i="1"/>
  <c r="C773" i="1"/>
  <c r="B773" i="1"/>
  <c r="E772" i="1"/>
  <c r="D772" i="1"/>
  <c r="C772" i="1"/>
  <c r="B772" i="1"/>
  <c r="E771" i="1"/>
  <c r="D771" i="1"/>
  <c r="C771" i="1"/>
  <c r="B771" i="1"/>
  <c r="E770" i="1"/>
  <c r="D770" i="1"/>
  <c r="C770" i="1"/>
  <c r="B770" i="1"/>
  <c r="E769" i="1"/>
  <c r="D769" i="1"/>
  <c r="C769" i="1"/>
  <c r="B769" i="1"/>
  <c r="E768" i="1"/>
  <c r="D768" i="1"/>
  <c r="C768" i="1"/>
  <c r="B768" i="1"/>
  <c r="E767" i="1"/>
  <c r="D767" i="1"/>
  <c r="C767" i="1"/>
  <c r="B767" i="1"/>
  <c r="E766" i="1"/>
  <c r="D766" i="1"/>
  <c r="C766" i="1"/>
  <c r="B766" i="1"/>
  <c r="E765" i="1"/>
  <c r="D765" i="1"/>
  <c r="C765" i="1"/>
  <c r="B765" i="1"/>
  <c r="E764" i="1"/>
  <c r="D764" i="1"/>
  <c r="C764" i="1"/>
  <c r="B764" i="1"/>
  <c r="E763" i="1"/>
  <c r="D763" i="1"/>
  <c r="C763" i="1"/>
  <c r="B763" i="1"/>
  <c r="E762" i="1"/>
  <c r="D762" i="1"/>
  <c r="C762" i="1"/>
  <c r="B762" i="1"/>
  <c r="E761" i="1"/>
  <c r="D761" i="1"/>
  <c r="C761" i="1"/>
  <c r="B761" i="1"/>
  <c r="E760" i="1"/>
  <c r="D760" i="1"/>
  <c r="C760" i="1"/>
  <c r="B760" i="1"/>
  <c r="E759" i="1"/>
  <c r="D759" i="1"/>
  <c r="C759" i="1"/>
  <c r="B759" i="1"/>
  <c r="E758" i="1"/>
  <c r="D758" i="1"/>
  <c r="C758" i="1"/>
  <c r="B758" i="1"/>
  <c r="E757" i="1"/>
  <c r="D757" i="1"/>
  <c r="C757" i="1"/>
  <c r="B757" i="1"/>
  <c r="E756" i="1"/>
  <c r="D756" i="1"/>
  <c r="C756" i="1"/>
  <c r="B756" i="1"/>
  <c r="E755" i="1"/>
  <c r="D755" i="1"/>
  <c r="C755" i="1"/>
  <c r="B755" i="1"/>
  <c r="E754" i="1"/>
  <c r="D754" i="1"/>
  <c r="C754" i="1"/>
  <c r="B754" i="1"/>
  <c r="E753" i="1"/>
  <c r="D753" i="1"/>
  <c r="C753" i="1"/>
  <c r="B753" i="1"/>
  <c r="E752" i="1"/>
  <c r="D752" i="1"/>
  <c r="C752" i="1"/>
  <c r="B752" i="1"/>
  <c r="E751" i="1"/>
  <c r="D751" i="1"/>
  <c r="C751" i="1"/>
  <c r="B751" i="1"/>
  <c r="E750" i="1"/>
  <c r="D750" i="1"/>
  <c r="C750" i="1"/>
  <c r="B750" i="1"/>
  <c r="E749" i="1"/>
  <c r="D749" i="1"/>
  <c r="C749" i="1"/>
  <c r="B749" i="1"/>
  <c r="E748" i="1"/>
  <c r="D748" i="1"/>
  <c r="C748" i="1"/>
  <c r="B748" i="1"/>
  <c r="E747" i="1"/>
  <c r="D747" i="1"/>
  <c r="C747" i="1"/>
  <c r="B747" i="1"/>
  <c r="E746" i="1"/>
  <c r="D746" i="1"/>
  <c r="C746" i="1"/>
  <c r="B746" i="1"/>
  <c r="E745" i="1"/>
  <c r="D745" i="1"/>
  <c r="C745" i="1"/>
  <c r="E744" i="1"/>
  <c r="D744" i="1"/>
  <c r="C744" i="1"/>
  <c r="E743" i="1"/>
  <c r="D743" i="1"/>
  <c r="C743" i="1"/>
  <c r="B743" i="1"/>
  <c r="E742" i="1"/>
  <c r="D742" i="1"/>
  <c r="C742" i="1"/>
  <c r="B742" i="1"/>
  <c r="E741" i="1"/>
  <c r="D741" i="1"/>
  <c r="C741" i="1"/>
  <c r="B741" i="1"/>
  <c r="E740" i="1"/>
  <c r="D740" i="1"/>
  <c r="C740" i="1"/>
  <c r="B740" i="1"/>
  <c r="E739" i="1"/>
  <c r="D739" i="1"/>
  <c r="C739" i="1"/>
  <c r="B739" i="1"/>
  <c r="E738" i="1"/>
  <c r="D738" i="1"/>
  <c r="C738" i="1"/>
  <c r="B738" i="1"/>
  <c r="E737" i="1"/>
  <c r="D737" i="1"/>
  <c r="C737" i="1"/>
  <c r="B737" i="1"/>
  <c r="E736" i="1"/>
  <c r="D736" i="1"/>
  <c r="C736" i="1"/>
  <c r="B736" i="1"/>
  <c r="E735" i="1"/>
  <c r="D735" i="1"/>
  <c r="C735" i="1"/>
  <c r="B735" i="1"/>
  <c r="E734" i="1"/>
  <c r="D734" i="1"/>
  <c r="C734" i="1"/>
  <c r="B734" i="1"/>
  <c r="E733" i="1"/>
  <c r="D733" i="1"/>
  <c r="C733" i="1"/>
  <c r="B733" i="1"/>
  <c r="E732" i="1"/>
  <c r="D732" i="1"/>
  <c r="C732" i="1"/>
  <c r="B732" i="1"/>
  <c r="E731" i="1"/>
  <c r="D731" i="1"/>
  <c r="C731" i="1"/>
  <c r="B731" i="1"/>
  <c r="E730" i="1"/>
  <c r="D730" i="1"/>
  <c r="C730" i="1"/>
  <c r="B730" i="1"/>
  <c r="E729" i="1"/>
  <c r="D729" i="1"/>
  <c r="C729" i="1"/>
  <c r="B729" i="1"/>
  <c r="E728" i="1"/>
  <c r="D728" i="1"/>
  <c r="C728" i="1"/>
  <c r="B728" i="1"/>
  <c r="E727" i="1"/>
  <c r="D727" i="1"/>
  <c r="C727" i="1"/>
  <c r="B727" i="1"/>
  <c r="E726" i="1"/>
  <c r="D726" i="1"/>
  <c r="C726" i="1"/>
  <c r="B726" i="1"/>
  <c r="E725" i="1"/>
  <c r="D725" i="1"/>
  <c r="C725" i="1"/>
  <c r="B725" i="1"/>
  <c r="E724" i="1"/>
  <c r="D724" i="1"/>
  <c r="C724" i="1"/>
  <c r="B724" i="1"/>
  <c r="E723" i="1"/>
  <c r="D723" i="1"/>
  <c r="C723" i="1"/>
  <c r="B723" i="1"/>
  <c r="E722" i="1"/>
  <c r="D722" i="1"/>
  <c r="C722" i="1"/>
  <c r="B722" i="1"/>
  <c r="E721" i="1"/>
  <c r="D721" i="1"/>
  <c r="C721" i="1"/>
  <c r="B721" i="1"/>
  <c r="E720" i="1"/>
  <c r="D720" i="1"/>
  <c r="C720" i="1"/>
  <c r="B720" i="1"/>
  <c r="E719" i="1"/>
  <c r="D719" i="1"/>
  <c r="C719" i="1"/>
  <c r="B719" i="1"/>
  <c r="E718" i="1"/>
  <c r="D718" i="1"/>
  <c r="C718" i="1"/>
  <c r="B718" i="1"/>
  <c r="E717" i="1"/>
  <c r="D717" i="1"/>
  <c r="C717" i="1"/>
  <c r="B717" i="1"/>
  <c r="E716" i="1"/>
  <c r="D716" i="1"/>
  <c r="C716" i="1"/>
  <c r="B716" i="1"/>
  <c r="E715" i="1"/>
  <c r="D715" i="1"/>
  <c r="C715" i="1"/>
  <c r="B715" i="1"/>
  <c r="E714" i="1"/>
  <c r="D714" i="1"/>
  <c r="C714" i="1"/>
  <c r="B714" i="1"/>
  <c r="E713" i="1"/>
  <c r="D713" i="1"/>
  <c r="C713" i="1"/>
  <c r="B713" i="1"/>
  <c r="E712" i="1"/>
  <c r="D712" i="1"/>
  <c r="C712" i="1"/>
  <c r="B712" i="1"/>
  <c r="E711" i="1"/>
  <c r="D711" i="1"/>
  <c r="C711" i="1"/>
  <c r="B711" i="1"/>
  <c r="E710" i="1"/>
  <c r="D710" i="1"/>
  <c r="C710" i="1"/>
  <c r="B710" i="1"/>
  <c r="E709" i="1"/>
  <c r="D709" i="1"/>
  <c r="C709" i="1"/>
  <c r="B709" i="1"/>
  <c r="E708" i="1"/>
  <c r="D708" i="1"/>
  <c r="C708" i="1"/>
  <c r="B708" i="1"/>
  <c r="E707" i="1"/>
  <c r="D707" i="1"/>
  <c r="C707" i="1"/>
  <c r="B707" i="1"/>
  <c r="E706" i="1"/>
  <c r="D706" i="1"/>
  <c r="C706" i="1"/>
  <c r="B706" i="1"/>
  <c r="E705" i="1"/>
  <c r="D705" i="1"/>
  <c r="C705" i="1"/>
  <c r="B705" i="1"/>
  <c r="E704" i="1"/>
  <c r="D704" i="1"/>
  <c r="C704" i="1"/>
  <c r="B704" i="1"/>
  <c r="E703" i="1"/>
  <c r="D703" i="1"/>
  <c r="C703" i="1"/>
  <c r="B703" i="1"/>
  <c r="E702" i="1"/>
  <c r="D702" i="1"/>
  <c r="C702" i="1"/>
  <c r="B702" i="1"/>
  <c r="E701" i="1"/>
  <c r="D701" i="1"/>
  <c r="C701" i="1"/>
  <c r="B701" i="1"/>
  <c r="E700" i="1"/>
  <c r="D700" i="1"/>
  <c r="C700" i="1"/>
  <c r="B700" i="1"/>
  <c r="E699" i="1"/>
  <c r="D699" i="1"/>
  <c r="C699" i="1"/>
  <c r="B699" i="1"/>
  <c r="E698" i="1"/>
  <c r="D698" i="1"/>
  <c r="C698" i="1"/>
  <c r="B698" i="1"/>
  <c r="E697" i="1"/>
  <c r="D697" i="1"/>
  <c r="C697" i="1"/>
  <c r="B697" i="1"/>
  <c r="E696" i="1"/>
  <c r="D696" i="1"/>
  <c r="C696" i="1"/>
  <c r="B696" i="1"/>
  <c r="E695" i="1"/>
  <c r="D695" i="1"/>
  <c r="C695" i="1"/>
  <c r="E694" i="1"/>
  <c r="D694" i="1"/>
  <c r="C694" i="1"/>
  <c r="B694" i="1"/>
  <c r="E693" i="1"/>
  <c r="D693" i="1"/>
  <c r="C693" i="1"/>
  <c r="B693" i="1"/>
  <c r="E692" i="1"/>
  <c r="D692" i="1"/>
  <c r="C692" i="1"/>
  <c r="B692" i="1"/>
  <c r="E691" i="1"/>
  <c r="D691" i="1"/>
  <c r="C691" i="1"/>
  <c r="B691" i="1"/>
  <c r="E690" i="1"/>
  <c r="D690" i="1"/>
  <c r="C690" i="1"/>
  <c r="B690" i="1"/>
  <c r="E689" i="1"/>
  <c r="D689" i="1"/>
  <c r="C689" i="1"/>
  <c r="B689" i="1"/>
  <c r="E688" i="1"/>
  <c r="D688" i="1"/>
  <c r="C688" i="1"/>
  <c r="B688" i="1"/>
  <c r="E687" i="1"/>
  <c r="D687" i="1"/>
  <c r="C687" i="1"/>
  <c r="B687" i="1"/>
  <c r="E686" i="1"/>
  <c r="D686" i="1"/>
  <c r="C686" i="1"/>
  <c r="B686" i="1"/>
  <c r="E685" i="1"/>
  <c r="D685" i="1"/>
  <c r="C685" i="1"/>
  <c r="B685" i="1"/>
  <c r="E684" i="1"/>
  <c r="D684" i="1"/>
  <c r="C684" i="1"/>
  <c r="B684" i="1"/>
  <c r="E683" i="1"/>
  <c r="D683" i="1"/>
  <c r="C683" i="1"/>
  <c r="B683" i="1"/>
  <c r="E682" i="1"/>
  <c r="D682" i="1"/>
  <c r="C682" i="1"/>
  <c r="B682" i="1"/>
  <c r="E681" i="1"/>
  <c r="D681" i="1"/>
  <c r="C681" i="1"/>
  <c r="B681" i="1"/>
  <c r="E680" i="1"/>
  <c r="D680" i="1"/>
  <c r="C680" i="1"/>
  <c r="B680" i="1"/>
  <c r="E679" i="1"/>
  <c r="D679" i="1"/>
  <c r="C679" i="1"/>
  <c r="B679" i="1"/>
  <c r="E678" i="1"/>
  <c r="D678" i="1"/>
  <c r="C678" i="1"/>
  <c r="B678" i="1"/>
  <c r="E677" i="1"/>
  <c r="D677" i="1"/>
  <c r="C677" i="1"/>
  <c r="B677" i="1"/>
  <c r="E676" i="1"/>
  <c r="D676" i="1"/>
  <c r="C676" i="1"/>
  <c r="B676" i="1"/>
  <c r="E675" i="1"/>
  <c r="D675" i="1"/>
  <c r="C675" i="1"/>
  <c r="B675" i="1"/>
  <c r="E674" i="1"/>
  <c r="D674" i="1"/>
  <c r="C674" i="1"/>
  <c r="B674" i="1"/>
  <c r="E673" i="1"/>
  <c r="D673" i="1"/>
  <c r="C673" i="1"/>
  <c r="B673" i="1"/>
  <c r="E672" i="1"/>
  <c r="D672" i="1"/>
  <c r="C672" i="1"/>
  <c r="B672" i="1"/>
  <c r="E671" i="1"/>
  <c r="D671" i="1"/>
  <c r="C671" i="1"/>
  <c r="B671" i="1"/>
  <c r="E670" i="1"/>
  <c r="D670" i="1"/>
  <c r="C670" i="1"/>
  <c r="B670" i="1"/>
  <c r="E669" i="1"/>
  <c r="D669" i="1"/>
  <c r="C669" i="1"/>
  <c r="B669" i="1"/>
  <c r="E668" i="1"/>
  <c r="D668" i="1"/>
  <c r="C668" i="1"/>
  <c r="B668" i="1"/>
  <c r="E667" i="1"/>
  <c r="D667" i="1"/>
  <c r="C667" i="1"/>
  <c r="B667" i="1"/>
  <c r="E666" i="1"/>
  <c r="D666" i="1"/>
  <c r="C666" i="1"/>
  <c r="B666" i="1"/>
  <c r="E665" i="1"/>
  <c r="D665" i="1"/>
  <c r="C665" i="1"/>
  <c r="B665" i="1"/>
  <c r="E664" i="1"/>
  <c r="D664" i="1"/>
  <c r="C664" i="1"/>
  <c r="B664" i="1"/>
  <c r="E663" i="1"/>
  <c r="D663" i="1"/>
  <c r="C663" i="1"/>
  <c r="B663" i="1"/>
  <c r="E662" i="1"/>
  <c r="D662" i="1"/>
  <c r="C662" i="1"/>
  <c r="B662" i="1"/>
  <c r="E661" i="1"/>
  <c r="D661" i="1"/>
  <c r="C661" i="1"/>
  <c r="B661" i="1"/>
  <c r="E660" i="1"/>
  <c r="D660" i="1"/>
  <c r="C660" i="1"/>
  <c r="B660" i="1"/>
  <c r="E659" i="1"/>
  <c r="D659" i="1"/>
  <c r="C659" i="1"/>
  <c r="B659" i="1"/>
  <c r="E658" i="1"/>
  <c r="D658" i="1"/>
  <c r="C658" i="1"/>
  <c r="B658" i="1"/>
  <c r="E657" i="1"/>
  <c r="D657" i="1"/>
  <c r="C657" i="1"/>
  <c r="B657" i="1"/>
  <c r="E656" i="1"/>
  <c r="D656" i="1"/>
  <c r="C656" i="1"/>
  <c r="B656" i="1"/>
  <c r="E655" i="1"/>
  <c r="D655" i="1"/>
  <c r="C655" i="1"/>
  <c r="E654" i="1"/>
  <c r="D654" i="1"/>
  <c r="C654" i="1"/>
  <c r="B654" i="1"/>
  <c r="E653" i="1"/>
  <c r="D653" i="1"/>
  <c r="C653" i="1"/>
  <c r="B653" i="1"/>
  <c r="E652" i="1"/>
  <c r="D652" i="1"/>
  <c r="C652" i="1"/>
  <c r="B652" i="1"/>
  <c r="E651" i="1"/>
  <c r="D651" i="1"/>
  <c r="C651" i="1"/>
  <c r="B651" i="1"/>
  <c r="E650" i="1"/>
  <c r="D650" i="1"/>
  <c r="C650" i="1"/>
  <c r="B650" i="1"/>
  <c r="E649" i="1"/>
  <c r="D649" i="1"/>
  <c r="C649" i="1"/>
  <c r="B649" i="1"/>
  <c r="E648" i="1"/>
  <c r="D648" i="1"/>
  <c r="C648" i="1"/>
  <c r="B648" i="1"/>
  <c r="E647" i="1"/>
  <c r="D647" i="1"/>
  <c r="C647" i="1"/>
  <c r="B647" i="1"/>
  <c r="E646" i="1"/>
  <c r="D646" i="1"/>
  <c r="C646" i="1"/>
  <c r="B646" i="1"/>
  <c r="E645" i="1"/>
  <c r="D645" i="1"/>
  <c r="C645" i="1"/>
  <c r="B645" i="1"/>
  <c r="E644" i="1"/>
  <c r="D644" i="1"/>
  <c r="C644" i="1"/>
  <c r="B644" i="1"/>
  <c r="E643" i="1"/>
  <c r="D643" i="1"/>
  <c r="C643" i="1"/>
  <c r="B643" i="1"/>
  <c r="E642" i="1"/>
  <c r="D642" i="1"/>
  <c r="C642" i="1"/>
  <c r="B642" i="1"/>
  <c r="E641" i="1"/>
  <c r="D641" i="1"/>
  <c r="C641" i="1"/>
  <c r="B641" i="1"/>
  <c r="E640" i="1"/>
  <c r="D640" i="1"/>
  <c r="C640" i="1"/>
  <c r="B640" i="1"/>
  <c r="E639" i="1"/>
  <c r="D639" i="1"/>
  <c r="C639" i="1"/>
  <c r="B639" i="1"/>
  <c r="E638" i="1"/>
  <c r="D638" i="1"/>
  <c r="C638" i="1"/>
  <c r="B638" i="1"/>
  <c r="E637" i="1"/>
  <c r="D637" i="1"/>
  <c r="C637" i="1"/>
  <c r="B637" i="1"/>
  <c r="E636" i="1"/>
  <c r="D636" i="1"/>
  <c r="C636" i="1"/>
  <c r="B636" i="1"/>
  <c r="E635" i="1"/>
  <c r="D635" i="1"/>
  <c r="C635" i="1"/>
  <c r="B635" i="1"/>
  <c r="E634" i="1"/>
  <c r="D634" i="1"/>
  <c r="C634" i="1"/>
  <c r="B634" i="1"/>
  <c r="E633" i="1"/>
  <c r="D633" i="1"/>
  <c r="C633" i="1"/>
  <c r="B633" i="1"/>
  <c r="E632" i="1"/>
  <c r="D632" i="1"/>
  <c r="C632" i="1"/>
  <c r="B632" i="1"/>
  <c r="E631" i="1"/>
  <c r="D631" i="1"/>
  <c r="C631" i="1"/>
  <c r="B631" i="1"/>
  <c r="E630" i="1"/>
  <c r="D630" i="1"/>
  <c r="C630" i="1"/>
  <c r="B630" i="1"/>
  <c r="E629" i="1"/>
  <c r="D629" i="1"/>
  <c r="C629" i="1"/>
  <c r="B629" i="1"/>
  <c r="E628" i="1"/>
  <c r="D628" i="1"/>
  <c r="C628" i="1"/>
  <c r="B628" i="1"/>
  <c r="E627" i="1"/>
  <c r="D627" i="1"/>
  <c r="C627" i="1"/>
  <c r="B627" i="1"/>
  <c r="E626" i="1"/>
  <c r="D626" i="1"/>
  <c r="C626" i="1"/>
  <c r="B626" i="1"/>
  <c r="E625" i="1"/>
  <c r="D625" i="1"/>
  <c r="C625" i="1"/>
  <c r="B625" i="1"/>
  <c r="E624" i="1"/>
  <c r="D624" i="1"/>
  <c r="C624" i="1"/>
  <c r="B624" i="1"/>
  <c r="E623" i="1"/>
  <c r="D623" i="1"/>
  <c r="C623" i="1"/>
  <c r="B623" i="1"/>
  <c r="E622" i="1"/>
  <c r="D622" i="1"/>
  <c r="C622" i="1"/>
  <c r="B622" i="1"/>
  <c r="E621" i="1"/>
  <c r="D621" i="1"/>
  <c r="C621" i="1"/>
  <c r="B621" i="1"/>
  <c r="E620" i="1"/>
  <c r="D620" i="1"/>
  <c r="C620" i="1"/>
  <c r="B620" i="1"/>
  <c r="E619" i="1"/>
  <c r="D619" i="1"/>
  <c r="C619" i="1"/>
  <c r="B619" i="1"/>
  <c r="E618" i="1"/>
  <c r="D618" i="1"/>
  <c r="C618" i="1"/>
  <c r="B618" i="1"/>
  <c r="E617" i="1"/>
  <c r="D617" i="1"/>
  <c r="C617" i="1"/>
  <c r="B617" i="1"/>
  <c r="E616" i="1"/>
  <c r="D616" i="1"/>
  <c r="C616" i="1"/>
  <c r="B616" i="1"/>
  <c r="E615" i="1"/>
  <c r="D615" i="1"/>
  <c r="C615" i="1"/>
  <c r="B615" i="1"/>
  <c r="E614" i="1"/>
  <c r="D614" i="1"/>
  <c r="C614" i="1"/>
  <c r="B614" i="1"/>
  <c r="E613" i="1"/>
  <c r="D613" i="1"/>
  <c r="C613" i="1"/>
  <c r="B613" i="1"/>
  <c r="E612" i="1"/>
  <c r="D612" i="1"/>
  <c r="C612" i="1"/>
  <c r="B612" i="1"/>
  <c r="E611" i="1"/>
  <c r="D611" i="1"/>
  <c r="C611" i="1"/>
  <c r="B611" i="1"/>
  <c r="E610" i="1"/>
  <c r="D610" i="1"/>
  <c r="C610" i="1"/>
  <c r="B610" i="1"/>
  <c r="E609" i="1"/>
  <c r="D609" i="1"/>
  <c r="C609" i="1"/>
  <c r="B609" i="1"/>
  <c r="E608" i="1"/>
  <c r="D608" i="1"/>
  <c r="C608" i="1"/>
  <c r="B608" i="1"/>
  <c r="E607" i="1"/>
  <c r="D607" i="1"/>
  <c r="C607" i="1"/>
  <c r="B607" i="1"/>
  <c r="E606" i="1"/>
  <c r="D606" i="1"/>
  <c r="C606" i="1"/>
  <c r="B606" i="1"/>
  <c r="E605" i="1"/>
  <c r="D605" i="1"/>
  <c r="C605" i="1"/>
  <c r="B605" i="1"/>
  <c r="E604" i="1"/>
  <c r="D604" i="1"/>
  <c r="C604" i="1"/>
  <c r="B604" i="1"/>
  <c r="E603" i="1"/>
  <c r="D603" i="1"/>
  <c r="C603" i="1"/>
  <c r="B603" i="1"/>
  <c r="E602" i="1"/>
  <c r="D602" i="1"/>
  <c r="C602" i="1"/>
  <c r="B602" i="1"/>
  <c r="E601" i="1"/>
  <c r="D601" i="1"/>
  <c r="C601" i="1"/>
  <c r="B601" i="1"/>
  <c r="E600" i="1"/>
  <c r="D600" i="1"/>
  <c r="C600" i="1"/>
  <c r="B600" i="1"/>
  <c r="E599" i="1"/>
  <c r="D599" i="1"/>
  <c r="C599" i="1"/>
  <c r="B599" i="1"/>
  <c r="E598" i="1"/>
  <c r="D598" i="1"/>
  <c r="C598" i="1"/>
  <c r="B598" i="1"/>
  <c r="E597" i="1"/>
  <c r="D597" i="1"/>
  <c r="C597" i="1"/>
  <c r="B597" i="1"/>
  <c r="E596" i="1"/>
  <c r="D596" i="1"/>
  <c r="C596" i="1"/>
  <c r="B596" i="1"/>
  <c r="E595" i="1"/>
  <c r="D595" i="1"/>
  <c r="C595" i="1"/>
  <c r="B595" i="1"/>
  <c r="E594" i="1"/>
  <c r="D594" i="1"/>
  <c r="C594" i="1"/>
  <c r="B594" i="1"/>
  <c r="E593" i="1"/>
  <c r="D593" i="1"/>
  <c r="C593" i="1"/>
  <c r="B593" i="1"/>
  <c r="E592" i="1"/>
  <c r="D592" i="1"/>
  <c r="C592" i="1"/>
  <c r="B592" i="1"/>
  <c r="E591" i="1"/>
  <c r="D591" i="1"/>
  <c r="C591" i="1"/>
  <c r="B591" i="1"/>
  <c r="E590" i="1"/>
  <c r="D590" i="1"/>
  <c r="C590" i="1"/>
  <c r="B590" i="1"/>
  <c r="E589" i="1"/>
  <c r="D589" i="1"/>
  <c r="C589" i="1"/>
  <c r="B589" i="1"/>
  <c r="E588" i="1"/>
  <c r="D588" i="1"/>
  <c r="C588" i="1"/>
  <c r="B588" i="1"/>
  <c r="E587" i="1"/>
  <c r="D587" i="1"/>
  <c r="C587" i="1"/>
  <c r="B587" i="1"/>
  <c r="E586" i="1"/>
  <c r="D586" i="1"/>
  <c r="C586" i="1"/>
  <c r="B586" i="1"/>
  <c r="E585" i="1"/>
  <c r="D585" i="1"/>
  <c r="C585" i="1"/>
  <c r="B585" i="1"/>
  <c r="E584" i="1"/>
  <c r="D584" i="1"/>
  <c r="C584" i="1"/>
  <c r="B584" i="1"/>
  <c r="E583" i="1"/>
  <c r="D583" i="1"/>
  <c r="C583" i="1"/>
  <c r="B583" i="1"/>
  <c r="E582" i="1"/>
  <c r="D582" i="1"/>
  <c r="C582" i="1"/>
  <c r="B582" i="1"/>
  <c r="E581" i="1"/>
  <c r="D581" i="1"/>
  <c r="C581" i="1"/>
  <c r="B581" i="1"/>
  <c r="E580" i="1"/>
  <c r="D580" i="1"/>
  <c r="C580" i="1"/>
  <c r="B580" i="1"/>
  <c r="E579" i="1"/>
  <c r="D579" i="1"/>
  <c r="C579" i="1"/>
  <c r="B579" i="1"/>
  <c r="E578" i="1"/>
  <c r="D578" i="1"/>
  <c r="C578" i="1"/>
  <c r="B578" i="1"/>
  <c r="E577" i="1"/>
  <c r="D577" i="1"/>
  <c r="C577" i="1"/>
  <c r="B577" i="1"/>
  <c r="E576" i="1"/>
  <c r="D576" i="1"/>
  <c r="C576" i="1"/>
  <c r="E575" i="1"/>
  <c r="D575" i="1"/>
  <c r="C575" i="1"/>
  <c r="B575" i="1"/>
  <c r="E574" i="1"/>
  <c r="D574" i="1"/>
  <c r="C574" i="1"/>
  <c r="B574" i="1"/>
  <c r="E573" i="1"/>
  <c r="D573" i="1"/>
  <c r="C573" i="1"/>
  <c r="B573" i="1"/>
  <c r="E572" i="1"/>
  <c r="D572" i="1"/>
  <c r="C572" i="1"/>
  <c r="B572" i="1"/>
  <c r="E571" i="1"/>
  <c r="D571" i="1"/>
  <c r="C571" i="1"/>
  <c r="B571" i="1"/>
  <c r="E570" i="1"/>
  <c r="D570" i="1"/>
  <c r="C570" i="1"/>
  <c r="B570" i="1"/>
  <c r="E569" i="1"/>
  <c r="D569" i="1"/>
  <c r="C569" i="1"/>
  <c r="B569" i="1"/>
  <c r="E568" i="1"/>
  <c r="D568" i="1"/>
  <c r="C568" i="1"/>
  <c r="B568" i="1"/>
  <c r="E567" i="1"/>
  <c r="D567" i="1"/>
  <c r="C567" i="1"/>
  <c r="B567" i="1"/>
  <c r="E566" i="1"/>
  <c r="D566" i="1"/>
  <c r="C566" i="1"/>
  <c r="B566" i="1"/>
  <c r="E565" i="1"/>
  <c r="D565" i="1"/>
  <c r="C565" i="1"/>
  <c r="B565" i="1"/>
  <c r="E564" i="1"/>
  <c r="D564" i="1"/>
  <c r="C564" i="1"/>
  <c r="B564" i="1"/>
  <c r="E563" i="1"/>
  <c r="D563" i="1"/>
  <c r="C563" i="1"/>
  <c r="B563" i="1"/>
  <c r="E562" i="1"/>
  <c r="D562" i="1"/>
  <c r="C562" i="1"/>
  <c r="B562" i="1"/>
  <c r="E561" i="1"/>
  <c r="D561" i="1"/>
  <c r="C561" i="1"/>
  <c r="B561" i="1"/>
  <c r="E560" i="1"/>
  <c r="D560" i="1"/>
  <c r="C560" i="1"/>
  <c r="B560" i="1"/>
  <c r="E559" i="1"/>
  <c r="D559" i="1"/>
  <c r="C559" i="1"/>
  <c r="B559" i="1"/>
  <c r="E558" i="1"/>
  <c r="D558" i="1"/>
  <c r="C558" i="1"/>
  <c r="B558" i="1"/>
  <c r="E557" i="1"/>
  <c r="D557" i="1"/>
  <c r="C557" i="1"/>
  <c r="E556" i="1"/>
  <c r="D556" i="1"/>
  <c r="C556" i="1"/>
  <c r="B556" i="1"/>
  <c r="E555" i="1"/>
  <c r="D555" i="1"/>
  <c r="C555" i="1"/>
  <c r="B555" i="1"/>
  <c r="E554" i="1"/>
  <c r="D554" i="1"/>
  <c r="C554" i="1"/>
  <c r="B554" i="1"/>
  <c r="E553" i="1"/>
  <c r="D553" i="1"/>
  <c r="C553" i="1"/>
  <c r="B553" i="1"/>
  <c r="E552" i="1"/>
  <c r="D552" i="1"/>
  <c r="C552" i="1"/>
  <c r="B552" i="1"/>
  <c r="E551" i="1"/>
  <c r="D551" i="1"/>
  <c r="C551" i="1"/>
  <c r="B551" i="1"/>
  <c r="E550" i="1"/>
  <c r="D550" i="1"/>
  <c r="C550" i="1"/>
  <c r="B550" i="1"/>
  <c r="E549" i="1"/>
  <c r="D549" i="1"/>
  <c r="C549" i="1"/>
  <c r="B549" i="1"/>
  <c r="E548" i="1"/>
  <c r="D548" i="1"/>
  <c r="C548" i="1"/>
  <c r="B548" i="1"/>
  <c r="E547" i="1"/>
  <c r="D547" i="1"/>
  <c r="C547" i="1"/>
  <c r="B547" i="1"/>
  <c r="E546" i="1"/>
  <c r="D546" i="1"/>
  <c r="C546" i="1"/>
  <c r="B546" i="1"/>
  <c r="E545" i="1"/>
  <c r="D545" i="1"/>
  <c r="C545" i="1"/>
  <c r="B545" i="1"/>
  <c r="E544" i="1"/>
  <c r="D544" i="1"/>
  <c r="C544" i="1"/>
  <c r="B544" i="1"/>
  <c r="E543" i="1"/>
  <c r="D543" i="1"/>
  <c r="C543" i="1"/>
  <c r="B543" i="1"/>
  <c r="E542" i="1"/>
  <c r="D542" i="1"/>
  <c r="C542" i="1"/>
  <c r="B542" i="1"/>
  <c r="E541" i="1"/>
  <c r="D541" i="1"/>
  <c r="C541" i="1"/>
  <c r="B541" i="1"/>
  <c r="E540" i="1"/>
  <c r="D540" i="1"/>
  <c r="C540" i="1"/>
  <c r="B540" i="1"/>
  <c r="E539" i="1"/>
  <c r="D539" i="1"/>
  <c r="C539" i="1"/>
  <c r="B539" i="1"/>
  <c r="E538" i="1"/>
  <c r="D538" i="1"/>
  <c r="C538" i="1"/>
  <c r="B538" i="1"/>
  <c r="E537" i="1"/>
  <c r="D537" i="1"/>
  <c r="C537" i="1"/>
  <c r="B537" i="1"/>
  <c r="E536" i="1"/>
  <c r="D536" i="1"/>
  <c r="C536" i="1"/>
  <c r="B536" i="1"/>
  <c r="E535" i="1"/>
  <c r="D535" i="1"/>
  <c r="C535" i="1"/>
  <c r="E534" i="1"/>
  <c r="D534" i="1"/>
  <c r="C534" i="1"/>
  <c r="B534" i="1"/>
  <c r="E533" i="1"/>
  <c r="D533" i="1"/>
  <c r="C533" i="1"/>
  <c r="B533" i="1"/>
  <c r="E532" i="1"/>
  <c r="D532" i="1"/>
  <c r="C532" i="1"/>
  <c r="B532" i="1"/>
  <c r="E531" i="1"/>
  <c r="D531" i="1"/>
  <c r="C531" i="1"/>
  <c r="B531" i="1"/>
  <c r="E530" i="1"/>
  <c r="D530" i="1"/>
  <c r="C530" i="1"/>
  <c r="B530" i="1"/>
  <c r="E529" i="1"/>
  <c r="D529" i="1"/>
  <c r="C529" i="1"/>
  <c r="B529" i="1"/>
  <c r="E528" i="1"/>
  <c r="D528" i="1"/>
  <c r="C528" i="1"/>
  <c r="B528" i="1"/>
  <c r="E527" i="1"/>
  <c r="D527" i="1"/>
  <c r="C527" i="1"/>
  <c r="B527" i="1"/>
  <c r="E526" i="1"/>
  <c r="D526" i="1"/>
  <c r="C526" i="1"/>
  <c r="E525" i="1"/>
  <c r="D525" i="1"/>
  <c r="C525" i="1"/>
  <c r="B525" i="1"/>
  <c r="E524" i="1"/>
  <c r="D524" i="1"/>
  <c r="C524" i="1"/>
  <c r="B524" i="1"/>
  <c r="E523" i="1"/>
  <c r="D523" i="1"/>
  <c r="C523" i="1"/>
  <c r="B523" i="1"/>
  <c r="E522" i="1"/>
  <c r="D522" i="1"/>
  <c r="C522" i="1"/>
  <c r="B522" i="1"/>
  <c r="E521" i="1"/>
  <c r="D521" i="1"/>
  <c r="C521" i="1"/>
  <c r="B521" i="1"/>
  <c r="E520" i="1"/>
  <c r="D520" i="1"/>
  <c r="C520" i="1"/>
  <c r="B520" i="1"/>
  <c r="E519" i="1"/>
  <c r="D519" i="1"/>
  <c r="C519" i="1"/>
  <c r="B519" i="1"/>
  <c r="E518" i="1"/>
  <c r="D518" i="1"/>
  <c r="C518" i="1"/>
  <c r="B518" i="1"/>
  <c r="E517" i="1"/>
  <c r="D517" i="1"/>
  <c r="C517" i="1"/>
  <c r="B517" i="1"/>
  <c r="E516" i="1"/>
  <c r="D516" i="1"/>
  <c r="C516" i="1"/>
  <c r="B516" i="1"/>
  <c r="E515" i="1"/>
  <c r="D515" i="1"/>
  <c r="C515" i="1"/>
  <c r="B515" i="1"/>
  <c r="E514" i="1"/>
  <c r="D514" i="1"/>
  <c r="C514" i="1"/>
  <c r="B514" i="1"/>
  <c r="E513" i="1"/>
  <c r="D513" i="1"/>
  <c r="C513" i="1"/>
  <c r="B513" i="1"/>
  <c r="E512" i="1"/>
  <c r="D512" i="1"/>
  <c r="C512" i="1"/>
  <c r="B512" i="1"/>
  <c r="E511" i="1"/>
  <c r="D511" i="1"/>
  <c r="C511" i="1"/>
  <c r="B511" i="1"/>
  <c r="E510" i="1"/>
  <c r="D510" i="1"/>
  <c r="C510" i="1"/>
  <c r="B510" i="1"/>
  <c r="E509" i="1"/>
  <c r="D509" i="1"/>
  <c r="C509" i="1"/>
  <c r="B509" i="1"/>
  <c r="E508" i="1"/>
  <c r="D508" i="1"/>
  <c r="C508" i="1"/>
  <c r="B508" i="1"/>
  <c r="E507" i="1"/>
  <c r="D507" i="1"/>
  <c r="C507" i="1"/>
  <c r="B507" i="1"/>
  <c r="E506" i="1"/>
  <c r="D506" i="1"/>
  <c r="C506" i="1"/>
  <c r="B506" i="1"/>
  <c r="E505" i="1"/>
  <c r="D505" i="1"/>
  <c r="C505" i="1"/>
  <c r="B505" i="1"/>
  <c r="E504" i="1"/>
  <c r="D504" i="1"/>
  <c r="C504" i="1"/>
  <c r="B504" i="1"/>
  <c r="E503" i="1"/>
  <c r="D503" i="1"/>
  <c r="C503" i="1"/>
  <c r="B503" i="1"/>
  <c r="E502" i="1"/>
  <c r="D502" i="1"/>
  <c r="C502" i="1"/>
  <c r="B502" i="1"/>
  <c r="E501" i="1"/>
  <c r="D501" i="1"/>
  <c r="C501" i="1"/>
  <c r="B501" i="1"/>
  <c r="E500" i="1"/>
  <c r="D500" i="1"/>
  <c r="C500" i="1"/>
  <c r="B500" i="1"/>
  <c r="E499" i="1"/>
  <c r="D499" i="1"/>
  <c r="C499" i="1"/>
  <c r="B499" i="1"/>
  <c r="E498" i="1"/>
  <c r="D498" i="1"/>
  <c r="C498" i="1"/>
  <c r="B498" i="1"/>
  <c r="E497" i="1"/>
  <c r="D497" i="1"/>
  <c r="C497" i="1"/>
  <c r="B497" i="1"/>
  <c r="E496" i="1"/>
  <c r="D496" i="1"/>
  <c r="C496" i="1"/>
  <c r="B496" i="1"/>
  <c r="E495" i="1"/>
  <c r="D495" i="1"/>
  <c r="C495" i="1"/>
  <c r="B495" i="1"/>
  <c r="E494" i="1"/>
  <c r="D494" i="1"/>
  <c r="C494" i="1"/>
  <c r="B494" i="1"/>
  <c r="E493" i="1"/>
  <c r="D493" i="1"/>
  <c r="C493" i="1"/>
  <c r="B493" i="1"/>
  <c r="E492" i="1"/>
  <c r="D492" i="1"/>
  <c r="C492" i="1"/>
  <c r="B492" i="1"/>
  <c r="E491" i="1"/>
  <c r="D491" i="1"/>
  <c r="C491" i="1"/>
  <c r="B491" i="1"/>
  <c r="E490" i="1"/>
  <c r="D490" i="1"/>
  <c r="C490" i="1"/>
  <c r="B490" i="1"/>
  <c r="E489" i="1"/>
  <c r="D489" i="1"/>
  <c r="C489" i="1"/>
  <c r="B489" i="1"/>
  <c r="E488" i="1"/>
  <c r="D488" i="1"/>
  <c r="C488" i="1"/>
  <c r="B488" i="1"/>
  <c r="E487" i="1"/>
  <c r="D487" i="1"/>
  <c r="C487" i="1"/>
  <c r="B487" i="1"/>
  <c r="E486" i="1"/>
  <c r="D486" i="1"/>
  <c r="C486" i="1"/>
  <c r="B486" i="1"/>
  <c r="E485" i="1"/>
  <c r="D485" i="1"/>
  <c r="C485" i="1"/>
  <c r="B485" i="1"/>
  <c r="E484" i="1"/>
  <c r="D484" i="1"/>
  <c r="C484" i="1"/>
  <c r="B484" i="1"/>
  <c r="E483" i="1"/>
  <c r="D483" i="1"/>
  <c r="C483" i="1"/>
  <c r="B483" i="1"/>
  <c r="E482" i="1"/>
  <c r="D482" i="1"/>
  <c r="C482" i="1"/>
  <c r="B482" i="1"/>
  <c r="E481" i="1"/>
  <c r="D481" i="1"/>
  <c r="C481" i="1"/>
  <c r="B481" i="1"/>
  <c r="E480" i="1"/>
  <c r="D480" i="1"/>
  <c r="C480" i="1"/>
  <c r="B480" i="1"/>
  <c r="E479" i="1"/>
  <c r="D479" i="1"/>
  <c r="C479" i="1"/>
  <c r="B479" i="1"/>
  <c r="E478" i="1"/>
  <c r="D478" i="1"/>
  <c r="C478" i="1"/>
  <c r="B478" i="1"/>
  <c r="E477" i="1"/>
  <c r="D477" i="1"/>
  <c r="C477" i="1"/>
  <c r="B477" i="1"/>
  <c r="E476" i="1"/>
  <c r="D476" i="1"/>
  <c r="C476" i="1"/>
  <c r="B476" i="1"/>
  <c r="E475" i="1"/>
  <c r="D475" i="1"/>
  <c r="C475" i="1"/>
  <c r="B475" i="1"/>
  <c r="E474" i="1"/>
  <c r="D474" i="1"/>
  <c r="C474" i="1"/>
  <c r="B474" i="1"/>
  <c r="E473" i="1"/>
  <c r="D473" i="1"/>
  <c r="C473" i="1"/>
  <c r="B473" i="1"/>
  <c r="E472" i="1"/>
  <c r="D472" i="1"/>
  <c r="C472" i="1"/>
  <c r="B472" i="1"/>
  <c r="E471" i="1"/>
  <c r="D471" i="1"/>
  <c r="C471" i="1"/>
  <c r="B471" i="1"/>
  <c r="E470" i="1"/>
  <c r="D470" i="1"/>
  <c r="C470" i="1"/>
  <c r="B470" i="1"/>
  <c r="E469" i="1"/>
  <c r="D469" i="1"/>
  <c r="C469" i="1"/>
  <c r="B469" i="1"/>
  <c r="E468" i="1"/>
  <c r="D468" i="1"/>
  <c r="C468" i="1"/>
  <c r="B468" i="1"/>
  <c r="E467" i="1"/>
  <c r="D467" i="1"/>
  <c r="C467" i="1"/>
  <c r="B467" i="1"/>
  <c r="E466" i="1"/>
  <c r="D466" i="1"/>
  <c r="C466" i="1"/>
  <c r="E465" i="1"/>
  <c r="D465" i="1"/>
  <c r="C465" i="1"/>
  <c r="B465" i="1"/>
  <c r="E464" i="1"/>
  <c r="D464" i="1"/>
  <c r="C464" i="1"/>
  <c r="B464" i="1"/>
  <c r="E463" i="1"/>
  <c r="D463" i="1"/>
  <c r="C463" i="1"/>
  <c r="B463" i="1"/>
  <c r="E462" i="1"/>
  <c r="D462" i="1"/>
  <c r="C462" i="1"/>
  <c r="B462" i="1"/>
  <c r="E461" i="1"/>
  <c r="D461" i="1"/>
  <c r="C461" i="1"/>
  <c r="B461" i="1"/>
  <c r="E460" i="1"/>
  <c r="D460" i="1"/>
  <c r="C460" i="1"/>
  <c r="B460" i="1"/>
  <c r="E459" i="1"/>
  <c r="D459" i="1"/>
  <c r="C459" i="1"/>
  <c r="B459" i="1"/>
  <c r="E458" i="1"/>
  <c r="D458" i="1"/>
  <c r="C458" i="1"/>
  <c r="B458" i="1"/>
  <c r="E457" i="1"/>
  <c r="D457" i="1"/>
  <c r="C457" i="1"/>
  <c r="B457" i="1"/>
  <c r="E456" i="1"/>
  <c r="D456" i="1"/>
  <c r="C456" i="1"/>
  <c r="B456" i="1"/>
  <c r="E455" i="1"/>
  <c r="D455" i="1"/>
  <c r="C455" i="1"/>
  <c r="B455" i="1"/>
  <c r="E454" i="1"/>
  <c r="D454" i="1"/>
  <c r="C454" i="1"/>
  <c r="B454" i="1"/>
  <c r="E453" i="1"/>
  <c r="D453" i="1"/>
  <c r="C453" i="1"/>
  <c r="B453" i="1"/>
  <c r="E452" i="1"/>
  <c r="D452" i="1"/>
  <c r="C452" i="1"/>
  <c r="B452" i="1"/>
  <c r="E451" i="1"/>
  <c r="D451" i="1"/>
  <c r="C451" i="1"/>
  <c r="B451" i="1"/>
  <c r="E450" i="1"/>
  <c r="D450" i="1"/>
  <c r="C450" i="1"/>
  <c r="B450" i="1"/>
  <c r="E449" i="1"/>
  <c r="D449" i="1"/>
  <c r="C449" i="1"/>
  <c r="B449" i="1"/>
  <c r="E448" i="1"/>
  <c r="D448" i="1"/>
  <c r="C448" i="1"/>
  <c r="B448" i="1"/>
  <c r="E447" i="1"/>
  <c r="D447" i="1"/>
  <c r="C447" i="1"/>
  <c r="B447" i="1"/>
  <c r="E446" i="1"/>
  <c r="D446" i="1"/>
  <c r="C446" i="1"/>
  <c r="B446" i="1"/>
  <c r="E445" i="1"/>
  <c r="D445" i="1"/>
  <c r="C445" i="1"/>
  <c r="B445" i="1"/>
  <c r="E444" i="1"/>
  <c r="D444" i="1"/>
  <c r="C444" i="1"/>
  <c r="B444" i="1"/>
  <c r="E443" i="1"/>
  <c r="D443" i="1"/>
  <c r="C443" i="1"/>
  <c r="B443" i="1"/>
  <c r="E442" i="1"/>
  <c r="D442" i="1"/>
  <c r="C442" i="1"/>
  <c r="B442" i="1"/>
  <c r="E441" i="1"/>
  <c r="D441" i="1"/>
  <c r="C441" i="1"/>
  <c r="B441" i="1"/>
  <c r="E440" i="1"/>
  <c r="D440" i="1"/>
  <c r="C440" i="1"/>
  <c r="B440" i="1"/>
  <c r="E439" i="1"/>
  <c r="D439" i="1"/>
  <c r="C439" i="1"/>
  <c r="B439" i="1"/>
  <c r="E438" i="1"/>
  <c r="D438" i="1"/>
  <c r="C438" i="1"/>
  <c r="B438" i="1"/>
  <c r="E437" i="1"/>
  <c r="D437" i="1"/>
  <c r="C437" i="1"/>
  <c r="B437" i="1"/>
  <c r="E436" i="1"/>
  <c r="D436" i="1"/>
  <c r="C436" i="1"/>
  <c r="B436" i="1"/>
  <c r="E435" i="1"/>
  <c r="D435" i="1"/>
  <c r="C435" i="1"/>
  <c r="B435" i="1"/>
  <c r="E434" i="1"/>
  <c r="D434" i="1"/>
  <c r="C434" i="1"/>
  <c r="B434" i="1"/>
  <c r="E433" i="1"/>
  <c r="D433" i="1"/>
  <c r="C433" i="1"/>
  <c r="B433" i="1"/>
  <c r="E432" i="1"/>
  <c r="D432" i="1"/>
  <c r="C432" i="1"/>
  <c r="B432" i="1"/>
  <c r="E431" i="1"/>
  <c r="D431" i="1"/>
  <c r="C431" i="1"/>
  <c r="B431" i="1"/>
  <c r="E430" i="1"/>
  <c r="D430" i="1"/>
  <c r="C430" i="1"/>
  <c r="B430" i="1"/>
  <c r="E429" i="1"/>
  <c r="D429" i="1"/>
  <c r="C429" i="1"/>
  <c r="E428" i="1"/>
  <c r="D428" i="1"/>
  <c r="C428" i="1"/>
  <c r="E427" i="1"/>
  <c r="D427" i="1"/>
  <c r="C427" i="1"/>
  <c r="B427" i="1"/>
  <c r="E426" i="1"/>
  <c r="D426" i="1"/>
  <c r="C426" i="1"/>
  <c r="B426" i="1"/>
  <c r="E425" i="1"/>
  <c r="D425" i="1"/>
  <c r="C425" i="1"/>
  <c r="B425" i="1"/>
  <c r="E424" i="1"/>
  <c r="D424" i="1"/>
  <c r="C424" i="1"/>
  <c r="B424" i="1"/>
  <c r="E423" i="1"/>
  <c r="D423" i="1"/>
  <c r="C423" i="1"/>
  <c r="B423" i="1"/>
  <c r="E422" i="1"/>
  <c r="D422" i="1"/>
  <c r="C422" i="1"/>
  <c r="B422" i="1"/>
  <c r="E421" i="1"/>
  <c r="D421" i="1"/>
  <c r="C421" i="1"/>
  <c r="B421" i="1"/>
  <c r="E420" i="1"/>
  <c r="D420" i="1"/>
  <c r="C420" i="1"/>
  <c r="B420" i="1"/>
  <c r="E419" i="1"/>
  <c r="D419" i="1"/>
  <c r="C419" i="1"/>
  <c r="B419" i="1"/>
  <c r="E418" i="1"/>
  <c r="D418" i="1"/>
  <c r="C418" i="1"/>
  <c r="B418" i="1"/>
  <c r="E417" i="1"/>
  <c r="D417" i="1"/>
  <c r="C417" i="1"/>
  <c r="B417" i="1"/>
  <c r="E416" i="1"/>
  <c r="D416" i="1"/>
  <c r="C416" i="1"/>
  <c r="B416" i="1"/>
  <c r="E415" i="1"/>
  <c r="D415" i="1"/>
  <c r="C415" i="1"/>
  <c r="B415" i="1"/>
  <c r="E414" i="1"/>
  <c r="D414" i="1"/>
  <c r="C414" i="1"/>
  <c r="B414" i="1"/>
  <c r="E413" i="1"/>
  <c r="D413" i="1"/>
  <c r="C413" i="1"/>
  <c r="B413" i="1"/>
  <c r="E412" i="1"/>
  <c r="D412" i="1"/>
  <c r="C412" i="1"/>
  <c r="B412" i="1"/>
  <c r="E411" i="1"/>
  <c r="D411" i="1"/>
  <c r="C411" i="1"/>
  <c r="B411" i="1"/>
  <c r="E410" i="1"/>
  <c r="D410" i="1"/>
  <c r="C410" i="1"/>
  <c r="B410" i="1"/>
  <c r="E409" i="1"/>
  <c r="D409" i="1"/>
  <c r="C409" i="1"/>
  <c r="B409" i="1"/>
  <c r="E408" i="1"/>
  <c r="D408" i="1"/>
  <c r="C408" i="1"/>
  <c r="B408" i="1"/>
  <c r="E407" i="1"/>
  <c r="D407" i="1"/>
  <c r="C407" i="1"/>
  <c r="B407" i="1"/>
  <c r="E406" i="1"/>
  <c r="D406" i="1"/>
  <c r="C406" i="1"/>
  <c r="B406" i="1"/>
  <c r="E405" i="1"/>
  <c r="D405" i="1"/>
  <c r="C405" i="1"/>
  <c r="B405" i="1"/>
  <c r="E404" i="1"/>
  <c r="D404" i="1"/>
  <c r="C404" i="1"/>
  <c r="B404" i="1"/>
  <c r="E403" i="1"/>
  <c r="D403" i="1"/>
  <c r="C403" i="1"/>
  <c r="E402" i="1"/>
  <c r="D402" i="1"/>
  <c r="C402" i="1"/>
  <c r="B402" i="1"/>
  <c r="E401" i="1"/>
  <c r="D401" i="1"/>
  <c r="C401" i="1"/>
  <c r="B401" i="1"/>
  <c r="E400" i="1"/>
  <c r="D400" i="1"/>
  <c r="C400" i="1"/>
  <c r="B400" i="1"/>
  <c r="E399" i="1"/>
  <c r="D399" i="1"/>
  <c r="C399" i="1"/>
  <c r="B399" i="1"/>
  <c r="E398" i="1"/>
  <c r="D398" i="1"/>
  <c r="C398" i="1"/>
  <c r="B398" i="1"/>
  <c r="E397" i="1"/>
  <c r="D397" i="1"/>
  <c r="C397" i="1"/>
  <c r="B397" i="1"/>
  <c r="E396" i="1"/>
  <c r="D396" i="1"/>
  <c r="C396" i="1"/>
  <c r="B396" i="1"/>
  <c r="E395" i="1"/>
  <c r="D395" i="1"/>
  <c r="C395" i="1"/>
  <c r="B395" i="1"/>
  <c r="E394" i="1"/>
  <c r="D394" i="1"/>
  <c r="C394" i="1"/>
  <c r="B394" i="1"/>
  <c r="E393" i="1"/>
  <c r="D393" i="1"/>
  <c r="C393" i="1"/>
  <c r="B393" i="1"/>
  <c r="E392" i="1"/>
  <c r="D392" i="1"/>
  <c r="C392" i="1"/>
  <c r="B392" i="1"/>
  <c r="E391" i="1"/>
  <c r="D391" i="1"/>
  <c r="C391" i="1"/>
  <c r="B391" i="1"/>
  <c r="E390" i="1"/>
  <c r="D390" i="1"/>
  <c r="C390" i="1"/>
  <c r="B390" i="1"/>
  <c r="E389" i="1"/>
  <c r="D389" i="1"/>
  <c r="C389" i="1"/>
  <c r="E388" i="1"/>
  <c r="D388" i="1"/>
  <c r="C388" i="1"/>
  <c r="E387" i="1"/>
  <c r="D387" i="1"/>
  <c r="C387" i="1"/>
  <c r="B387" i="1"/>
  <c r="E386" i="1"/>
  <c r="D386" i="1"/>
  <c r="C386" i="1"/>
  <c r="B386" i="1"/>
  <c r="E385" i="1"/>
  <c r="D385" i="1"/>
  <c r="C385" i="1"/>
  <c r="B385" i="1"/>
  <c r="E384" i="1"/>
  <c r="D384" i="1"/>
  <c r="C384" i="1"/>
  <c r="B384" i="1"/>
  <c r="E383" i="1"/>
  <c r="D383" i="1"/>
  <c r="C383" i="1"/>
  <c r="B383" i="1"/>
  <c r="E382" i="1"/>
  <c r="D382" i="1"/>
  <c r="C382" i="1"/>
  <c r="B382" i="1"/>
  <c r="E381" i="1"/>
  <c r="D381" i="1"/>
  <c r="C381" i="1"/>
  <c r="B381" i="1"/>
  <c r="E380" i="1"/>
  <c r="D380" i="1"/>
  <c r="C380" i="1"/>
  <c r="B380" i="1"/>
  <c r="E379" i="1"/>
  <c r="D379" i="1"/>
  <c r="C379" i="1"/>
  <c r="B379" i="1"/>
  <c r="E378" i="1"/>
  <c r="D378" i="1"/>
  <c r="C378" i="1"/>
  <c r="B378" i="1"/>
  <c r="E377" i="1"/>
  <c r="D377" i="1"/>
  <c r="C377" i="1"/>
  <c r="B377" i="1"/>
  <c r="E376" i="1"/>
  <c r="D376" i="1"/>
  <c r="C376" i="1"/>
  <c r="B376" i="1"/>
  <c r="E375" i="1"/>
  <c r="D375" i="1"/>
  <c r="C375" i="1"/>
  <c r="B375" i="1"/>
  <c r="E374" i="1"/>
  <c r="D374" i="1"/>
  <c r="C374" i="1"/>
  <c r="B374" i="1"/>
  <c r="E373" i="1"/>
  <c r="D373" i="1"/>
  <c r="C373" i="1"/>
  <c r="B373" i="1"/>
  <c r="E372" i="1"/>
  <c r="D372" i="1"/>
  <c r="C372" i="1"/>
  <c r="B372" i="1"/>
  <c r="E371" i="1"/>
  <c r="D371" i="1"/>
  <c r="C371" i="1"/>
  <c r="B371" i="1"/>
  <c r="E370" i="1"/>
  <c r="D370" i="1"/>
  <c r="C370" i="1"/>
  <c r="B370" i="1"/>
  <c r="E369" i="1"/>
  <c r="D369" i="1"/>
  <c r="C369" i="1"/>
  <c r="B369" i="1"/>
  <c r="E368" i="1"/>
  <c r="D368" i="1"/>
  <c r="C368" i="1"/>
  <c r="B368" i="1"/>
  <c r="E367" i="1"/>
  <c r="D367" i="1"/>
  <c r="C367" i="1"/>
  <c r="B367" i="1"/>
  <c r="E366" i="1"/>
  <c r="D366" i="1"/>
  <c r="C366" i="1"/>
  <c r="B366" i="1"/>
  <c r="E365" i="1"/>
  <c r="D365" i="1"/>
  <c r="C365" i="1"/>
  <c r="B365" i="1"/>
  <c r="E364" i="1"/>
  <c r="D364" i="1"/>
  <c r="C364" i="1"/>
  <c r="B364" i="1"/>
  <c r="E363" i="1"/>
  <c r="D363" i="1"/>
  <c r="C363" i="1"/>
  <c r="B363" i="1"/>
  <c r="E362" i="1"/>
  <c r="D362" i="1"/>
  <c r="C362" i="1"/>
  <c r="B362" i="1"/>
  <c r="E361" i="1"/>
  <c r="D361" i="1"/>
  <c r="C361" i="1"/>
  <c r="B361" i="1"/>
  <c r="E360" i="1"/>
  <c r="D360" i="1"/>
  <c r="C360" i="1"/>
  <c r="B360" i="1"/>
  <c r="E359" i="1"/>
  <c r="D359" i="1"/>
  <c r="C359" i="1"/>
  <c r="B359" i="1"/>
  <c r="E358" i="1"/>
  <c r="D358" i="1"/>
  <c r="C358" i="1"/>
  <c r="B358" i="1"/>
  <c r="E357" i="1"/>
  <c r="D357" i="1"/>
  <c r="C357" i="1"/>
  <c r="B357" i="1"/>
  <c r="E356" i="1"/>
  <c r="D356" i="1"/>
  <c r="C356" i="1"/>
  <c r="B356" i="1"/>
  <c r="E355" i="1"/>
  <c r="D355" i="1"/>
  <c r="C355" i="1"/>
  <c r="B355" i="1"/>
  <c r="E354" i="1"/>
  <c r="D354" i="1"/>
  <c r="C354" i="1"/>
  <c r="B354" i="1"/>
  <c r="E353" i="1"/>
  <c r="D353" i="1"/>
  <c r="C353" i="1"/>
  <c r="B353" i="1"/>
  <c r="E352" i="1"/>
  <c r="D352" i="1"/>
  <c r="C352" i="1"/>
  <c r="B352" i="1"/>
  <c r="E351" i="1"/>
  <c r="D351" i="1"/>
  <c r="C351" i="1"/>
  <c r="B351" i="1"/>
  <c r="E350" i="1"/>
  <c r="D350" i="1"/>
  <c r="C350" i="1"/>
  <c r="B350" i="1"/>
  <c r="E349" i="1"/>
  <c r="D349" i="1"/>
  <c r="C349" i="1"/>
  <c r="B349" i="1"/>
  <c r="E348" i="1"/>
  <c r="D348" i="1"/>
  <c r="C348" i="1"/>
  <c r="B348" i="1"/>
  <c r="E347" i="1"/>
  <c r="D347" i="1"/>
  <c r="C347" i="1"/>
  <c r="B347" i="1"/>
  <c r="E346" i="1"/>
  <c r="D346" i="1"/>
  <c r="C346" i="1"/>
  <c r="B346" i="1"/>
  <c r="E345" i="1"/>
  <c r="D345" i="1"/>
  <c r="C345" i="1"/>
  <c r="B345" i="1"/>
  <c r="E344" i="1"/>
  <c r="D344" i="1"/>
  <c r="C344" i="1"/>
  <c r="B344" i="1"/>
  <c r="E343" i="1"/>
  <c r="D343" i="1"/>
  <c r="C343" i="1"/>
  <c r="B343" i="1"/>
  <c r="E342" i="1"/>
  <c r="D342" i="1"/>
  <c r="C342" i="1"/>
  <c r="B342" i="1"/>
  <c r="E341" i="1"/>
  <c r="D341" i="1"/>
  <c r="C341" i="1"/>
  <c r="B341" i="1"/>
  <c r="E340" i="1"/>
  <c r="D340" i="1"/>
  <c r="C340" i="1"/>
  <c r="B340" i="1"/>
  <c r="E339" i="1"/>
  <c r="D339" i="1"/>
  <c r="C339" i="1"/>
  <c r="B339" i="1"/>
  <c r="E338" i="1"/>
  <c r="D338" i="1"/>
  <c r="C338" i="1"/>
  <c r="B338" i="1"/>
  <c r="E337" i="1"/>
  <c r="D337" i="1"/>
  <c r="C337" i="1"/>
  <c r="B337" i="1"/>
  <c r="E336" i="1"/>
  <c r="D336" i="1"/>
  <c r="C336" i="1"/>
  <c r="B336" i="1"/>
  <c r="E335" i="1"/>
  <c r="D335" i="1"/>
  <c r="C335" i="1"/>
  <c r="B335" i="1"/>
  <c r="E334" i="1"/>
  <c r="D334" i="1"/>
  <c r="C334" i="1"/>
  <c r="B334" i="1"/>
  <c r="E333" i="1"/>
  <c r="D333" i="1"/>
  <c r="C333" i="1"/>
  <c r="B333" i="1"/>
  <c r="E332" i="1"/>
  <c r="D332" i="1"/>
  <c r="C332" i="1"/>
  <c r="B332" i="1"/>
  <c r="E331" i="1"/>
  <c r="D331" i="1"/>
  <c r="C331" i="1"/>
  <c r="B331" i="1"/>
  <c r="E330" i="1"/>
  <c r="D330" i="1"/>
  <c r="C330" i="1"/>
  <c r="B330" i="1"/>
  <c r="E329" i="1"/>
  <c r="D329" i="1"/>
  <c r="C329" i="1"/>
  <c r="B329" i="1"/>
  <c r="E328" i="1"/>
  <c r="D328" i="1"/>
  <c r="C328" i="1"/>
  <c r="B328" i="1"/>
  <c r="E327" i="1"/>
  <c r="D327" i="1"/>
  <c r="C327" i="1"/>
  <c r="B327" i="1"/>
  <c r="E326" i="1"/>
  <c r="D326" i="1"/>
  <c r="C326" i="1"/>
  <c r="B326" i="1"/>
  <c r="E325" i="1"/>
  <c r="D325" i="1"/>
  <c r="C325" i="1"/>
  <c r="B325" i="1"/>
  <c r="E324" i="1"/>
  <c r="D324" i="1"/>
  <c r="C324" i="1"/>
  <c r="E323" i="1"/>
  <c r="D323" i="1"/>
  <c r="C323" i="1"/>
  <c r="B323" i="1"/>
  <c r="E322" i="1"/>
  <c r="D322" i="1"/>
  <c r="C322" i="1"/>
  <c r="B322" i="1"/>
  <c r="E321" i="1"/>
  <c r="D321" i="1"/>
  <c r="C321" i="1"/>
  <c r="B321" i="1"/>
  <c r="E320" i="1"/>
  <c r="D320" i="1"/>
  <c r="C320" i="1"/>
  <c r="B320" i="1"/>
  <c r="E319" i="1"/>
  <c r="D319" i="1"/>
  <c r="C319" i="1"/>
  <c r="B319" i="1"/>
  <c r="E318" i="1"/>
  <c r="D318" i="1"/>
  <c r="C318" i="1"/>
  <c r="B318" i="1"/>
  <c r="E317" i="1"/>
  <c r="D317" i="1"/>
  <c r="C317" i="1"/>
  <c r="B317" i="1"/>
  <c r="E316" i="1"/>
  <c r="D316" i="1"/>
  <c r="C316" i="1"/>
  <c r="B316" i="1"/>
  <c r="E315" i="1"/>
  <c r="D315" i="1"/>
  <c r="C315" i="1"/>
  <c r="B315" i="1"/>
  <c r="E314" i="1"/>
  <c r="D314" i="1"/>
  <c r="C314" i="1"/>
  <c r="B314" i="1"/>
  <c r="E313" i="1"/>
  <c r="D313" i="1"/>
  <c r="C313" i="1"/>
  <c r="B313" i="1"/>
  <c r="E312" i="1"/>
  <c r="D312" i="1"/>
  <c r="C312" i="1"/>
  <c r="B312" i="1"/>
  <c r="E311" i="1"/>
  <c r="D311" i="1"/>
  <c r="C311" i="1"/>
  <c r="B311" i="1"/>
  <c r="E310" i="1"/>
  <c r="D310" i="1"/>
  <c r="C310" i="1"/>
  <c r="E309" i="1"/>
  <c r="D309" i="1"/>
  <c r="C309" i="1"/>
  <c r="B309" i="1"/>
  <c r="E308" i="1"/>
  <c r="D308" i="1"/>
  <c r="C308" i="1"/>
  <c r="B308" i="1"/>
  <c r="E307" i="1"/>
  <c r="D307" i="1"/>
  <c r="C307" i="1"/>
  <c r="B307" i="1"/>
  <c r="E306" i="1"/>
  <c r="D306" i="1"/>
  <c r="C306" i="1"/>
  <c r="B306" i="1"/>
  <c r="E305" i="1"/>
  <c r="D305" i="1"/>
  <c r="C305" i="1"/>
  <c r="B305" i="1"/>
  <c r="E304" i="1"/>
  <c r="D304" i="1"/>
  <c r="C304" i="1"/>
  <c r="B304" i="1"/>
  <c r="E303" i="1"/>
  <c r="D303" i="1"/>
  <c r="C303" i="1"/>
  <c r="B303" i="1"/>
  <c r="E302" i="1"/>
  <c r="D302" i="1"/>
  <c r="C302" i="1"/>
  <c r="E301" i="1"/>
  <c r="D301" i="1"/>
  <c r="C301" i="1"/>
  <c r="B301" i="1"/>
  <c r="E300" i="1"/>
  <c r="D300" i="1"/>
  <c r="C300" i="1"/>
  <c r="B300" i="1"/>
  <c r="E299" i="1"/>
  <c r="D299" i="1"/>
  <c r="C299" i="1"/>
  <c r="B299" i="1"/>
  <c r="E298" i="1"/>
  <c r="D298" i="1"/>
  <c r="C298" i="1"/>
  <c r="B298" i="1"/>
  <c r="E297" i="1"/>
  <c r="D297" i="1"/>
  <c r="C297" i="1"/>
  <c r="B297" i="1"/>
  <c r="E296" i="1"/>
  <c r="D296" i="1"/>
  <c r="C296" i="1"/>
  <c r="B296" i="1"/>
  <c r="E295" i="1"/>
  <c r="D295" i="1"/>
  <c r="C295" i="1"/>
  <c r="B295" i="1"/>
  <c r="E294" i="1"/>
  <c r="D294" i="1"/>
  <c r="C294" i="1"/>
  <c r="E293" i="1"/>
  <c r="D293" i="1"/>
  <c r="C293" i="1"/>
  <c r="E292" i="1"/>
  <c r="D292" i="1"/>
  <c r="C292" i="1"/>
  <c r="B292" i="1"/>
  <c r="E291" i="1"/>
  <c r="D291" i="1"/>
  <c r="C291" i="1"/>
  <c r="B291" i="1"/>
  <c r="E290" i="1"/>
  <c r="D290" i="1"/>
  <c r="C290" i="1"/>
  <c r="B290" i="1"/>
  <c r="E289" i="1"/>
  <c r="D289" i="1"/>
  <c r="C289" i="1"/>
  <c r="B289" i="1"/>
  <c r="E288" i="1"/>
  <c r="D288" i="1"/>
  <c r="C288" i="1"/>
  <c r="B288" i="1"/>
  <c r="E287" i="1"/>
  <c r="D287" i="1"/>
  <c r="C287" i="1"/>
  <c r="B287" i="1"/>
  <c r="E286" i="1"/>
  <c r="D286" i="1"/>
  <c r="C286" i="1"/>
  <c r="B286" i="1"/>
  <c r="E285" i="1"/>
  <c r="D285" i="1"/>
  <c r="C285" i="1"/>
  <c r="B285" i="1"/>
  <c r="E284" i="1"/>
  <c r="D284" i="1"/>
  <c r="C284" i="1"/>
  <c r="E283" i="1"/>
  <c r="D283" i="1"/>
  <c r="C283" i="1"/>
  <c r="B283" i="1"/>
  <c r="E282" i="1"/>
  <c r="D282" i="1"/>
  <c r="C282" i="1"/>
  <c r="B282" i="1"/>
  <c r="E281" i="1"/>
  <c r="D281" i="1"/>
  <c r="C281" i="1"/>
  <c r="B281" i="1"/>
  <c r="E280" i="1"/>
  <c r="D280" i="1"/>
  <c r="C280" i="1"/>
  <c r="B280" i="1"/>
  <c r="E279" i="1"/>
  <c r="D279" i="1"/>
  <c r="C279" i="1"/>
  <c r="E278" i="1"/>
  <c r="D278" i="1"/>
  <c r="C278" i="1"/>
  <c r="B278" i="1"/>
  <c r="E277" i="1"/>
  <c r="D277" i="1"/>
  <c r="C277" i="1"/>
  <c r="B277" i="1"/>
  <c r="E276" i="1"/>
  <c r="D276" i="1"/>
  <c r="C276" i="1"/>
  <c r="B276" i="1"/>
  <c r="E275" i="1"/>
  <c r="D275" i="1"/>
  <c r="C275" i="1"/>
  <c r="B275" i="1"/>
  <c r="E274" i="1"/>
  <c r="D274" i="1"/>
  <c r="C274" i="1"/>
  <c r="B274" i="1"/>
  <c r="E273" i="1"/>
  <c r="D273" i="1"/>
  <c r="C273" i="1"/>
  <c r="B273" i="1"/>
  <c r="E272" i="1"/>
  <c r="D272" i="1"/>
  <c r="C272" i="1"/>
  <c r="B272" i="1"/>
  <c r="E271" i="1"/>
  <c r="D271" i="1"/>
  <c r="C271" i="1"/>
  <c r="B271" i="1"/>
  <c r="E270" i="1"/>
  <c r="D270" i="1"/>
  <c r="C270" i="1"/>
  <c r="B270" i="1"/>
  <c r="E269" i="1"/>
  <c r="D269" i="1"/>
  <c r="C269" i="1"/>
  <c r="B269" i="1"/>
  <c r="E268" i="1"/>
  <c r="D268" i="1"/>
  <c r="C268" i="1"/>
  <c r="B268" i="1"/>
  <c r="E267" i="1"/>
  <c r="D267" i="1"/>
  <c r="C267" i="1"/>
  <c r="B267" i="1"/>
  <c r="E266" i="1"/>
  <c r="D266" i="1"/>
  <c r="C266" i="1"/>
  <c r="B266" i="1"/>
  <c r="E265" i="1"/>
  <c r="D265" i="1"/>
  <c r="C265" i="1"/>
  <c r="B265" i="1"/>
  <c r="E264" i="1"/>
  <c r="D264" i="1"/>
  <c r="C264" i="1"/>
  <c r="B264" i="1"/>
  <c r="E263" i="1"/>
  <c r="D263" i="1"/>
  <c r="C263" i="1"/>
  <c r="B263" i="1"/>
  <c r="E262" i="1"/>
  <c r="D262" i="1"/>
  <c r="C262" i="1"/>
  <c r="B262" i="1"/>
  <c r="E261" i="1"/>
  <c r="D261" i="1"/>
  <c r="C261" i="1"/>
  <c r="B261" i="1"/>
  <c r="E260" i="1"/>
  <c r="D260" i="1"/>
  <c r="C260" i="1"/>
  <c r="B260" i="1"/>
  <c r="E259" i="1"/>
  <c r="D259" i="1"/>
  <c r="C259" i="1"/>
  <c r="B259" i="1"/>
  <c r="E258" i="1"/>
  <c r="D258" i="1"/>
  <c r="C258" i="1"/>
  <c r="B258" i="1"/>
  <c r="E257" i="1"/>
  <c r="D257" i="1"/>
  <c r="C257" i="1"/>
  <c r="B257" i="1"/>
  <c r="E256" i="1"/>
  <c r="D256" i="1"/>
  <c r="C256" i="1"/>
  <c r="B256" i="1"/>
  <c r="E255" i="1"/>
  <c r="D255" i="1"/>
  <c r="C255" i="1"/>
  <c r="B255" i="1"/>
  <c r="E254" i="1"/>
  <c r="D254" i="1"/>
  <c r="C254" i="1"/>
  <c r="B254" i="1"/>
  <c r="E253" i="1"/>
  <c r="D253" i="1"/>
  <c r="C253" i="1"/>
  <c r="B253" i="1"/>
  <c r="E252" i="1"/>
  <c r="D252" i="1"/>
  <c r="C252" i="1"/>
  <c r="B252" i="1"/>
  <c r="E251" i="1"/>
  <c r="D251" i="1"/>
  <c r="C251" i="1"/>
  <c r="B251" i="1"/>
  <c r="E250" i="1"/>
  <c r="D250" i="1"/>
  <c r="C250" i="1"/>
  <c r="B250" i="1"/>
  <c r="E249" i="1"/>
  <c r="D249" i="1"/>
  <c r="C249" i="1"/>
  <c r="B249" i="1"/>
  <c r="E248" i="1"/>
  <c r="D248" i="1"/>
  <c r="C248" i="1"/>
  <c r="B248" i="1"/>
  <c r="E247" i="1"/>
  <c r="D247" i="1"/>
  <c r="C247" i="1"/>
  <c r="B247" i="1"/>
  <c r="E246" i="1"/>
  <c r="D246" i="1"/>
  <c r="C246" i="1"/>
  <c r="B246" i="1"/>
  <c r="E245" i="1"/>
  <c r="D245" i="1"/>
  <c r="C245" i="1"/>
  <c r="B245" i="1"/>
  <c r="E244" i="1"/>
  <c r="D244" i="1"/>
  <c r="C244" i="1"/>
  <c r="B244" i="1"/>
  <c r="E243" i="1"/>
  <c r="D243" i="1"/>
  <c r="C243" i="1"/>
  <c r="E242" i="1"/>
  <c r="D242" i="1"/>
  <c r="C242" i="1"/>
  <c r="B242" i="1"/>
  <c r="E241" i="1"/>
  <c r="D241" i="1"/>
  <c r="C241" i="1"/>
  <c r="E240" i="1"/>
  <c r="D240" i="1"/>
  <c r="C240" i="1"/>
  <c r="B240" i="1"/>
  <c r="E239" i="1"/>
  <c r="D239" i="1"/>
  <c r="C239" i="1"/>
  <c r="B239" i="1"/>
  <c r="E238" i="1"/>
  <c r="D238" i="1"/>
  <c r="C238" i="1"/>
  <c r="B238" i="1"/>
  <c r="E237" i="1"/>
  <c r="D237" i="1"/>
  <c r="C237" i="1"/>
  <c r="B237" i="1"/>
  <c r="E236" i="1"/>
  <c r="D236" i="1"/>
  <c r="C236" i="1"/>
  <c r="B236" i="1"/>
  <c r="E235" i="1"/>
  <c r="D235" i="1"/>
  <c r="C235" i="1"/>
  <c r="B235" i="1"/>
  <c r="E234" i="1"/>
  <c r="D234" i="1"/>
  <c r="C234" i="1"/>
  <c r="B234" i="1"/>
  <c r="E233" i="1"/>
  <c r="D233" i="1"/>
  <c r="C233" i="1"/>
  <c r="B233" i="1"/>
  <c r="E232" i="1"/>
  <c r="D232" i="1"/>
  <c r="C232" i="1"/>
  <c r="B232" i="1"/>
  <c r="E231" i="1"/>
  <c r="D231" i="1"/>
  <c r="C231" i="1"/>
  <c r="B231" i="1"/>
  <c r="E230" i="1"/>
  <c r="D230" i="1"/>
  <c r="C230" i="1"/>
  <c r="B230" i="1"/>
  <c r="E229" i="1"/>
  <c r="D229" i="1"/>
  <c r="C229" i="1"/>
  <c r="B229" i="1"/>
  <c r="E228" i="1"/>
  <c r="D228" i="1"/>
  <c r="C228" i="1"/>
  <c r="B228" i="1"/>
  <c r="E227" i="1"/>
  <c r="D227" i="1"/>
  <c r="C227" i="1"/>
  <c r="B227" i="1"/>
  <c r="E226" i="1"/>
  <c r="D226" i="1"/>
  <c r="B226" i="1"/>
  <c r="E225" i="1"/>
  <c r="D225" i="1"/>
  <c r="C225" i="1"/>
  <c r="B225" i="1"/>
  <c r="E224" i="1"/>
  <c r="D224" i="1"/>
  <c r="C224" i="1"/>
  <c r="E223" i="1"/>
  <c r="D223" i="1"/>
  <c r="C223" i="1"/>
  <c r="E222" i="1"/>
  <c r="D222" i="1"/>
  <c r="C222" i="1"/>
  <c r="E221" i="1"/>
  <c r="D221" i="1"/>
  <c r="C221" i="1"/>
  <c r="E220" i="1"/>
  <c r="D220" i="1"/>
  <c r="C220" i="1"/>
  <c r="B220" i="1"/>
  <c r="E219" i="1"/>
  <c r="D219" i="1"/>
  <c r="C219" i="1"/>
  <c r="E218" i="1"/>
  <c r="D218" i="1"/>
  <c r="C218" i="1"/>
  <c r="B218" i="1"/>
  <c r="E217" i="1"/>
  <c r="D217" i="1"/>
  <c r="C217" i="1"/>
  <c r="B217" i="1"/>
  <c r="E216" i="1"/>
  <c r="D216" i="1"/>
  <c r="C216" i="1"/>
  <c r="B216" i="1"/>
  <c r="E215" i="1"/>
  <c r="D215" i="1"/>
  <c r="C215" i="1"/>
  <c r="B215" i="1"/>
  <c r="E214" i="1"/>
  <c r="D214" i="1"/>
  <c r="C214" i="1"/>
  <c r="B214" i="1"/>
  <c r="E213" i="1"/>
  <c r="D213" i="1"/>
  <c r="C213" i="1"/>
  <c r="E212" i="1"/>
  <c r="D212" i="1"/>
  <c r="C212" i="1"/>
  <c r="B212" i="1"/>
  <c r="E211" i="1"/>
  <c r="D211" i="1"/>
  <c r="C211" i="1"/>
  <c r="E210" i="1"/>
  <c r="D210" i="1"/>
  <c r="C210" i="1"/>
  <c r="B210" i="1"/>
  <c r="E209" i="1"/>
  <c r="D209" i="1"/>
  <c r="C209" i="1"/>
  <c r="B209" i="1"/>
  <c r="E208" i="1"/>
  <c r="D208" i="1"/>
  <c r="C208" i="1"/>
  <c r="E207" i="1"/>
  <c r="D207" i="1"/>
  <c r="C207" i="1"/>
  <c r="B207" i="1"/>
  <c r="E206" i="1"/>
  <c r="D206" i="1"/>
  <c r="C206" i="1"/>
  <c r="B206" i="1"/>
  <c r="E205" i="1"/>
  <c r="D205" i="1"/>
  <c r="C205" i="1"/>
  <c r="E204" i="1"/>
  <c r="D204" i="1"/>
  <c r="C204" i="1"/>
  <c r="B204" i="1"/>
  <c r="E203" i="1"/>
  <c r="D203" i="1"/>
  <c r="C203" i="1"/>
  <c r="B203" i="1"/>
  <c r="E202" i="1"/>
  <c r="D202" i="1"/>
  <c r="C202" i="1"/>
  <c r="B202" i="1"/>
  <c r="E201" i="1"/>
  <c r="D201" i="1"/>
  <c r="C201" i="1"/>
  <c r="B201" i="1"/>
  <c r="E200" i="1"/>
  <c r="D200" i="1"/>
  <c r="C200" i="1"/>
  <c r="B200" i="1"/>
  <c r="E199" i="1"/>
  <c r="D199" i="1"/>
  <c r="C199" i="1"/>
  <c r="B199" i="1"/>
  <c r="E198" i="1"/>
  <c r="D198" i="1"/>
  <c r="C198" i="1"/>
  <c r="B198" i="1"/>
  <c r="E197" i="1"/>
  <c r="D197" i="1"/>
  <c r="C197" i="1"/>
  <c r="B197" i="1"/>
  <c r="E196" i="1"/>
  <c r="D196" i="1"/>
  <c r="C196" i="1"/>
  <c r="B196" i="1"/>
  <c r="E195" i="1"/>
  <c r="D195" i="1"/>
  <c r="C195" i="1"/>
  <c r="B195" i="1"/>
  <c r="E194" i="1"/>
  <c r="D194" i="1"/>
  <c r="C194" i="1"/>
  <c r="B194" i="1"/>
  <c r="E193" i="1"/>
  <c r="D193" i="1"/>
  <c r="C193" i="1"/>
  <c r="B193" i="1"/>
  <c r="E192" i="1"/>
  <c r="D192" i="1"/>
  <c r="C192" i="1"/>
  <c r="B192" i="1"/>
  <c r="E191" i="1"/>
  <c r="D191" i="1"/>
  <c r="C191" i="1"/>
  <c r="B191" i="1"/>
  <c r="E190" i="1"/>
  <c r="D190" i="1"/>
  <c r="C190" i="1"/>
  <c r="B190" i="1"/>
  <c r="E189" i="1"/>
  <c r="D189" i="1"/>
  <c r="C189" i="1"/>
  <c r="B189" i="1"/>
  <c r="E188" i="1"/>
  <c r="D188" i="1"/>
  <c r="C188" i="1"/>
  <c r="E187" i="1"/>
  <c r="D187" i="1"/>
  <c r="C187" i="1"/>
  <c r="B187" i="1"/>
  <c r="E186" i="1"/>
  <c r="D186" i="1"/>
  <c r="C186" i="1"/>
  <c r="B186" i="1"/>
  <c r="E185" i="1"/>
  <c r="D185" i="1"/>
  <c r="C185" i="1"/>
  <c r="E184" i="1"/>
  <c r="D184" i="1"/>
  <c r="C184" i="1"/>
  <c r="B184" i="1"/>
  <c r="E183" i="1"/>
  <c r="D183" i="1"/>
  <c r="C183" i="1"/>
  <c r="B183" i="1"/>
  <c r="E182" i="1"/>
  <c r="D182" i="1"/>
  <c r="C182" i="1"/>
  <c r="E181" i="1"/>
  <c r="D181" i="1"/>
  <c r="C181" i="1"/>
  <c r="B181" i="1"/>
  <c r="E180" i="1"/>
  <c r="D180" i="1"/>
  <c r="C180" i="1"/>
  <c r="B180" i="1"/>
  <c r="E179" i="1"/>
  <c r="D179" i="1"/>
  <c r="C179" i="1"/>
  <c r="B179" i="1"/>
  <c r="E178" i="1"/>
  <c r="D178" i="1"/>
  <c r="C178" i="1"/>
  <c r="B178" i="1"/>
  <c r="E177" i="1"/>
  <c r="D177" i="1"/>
  <c r="C177" i="1"/>
  <c r="B177" i="1"/>
  <c r="E176" i="1"/>
  <c r="D176" i="1"/>
  <c r="C176" i="1"/>
  <c r="B176" i="1"/>
  <c r="E175" i="1"/>
  <c r="D175" i="1"/>
  <c r="C175" i="1"/>
  <c r="B175" i="1"/>
  <c r="E174" i="1"/>
  <c r="D174" i="1"/>
  <c r="C174" i="1"/>
  <c r="B174" i="1"/>
  <c r="E173" i="1"/>
  <c r="D173" i="1"/>
  <c r="C173" i="1"/>
  <c r="B173" i="1"/>
  <c r="E172" i="1"/>
  <c r="D172" i="1"/>
  <c r="C172" i="1"/>
  <c r="B172" i="1"/>
  <c r="E171" i="1"/>
  <c r="D171" i="1"/>
  <c r="C171" i="1"/>
  <c r="E170" i="1"/>
  <c r="D170" i="1"/>
  <c r="C170" i="1"/>
  <c r="B170" i="1"/>
  <c r="E169" i="1"/>
  <c r="D169" i="1"/>
  <c r="C169" i="1"/>
  <c r="E168" i="1"/>
  <c r="D168" i="1"/>
  <c r="C168" i="1"/>
  <c r="B168" i="1"/>
  <c r="E167" i="1"/>
  <c r="D167" i="1"/>
  <c r="C167" i="1"/>
  <c r="B167" i="1"/>
  <c r="E166" i="1"/>
  <c r="D166" i="1"/>
  <c r="C166" i="1"/>
  <c r="B166" i="1"/>
  <c r="E165" i="1"/>
  <c r="D165" i="1"/>
  <c r="C165" i="1"/>
  <c r="B165" i="1"/>
  <c r="E164" i="1"/>
  <c r="D164" i="1"/>
  <c r="C164" i="1"/>
  <c r="B164" i="1"/>
  <c r="E163" i="1"/>
  <c r="D163" i="1"/>
  <c r="C163" i="1"/>
  <c r="B163" i="1"/>
  <c r="E162" i="1"/>
  <c r="D162" i="1"/>
  <c r="C162" i="1"/>
  <c r="B162" i="1"/>
  <c r="E161" i="1"/>
  <c r="D161" i="1"/>
  <c r="C161" i="1"/>
  <c r="B161" i="1"/>
  <c r="E160" i="1"/>
  <c r="D160" i="1"/>
  <c r="C160" i="1"/>
  <c r="B160" i="1"/>
  <c r="E159" i="1"/>
  <c r="D159" i="1"/>
  <c r="C159" i="1"/>
  <c r="B159" i="1"/>
  <c r="E158" i="1"/>
  <c r="D158" i="1"/>
  <c r="C158" i="1"/>
  <c r="B158" i="1"/>
  <c r="E157" i="1"/>
  <c r="D157" i="1"/>
  <c r="C157" i="1"/>
  <c r="B157" i="1"/>
  <c r="E156" i="1"/>
  <c r="D156" i="1"/>
  <c r="C156" i="1"/>
  <c r="B156" i="1"/>
  <c r="E155" i="1"/>
  <c r="D155" i="1"/>
  <c r="C155" i="1"/>
  <c r="B155" i="1"/>
  <c r="E154" i="1"/>
  <c r="D154" i="1"/>
  <c r="C154" i="1"/>
  <c r="B154" i="1"/>
  <c r="E153" i="1"/>
  <c r="D153" i="1"/>
  <c r="C153" i="1"/>
  <c r="E152" i="1"/>
  <c r="D152" i="1"/>
  <c r="C152" i="1"/>
  <c r="B152" i="1"/>
  <c r="E151" i="1"/>
  <c r="D151" i="1"/>
  <c r="C151" i="1"/>
  <c r="B151" i="1"/>
  <c r="E150" i="1"/>
  <c r="D150" i="1"/>
  <c r="C150" i="1"/>
  <c r="B150" i="1"/>
  <c r="E149" i="1"/>
  <c r="D149" i="1"/>
  <c r="C149" i="1"/>
  <c r="B149" i="1"/>
  <c r="E148" i="1"/>
  <c r="D148" i="1"/>
  <c r="C148" i="1"/>
  <c r="B148" i="1"/>
  <c r="E147" i="1"/>
  <c r="D147" i="1"/>
  <c r="C147" i="1"/>
  <c r="B147" i="1"/>
  <c r="E146" i="1"/>
  <c r="D146" i="1"/>
  <c r="C146" i="1"/>
  <c r="B146" i="1"/>
  <c r="E145" i="1"/>
  <c r="D145" i="1"/>
  <c r="C145" i="1"/>
  <c r="B145" i="1"/>
  <c r="E144" i="1"/>
  <c r="D144" i="1"/>
  <c r="C144" i="1"/>
  <c r="B144" i="1"/>
  <c r="E143" i="1"/>
  <c r="D143" i="1"/>
  <c r="C143" i="1"/>
  <c r="B143" i="1"/>
  <c r="E142" i="1"/>
  <c r="D142" i="1"/>
  <c r="C142" i="1"/>
  <c r="B142" i="1"/>
  <c r="E141" i="1"/>
  <c r="D141" i="1"/>
  <c r="C141" i="1"/>
  <c r="B141" i="1"/>
  <c r="E140" i="1"/>
  <c r="D140" i="1"/>
  <c r="C140" i="1"/>
  <c r="B140" i="1"/>
  <c r="E139" i="1"/>
  <c r="D139" i="1"/>
  <c r="C139" i="1"/>
  <c r="B139" i="1"/>
  <c r="E138" i="1"/>
  <c r="D138" i="1"/>
  <c r="C138" i="1"/>
  <c r="B138" i="1"/>
  <c r="E137" i="1"/>
  <c r="D137" i="1"/>
  <c r="C137" i="1"/>
  <c r="B137" i="1"/>
  <c r="E136" i="1"/>
  <c r="D136" i="1"/>
  <c r="C136" i="1"/>
  <c r="B136" i="1"/>
  <c r="E135" i="1"/>
  <c r="D135" i="1"/>
  <c r="C135" i="1"/>
  <c r="E134" i="1"/>
  <c r="D134" i="1"/>
  <c r="C134" i="1"/>
  <c r="B134" i="1"/>
  <c r="E133" i="1"/>
  <c r="D133" i="1"/>
  <c r="C133" i="1"/>
  <c r="B133" i="1"/>
  <c r="E132" i="1"/>
  <c r="D132" i="1"/>
  <c r="C132" i="1"/>
  <c r="B132" i="1"/>
  <c r="E131" i="1"/>
  <c r="D131" i="1"/>
  <c r="C131" i="1"/>
  <c r="B131" i="1"/>
  <c r="E130" i="1"/>
  <c r="D130" i="1"/>
  <c r="C130" i="1"/>
  <c r="B130" i="1"/>
  <c r="E129" i="1"/>
  <c r="D129" i="1"/>
  <c r="C129" i="1"/>
  <c r="B129" i="1"/>
  <c r="E128" i="1"/>
  <c r="D128" i="1"/>
  <c r="C128" i="1"/>
  <c r="B128" i="1"/>
  <c r="E127" i="1"/>
  <c r="D127" i="1"/>
  <c r="C127" i="1"/>
  <c r="B127" i="1"/>
  <c r="E126" i="1"/>
  <c r="D126" i="1"/>
  <c r="C126" i="1"/>
  <c r="B126" i="1"/>
  <c r="E125" i="1"/>
  <c r="D125" i="1"/>
  <c r="C125" i="1"/>
  <c r="B125" i="1"/>
  <c r="E124" i="1"/>
  <c r="D124" i="1"/>
  <c r="C124" i="1"/>
  <c r="B124" i="1"/>
  <c r="E123" i="1"/>
  <c r="D123" i="1"/>
  <c r="C123" i="1"/>
  <c r="B123" i="1"/>
  <c r="E122" i="1"/>
  <c r="D122" i="1"/>
  <c r="C122" i="1"/>
  <c r="B122" i="1"/>
  <c r="E121" i="1"/>
  <c r="D121" i="1"/>
  <c r="C121" i="1"/>
  <c r="B121" i="1"/>
  <c r="E120" i="1"/>
  <c r="D120" i="1"/>
  <c r="C120" i="1"/>
  <c r="B120" i="1"/>
  <c r="E119" i="1"/>
  <c r="D119" i="1"/>
  <c r="C119" i="1"/>
  <c r="E118" i="1"/>
  <c r="D118" i="1"/>
  <c r="C118" i="1"/>
  <c r="B118" i="1"/>
  <c r="E117" i="1"/>
  <c r="D117" i="1"/>
  <c r="C117" i="1"/>
  <c r="B117" i="1"/>
  <c r="E116" i="1"/>
  <c r="D116" i="1"/>
  <c r="C116" i="1"/>
  <c r="B116" i="1"/>
  <c r="E115" i="1"/>
  <c r="D115" i="1"/>
  <c r="C115" i="1"/>
  <c r="B115" i="1"/>
  <c r="E114" i="1"/>
  <c r="D114" i="1"/>
  <c r="C114" i="1"/>
  <c r="B114" i="1"/>
  <c r="E113" i="1"/>
  <c r="D113" i="1"/>
  <c r="C113" i="1"/>
  <c r="B113" i="1"/>
  <c r="E112" i="1"/>
  <c r="D112" i="1"/>
  <c r="C112" i="1"/>
  <c r="B112" i="1"/>
  <c r="E111" i="1"/>
  <c r="D111" i="1"/>
  <c r="C111" i="1"/>
  <c r="B111" i="1"/>
  <c r="E110" i="1"/>
  <c r="D110" i="1"/>
  <c r="C110" i="1"/>
  <c r="B110" i="1"/>
  <c r="E109" i="1"/>
  <c r="D109" i="1"/>
  <c r="C109" i="1"/>
  <c r="B109" i="1"/>
  <c r="E108" i="1"/>
  <c r="D108" i="1"/>
  <c r="C108" i="1"/>
  <c r="B108" i="1"/>
  <c r="E107" i="1"/>
  <c r="D107" i="1"/>
  <c r="C107" i="1"/>
  <c r="B107" i="1"/>
  <c r="E106" i="1"/>
  <c r="D106" i="1"/>
  <c r="C106" i="1"/>
  <c r="B106" i="1"/>
  <c r="E105" i="1"/>
  <c r="D105" i="1"/>
  <c r="C105" i="1"/>
  <c r="B105" i="1"/>
  <c r="E104" i="1"/>
  <c r="D104" i="1"/>
  <c r="C104" i="1"/>
  <c r="B104" i="1"/>
  <c r="E103" i="1"/>
  <c r="D103" i="1"/>
  <c r="C103" i="1"/>
  <c r="B103" i="1"/>
  <c r="E102" i="1"/>
  <c r="D102" i="1"/>
  <c r="C102" i="1"/>
  <c r="B102" i="1"/>
  <c r="E101" i="1"/>
  <c r="D101" i="1"/>
  <c r="C101" i="1"/>
  <c r="B101" i="1"/>
  <c r="E100" i="1"/>
  <c r="D100" i="1"/>
  <c r="C100" i="1"/>
  <c r="B100" i="1"/>
  <c r="E99" i="1"/>
  <c r="D99" i="1"/>
  <c r="C99" i="1"/>
  <c r="B99" i="1"/>
  <c r="E98" i="1"/>
  <c r="D98" i="1"/>
  <c r="C98" i="1"/>
  <c r="B98" i="1"/>
  <c r="E97" i="1"/>
  <c r="D97" i="1"/>
  <c r="C97" i="1"/>
  <c r="B97" i="1"/>
  <c r="E96" i="1"/>
  <c r="D96" i="1"/>
  <c r="C96" i="1"/>
  <c r="B96" i="1"/>
  <c r="E95" i="1"/>
  <c r="D95" i="1"/>
  <c r="C95" i="1"/>
  <c r="B95" i="1"/>
  <c r="E94" i="1"/>
  <c r="D94" i="1"/>
  <c r="C94" i="1"/>
  <c r="B94" i="1"/>
  <c r="E93" i="1"/>
  <c r="D93" i="1"/>
  <c r="C93" i="1"/>
  <c r="B93" i="1"/>
  <c r="E92" i="1"/>
  <c r="D92" i="1"/>
  <c r="C92" i="1"/>
  <c r="E91" i="1"/>
  <c r="D91" i="1"/>
  <c r="C91" i="1"/>
  <c r="B91" i="1"/>
  <c r="E90" i="1"/>
  <c r="D90" i="1"/>
  <c r="C90" i="1"/>
  <c r="B90" i="1"/>
  <c r="E89" i="1"/>
  <c r="D89" i="1"/>
  <c r="C89" i="1"/>
  <c r="B89" i="1"/>
  <c r="E88" i="1"/>
  <c r="D88" i="1"/>
  <c r="C88" i="1"/>
  <c r="B88" i="1"/>
  <c r="E87" i="1"/>
  <c r="D87" i="1"/>
  <c r="C87" i="1"/>
  <c r="E86" i="1"/>
  <c r="D86" i="1"/>
  <c r="C86" i="1"/>
  <c r="B86" i="1"/>
  <c r="E85" i="1"/>
  <c r="D85" i="1"/>
  <c r="C85" i="1"/>
  <c r="B85" i="1"/>
  <c r="E84" i="1"/>
  <c r="D84" i="1"/>
  <c r="C84" i="1"/>
  <c r="B84" i="1"/>
  <c r="E83" i="1"/>
  <c r="D83" i="1"/>
  <c r="C83" i="1"/>
  <c r="B83" i="1"/>
  <c r="E82" i="1"/>
  <c r="D82" i="1"/>
  <c r="C82" i="1"/>
  <c r="B82" i="1"/>
  <c r="E81" i="1"/>
  <c r="D81" i="1"/>
  <c r="C81" i="1"/>
  <c r="E80" i="1"/>
  <c r="D80" i="1"/>
  <c r="C80" i="1"/>
  <c r="B80" i="1"/>
  <c r="E79" i="1"/>
  <c r="D79" i="1"/>
  <c r="C79" i="1"/>
  <c r="E78" i="1"/>
  <c r="D78" i="1"/>
  <c r="C78" i="1"/>
  <c r="B78" i="1"/>
  <c r="E77" i="1"/>
  <c r="D77" i="1"/>
  <c r="C77" i="1"/>
  <c r="E76" i="1"/>
  <c r="D76" i="1"/>
  <c r="C76" i="1"/>
  <c r="E75" i="1"/>
  <c r="D75" i="1"/>
  <c r="C75" i="1"/>
  <c r="B75" i="1"/>
  <c r="E74" i="1"/>
  <c r="D74" i="1"/>
  <c r="C74" i="1"/>
  <c r="B74" i="1"/>
  <c r="E73" i="1"/>
  <c r="D73" i="1"/>
  <c r="C73" i="1"/>
  <c r="B73" i="1"/>
  <c r="E72" i="1"/>
  <c r="D72" i="1"/>
  <c r="C72" i="1"/>
  <c r="B72" i="1"/>
  <c r="E71" i="1"/>
  <c r="D71" i="1"/>
  <c r="C71" i="1"/>
  <c r="B71" i="1"/>
  <c r="E70" i="1"/>
  <c r="D70" i="1"/>
  <c r="C70" i="1"/>
  <c r="B70" i="1"/>
  <c r="E69" i="1"/>
  <c r="D69" i="1"/>
  <c r="C69" i="1"/>
  <c r="B69" i="1"/>
  <c r="E68" i="1"/>
  <c r="D68" i="1"/>
  <c r="C68" i="1"/>
  <c r="B68" i="1"/>
  <c r="E67" i="1"/>
  <c r="D67" i="1"/>
  <c r="C67" i="1"/>
  <c r="B67" i="1"/>
  <c r="E66" i="1"/>
  <c r="D66" i="1"/>
  <c r="C66" i="1"/>
  <c r="B66" i="1"/>
  <c r="E65" i="1"/>
  <c r="D65" i="1"/>
  <c r="C65" i="1"/>
  <c r="B65" i="1"/>
  <c r="E64" i="1"/>
  <c r="D64" i="1"/>
  <c r="C64" i="1"/>
  <c r="B64" i="1"/>
  <c r="E63" i="1"/>
  <c r="D63" i="1"/>
  <c r="C63" i="1"/>
  <c r="B63" i="1"/>
  <c r="E62" i="1"/>
  <c r="D62" i="1"/>
  <c r="C62" i="1"/>
  <c r="B62" i="1"/>
  <c r="E61" i="1"/>
  <c r="D61" i="1"/>
  <c r="C61" i="1"/>
  <c r="B61" i="1"/>
  <c r="E60" i="1"/>
  <c r="D60" i="1"/>
  <c r="C60" i="1"/>
  <c r="B60" i="1"/>
  <c r="E59" i="1"/>
  <c r="D59" i="1"/>
  <c r="C59" i="1"/>
  <c r="B59" i="1"/>
  <c r="E58" i="1"/>
  <c r="D58" i="1"/>
  <c r="C58" i="1"/>
  <c r="B58" i="1"/>
  <c r="E57" i="1"/>
  <c r="D57" i="1"/>
  <c r="C57" i="1"/>
  <c r="B57" i="1"/>
  <c r="E56" i="1"/>
  <c r="D56" i="1"/>
  <c r="C56" i="1"/>
  <c r="B56" i="1"/>
  <c r="E55" i="1"/>
  <c r="D55" i="1"/>
  <c r="C55" i="1"/>
  <c r="B55" i="1"/>
  <c r="E54" i="1"/>
  <c r="D54" i="1"/>
  <c r="C54" i="1"/>
  <c r="B54" i="1"/>
  <c r="E53" i="1"/>
  <c r="D53" i="1"/>
  <c r="C53" i="1"/>
  <c r="B53" i="1"/>
  <c r="E52" i="1"/>
  <c r="D52" i="1"/>
  <c r="C52" i="1"/>
  <c r="B52" i="1"/>
  <c r="E51" i="1"/>
  <c r="D51" i="1"/>
  <c r="C51" i="1"/>
  <c r="B51" i="1"/>
  <c r="E50" i="1"/>
  <c r="D50" i="1"/>
  <c r="C50" i="1"/>
  <c r="B50" i="1"/>
  <c r="E49" i="1"/>
  <c r="D49" i="1"/>
  <c r="C49" i="1"/>
  <c r="B49" i="1"/>
  <c r="E48" i="1"/>
  <c r="D48" i="1"/>
  <c r="C48" i="1"/>
  <c r="B48" i="1"/>
  <c r="E47" i="1"/>
  <c r="D47" i="1"/>
  <c r="C47" i="1"/>
  <c r="B47" i="1"/>
  <c r="E46" i="1"/>
  <c r="D46" i="1"/>
  <c r="C46" i="1"/>
  <c r="B46" i="1"/>
  <c r="E45" i="1"/>
  <c r="D45" i="1"/>
  <c r="C45" i="1"/>
  <c r="B45" i="1"/>
  <c r="E44" i="1"/>
  <c r="D44" i="1"/>
  <c r="C44" i="1"/>
  <c r="B44" i="1"/>
  <c r="E43" i="1"/>
  <c r="D43" i="1"/>
  <c r="C43" i="1"/>
  <c r="B43" i="1"/>
  <c r="E42" i="1"/>
  <c r="D42" i="1"/>
  <c r="C42" i="1"/>
  <c r="B42" i="1"/>
  <c r="E41" i="1"/>
  <c r="D41" i="1"/>
  <c r="C41" i="1"/>
  <c r="B41" i="1"/>
  <c r="E40" i="1"/>
  <c r="D40" i="1"/>
  <c r="C40" i="1"/>
  <c r="B40" i="1"/>
  <c r="E39" i="1"/>
  <c r="D39" i="1"/>
  <c r="C39" i="1"/>
  <c r="B39" i="1"/>
  <c r="E38" i="1"/>
  <c r="D38" i="1"/>
  <c r="C38" i="1"/>
  <c r="E37" i="1"/>
  <c r="D37" i="1"/>
  <c r="C37" i="1"/>
  <c r="B37" i="1"/>
  <c r="E36" i="1"/>
  <c r="D36" i="1"/>
  <c r="C36" i="1"/>
  <c r="B36" i="1"/>
  <c r="E35" i="1"/>
  <c r="D35" i="1"/>
  <c r="C35" i="1"/>
  <c r="B35" i="1"/>
  <c r="E34" i="1"/>
  <c r="D34" i="1"/>
  <c r="C34" i="1"/>
  <c r="B34" i="1"/>
  <c r="E33" i="1"/>
  <c r="D33" i="1"/>
  <c r="C33" i="1"/>
  <c r="B33" i="1"/>
  <c r="E32" i="1"/>
  <c r="D32" i="1"/>
  <c r="C32" i="1"/>
  <c r="B32" i="1"/>
  <c r="E31" i="1"/>
  <c r="D31" i="1"/>
  <c r="C31" i="1"/>
  <c r="B31" i="1"/>
  <c r="E30" i="1"/>
  <c r="D30" i="1"/>
  <c r="C30" i="1"/>
  <c r="B30" i="1"/>
  <c r="E29" i="1"/>
  <c r="D29" i="1"/>
  <c r="C29" i="1"/>
  <c r="B29" i="1"/>
  <c r="E28" i="1"/>
  <c r="D28" i="1"/>
  <c r="C28" i="1"/>
  <c r="B28" i="1"/>
  <c r="E27" i="1"/>
  <c r="D27" i="1"/>
  <c r="C27" i="1"/>
  <c r="B27" i="1"/>
  <c r="E26" i="1"/>
  <c r="D26" i="1"/>
  <c r="C26" i="1"/>
  <c r="B26" i="1"/>
  <c r="E25" i="1"/>
  <c r="D25" i="1"/>
  <c r="C25" i="1"/>
  <c r="B25" i="1"/>
  <c r="E24" i="1"/>
  <c r="D24" i="1"/>
  <c r="C24" i="1"/>
  <c r="B24" i="1"/>
  <c r="E23" i="1"/>
  <c r="D23" i="1"/>
  <c r="C23" i="1"/>
  <c r="E22" i="1"/>
  <c r="D22" i="1"/>
  <c r="C22" i="1"/>
  <c r="B22" i="1"/>
  <c r="E21" i="1"/>
  <c r="D21" i="1"/>
  <c r="C21" i="1"/>
  <c r="E20" i="1"/>
  <c r="D20" i="1"/>
  <c r="C20" i="1"/>
  <c r="B20" i="1"/>
  <c r="E19" i="1"/>
  <c r="D19" i="1"/>
  <c r="C19" i="1"/>
  <c r="B19" i="1"/>
  <c r="E18" i="1"/>
  <c r="D18" i="1"/>
  <c r="C18" i="1"/>
  <c r="B18" i="1"/>
  <c r="E17" i="1"/>
  <c r="D17" i="1"/>
  <c r="C17" i="1"/>
  <c r="B17" i="1"/>
  <c r="E16" i="1"/>
  <c r="D16" i="1"/>
  <c r="C16" i="1"/>
  <c r="B16" i="1"/>
  <c r="E15" i="1"/>
  <c r="D15" i="1"/>
  <c r="C15" i="1"/>
  <c r="B15" i="1"/>
  <c r="E14" i="1"/>
  <c r="D14" i="1"/>
  <c r="C14" i="1"/>
  <c r="E13" i="1"/>
  <c r="D13" i="1"/>
  <c r="C13" i="1"/>
  <c r="B13" i="1"/>
  <c r="E12" i="1"/>
  <c r="D12" i="1"/>
  <c r="C12" i="1"/>
  <c r="B12" i="1"/>
  <c r="E11" i="1"/>
  <c r="D11" i="1"/>
  <c r="C11" i="1"/>
  <c r="B11" i="1"/>
  <c r="E10" i="1"/>
  <c r="D10" i="1"/>
  <c r="C10" i="1"/>
  <c r="B10" i="1"/>
  <c r="E9" i="1"/>
  <c r="D9" i="1"/>
  <c r="C9" i="1"/>
  <c r="B9" i="1"/>
  <c r="E8" i="1"/>
  <c r="D8" i="1"/>
  <c r="C8" i="1"/>
  <c r="B8" i="1"/>
  <c r="E7" i="1"/>
  <c r="D7" i="1"/>
  <c r="C7" i="1"/>
  <c r="B7" i="1"/>
  <c r="E6" i="1"/>
  <c r="D6" i="1"/>
  <c r="C6" i="1"/>
  <c r="B6" i="1"/>
  <c r="E5" i="1"/>
  <c r="D5" i="1"/>
  <c r="C5" i="1"/>
  <c r="B5" i="1"/>
  <c r="E4" i="1"/>
  <c r="D4" i="1"/>
  <c r="C4" i="1"/>
  <c r="B4" i="1"/>
  <c r="E3" i="1"/>
  <c r="D3" i="1"/>
  <c r="C3" i="1"/>
  <c r="B3" i="1"/>
  <c r="E2" i="1"/>
  <c r="D2" i="1"/>
  <c r="C2" i="1"/>
  <c r="B2" i="1"/>
</calcChain>
</file>

<file path=xl/sharedStrings.xml><?xml version="1.0" encoding="utf-8"?>
<sst xmlns="http://schemas.openxmlformats.org/spreadsheetml/2006/main" count="5862" uniqueCount="5342">
  <si>
    <t>Korean</t>
  </si>
  <si>
    <t>English</t>
  </si>
  <si>
    <t>Japanese</t>
  </si>
  <si>
    <t>Traditional Chinese</t>
  </si>
  <si>
    <t>Simplified Chinese</t>
  </si>
  <si>
    <t>안녕하세요? 저는 디트만이에요. 회사원이에요. 금융 부문에서 일해요. 한국 문화에 관심이 있어요. 11월에 서울에 갈 거예요. 반갑습니다.</t>
  </si>
  <si>
    <t>미안해</t>
  </si>
  <si>
    <t>Hello. My name is Dittman. I'm an office worker. I work in finance. I'm interested in Korean culture. I'm going to Seoul in November. 
Nice to meet you.</t>
  </si>
  <si>
    <t>습해요</t>
  </si>
  <si>
    <t>제주도에 가려고 해요.</t>
  </si>
  <si>
    <t>미안해요.</t>
  </si>
  <si>
    <t>있어요</t>
  </si>
  <si>
    <t>여행 계획을 말할 수 있어요.</t>
  </si>
  <si>
    <t>산</t>
  </si>
  <si>
    <t>감사해요.</t>
  </si>
  <si>
    <t>섬</t>
  </si>
  <si>
    <t>축하해요</t>
  </si>
  <si>
    <t>바다</t>
  </si>
  <si>
    <t>고마워요.</t>
  </si>
  <si>
    <t>있다</t>
  </si>
  <si>
    <t>바다가</t>
  </si>
  <si>
    <t>반갑습니다.</t>
  </si>
  <si>
    <t>도시</t>
  </si>
  <si>
    <t>낮</t>
  </si>
  <si>
    <t>고기집 (or 고깃집)</t>
  </si>
  <si>
    <t>호수</t>
  </si>
  <si>
    <t>여러분, 잘 지냈어요?</t>
  </si>
  <si>
    <t>돈</t>
  </si>
  <si>
    <t>주일</t>
  </si>
  <si>
    <t>밤</t>
  </si>
  <si>
    <t>현금</t>
  </si>
  <si>
    <t>네, 잘 지냈어요.</t>
  </si>
  <si>
    <t>일주일에 한 번</t>
  </si>
  <si>
    <t>신용카드</t>
  </si>
  <si>
    <t>약</t>
  </si>
  <si>
    <t>낮 밤</t>
  </si>
  <si>
    <t>medicine</t>
  </si>
  <si>
    <t>네, 괜찮아요.</t>
  </si>
  <si>
    <t>약국</t>
  </si>
  <si>
    <t>달</t>
  </si>
  <si>
    <t>여권</t>
  </si>
  <si>
    <t>이주일에 한 번</t>
  </si>
  <si>
    <t>once every two weeks</t>
  </si>
  <si>
    <t>모자</t>
  </si>
  <si>
    <t>어서 오세요.</t>
  </si>
  <si>
    <t>별</t>
  </si>
  <si>
    <t>우산</t>
  </si>
  <si>
    <t>매주 일요일</t>
  </si>
  <si>
    <t>늦어서 미안합니다.</t>
  </si>
  <si>
    <t>운동화</t>
  </si>
  <si>
    <t>해</t>
  </si>
  <si>
    <t>수영복</t>
  </si>
  <si>
    <t>일 년 동안 공부했어요.</t>
  </si>
  <si>
    <t>물</t>
  </si>
  <si>
    <t>들어오세요.</t>
  </si>
  <si>
    <t>화장품</t>
  </si>
  <si>
    <t>칫솔</t>
  </si>
  <si>
    <t>앉으세요.</t>
  </si>
  <si>
    <t>이번 주말에 뭐 할 거예요?</t>
  </si>
  <si>
    <t>불</t>
  </si>
  <si>
    <t>치약</t>
  </si>
  <si>
    <t>안경</t>
  </si>
  <si>
    <t>잘 들으세요.</t>
  </si>
  <si>
    <t>곰</t>
  </si>
  <si>
    <t>졸업할 거예요</t>
  </si>
  <si>
    <t>선글라스</t>
  </si>
  <si>
    <t>문을 열어요.</t>
  </si>
  <si>
    <t>여행할 때 칫솔이 필요해요.</t>
  </si>
  <si>
    <t>봄</t>
  </si>
  <si>
    <t>잘 지냈어요?</t>
  </si>
  <si>
    <t>구경을 해요</t>
  </si>
  <si>
    <t>등산을 해요</t>
  </si>
  <si>
    <t>책을 펴요.</t>
  </si>
  <si>
    <t>피 땀 눈물</t>
  </si>
  <si>
    <t>blood sweat and tears</t>
  </si>
  <si>
    <t>배를 타요</t>
  </si>
  <si>
    <t>파티를 해요</t>
  </si>
  <si>
    <t>간호사</t>
  </si>
  <si>
    <t>낚시를 해요</t>
  </si>
  <si>
    <t>밥</t>
  </si>
  <si>
    <t>선물을 사요</t>
  </si>
  <si>
    <t>무슨 음식을 좋아해요?</t>
  </si>
  <si>
    <t>저녁을 먹어요.</t>
  </si>
  <si>
    <t>기념품</t>
  </si>
  <si>
    <t>집</t>
  </si>
  <si>
    <t>김치찌개를 먹어요.</t>
  </si>
  <si>
    <t>여러분은 한국 음식을 많이 알아요?</t>
  </si>
  <si>
    <t>집 앞</t>
  </si>
  <si>
    <t>맛집에 가요</t>
  </si>
  <si>
    <t>가족을 만나요.</t>
  </si>
  <si>
    <t>호텔에서 쉬어요</t>
  </si>
  <si>
    <t>국</t>
  </si>
  <si>
    <t>반바지</t>
  </si>
  <si>
    <t>집 밑</t>
  </si>
  <si>
    <t>장소와 식품</t>
  </si>
  <si>
    <t>찌개</t>
  </si>
  <si>
    <t>집 옆</t>
  </si>
  <si>
    <t>고등학교</t>
  </si>
  <si>
    <t>자유이용권</t>
  </si>
  <si>
    <t>가장 좋아하는 여러분 나라의 음식은 뭐예요?</t>
  </si>
  <si>
    <t>제주도에서 뭐 할 거예요?</t>
  </si>
  <si>
    <t>중학교</t>
  </si>
  <si>
    <t>등산을 할 거예요.</t>
  </si>
  <si>
    <t>공</t>
  </si>
  <si>
    <t>바다에서 뭐 할 거예요?</t>
  </si>
  <si>
    <t>잡채</t>
  </si>
  <si>
    <t>japchae</t>
  </si>
  <si>
    <t>병</t>
  </si>
  <si>
    <t>bottle</t>
  </si>
  <si>
    <t>낚시하려고 해요.</t>
  </si>
  <si>
    <t>초등학교</t>
  </si>
  <si>
    <t>호수에서 뭐 할 거예요?</t>
  </si>
  <si>
    <t>빵</t>
  </si>
  <si>
    <t>떡볶이</t>
  </si>
  <si>
    <t>호수에서 배 타려고 해요.</t>
  </si>
  <si>
    <t>대학원생</t>
  </si>
  <si>
    <t>오후에는 뭐 할 거예요?</t>
  </si>
  <si>
    <t>우리나라</t>
  </si>
  <si>
    <t>our country</t>
  </si>
  <si>
    <t>김치찌개</t>
  </si>
  <si>
    <t>선물을 살 거예요.</t>
  </si>
  <si>
    <t>사무실</t>
  </si>
  <si>
    <t>저녁에는 호텔에서 쉴 거예요?</t>
  </si>
  <si>
    <t>아래</t>
  </si>
  <si>
    <t>아니요, 맛집에서 먹으려고 해요.</t>
  </si>
  <si>
    <t>한국 식당에 자주 가요?</t>
  </si>
  <si>
    <t>아니요, 맛집에 갈 거예요.</t>
  </si>
  <si>
    <t>모두</t>
  </si>
  <si>
    <t>김밥</t>
  </si>
  <si>
    <t>어디로 여행을 가요?</t>
  </si>
  <si>
    <t>부산으로 갈 거예요.</t>
  </si>
  <si>
    <t>자주</t>
  </si>
  <si>
    <t>서울로 갈 거예요.</t>
  </si>
  <si>
    <t>삼계탕</t>
  </si>
  <si>
    <t>오늘 저녁에는 뭘 먹어요?</t>
  </si>
  <si>
    <t>주세요</t>
  </si>
  <si>
    <t>커피숍</t>
  </si>
  <si>
    <t>닭갈비를 먹으려고 해요.</t>
  </si>
  <si>
    <t>김치</t>
  </si>
  <si>
    <t>재민 씨, 이번 휴가에 뭐 할 거예요?</t>
  </si>
  <si>
    <t>여행을 가려고 해요.</t>
  </si>
  <si>
    <t>어제</t>
  </si>
  <si>
    <t>먹으려고 하다</t>
  </si>
  <si>
    <t>읽으려고 하다</t>
  </si>
  <si>
    <t>앉으려고 하다</t>
  </si>
  <si>
    <t>삼겹살</t>
  </si>
  <si>
    <t>보통 뭐 해요?</t>
  </si>
  <si>
    <t>가려고 하다</t>
  </si>
  <si>
    <t>오늘</t>
  </si>
  <si>
    <t>공부하려고 하다</t>
  </si>
  <si>
    <t>만들려고 하다</t>
  </si>
  <si>
    <t>산책해요.</t>
  </si>
  <si>
    <t>비빔밥</t>
  </si>
  <si>
    <t>신으려고 해요.</t>
  </si>
  <si>
    <t>입으려고 해요.</t>
  </si>
  <si>
    <t>마트</t>
  </si>
  <si>
    <t>오늘 한국어 공부해요</t>
  </si>
  <si>
    <t>불고기</t>
  </si>
  <si>
    <t>들으려고 해요.</t>
  </si>
  <si>
    <t>배우려고 해요.</t>
  </si>
  <si>
    <t>장을 보다</t>
  </si>
  <si>
    <t>to go shopping for groceries</t>
  </si>
  <si>
    <t>된장찌개</t>
  </si>
  <si>
    <t>여행하려고 해요.</t>
  </si>
  <si>
    <t>내일</t>
  </si>
  <si>
    <t>오늘 여행을 가요. 그래서 청바지를 입으려고 해요.</t>
  </si>
  <si>
    <t>장을 봐요.</t>
  </si>
  <si>
    <t>토요일에 공원에 가요. 공원에서 자전거를 타려고 해요.</t>
  </si>
  <si>
    <t>냉면</t>
  </si>
  <si>
    <t>다음 주부터 방학이에요. 친구하고 여행하려고 해요.</t>
  </si>
  <si>
    <t>하루</t>
  </si>
  <si>
    <t>야채</t>
  </si>
  <si>
    <t>저는 케이팝을 좋아해요. 오늘도 케이팝을 들으려고 해요.</t>
  </si>
  <si>
    <t>볶음밥</t>
  </si>
  <si>
    <t>내일 어디에 갈 거예요?</t>
  </si>
  <si>
    <t>한라산에 올라가려고 해요.</t>
  </si>
  <si>
    <t>채소</t>
  </si>
  <si>
    <t>라면</t>
  </si>
  <si>
    <t>주말에 뭐 할 거예요?</t>
  </si>
  <si>
    <t>세수</t>
  </si>
  <si>
    <t>청소를 하려고 해요.</t>
  </si>
  <si>
    <t>여기는 식당이에요.</t>
  </si>
  <si>
    <t>방학에 뭐 할 거예요?</t>
  </si>
  <si>
    <t>책을 많이 읽으려고 해요.</t>
  </si>
  <si>
    <t>라면을 먹어요.</t>
  </si>
  <si>
    <t>미역국</t>
  </si>
  <si>
    <t>여기는 카페예요.</t>
  </si>
  <si>
    <t>제주도</t>
  </si>
  <si>
    <t>여러분은 무슨 커피를 좋아해요?</t>
  </si>
  <si>
    <t>무슨 음식을 만들 거예요?</t>
  </si>
  <si>
    <t>커피를 마셔요.</t>
  </si>
  <si>
    <t>비빔밥을 만들려고 해요.</t>
  </si>
  <si>
    <t>편의점에 가요. 우유가 없어서 우유를 사려고 해요.</t>
  </si>
  <si>
    <t>여기는 공원이에요.</t>
  </si>
  <si>
    <t>빈칸에 들어갈 단어를 찾아 써 보세요. 그리고 여러분이 아는 음식을 자유롭게 써 보세요.</t>
  </si>
  <si>
    <t>라디오</t>
  </si>
  <si>
    <t>공원에 가요. 오늘 날씨가 좋아서 자전거를 타려고 해요.</t>
  </si>
  <si>
    <t>과자를 먹어요.</t>
  </si>
  <si>
    <t>친구 집에 가요. 친구 생일이라서 생일 파티를 하려고 해요.</t>
  </si>
  <si>
    <t>드라마</t>
  </si>
  <si>
    <t>그림을 보고 써 보세요.</t>
  </si>
  <si>
    <t>때문에</t>
  </si>
  <si>
    <t>미용실에 가요. 머리가 길어서 머리를 자르려고 해요.</t>
  </si>
  <si>
    <t>감자</t>
  </si>
  <si>
    <t>볶음밥을 좋아해요?</t>
  </si>
  <si>
    <t>놀이공원에 가려고 해요.</t>
  </si>
  <si>
    <t>감자칩</t>
  </si>
  <si>
    <t>오후에 뭐 해요?</t>
  </si>
  <si>
    <t>아니요, 저는 김밥을 좋아해요.</t>
  </si>
  <si>
    <t>화장품을 사려고 해요.</t>
  </si>
  <si>
    <t>마시다</t>
  </si>
  <si>
    <t>여기는 마트예요.</t>
  </si>
  <si>
    <t>토요일에 친구를 만나요?</t>
  </si>
  <si>
    <t>네, 친구랑 영화를 보려고 해요.</t>
  </si>
  <si>
    <t>수지 씨, 점심에 뭘 먹고 싶어요?</t>
  </si>
  <si>
    <t>맛있다</t>
  </si>
  <si>
    <t>delicious</t>
  </si>
  <si>
    <t>우유를 사요.</t>
  </si>
  <si>
    <t>이번 휴가에도 여행 갈 거예요?</t>
  </si>
  <si>
    <t>아니요, 이번 방학에는 쉬려고 해요.</t>
  </si>
  <si>
    <t>배우다</t>
  </si>
  <si>
    <t>된장찌개를 먹고 싶어요.</t>
  </si>
  <si>
    <t>자전거</t>
  </si>
  <si>
    <t>수영하려고 해요.</t>
  </si>
  <si>
    <t>이 식당은 어때요?</t>
  </si>
  <si>
    <t>가요</t>
  </si>
  <si>
    <t>재민 씨, 주말에 뭘 먹었어요?</t>
  </si>
  <si>
    <t>자전거를 타요.</t>
  </si>
  <si>
    <t>메뉴</t>
  </si>
  <si>
    <t>비빔밥을 먹었어요.</t>
  </si>
  <si>
    <t>저녁</t>
  </si>
  <si>
    <t>음식이 맛있고 싸요.</t>
  </si>
  <si>
    <t>무엇을 드릴까요?</t>
  </si>
  <si>
    <t>야구</t>
  </si>
  <si>
    <t>등산을 하고 낚시도 할 거예요.</t>
  </si>
  <si>
    <t>다 좋아해요.</t>
  </si>
  <si>
    <t>비가 오고 더워요.</t>
  </si>
  <si>
    <t>불고기하고 냉면 주세요.</t>
  </si>
  <si>
    <t>시계</t>
  </si>
  <si>
    <t>수영을 하고 산책도 해요.</t>
  </si>
  <si>
    <t>한국어를 배우고 아르바이트도 해요.</t>
  </si>
  <si>
    <t>수지 씨, 어디에 가요?</t>
  </si>
  <si>
    <t>파티</t>
  </si>
  <si>
    <t>텔레비전을 보고 음악도 들어요.</t>
  </si>
  <si>
    <t>그 식당이 가깝고 음식도 맛있어요.</t>
  </si>
  <si>
    <t>마트에 가요. 우유를 사요.</t>
  </si>
  <si>
    <t>저는 한국 음식을 좋아해요.</t>
  </si>
  <si>
    <t>생일 파티</t>
  </si>
  <si>
    <t>재민 씨, 집에 과일이 있어요?</t>
  </si>
  <si>
    <t>생일에 무슨 선물을 받았어요?</t>
  </si>
  <si>
    <t>또 그 식당에 갔어요?</t>
  </si>
  <si>
    <t>취미</t>
  </si>
  <si>
    <t>네, 있어요.</t>
  </si>
  <si>
    <t>토요일에는 아르바이트를 하고, 일요일에는 집에서 쉬어요.</t>
  </si>
  <si>
    <t>운동화를 받았어요.</t>
  </si>
  <si>
    <t>대화</t>
  </si>
  <si>
    <t>그림을 보고 대화를 완성해 보세요.</t>
  </si>
  <si>
    <t>꼬북칩</t>
  </si>
  <si>
    <t>부산에서 뭐 할 거예요?</t>
  </si>
  <si>
    <t>이따가</t>
  </si>
  <si>
    <t>무슨 운동을 제일 좋아해요?</t>
  </si>
  <si>
    <t>수영을 하고 낚시도 할 거예요.</t>
  </si>
  <si>
    <t>마리 씨는 빵을 좋아해요?</t>
  </si>
  <si>
    <t>케이크</t>
  </si>
  <si>
    <t>오후에 뭐 할 거예요?</t>
  </si>
  <si>
    <t>저는 야구를 제일 좋아해요.</t>
  </si>
  <si>
    <t>네, 아주 좋아해요.</t>
  </si>
  <si>
    <t>마트에 가고 청소도 할 거예요.</t>
  </si>
  <si>
    <t>티셔츠</t>
  </si>
  <si>
    <t>백화점에서 뭐 살 거예요?</t>
  </si>
  <si>
    <t>바꾸다</t>
  </si>
  <si>
    <t>무슨 신발을 사고 싶어요?</t>
  </si>
  <si>
    <t>선글라스를 사고 수영복도 살 거예요.</t>
  </si>
  <si>
    <t>친구하고 어디에 가려고 해요?</t>
  </si>
  <si>
    <t>주노 씨, 어디예요?</t>
  </si>
  <si>
    <t>예쁘다</t>
  </si>
  <si>
    <t>식당에 가고 노래방에도 가려고 해요.</t>
  </si>
  <si>
    <t>운동화를 사고 싶어요.</t>
  </si>
  <si>
    <t>방학에 뭐 하려고 해요?</t>
  </si>
  <si>
    <t>책상</t>
  </si>
  <si>
    <t>괜찮아요?</t>
  </si>
  <si>
    <t>책을 읽고 운동도 하려고 해요.</t>
  </si>
  <si>
    <t>도서관에서 공부해요. 집에서도 공부해요.</t>
  </si>
  <si>
    <t>서울은 날씨가 어때요?</t>
  </si>
  <si>
    <t>양말</t>
  </si>
  <si>
    <t>춥고 눈도 와요.</t>
  </si>
  <si>
    <t>꽃하고 지갑을 받았어요.</t>
  </si>
  <si>
    <t>한식</t>
  </si>
  <si>
    <t>Korean food</t>
  </si>
  <si>
    <t>과자</t>
  </si>
  <si>
    <t>친구를 만나고 청소도 할 거예요.</t>
  </si>
  <si>
    <t>한국 음식</t>
  </si>
  <si>
    <t>무슨 요일에 한국어 수업이 있어요?</t>
  </si>
  <si>
    <t>가족</t>
  </si>
  <si>
    <t>제주도는 어때요?</t>
  </si>
  <si>
    <t>바다가 아름답고 음식도 맛있어요.</t>
  </si>
  <si>
    <t>장을 봐요</t>
  </si>
  <si>
    <t>grocery shopping</t>
  </si>
  <si>
    <t>월요일하고 수요일에 있어요.</t>
  </si>
  <si>
    <t>냉장고</t>
  </si>
  <si>
    <t>요즘 안나 씨는 많이 바빠요?</t>
  </si>
  <si>
    <t>네, 한국어 공부를 하고 아르바이트도 해요.</t>
  </si>
  <si>
    <t>우유와 빵</t>
  </si>
  <si>
    <t>저녁에 보통 뭐 해요?</t>
  </si>
  <si>
    <t>화요일에 한국어 수업이 있어요.</t>
  </si>
  <si>
    <t>텔레비전을 보고 책도 읽어요.</t>
  </si>
  <si>
    <t>회사</t>
  </si>
  <si>
    <t>빵과 우유</t>
  </si>
  <si>
    <t>무슨 계절을 좋아해요?</t>
  </si>
  <si>
    <t>두 사람은 지금 뭐 해요?</t>
  </si>
  <si>
    <t>수지는 자고 마리는 음악을 들어요.</t>
  </si>
  <si>
    <t>우유하고 빵</t>
  </si>
  <si>
    <t>저는 여름을 좋아해요.</t>
  </si>
  <si>
    <t>기차</t>
  </si>
  <si>
    <t>수지는 텔레비전을 보고 마리는 요리해요.</t>
  </si>
  <si>
    <t>빵하고 우유</t>
  </si>
  <si>
    <t>무슨 운동을 자주 해요?</t>
  </si>
  <si>
    <t>두 사람은 어제 뭐 했어요?</t>
  </si>
  <si>
    <t>가방</t>
  </si>
  <si>
    <t>우유랑 빵</t>
  </si>
  <si>
    <t>수지는 청소하고 마리는 친구를 만났어요.</t>
  </si>
  <si>
    <t>저는 축구를 자주 해요.</t>
  </si>
  <si>
    <t>여러분은 오늘 뭐 할 거예요?</t>
  </si>
  <si>
    <t>빵이랑 우유</t>
  </si>
  <si>
    <t>공책</t>
  </si>
  <si>
    <t>오늘 일하고 한국어를 공부해요.</t>
  </si>
  <si>
    <t>무슨 음식을 자주 먹어요?</t>
  </si>
  <si>
    <t>돌하르방</t>
  </si>
  <si>
    <t>백화점이에요</t>
  </si>
  <si>
    <t>영화</t>
  </si>
  <si>
    <t>알아볼까요?</t>
  </si>
  <si>
    <t>일본 음식을 자주 먹어요.</t>
  </si>
  <si>
    <t>자동차</t>
  </si>
  <si>
    <t>저는 이번 휴가에 친구들하고 설악산으로 여행을 가요.</t>
  </si>
  <si>
    <t>책상하고 의자가 교실 안에 있어요.</t>
  </si>
  <si>
    <t>설악산 옆에는 바다도 있어요. 등산을 하고 바다에서 수영도 할 거예요.</t>
  </si>
  <si>
    <t>무슨 선물을 받고 싶어요?</t>
  </si>
  <si>
    <t>들어오세요</t>
  </si>
  <si>
    <t>밤에는 호텔에서 친구들과 파티도 하려고 해요.</t>
  </si>
  <si>
    <t>바나나하고 딸기를 사요.</t>
  </si>
  <si>
    <t>그래서 저는 등산화하고 수영복을 샀어요.</t>
  </si>
  <si>
    <t>운동 티셔츠를 받고 싶어요.</t>
  </si>
  <si>
    <t>다음에 오세요</t>
  </si>
  <si>
    <t>선글라스도 샀어요. 빨리 설악산 여행을 가고 싶어요.</t>
  </si>
  <si>
    <t>케이크하고 빵을 먹어요.</t>
  </si>
  <si>
    <t>거리 구경을 해요</t>
  </si>
  <si>
    <t>무슨 과일을 샀어요?</t>
  </si>
  <si>
    <t>축제에 가요</t>
  </si>
  <si>
    <t>또 만나요</t>
  </si>
  <si>
    <t>우유하고 차를 마셔요.</t>
  </si>
  <si>
    <t>전통 시장에 가요</t>
  </si>
  <si>
    <t>수박 두 개를 샀어요.</t>
  </si>
  <si>
    <t>새로운 음식을 먹어요</t>
  </si>
  <si>
    <t>괜찮아요</t>
  </si>
  <si>
    <t>영화관하고 카페에 가요.</t>
  </si>
  <si>
    <t>박물관에 가요</t>
  </si>
  <si>
    <t>어떤 책</t>
  </si>
  <si>
    <t>공연을 봐요</t>
  </si>
  <si>
    <t>선생님하고 수지 씨를 만나요.</t>
  </si>
  <si>
    <t>만나서 반가워요</t>
  </si>
  <si>
    <t>사람들을 구경해요</t>
  </si>
  <si>
    <t>어떤 가방</t>
  </si>
  <si>
    <t>시계하고 칠판이 있어요.</t>
  </si>
  <si>
    <t>길거리 음식을 먹어요</t>
  </si>
  <si>
    <t>앉으세요</t>
  </si>
  <si>
    <t>기념품을 사요</t>
  </si>
  <si>
    <t>어떤 것</t>
  </si>
  <si>
    <t>책하고 펜이 있어요.</t>
  </si>
  <si>
    <t>한복을 입어봐요</t>
  </si>
  <si>
    <t>삼계탕을 먹어요</t>
  </si>
  <si>
    <t>늦</t>
  </si>
  <si>
    <t>케이팝(K-POP) 콘서트에 가요</t>
  </si>
  <si>
    <t>방에 무엇이 있어요?</t>
  </si>
  <si>
    <t>한복을 입어요</t>
  </si>
  <si>
    <t>어서 미안합니다</t>
  </si>
  <si>
    <t>영화 축제에 가요</t>
  </si>
  <si>
    <t>어떤 선물이 좋았어요?</t>
  </si>
  <si>
    <t>공연을 봤어요</t>
  </si>
  <si>
    <t>침대하고 가방이 있어요.</t>
  </si>
  <si>
    <t>부산국제영화제에 갔어요</t>
  </si>
  <si>
    <t>늦어서 미안합니다</t>
  </si>
  <si>
    <t>우리 같이 수영장에 갈까요?</t>
  </si>
  <si>
    <t>새로운 음식을 먹었어요</t>
  </si>
  <si>
    <t>핸드폰하고 옷이 있어요.</t>
  </si>
  <si>
    <t>박물관에 갔어요</t>
  </si>
  <si>
    <t>어서 오세요</t>
  </si>
  <si>
    <t>미안해요. 저는 수영을 못 해요.</t>
  </si>
  <si>
    <t>담요하고 후디가 있어요.</t>
  </si>
  <si>
    <t>선물을 샀어요.</t>
  </si>
  <si>
    <t>기념품을 샀어요.</t>
  </si>
  <si>
    <t>집에 누가 있어요?</t>
  </si>
  <si>
    <t>안녕하세요?</t>
  </si>
  <si>
    <t>떡볶이를 좋아해요?</t>
  </si>
  <si>
    <t>거리 구경을 했어요.</t>
  </si>
  <si>
    <t>아내하고 아이들이 있어요.</t>
  </si>
  <si>
    <t>부산에서 뭐 했어요?</t>
  </si>
  <si>
    <t>안녕히 가세요</t>
  </si>
  <si>
    <t>goodbye (to a person who is leaving)</t>
  </si>
  <si>
    <t>영화 축제를 봤어요.</t>
  </si>
  <si>
    <t>아니요, 저는 떡볶이를 못 먹어요.</t>
  </si>
  <si>
    <t>명동에서 뭘 했어요?</t>
  </si>
  <si>
    <t>안녕히 계세요</t>
  </si>
  <si>
    <t>goodbye (to a person who is staying)</t>
  </si>
  <si>
    <t>삼계탕을 먹었어요.</t>
  </si>
  <si>
    <t>애인</t>
  </si>
  <si>
    <t>못 가요</t>
  </si>
  <si>
    <t>인사동에서 뭐 했어요?</t>
  </si>
  <si>
    <t>미안합니다</t>
  </si>
  <si>
    <t>서울에서 뭐 했어요?</t>
  </si>
  <si>
    <t>못 먹어요</t>
  </si>
  <si>
    <t>물하고 치즈를 먹어요.</t>
  </si>
  <si>
    <t>죄송합니다</t>
  </si>
  <si>
    <t>케이팝 콘서트에 갔어요.</t>
  </si>
  <si>
    <t>I'm sorry (polite form)</t>
  </si>
  <si>
    <t>경복궁에서 뭐 했어요?</t>
  </si>
  <si>
    <t>김치하고 샐러드를 먹어요.</t>
  </si>
  <si>
    <t>한복을 입고 사진을 찍었어요.</t>
  </si>
  <si>
    <t>못 쳐요</t>
  </si>
  <si>
    <t>약을 언제 먹어요?</t>
  </si>
  <si>
    <t>핸드폰하고 연필하고 필통하고 책이 있어요.</t>
  </si>
  <si>
    <t>고맙습니다</t>
  </si>
  <si>
    <t>밥을 먹은 후에 먹어요.</t>
  </si>
  <si>
    <t>못 타요</t>
  </si>
  <si>
    <t>가수하고 사진을 찍었어요?</t>
  </si>
  <si>
    <t>우유하고 라면하고 빵하고 과자를 사요.</t>
  </si>
  <si>
    <t>네, 콘서트가 끝난 후에 같이 사진을 찍었어요.</t>
  </si>
  <si>
    <t>못 만나요</t>
  </si>
  <si>
    <t>가방에 책하고 필통이 있어요.</t>
  </si>
  <si>
    <t>먹은 후에</t>
  </si>
  <si>
    <t>감사합니다</t>
  </si>
  <si>
    <t>Thank you (polite form)</t>
  </si>
  <si>
    <t>씻은 후에</t>
  </si>
  <si>
    <t>공부를 못 해요</t>
  </si>
  <si>
    <t>오늘 영화관하고 식당에 가요.</t>
  </si>
  <si>
    <t>읽은 후에</t>
  </si>
  <si>
    <t>보세요</t>
  </si>
  <si>
    <t>들은 후에</t>
  </si>
  <si>
    <t>수영 못 해요</t>
  </si>
  <si>
    <t>저는 주노 씨하고 마리 씨를 만나요.</t>
  </si>
  <si>
    <t>본 후에</t>
  </si>
  <si>
    <t>산 후에</t>
  </si>
  <si>
    <t>오늘 빵하고 우유를 먹어요.</t>
  </si>
  <si>
    <t>책 보세요</t>
  </si>
  <si>
    <t>마신 후에</t>
  </si>
  <si>
    <t>만든 후에</t>
  </si>
  <si>
    <t>매일 카페에서 커피하고 주스를 마셔요.</t>
  </si>
  <si>
    <t>들으세요</t>
  </si>
  <si>
    <t>논 후에</t>
  </si>
  <si>
    <t>걸은 후에</t>
  </si>
  <si>
    <t>요리 못 해요</t>
  </si>
  <si>
    <t>방에 뭐 가 있어요?</t>
  </si>
  <si>
    <t>손을 씻은 후에 밥을 먹어요.</t>
  </si>
  <si>
    <t>따라 하세요</t>
  </si>
  <si>
    <t>바지를 입은 후에 양말을 신었어요.</t>
  </si>
  <si>
    <t>운동 못 해요</t>
  </si>
  <si>
    <t>양말을 신은 후에 바지를 입어요.</t>
  </si>
  <si>
    <t>카페에서 친구를 만난 후에 집에 가요.</t>
  </si>
  <si>
    <t>노트북하고 책이 있어요.</t>
  </si>
  <si>
    <t>읽으세요</t>
  </si>
  <si>
    <t>밥을 만든 후에 설거지를 해요.</t>
  </si>
  <si>
    <t>이야기 못 해요</t>
  </si>
  <si>
    <t>요리한 후에 설거지를 해요.</t>
  </si>
  <si>
    <t>뒷정리해요</t>
  </si>
  <si>
    <t>쓰세요</t>
  </si>
  <si>
    <t>write</t>
  </si>
  <si>
    <t>마무리해요</t>
  </si>
  <si>
    <t>오늘 누구를 만나요?</t>
  </si>
  <si>
    <t>마무리할게요</t>
  </si>
  <si>
    <t>식사를 해요. 그리고 차를 마셔요.</t>
  </si>
  <si>
    <t>안나 씨는 스키를 못 타요.</t>
  </si>
  <si>
    <t>재민하고 마리를 만나요.</t>
  </si>
  <si>
    <t>식사를 한 후에 차를 마셔요.</t>
  </si>
  <si>
    <t>이름 쓰세요</t>
  </si>
  <si>
    <t>운동을 해요. 그리고 샤워를 해요.</t>
  </si>
  <si>
    <t>운동을 한 후에 샤워를 해요.</t>
  </si>
  <si>
    <t>과일을 좋아해요?</t>
  </si>
  <si>
    <t>어린이는 이 영화를 못 봐요.</t>
  </si>
  <si>
    <t>책을 읽어요. 그리고 음악을 들어요.</t>
  </si>
  <si>
    <t>책을 펴세요</t>
  </si>
  <si>
    <t>네, 사과하고 바나나를 좋아해요.</t>
  </si>
  <si>
    <t>유진 씨는 요리를 못 해요.</t>
  </si>
  <si>
    <t>질문 있어요?</t>
  </si>
  <si>
    <t>우유를 사요?</t>
  </si>
  <si>
    <t>책을 읽은 후에 음악을 들어요.</t>
  </si>
  <si>
    <t>네, 있어요</t>
  </si>
  <si>
    <t>아니요, 물하고 라면을 사요.</t>
  </si>
  <si>
    <t>박물관에서 사진을 못 찍어요.</t>
  </si>
  <si>
    <t>공연을 봐요. 그리고 사진을 찍어요.</t>
  </si>
  <si>
    <t>대답하세요</t>
  </si>
  <si>
    <t>단무지</t>
  </si>
  <si>
    <t>공연을 본 후에 사진을 찍어요.</t>
  </si>
  <si>
    <t>answer the question</t>
  </si>
  <si>
    <t>yellow pickled radish</t>
  </si>
  <si>
    <t>주노 씨, 케이팝 콘서트에 가요?</t>
  </si>
  <si>
    <t>거리 구경을 해요. 그리고 맛집에 가요.</t>
  </si>
  <si>
    <t>알겠어요</t>
  </si>
  <si>
    <t>한국어하고 영어를 공부해요.</t>
  </si>
  <si>
    <t>거리 구경을 한 후에 맛집에 가요.</t>
  </si>
  <si>
    <t>아니요, 케이팝 콘서트에 못 가요. 표가 없어요.</t>
  </si>
  <si>
    <t>밥을 먹은 후에 이를 닦아요.</t>
  </si>
  <si>
    <t>모르겠어요</t>
  </si>
  <si>
    <t>운동을 한 후에 물을 마셔요.</t>
  </si>
  <si>
    <t>재민 씨, 이번 주말에 낚시해요?</t>
  </si>
  <si>
    <t>네</t>
  </si>
  <si>
    <t>밥을 먹은 후에 물을 마셔요.</t>
  </si>
  <si>
    <t>아니요, 이번 주말에 낚시 못 해요. 너무 바빠요.</t>
  </si>
  <si>
    <t>숙제 한 후에 텔레비전을 봐요.</t>
  </si>
  <si>
    <t>돈하고 시간이 없어요.</t>
  </si>
  <si>
    <t>아니요</t>
  </si>
  <si>
    <t>밥을 만든 후에 친구한테 전화해요.</t>
  </si>
  <si>
    <t>안나 씨, 아침을 먹었어요?</t>
  </si>
  <si>
    <t>여름 여행이 좋아요? 겨울 여행이 좋아요?</t>
  </si>
  <si>
    <t>어휘</t>
  </si>
  <si>
    <t>저는 겨울 여행보다 여름 여행이 좋아요.</t>
  </si>
  <si>
    <t>주로</t>
  </si>
  <si>
    <t>뭐가 더 비싸요?</t>
  </si>
  <si>
    <t>직업</t>
  </si>
  <si>
    <t>아니요, 아침을 못 먹었어요. 시간이 없었어요.</t>
  </si>
  <si>
    <t>수박이 딸기보다 비싸요.</t>
  </si>
  <si>
    <t>친구 선물을 사요.</t>
  </si>
  <si>
    <t>표현</t>
  </si>
  <si>
    <t>호주가 커요? 한국이 커요?</t>
  </si>
  <si>
    <t>유진 씨, 공원에서 산책할까요?</t>
  </si>
  <si>
    <t>호주가 한국보다 더 커요.</t>
  </si>
  <si>
    <t>문법</t>
  </si>
  <si>
    <t>선물</t>
  </si>
  <si>
    <t>여름이 좋아요? 겨울이 좋아요?</t>
  </si>
  <si>
    <t>저는 여름이 겨울보다 더 좋아요.</t>
  </si>
  <si>
    <t>어느 나라 사람이에요?</t>
  </si>
  <si>
    <t>아니요, 공원에서 산책 못 가요. 밖에 비가 와요.</t>
  </si>
  <si>
    <t>누가 더 노래를 잘 해요?</t>
  </si>
  <si>
    <t>커피하고 차를 마셔요.</t>
  </si>
  <si>
    <t>한국 사람</t>
  </si>
  <si>
    <t>누가 더 잘생겼어요?</t>
  </si>
  <si>
    <t>마리 씨, 그 옷을 샀어요?</t>
  </si>
  <si>
    <t>누가 더 키가 커요?</t>
  </si>
  <si>
    <t>남친</t>
  </si>
  <si>
    <t>캐나다 사람</t>
  </si>
  <si>
    <t>무슨 운동을 더 좋아해요?</t>
  </si>
  <si>
    <t>남사친</t>
  </si>
  <si>
    <t>저는 축구를 수영보다 더 좋아해요.</t>
  </si>
  <si>
    <t>아니요, 그 옷을 못 샀어요. 너무 비싸요.</t>
  </si>
  <si>
    <t>베트남 사람</t>
  </si>
  <si>
    <t>한라산이 높아요? 설악산이 높아요?</t>
  </si>
  <si>
    <t>여친</t>
  </si>
  <si>
    <t>미국 사람</t>
  </si>
  <si>
    <t>한라산이 설악산보다 더 높아요.</t>
  </si>
  <si>
    <t>혼자 밥을 못 먹어요.</t>
  </si>
  <si>
    <t>여사친</t>
  </si>
  <si>
    <t>지하철이 편해요? 버스가 편해요?</t>
  </si>
  <si>
    <t>female friend</t>
  </si>
  <si>
    <t>프랑스 사람</t>
  </si>
  <si>
    <t>지하철이 버스보다 더 편해요.</t>
  </si>
  <si>
    <t>아기는 산책을 못 해요.</t>
  </si>
  <si>
    <t>과일 가게</t>
  </si>
  <si>
    <t>태국 사람</t>
  </si>
  <si>
    <t>뭐가 더 맛있어요?</t>
  </si>
  <si>
    <t>삼계탕이 불고기보다 더 맛있어요.</t>
  </si>
  <si>
    <t>인도네시아 사람</t>
  </si>
  <si>
    <t>단위 명사</t>
  </si>
  <si>
    <t>사과가 딸기보다 싸요.</t>
  </si>
  <si>
    <t>책을 못 읽어요.</t>
  </si>
  <si>
    <t>지하철이 버스보다 편해요.</t>
  </si>
  <si>
    <t>중국 사람</t>
  </si>
  <si>
    <t>커피 다섯 잔 주세요.</t>
  </si>
  <si>
    <t>오늘이 어제보다 따뜻해요.</t>
  </si>
  <si>
    <t>이야기를 못 해요.</t>
  </si>
  <si>
    <t>일본 사람</t>
  </si>
  <si>
    <t>삼계탕이 비빔밥보다 맛있어요.</t>
  </si>
  <si>
    <t>커피 한 잔 주세요.</t>
  </si>
  <si>
    <t>드라마가 영화보다 재미있어요.</t>
  </si>
  <si>
    <t>러시아 사람</t>
  </si>
  <si>
    <t>여름이 겨울보다 좋아요.</t>
  </si>
  <si>
    <t>옷을 (혼자) 못 입어요.</t>
  </si>
  <si>
    <t>여름을 겨울보다 좋아해요.</t>
  </si>
  <si>
    <t>하나</t>
  </si>
  <si>
    <t>케냐 사람</t>
  </si>
  <si>
    <t>떡볶이가 순두부찌개보다 매워요.</t>
  </si>
  <si>
    <t>운동을 못 해요.</t>
  </si>
  <si>
    <t>둘</t>
  </si>
  <si>
    <t>무슨 과일을 더 좋아해요?</t>
  </si>
  <si>
    <t>호주 사람</t>
  </si>
  <si>
    <t>바나나보다 수박을 더 좋아해요.</t>
  </si>
  <si>
    <t>셋</t>
  </si>
  <si>
    <t>어떤 가방이 좋아요?</t>
  </si>
  <si>
    <t>수영을 못 해요.</t>
  </si>
  <si>
    <t>말레이시아 사람</t>
  </si>
  <si>
    <t>작은 가방이 큰 가방보다 좋아요.</t>
  </si>
  <si>
    <t>넷</t>
  </si>
  <si>
    <t>못 걸어요</t>
  </si>
  <si>
    <t>직업이 뭐예요?</t>
  </si>
  <si>
    <t>뭐가 더 편해요?</t>
  </si>
  <si>
    <t>다섯</t>
  </si>
  <si>
    <t>일을 못 해요.</t>
  </si>
  <si>
    <t>이름이 뭐예요?</t>
  </si>
  <si>
    <t>운동화가 구두보다 더 편해요.</t>
  </si>
  <si>
    <t>여섯</t>
  </si>
  <si>
    <t>신발을 못 신어요.</t>
  </si>
  <si>
    <t>백화점이 가까워요? 시장이 가까워요?</t>
  </si>
  <si>
    <t>일곱</t>
  </si>
  <si>
    <t>뭐예요</t>
  </si>
  <si>
    <t>시장이 백화점보다 더 가까워요.</t>
  </si>
  <si>
    <t>여덟</t>
  </si>
  <si>
    <t>남자가 많아요? 여자가 많아요?</t>
  </si>
  <si>
    <t>한 달에 한 번</t>
  </si>
  <si>
    <t>여자가 남자보다 더 많아요.</t>
  </si>
  <si>
    <t>아홉</t>
  </si>
  <si>
    <t>같아요.</t>
  </si>
  <si>
    <t>회사원</t>
  </si>
  <si>
    <t>하루에 한 번</t>
  </si>
  <si>
    <t>마리 씨, 부산 여행 잘 다녀왔어요? 이번 여행은 어땠어요?</t>
  </si>
  <si>
    <t>열</t>
  </si>
  <si>
    <t>ten</t>
  </si>
  <si>
    <t>지난번 여행보다 좋았어요. 특히 영화 축제가 재미있었어요.</t>
  </si>
  <si>
    <t>대학생</t>
  </si>
  <si>
    <t>university student</t>
  </si>
  <si>
    <t>아, 그래요? 날씨는 괜찮았어요?</t>
  </si>
  <si>
    <t>일 년에 한 번</t>
  </si>
  <si>
    <t>열하나</t>
  </si>
  <si>
    <t>네, 그래서 저녁을 먹은 후에 매일 바닷가에서 산책했어요.</t>
  </si>
  <si>
    <t>작년</t>
  </si>
  <si>
    <t>열둘</t>
  </si>
  <si>
    <t>의사</t>
  </si>
  <si>
    <t>다음 날</t>
  </si>
  <si>
    <t>아주 맛있었습니다.</t>
  </si>
  <si>
    <t>스물</t>
  </si>
  <si>
    <t>경찰</t>
  </si>
  <si>
    <t>경복궁에는 한국 사람보다 외국 사람이 더 많았습니다.</t>
  </si>
  <si>
    <t>도서관에 책을 빌리러 가요.</t>
  </si>
  <si>
    <t>저는 Netflix를 Disney+보다 더 좋아해요.</t>
  </si>
  <si>
    <t>서른</t>
  </si>
  <si>
    <t>선생님</t>
  </si>
  <si>
    <t>커피보다 차를 더 좋아해요.</t>
  </si>
  <si>
    <t>뜨개질을 하다</t>
  </si>
  <si>
    <t>마흔</t>
  </si>
  <si>
    <t>저는 홍차보다 녹차를 더 좋아해요.</t>
  </si>
  <si>
    <t>가수</t>
  </si>
  <si>
    <t>홍차보다 녹차가 더 좋아요.</t>
  </si>
  <si>
    <t>쉰</t>
  </si>
  <si>
    <t>fifty</t>
  </si>
  <si>
    <t>코코넛이 귤보다 무거워요.</t>
  </si>
  <si>
    <t>봉사활동을 해요</t>
  </si>
  <si>
    <t>요리사</t>
  </si>
  <si>
    <t>내 동생이 나보다 더 키가 커요.</t>
  </si>
  <si>
    <t>예순</t>
  </si>
  <si>
    <t>스트레이 키즈 음악은 이루마 음악보다 더 시끄러워요.</t>
  </si>
  <si>
    <t>봉사해요</t>
  </si>
  <si>
    <t>어제 날씨보다 오늘 날씨가 더 따뜻해요.</t>
  </si>
  <si>
    <t>한국</t>
  </si>
  <si>
    <t>집에서 푹 쉬어야 돼요.</t>
  </si>
  <si>
    <t>일흔</t>
  </si>
  <si>
    <t>얼굴</t>
  </si>
  <si>
    <t>에펠탑</t>
  </si>
  <si>
    <t>별로 안 해요</t>
  </si>
  <si>
    <t>눈</t>
  </si>
  <si>
    <t>여든</t>
  </si>
  <si>
    <t>귀</t>
  </si>
  <si>
    <t>거의 안 해요</t>
  </si>
  <si>
    <t>아흔</t>
  </si>
  <si>
    <t>학생이에요?</t>
  </si>
  <si>
    <t>코</t>
  </si>
  <si>
    <t>입</t>
  </si>
  <si>
    <t>백</t>
  </si>
  <si>
    <t>춤을 춰요</t>
  </si>
  <si>
    <t>네, 학생이에요</t>
  </si>
  <si>
    <t>이</t>
  </si>
  <si>
    <t>teeth</t>
  </si>
  <si>
    <t>눈물</t>
  </si>
  <si>
    <t>영화를 봐요</t>
  </si>
  <si>
    <t>비밀?</t>
  </si>
  <si>
    <t>한국 사람이에요?</t>
  </si>
  <si>
    <t>콧물</t>
  </si>
  <si>
    <t>입술</t>
  </si>
  <si>
    <t>자전거를 타요</t>
  </si>
  <si>
    <t>딸기 한 개</t>
  </si>
  <si>
    <t>아니요, 베트남 사람이에요</t>
  </si>
  <si>
    <t>잇몸</t>
  </si>
  <si>
    <t>혀</t>
  </si>
  <si>
    <t>딸기 둘</t>
  </si>
  <si>
    <t>게임 해요</t>
  </si>
  <si>
    <t>머리카락</t>
  </si>
  <si>
    <t>선생님이에요?</t>
  </si>
  <si>
    <t>노래를 들어요</t>
  </si>
  <si>
    <t>딸기 두 개</t>
  </si>
  <si>
    <t>머리</t>
  </si>
  <si>
    <t>목</t>
  </si>
  <si>
    <t>아니요, 요리사예요.</t>
  </si>
  <si>
    <t>그림을 그려요</t>
  </si>
  <si>
    <t>몇 살이에요?</t>
  </si>
  <si>
    <t>팔</t>
  </si>
  <si>
    <t>arm</t>
  </si>
  <si>
    <t>발</t>
  </si>
  <si>
    <t>수지 씨, 어제 뭐 했어요?</t>
  </si>
  <si>
    <t>스물네 살이에요.</t>
  </si>
  <si>
    <t>미국 사람이에요?</t>
  </si>
  <si>
    <t>손</t>
  </si>
  <si>
    <t>배</t>
  </si>
  <si>
    <t>stomach</t>
  </si>
  <si>
    <t>다리</t>
  </si>
  <si>
    <t>수영장에서 수영했어요.</t>
  </si>
  <si>
    <t>서른여덟 살이에요.</t>
  </si>
  <si>
    <t>아니요, 중국 사람이에요.</t>
  </si>
  <si>
    <t>No, I'm Chinese.</t>
  </si>
  <si>
    <t>어깨</t>
  </si>
  <si>
    <t>몇 개</t>
  </si>
  <si>
    <t>등</t>
  </si>
  <si>
    <t>upper back</t>
  </si>
  <si>
    <t>재민 씨, 주말에 보통 뭐 해요?</t>
  </si>
  <si>
    <t>허리</t>
  </si>
  <si>
    <t>의사예요?</t>
  </si>
  <si>
    <t>축구공</t>
  </si>
  <si>
    <t>무릎</t>
  </si>
  <si>
    <t>손가락</t>
  </si>
  <si>
    <t>저는 바다에 자주 가요. 낚시를 좋아해요.</t>
  </si>
  <si>
    <t>야구공</t>
  </si>
  <si>
    <t>아니요, 회사원이에요.</t>
  </si>
  <si>
    <t>I often go to the sea. I like fishing.</t>
  </si>
  <si>
    <t>발가락</t>
  </si>
  <si>
    <t>가슴</t>
  </si>
  <si>
    <t>테니스공</t>
  </si>
  <si>
    <t>목이 아파요.</t>
  </si>
  <si>
    <t>안나 씨는 텔레비전을 많이 봐요?</t>
  </si>
  <si>
    <t>국적</t>
  </si>
  <si>
    <t>열이 나요.</t>
  </si>
  <si>
    <t>골프공</t>
  </si>
  <si>
    <t>콧물이 나요.</t>
  </si>
  <si>
    <t>코가 막혔어요.</t>
  </si>
  <si>
    <t>다음을 듣고 해 보세요</t>
  </si>
  <si>
    <t>네, 저는 드라마를 자주 봐요.</t>
  </si>
  <si>
    <t>몇 개예요?</t>
  </si>
  <si>
    <t>기침을 해요.</t>
  </si>
  <si>
    <t>머리가 아파요.</t>
  </si>
  <si>
    <t>사과가 몇 개예요?</t>
  </si>
  <si>
    <t>배가 아파요.</t>
  </si>
  <si>
    <t>주노 씨, 오늘 축구를 했어요?</t>
  </si>
  <si>
    <t>네, 가수예요.</t>
  </si>
  <si>
    <t>복통이 있어요.</t>
  </si>
  <si>
    <t>양쪽 발</t>
  </si>
  <si>
    <t>아니요, 오늘은 집에서 친구하고 게임을 했어요.</t>
  </si>
  <si>
    <t>발이 아파요.</t>
  </si>
  <si>
    <t>어느</t>
  </si>
  <si>
    <t>사과가 두 개예요</t>
  </si>
  <si>
    <t>발이 부었어요.</t>
  </si>
  <si>
    <t>먹으러 가요</t>
  </si>
  <si>
    <t>이가 아파요.</t>
  </si>
  <si>
    <t>치통이 있어요.</t>
  </si>
  <si>
    <t>저는</t>
  </si>
  <si>
    <t>씻으러 가요</t>
  </si>
  <si>
    <t>두통이 있어요.</t>
  </si>
  <si>
    <t>펜을 몇 개 사요?</t>
  </si>
  <si>
    <t>팔이 부러졌어요.</t>
  </si>
  <si>
    <t>가수예요?</t>
  </si>
  <si>
    <t>팔을 다쳤어요.</t>
  </si>
  <si>
    <t>찍으러 가요</t>
  </si>
  <si>
    <t>멍이 생겼다.</t>
  </si>
  <si>
    <t>펜을 네 개 사요.</t>
  </si>
  <si>
    <t>어디가 아파요?</t>
  </si>
  <si>
    <t>찾으러 가요</t>
  </si>
  <si>
    <t>언니예요</t>
  </si>
  <si>
    <t>지우개를 몇 개 사요?</t>
  </si>
  <si>
    <t>들으러 가요</t>
  </si>
  <si>
    <t>감기에 걸렸어요?</t>
  </si>
  <si>
    <t>동생</t>
  </si>
  <si>
    <t>네, 걸렸어요.</t>
  </si>
  <si>
    <t>지우개를 두 개 사요.</t>
  </si>
  <si>
    <t>보러 가요</t>
  </si>
  <si>
    <t>네, 콧물이 나요.</t>
  </si>
  <si>
    <t>네, 콧물이 나고 기침을 해요.</t>
  </si>
  <si>
    <t>라면을 몇 개 사요?</t>
  </si>
  <si>
    <t>많이 아파요?</t>
  </si>
  <si>
    <t>여동생</t>
  </si>
  <si>
    <t>네, 너무 아파요.</t>
  </si>
  <si>
    <t>라면을 다섯 개 사요.</t>
  </si>
  <si>
    <t>사러 가요</t>
  </si>
  <si>
    <t>기침을 많이 해요?</t>
  </si>
  <si>
    <t>계란을 몇 개 사요?</t>
  </si>
  <si>
    <t>아니요, 지금은 건강해요.</t>
  </si>
  <si>
    <t>한복이에요?</t>
  </si>
  <si>
    <t>아니요, 지금은 콧물이 나요.</t>
  </si>
  <si>
    <t>건강해졌어요.</t>
  </si>
  <si>
    <t>물이에요</t>
  </si>
  <si>
    <t>계란을 아홉 개 사요.</t>
  </si>
  <si>
    <t>괜찮아지고 있어요.</t>
  </si>
  <si>
    <t>만나러 가요</t>
  </si>
  <si>
    <t>편의점</t>
  </si>
  <si>
    <t>책상이에요</t>
  </si>
  <si>
    <t>많이 나았어요.</t>
  </si>
  <si>
    <t>빵이 몇 개 있어요?</t>
  </si>
  <si>
    <t>선생님이에요</t>
  </si>
  <si>
    <t>다 나았어요.</t>
  </si>
  <si>
    <t>운동하러 가요</t>
  </si>
  <si>
    <t>세 개 있어요</t>
  </si>
  <si>
    <t>좋아졌어요.</t>
  </si>
  <si>
    <t>회사원이에요</t>
  </si>
  <si>
    <t>병원에 들어갔어요.</t>
  </si>
  <si>
    <t>과자가 몇 개 있어요?</t>
  </si>
  <si>
    <t>사과예요</t>
  </si>
  <si>
    <t>It's an apple</t>
  </si>
  <si>
    <t>병원에 입원했어요.</t>
  </si>
  <si>
    <t>놀러 가요</t>
  </si>
  <si>
    <t>의자예요</t>
  </si>
  <si>
    <t>과자가 한 개 있어요.</t>
  </si>
  <si>
    <t>There is one snack.</t>
  </si>
  <si>
    <t>만들러 가요</t>
  </si>
  <si>
    <t>안나 씨예요</t>
  </si>
  <si>
    <t>라면이 몇 개 있어요?</t>
  </si>
  <si>
    <t>재민 씨는 생선을 좋아해요?</t>
  </si>
  <si>
    <t>네, 고기는 안 좋아하지만 생선은 좋아해요.</t>
  </si>
  <si>
    <t>점심을 먹으러 식당에 가요.</t>
  </si>
  <si>
    <t>라면이 네 개 있어요.</t>
  </si>
  <si>
    <t>빵이에요</t>
  </si>
  <si>
    <t>우유를 사러 편의점에 가요.</t>
  </si>
  <si>
    <t>계란이 몇 개 있어요?</t>
  </si>
  <si>
    <t>책이에요</t>
  </si>
  <si>
    <t>등산을 하러 산에 가요.</t>
  </si>
  <si>
    <t>안나 씨, 오늘은 몸이 어때요?</t>
  </si>
  <si>
    <t>나무예요</t>
  </si>
  <si>
    <t>계란이 열두 개 있어요.</t>
  </si>
  <si>
    <t>어제는 많이 아팠지만 오늘은 괜찮아요.</t>
  </si>
  <si>
    <t>돈을 찾으러 은행에 가요.</t>
  </si>
  <si>
    <t>포도예요</t>
  </si>
  <si>
    <t>초콜릿이 몇 개 있어요?</t>
  </si>
  <si>
    <t>오늘은 바쁘지만 내일은 괜찮아요.</t>
  </si>
  <si>
    <t>옷을 사러 백화점에 가요.</t>
  </si>
  <si>
    <t>신발이에요</t>
  </si>
  <si>
    <t>그 영화는 재미있지만 좀 길어요.</t>
  </si>
  <si>
    <t>우유가 몇 개 있어요?</t>
  </si>
  <si>
    <t>노래를 부르러 노래방에 가요.</t>
  </si>
  <si>
    <t>친구 집에 갔지만 친구가 없었어요.</t>
  </si>
  <si>
    <t>과자예요</t>
  </si>
  <si>
    <t>우유가 다섯 개 있어요.</t>
  </si>
  <si>
    <t>어제 많이 잤지만 아직 피곤해요.</t>
  </si>
  <si>
    <t>커피를 마시러 카페에 가요.</t>
  </si>
  <si>
    <t>우유예요</t>
  </si>
  <si>
    <t>날씨가 좋지만 좀 추워요.</t>
  </si>
  <si>
    <t>사탕</t>
  </si>
  <si>
    <t>신발이 예쁘지만 비싸요.</t>
  </si>
  <si>
    <t>친구하고 놀러 놀이공원에 가요.</t>
  </si>
  <si>
    <t>공책이에요</t>
  </si>
  <si>
    <t>운동이 힘들지만 재미있어요.</t>
  </si>
  <si>
    <t>사탕이 몇 개 있어요?</t>
  </si>
  <si>
    <t>선생님을 만나러 사무실에 가요.</t>
  </si>
  <si>
    <t>나는 고기를 안 먹지만 동생은 고기를 먹어요.</t>
  </si>
  <si>
    <t>차예요</t>
  </si>
  <si>
    <t>식당이 작지만 음식이 맛있어요.</t>
  </si>
  <si>
    <t>다니다</t>
  </si>
  <si>
    <t>가방이에요</t>
  </si>
  <si>
    <t>어제는 비가 왔지만 오늘은 비가 안 와요.</t>
  </si>
  <si>
    <t>빵이 세 개 있어요.</t>
  </si>
  <si>
    <t>어제 한국어를 공부하러 도서관에 갔어요.</t>
  </si>
  <si>
    <t>아까는 길이 안 복잡했지만 지금은 길이 복잡해요.</t>
  </si>
  <si>
    <t>우유를 몇 개 사요?</t>
  </si>
  <si>
    <t>바지를 안 사요?</t>
  </si>
  <si>
    <t>제 친구예요</t>
  </si>
  <si>
    <t>He's my friend</t>
  </si>
  <si>
    <t>동생을 만나러 시내에 가요.</t>
  </si>
  <si>
    <t>우유를 여덟 개 사요.</t>
  </si>
  <si>
    <t>모자예요</t>
  </si>
  <si>
    <t>내일 친구 생일 선물을 사러 백화점에 갈 거예요.</t>
  </si>
  <si>
    <t>네, 싸지만 길어요.</t>
  </si>
  <si>
    <t>한국 사람이에요</t>
  </si>
  <si>
    <t>과자가 여섯 개 있어요?</t>
  </si>
  <si>
    <t>I am Korean</t>
  </si>
  <si>
    <t>Are there six snacks?</t>
  </si>
  <si>
    <t>주말에 세종학당에 가요?</t>
  </si>
  <si>
    <t>한국어를 배우러 한국에 가고 싶어요.</t>
  </si>
  <si>
    <t>저</t>
  </si>
  <si>
    <t>아니요, 과자가 한 개 있어요.</t>
  </si>
  <si>
    <t>No, there is one snack.</t>
  </si>
  <si>
    <t>토요일에는 세종학당에 가지만 일요일에는 놀이공원에 가요.</t>
  </si>
  <si>
    <t>비빔밥을 먹으러 한국 식당에 갔는데 사람들이 너무 많았어요.</t>
  </si>
  <si>
    <t>사람이 몇 명 있어요?</t>
  </si>
  <si>
    <t>제</t>
  </si>
  <si>
    <t>토요일에는 세종학당에 가지만 일요일에는 안 가요.</t>
  </si>
  <si>
    <t>생선을 안 먹어요?</t>
  </si>
  <si>
    <t>저는 엘리예요.</t>
  </si>
  <si>
    <t>보통 쇼핑하러 어디에 가요?</t>
  </si>
  <si>
    <t>학생이 몇 명 있어요?</t>
  </si>
  <si>
    <t>생선을 안 먹지만 고기를 먹어요.</t>
  </si>
  <si>
    <t>제 이름은 엘리예요.</t>
  </si>
  <si>
    <t>저는 보통 백화점에서 쇼핑해요.</t>
  </si>
  <si>
    <t>재민 씨도 여행을 가요?</t>
  </si>
  <si>
    <t>고양이가 세 마리 있어요.</t>
  </si>
  <si>
    <t>뭐예요?</t>
  </si>
  <si>
    <t>주말에 영화를 보러 갈까요?</t>
  </si>
  <si>
    <t>아니요, 마리 씨는 여행을 가지만 재민 씨는 여행을 안 가요.</t>
  </si>
  <si>
    <t>누구예요?</t>
  </si>
  <si>
    <t>강아지가 몇 마리 있어요?</t>
  </si>
  <si>
    <t>오늘도 눈이 와요?</t>
  </si>
  <si>
    <t>네, 좋아요.</t>
  </si>
  <si>
    <t>아니요, 어제는 눈이 왔지만 오늘은 눈이 안 와요.</t>
  </si>
  <si>
    <t>어제 뭐 했어요?</t>
  </si>
  <si>
    <t>남동생</t>
  </si>
  <si>
    <t>김치 맛이 어때요?</t>
  </si>
  <si>
    <t>하루에 맥주를 몇 잔 마셔요?</t>
  </si>
  <si>
    <t>맵지만 맛있어요.</t>
  </si>
  <si>
    <t>여자</t>
  </si>
  <si>
    <t>사진을 찍으러 공원에 갔어요.</t>
  </si>
  <si>
    <t>소주를 몇 병 마셔요?</t>
  </si>
  <si>
    <t>언니</t>
  </si>
  <si>
    <t>새 신발이 어때요?</t>
  </si>
  <si>
    <t>예쁘지만 불편해요.</t>
  </si>
  <si>
    <t>오빠</t>
  </si>
  <si>
    <t>지금 어디에 가요?</t>
  </si>
  <si>
    <t>older male</t>
  </si>
  <si>
    <t>이 식당 음식이 어때요?</t>
  </si>
  <si>
    <t>남자</t>
  </si>
  <si>
    <t>콜라</t>
  </si>
  <si>
    <t>맛있지만 좀 비싸요.</t>
  </si>
  <si>
    <t>누나</t>
  </si>
  <si>
    <t>일요일에 세종학당에 가요?</t>
  </si>
  <si>
    <t>한국어 책이 몇 권 있어요?</t>
  </si>
  <si>
    <t>책을 빌리러 도서관에 가요.</t>
  </si>
  <si>
    <t>아니요, 토요일에는 가지만, 일요일에는 안 가요.</t>
  </si>
  <si>
    <t>형</t>
  </si>
  <si>
    <t>older brother</t>
  </si>
  <si>
    <t>두 권 있어요.</t>
  </si>
  <si>
    <t>운동을 하러 헬스클럽에 가요.</t>
  </si>
  <si>
    <t>지금도 길이 복잡해요?</t>
  </si>
  <si>
    <t>Is the road still crowded now?</t>
  </si>
  <si>
    <t>아니요, 우리 아버지는 선생님이에요.</t>
  </si>
  <si>
    <t>아니요, 아까는 복잡했지만 지금은 안 복잡해요.</t>
  </si>
  <si>
    <t>영화표 한 장 주세요.</t>
  </si>
  <si>
    <t>우리 딸</t>
  </si>
  <si>
    <t>열이 많이 나요.</t>
  </si>
  <si>
    <t>한국어 수업을 들으러 세종학당에 가요.</t>
  </si>
  <si>
    <t>빨리 병원에 가야 돼요.</t>
  </si>
  <si>
    <t>우리 딸은 여덟 살이에요.</t>
  </si>
  <si>
    <t>네, 저는 회사원이에요.</t>
  </si>
  <si>
    <t>Yes, I am an office worker.</t>
  </si>
  <si>
    <t>뭘 더 준비해야 돼요?</t>
  </si>
  <si>
    <t>바름</t>
  </si>
  <si>
    <t>물 다섯 개</t>
  </si>
  <si>
    <t>음료수가 있어야 돼요.</t>
  </si>
  <si>
    <t>네, 동생은 선생님이에요.</t>
  </si>
  <si>
    <t>만일</t>
  </si>
  <si>
    <t>가야 돼요</t>
  </si>
  <si>
    <t>카드 일곱 장</t>
  </si>
  <si>
    <t>네, 어머니는 의사예요.</t>
  </si>
  <si>
    <t>와야 돼요</t>
  </si>
  <si>
    <t>얼음</t>
  </si>
  <si>
    <t>나이</t>
  </si>
  <si>
    <t>타야 돼요</t>
  </si>
  <si>
    <t>단어</t>
  </si>
  <si>
    <t>네, 형은 가수예요.</t>
  </si>
  <si>
    <t>좋아야 돼요</t>
  </si>
  <si>
    <t>주스가 몇 잔 있어요?</t>
  </si>
  <si>
    <t>믿음</t>
  </si>
  <si>
    <t>먹어야 돼요</t>
  </si>
  <si>
    <t>가방은 예뻐요</t>
  </si>
  <si>
    <t>두 잔 있어요.</t>
  </si>
  <si>
    <t>쉬어야 돼요</t>
  </si>
  <si>
    <t>웃음</t>
  </si>
  <si>
    <t>저는 가수예요.</t>
  </si>
  <si>
    <t>있어야 돼요</t>
  </si>
  <si>
    <t>책이 몇 권 있어요?</t>
  </si>
  <si>
    <t>언어</t>
  </si>
  <si>
    <t>비자가 있어야 돼요.</t>
  </si>
  <si>
    <t>안나는 여자예요</t>
  </si>
  <si>
    <t>커야 돼요</t>
  </si>
  <si>
    <t>금일</t>
  </si>
  <si>
    <t>친구는 한국 사람이에요.</t>
  </si>
  <si>
    <t>일해야 돼요</t>
  </si>
  <si>
    <t>녹음</t>
  </si>
  <si>
    <t>유나는 가수예요.</t>
  </si>
  <si>
    <t>공부해야 돼요</t>
  </si>
  <si>
    <t>여섯 권 있어요.</t>
  </si>
  <si>
    <t>한국어</t>
  </si>
  <si>
    <t>선생님은 한국 사람이에요.</t>
  </si>
  <si>
    <t>준비해야 돼요</t>
  </si>
  <si>
    <t>물이 몇 병 있어요?</t>
  </si>
  <si>
    <t>누나는 의사예요.</t>
  </si>
  <si>
    <t>편해야 돼요</t>
  </si>
  <si>
    <t>늦어서</t>
  </si>
  <si>
    <t xml:space="preserve">충분히 </t>
  </si>
  <si>
    <t>수도</t>
  </si>
  <si>
    <t>한 병 있어요.</t>
  </si>
  <si>
    <t>교실에 마리 씨가 있어요. 유진 씨도 있어요.</t>
  </si>
  <si>
    <t>충분히 자야 돼요.</t>
  </si>
  <si>
    <t>서울은 뭐예요?</t>
  </si>
  <si>
    <t>창문이 몇 개 있어요?</t>
  </si>
  <si>
    <t>운동해야 돼요</t>
  </si>
  <si>
    <t>교실에 책상이 있어요. 컴퓨터도 있어요.</t>
  </si>
  <si>
    <t>서울은 한국의 수도예요.</t>
  </si>
  <si>
    <t>창문이 두 개 있어요.</t>
  </si>
  <si>
    <t>물을 마셔야 돼요</t>
  </si>
  <si>
    <t>주노 씨가 핸드폰을 봐요. 마리 씨도 핸드폰을 봐요.</t>
  </si>
  <si>
    <t>이 음식 맛있어요.</t>
  </si>
  <si>
    <t>야채를 먹어야 돼요</t>
  </si>
  <si>
    <t>안나 씨가 커피를 마셔요. 케이크도 먹어요.</t>
  </si>
  <si>
    <t>이 사람</t>
  </si>
  <si>
    <t>친구를 만나야 돼요</t>
  </si>
  <si>
    <t>점심에 뭐 먹었어요?</t>
  </si>
  <si>
    <t>두 명 있어요.</t>
  </si>
  <si>
    <t>이 친구</t>
  </si>
  <si>
    <t>너무 피곤해요. 푹 쉬어야 돼요.</t>
  </si>
  <si>
    <t>가방에 뭐가 있어요?</t>
  </si>
  <si>
    <t>주노 씨는 회사원이에요</t>
  </si>
  <si>
    <t>Juno is an office worker.</t>
  </si>
  <si>
    <t>밖에 비가 와요. 우산을 준비해야 돼요.</t>
  </si>
  <si>
    <t>제 이름은 마리예요</t>
  </si>
  <si>
    <t>내일 시험이 있어요. 오늘 공부해야 돼요.</t>
  </si>
  <si>
    <t>제 친구는 요리사예요</t>
  </si>
  <si>
    <t>오늘이 친구 생일이에요. 선물을 사야 돼요.</t>
  </si>
  <si>
    <t>제 동생은 학생이에요</t>
  </si>
  <si>
    <t>책 다 읽었어요?</t>
  </si>
  <si>
    <t>My younger brother is a student.</t>
  </si>
  <si>
    <t>고양이가 몇 마리 있어요?</t>
  </si>
  <si>
    <t>언제 태권도를 해요?</t>
  </si>
  <si>
    <t>이 사람은 가수예요</t>
  </si>
  <si>
    <t>아니요, 지금부터 읽어야 돼요.</t>
  </si>
  <si>
    <t>네 마리 있어요.</t>
  </si>
  <si>
    <t>수요일에 태권도를 해요. 금요일에도 해요.</t>
  </si>
  <si>
    <t>식사한 후에 먹어야 돼요.</t>
  </si>
  <si>
    <t>제 직업은 없어요.</t>
  </si>
  <si>
    <t>I don't have a job.</t>
  </si>
  <si>
    <t>방에 뭐가 있어요?</t>
  </si>
  <si>
    <t>일곱 병 있어요.</t>
  </si>
  <si>
    <t>어디에서 내려요?</t>
  </si>
  <si>
    <t>저는 대학생이에요.</t>
  </si>
  <si>
    <t>제 방에는 책상이 있어요. 그리고 옷장도 있어요.</t>
  </si>
  <si>
    <t>이번 정류장에서 내려야 돼요.</t>
  </si>
  <si>
    <t>그림을 보고 문장을 완성해 보세요</t>
  </si>
  <si>
    <t>제 동생은 의사예요.</t>
  </si>
  <si>
    <t>My younger brother is a doctor.</t>
  </si>
  <si>
    <t>오늘 회사에 못 가요?</t>
  </si>
  <si>
    <t>유진 씨는 제 친구예요.</t>
  </si>
  <si>
    <t>문장</t>
  </si>
  <si>
    <t>무슨 운동을 좋아해요?</t>
  </si>
  <si>
    <t>네, 병원에 가야 돼요.</t>
  </si>
  <si>
    <t>이 사람은 경찰이에요.</t>
  </si>
  <si>
    <t>파티 준비 다 했어요?</t>
  </si>
  <si>
    <t>완성해</t>
  </si>
  <si>
    <t>아니요. 과일은 더 사야 돼요.</t>
  </si>
  <si>
    <t>저는 축구를 좋아해요. 그리고 테니스를 좋아해요.</t>
  </si>
  <si>
    <t>안나 씨의 직업은 학생이에요.</t>
  </si>
  <si>
    <t>수지 씨, 재민 씨 생일 선물을 샀어요?</t>
  </si>
  <si>
    <t>교실에 학생이 세 명 있어요.</t>
  </si>
  <si>
    <t>아니요. 오늘 사야 돼요.</t>
  </si>
  <si>
    <t>주노 씨의 직업은 회사원이에요.</t>
  </si>
  <si>
    <t>숙제 다 했어요?</t>
  </si>
  <si>
    <t>오늘 생일 파티에 누가 와요?</t>
  </si>
  <si>
    <t>아니요. 지금부터 단어를 외워야 돼요.</t>
  </si>
  <si>
    <t>안녕하세요? 저는 서유리예요. 대학생이에요.</t>
  </si>
  <si>
    <t>남자가 한 명 있어요.</t>
  </si>
  <si>
    <t>안나 씨가 와요. 그리고 수지 씨도 와요.</t>
  </si>
  <si>
    <t>여기에서 우체국까지 가까워요?</t>
  </si>
  <si>
    <t>안녕하세요? 저는 이사준이에요. 의사예요.</t>
  </si>
  <si>
    <t>Hello? My name is Lee Sa-jun. I am a doctor.</t>
  </si>
  <si>
    <t>아니요. 멀어서 버스를 타고 가야 돼요.</t>
  </si>
  <si>
    <t>여자가 두 명 있어요.</t>
  </si>
  <si>
    <t>뭘 사요?</t>
  </si>
  <si>
    <t>안녕하세요? 저는 마리예요. 회사원이에요.</t>
  </si>
  <si>
    <t>오늘 날씨가 추워요?</t>
  </si>
  <si>
    <t>네. 옷을 많이 입어야 돼요.</t>
  </si>
  <si>
    <t>책상이 다섯 개 있어요.</t>
  </si>
  <si>
    <t>사과를 사요. 그리고 바나나도 사요.</t>
  </si>
  <si>
    <t>토요일에 뭐 해요?</t>
  </si>
  <si>
    <t>안녕하세요? 저는 박지윤이에요. 선생님이에요.</t>
  </si>
  <si>
    <t>Hello? My name is Jiyoon Park. I am a teacher.</t>
  </si>
  <si>
    <t>아르바이트를 해야 돼요.</t>
  </si>
  <si>
    <t>언제 운동을 해요?</t>
  </si>
  <si>
    <t>안녕하세요? 저는 김진우예요. 경찰이에요.</t>
  </si>
  <si>
    <t>Hello? My name is Jinwoo Kim. I am a police officer.</t>
  </si>
  <si>
    <t>유진 씨는 약을 먹어야 돼요.</t>
  </si>
  <si>
    <t>의자가 여섯 개 있어요.</t>
  </si>
  <si>
    <t>유진 씨는 잘 자야 돼요.</t>
  </si>
  <si>
    <t>안녕하세요? 저는 웨이예요. 요리사예요.</t>
  </si>
  <si>
    <t>아침에 운동을 해요. 그리고 저녁도 운동을 해요.</t>
  </si>
  <si>
    <t>Hello. My name is Wei. I am a chef.</t>
  </si>
  <si>
    <t>유진 씨는 물을 많이 마셔야 돼요.</t>
  </si>
  <si>
    <t>책이 네 권 있어요.</t>
  </si>
  <si>
    <t>안녕하세요? 저는 디트만이에요. 회사원이에요.</t>
  </si>
  <si>
    <t>Hello? My name is Dittman and I am an office worker.</t>
  </si>
  <si>
    <t>저는 독서를 좋아해요.</t>
  </si>
  <si>
    <t>유진 씨는 병원에 입원해야 돼요.</t>
  </si>
  <si>
    <t>물이 두 병 있어요.</t>
  </si>
  <si>
    <t>가위</t>
  </si>
  <si>
    <t>안나 씨, 어디가 아파요?</t>
  </si>
  <si>
    <t>특히</t>
  </si>
  <si>
    <t>네. 열이 나고 목도 아파요.</t>
  </si>
  <si>
    <t>미술관</t>
  </si>
  <si>
    <t>우산이 세 개 있어요.</t>
  </si>
  <si>
    <t>美術館</t>
  </si>
  <si>
    <t>약은 먹었어요?</t>
  </si>
  <si>
    <t>특히 한국 드라마를 자주 봐요.</t>
  </si>
  <si>
    <t>도서관</t>
  </si>
  <si>
    <t>네. 약을 먹었지만 아직 좀 아파요.</t>
  </si>
  <si>
    <t>알맞은</t>
  </si>
  <si>
    <t>안나 씨, 집에서 푹 쉬어야 돼요.</t>
  </si>
  <si>
    <t>활동</t>
  </si>
  <si>
    <t>침대</t>
  </si>
  <si>
    <t>그리고 따뜻한 물도 자주 드세요.</t>
  </si>
  <si>
    <t>알맞은 것을 골라 대화를 완성해 보세요.</t>
  </si>
  <si>
    <t>근처</t>
  </si>
  <si>
    <t>학교에 가기 전에 수영을 해요</t>
  </si>
  <si>
    <t>하얀색</t>
  </si>
  <si>
    <t>집 근처</t>
  </si>
  <si>
    <t>일찍 일어나요</t>
  </si>
  <si>
    <t>아침을 꼭 먹어요</t>
  </si>
  <si>
    <t>여행지</t>
  </si>
  <si>
    <t>고양이가 한 마리 있어요.</t>
  </si>
  <si>
    <t>친구들</t>
  </si>
  <si>
    <t>매일 운동해요</t>
  </si>
  <si>
    <t>물을 자주 마셔요</t>
  </si>
  <si>
    <t>이 사람의 취미는 수영이에요.</t>
  </si>
  <si>
    <t>한국 친구가 몇 명 있어요?</t>
  </si>
  <si>
    <t>채소와 과일을 많이 먹어요</t>
  </si>
  <si>
    <t>공원</t>
  </si>
  <si>
    <t>많이 걸어요</t>
  </si>
  <si>
    <t>공책을 몇 권 사요?</t>
  </si>
  <si>
    <t>5년 전에 수영을 배웠어요.</t>
  </si>
  <si>
    <t>자주 웃어요</t>
  </si>
  <si>
    <t>매일</t>
  </si>
  <si>
    <t>식사 시간을 잘 지켜요</t>
  </si>
  <si>
    <t>잠을 잘 자요</t>
  </si>
  <si>
    <t>공책을 여섯 권 사요.</t>
  </si>
  <si>
    <t>국물</t>
  </si>
  <si>
    <t>아저씨</t>
  </si>
  <si>
    <t>취미가 많아요</t>
  </si>
  <si>
    <t>영화표를 몇 장 사요?</t>
  </si>
  <si>
    <t>김치를 많이 먹어요</t>
  </si>
  <si>
    <t>일학년</t>
  </si>
  <si>
    <t>매일 사과를 한 개 먹어요.</t>
  </si>
  <si>
    <t>아줌마</t>
  </si>
  <si>
    <t>영화표를 아홉 장 사요.</t>
  </si>
  <si>
    <t>담배를 안 피워요.</t>
  </si>
  <si>
    <t>소주를 조금만 마셔요.</t>
  </si>
  <si>
    <t>아주머니</t>
  </si>
  <si>
    <t>교과서</t>
  </si>
  <si>
    <t>소주를 적당히 마셔요.</t>
  </si>
  <si>
    <t>입니다</t>
  </si>
  <si>
    <t>공원에서 산책해요.</t>
  </si>
  <si>
    <t>일한 후에 일을 생각 안 해요.</t>
  </si>
  <si>
    <t>앉다</t>
  </si>
  <si>
    <t>어머니</t>
  </si>
  <si>
    <t>꽃말</t>
  </si>
  <si>
    <t>휴식해요</t>
  </si>
  <si>
    <t>사우나에 가요</t>
  </si>
  <si>
    <t>엄마</t>
  </si>
  <si>
    <t>주다</t>
  </si>
  <si>
    <t>저는 아침에 일찍 일어나요. 그리고 물 한 잔을 마셔요. 저는 아침을 꼭 먹어요.</t>
  </si>
  <si>
    <t>몇 년</t>
  </si>
  <si>
    <t>매일 우유하고 빵, 과일을 먹어요. 그리고 저는 운동을 좋아해서 운동을 자주 해요.</t>
  </si>
  <si>
    <t>비빔밥 한 개하고 불고기 두 개 주세요.</t>
  </si>
  <si>
    <t>입문</t>
  </si>
  <si>
    <t>일주일에 다섯 번쯤 해요. 퇴근 후에 헬스클럽에 가요. 그리고 집에서 요가도 가끔 해요.</t>
  </si>
  <si>
    <t>여기 있어요.</t>
  </si>
  <si>
    <t>Here it is.</t>
  </si>
  <si>
    <t>주말에는 공원에서 자전거를 타요. 한 시간쯤 타요. 그러면 기분이 아주 좋아요.</t>
  </si>
  <si>
    <t>업무</t>
  </si>
  <si>
    <t>매일 뛰어요.</t>
  </si>
  <si>
    <t>아파요</t>
  </si>
  <si>
    <t>신라</t>
  </si>
  <si>
    <t>물을 자주 마셔요.</t>
  </si>
  <si>
    <t>식사 시간을 잘 지켜요.</t>
  </si>
  <si>
    <t>이 아파요</t>
  </si>
  <si>
    <t>My tooth hurts</t>
  </si>
  <si>
    <t>설날</t>
  </si>
  <si>
    <t>머리 아파요</t>
  </si>
  <si>
    <t>전라도</t>
  </si>
  <si>
    <t>여기에 이름을 쓰세요.</t>
  </si>
  <si>
    <t>여보</t>
  </si>
  <si>
    <t>연락</t>
  </si>
  <si>
    <t>여보세요</t>
  </si>
  <si>
    <t>놀다</t>
  </si>
  <si>
    <t>저는 저녁에 산책을 해요. 공원에서 자주 걸어요.</t>
  </si>
  <si>
    <t>진료</t>
  </si>
  <si>
    <t>노세요</t>
  </si>
  <si>
    <t>안나 씨는 아침에 수영을 해요?</t>
  </si>
  <si>
    <t>논리</t>
  </si>
  <si>
    <t>여기요</t>
  </si>
  <si>
    <t>네. 그래서 저는 일찍 일어나요. 보통 6시에 일어나요.</t>
  </si>
  <si>
    <t>유진 씨, 35쪽을 읽으세요.</t>
  </si>
  <si>
    <t>진리</t>
  </si>
  <si>
    <t>뭘 샀어요?</t>
  </si>
  <si>
    <t>곤란</t>
  </si>
  <si>
    <t>다</t>
  </si>
  <si>
    <t>오이</t>
  </si>
  <si>
    <t>난리</t>
  </si>
  <si>
    <t>오이하고 사과를 샀어요. 저는 보통 채소와 과일을 많이 먹어요.</t>
  </si>
  <si>
    <t>재민 씨, 내일 일찍 오세요.</t>
  </si>
  <si>
    <t>다 먹어요</t>
  </si>
  <si>
    <t>유진 씨는 점심을 먹었어요?</t>
  </si>
  <si>
    <t>실내</t>
  </si>
  <si>
    <t>다 했어요</t>
  </si>
  <si>
    <t>그럼요. 매일 12시에 점심을 먹어요. 저는 식사 시간을 잘 지켜요.</t>
  </si>
  <si>
    <t>늦게 오세요.</t>
  </si>
  <si>
    <t>신랑</t>
  </si>
  <si>
    <t>재민 씨, 요즘은 안 피곤해요?</t>
  </si>
  <si>
    <t>습니다</t>
  </si>
  <si>
    <t>네. 안 피곤해요. 요즘 밤에 잠을 잘 자요.</t>
  </si>
  <si>
    <t>반가워요</t>
  </si>
  <si>
    <t>친절해요</t>
  </si>
  <si>
    <t>논란</t>
  </si>
  <si>
    <t>손님</t>
  </si>
  <si>
    <t>안 친절해요</t>
  </si>
  <si>
    <t>반갑습니다</t>
  </si>
  <si>
    <t>행복해요</t>
  </si>
  <si>
    <t>연령</t>
  </si>
  <si>
    <t>직원</t>
  </si>
  <si>
    <t>안 행복해요</t>
  </si>
  <si>
    <t>칼날</t>
  </si>
  <si>
    <t>저녁을 먹기 전에 보통 뭘 해요?</t>
  </si>
  <si>
    <t>주인</t>
  </si>
  <si>
    <t>순한 맛</t>
  </si>
  <si>
    <t>owner</t>
  </si>
  <si>
    <t>한국어 숙제를 해요.</t>
  </si>
  <si>
    <t>핀란드</t>
  </si>
  <si>
    <t>대학교를 졸업하기 전에 뭘 하고 싶어요?</t>
  </si>
  <si>
    <t>일찍</t>
  </si>
  <si>
    <t>친구들하고 여행을 가고 싶어요.</t>
  </si>
  <si>
    <t>입학</t>
  </si>
  <si>
    <t>바다에 가요</t>
  </si>
  <si>
    <t>한국에 가기 전에 한국어를 배우고 싶어요.</t>
  </si>
  <si>
    <t>늦게</t>
  </si>
  <si>
    <t>급히</t>
  </si>
  <si>
    <t>학교에 가요</t>
  </si>
  <si>
    <t>이 책을 읽기 전에 숙제를 할 거예요.</t>
  </si>
  <si>
    <t>킹스포드에 살기 전에 워터루에 살았어요.</t>
  </si>
  <si>
    <t>축하</t>
  </si>
  <si>
    <t>회사에 가요</t>
  </si>
  <si>
    <t>5번 버스를 타요?</t>
  </si>
  <si>
    <t>손을 씻고 밥을 먹어요?</t>
  </si>
  <si>
    <t>Do you wash your hands and then eat?</t>
  </si>
  <si>
    <t>놓다</t>
  </si>
  <si>
    <t>플랫화이트 하나 주세요.</t>
  </si>
  <si>
    <t>네. 저는 밥을 먹기 전에 손을 씻어요.</t>
  </si>
  <si>
    <t>저는 자기 전에 이를 닦아요.</t>
  </si>
  <si>
    <t>아니요, 8번 버스를 타세요.</t>
  </si>
  <si>
    <t>플랫화이트 한 잔 주세요.</t>
  </si>
  <si>
    <t>맏형</t>
  </si>
  <si>
    <t>영화를 보기 전에 팝콘을 살까요?</t>
  </si>
  <si>
    <t>따라 하세요.</t>
  </si>
  <si>
    <t>저녁으로 피자를 먹기 전에 쇼핑을 할까요?</t>
  </si>
  <si>
    <t>내려요</t>
  </si>
  <si>
    <t>수영을 하기 전에 준비 운동을 했어요?</t>
  </si>
  <si>
    <t>뽀뽀</t>
  </si>
  <si>
    <t>그럼요.</t>
  </si>
  <si>
    <t>택시를 타요.</t>
  </si>
  <si>
    <t>사요</t>
  </si>
  <si>
    <t>좋고</t>
  </si>
  <si>
    <t>자기 전에 보통 뭐 해요?</t>
  </si>
  <si>
    <t>보통 책을 읽어요.</t>
  </si>
  <si>
    <t>싸요</t>
  </si>
  <si>
    <t>택시에서 내려요.</t>
  </si>
  <si>
    <t>육호선</t>
  </si>
  <si>
    <t>다음 주에 고향에 돌아가요?</t>
  </si>
  <si>
    <t>비싸요</t>
  </si>
  <si>
    <t>좋다</t>
  </si>
  <si>
    <t>가방 사요</t>
  </si>
  <si>
    <t>네. 고향에 돌아가기 전에 같이 식사해요.</t>
  </si>
  <si>
    <t>윈야드역에서 내리세요.</t>
  </si>
  <si>
    <t>이렇게</t>
  </si>
  <si>
    <t>아침을 먹기 전에 샤워를 해요.</t>
  </si>
  <si>
    <t>한강공원</t>
  </si>
  <si>
    <t>여기에 앉으세요</t>
  </si>
  <si>
    <t>그렇지</t>
  </si>
  <si>
    <t>요리하기 전에 손을 씻어요.</t>
  </si>
  <si>
    <t>청소하기 전에 창문을 열어요.</t>
  </si>
  <si>
    <t>매일 한국어 공부해요</t>
  </si>
  <si>
    <t>넣고</t>
  </si>
  <si>
    <t>수영을 하기 전에 준비 운동을 해요.</t>
  </si>
  <si>
    <t>매주</t>
  </si>
  <si>
    <t>고향에 돌아가기 전에 동생 선물을 살 거예요.</t>
  </si>
  <si>
    <t>백화점에서 쇼핑할 거예요</t>
  </si>
  <si>
    <t>빨리 가세요</t>
  </si>
  <si>
    <t>식사를 해요. 그리고 약을 먹어요.</t>
  </si>
  <si>
    <t>매월</t>
  </si>
  <si>
    <t>약을 먹기 전에 식사를 해요</t>
  </si>
  <si>
    <t>옷차림</t>
  </si>
  <si>
    <t>칠판을 보세요.</t>
  </si>
  <si>
    <t>outfit</t>
  </si>
  <si>
    <t>아침을 먹어요. 그리고 운동을 해요.</t>
  </si>
  <si>
    <t>내 직업</t>
  </si>
  <si>
    <t>운동을 하기 전에 아침을 먹어요</t>
  </si>
  <si>
    <t>질문에 대답하세요.</t>
  </si>
  <si>
    <t>제 직업은 회사원이에요.</t>
  </si>
  <si>
    <t>음악을 들어요. 그리고 잠을 자요.</t>
  </si>
  <si>
    <t>잠을 자기 전에 음악을 들어요.</t>
  </si>
  <si>
    <t>Repeat</t>
  </si>
  <si>
    <t>영화를 봐요. 그리고 저녁을 먹어요.</t>
  </si>
  <si>
    <t>청바지</t>
  </si>
  <si>
    <t>조용히 읽으세요.</t>
  </si>
  <si>
    <t>저녁을 먹기 전에 영화를 봐요.</t>
  </si>
  <si>
    <t>저는 호주 사람이에요.</t>
  </si>
  <si>
    <t>숙제를 해요. 그리고 학교에 가요.</t>
  </si>
  <si>
    <t>치마</t>
  </si>
  <si>
    <t>크게 말하세요.</t>
  </si>
  <si>
    <t>학교에 가기 전에 숙제를 해요.</t>
  </si>
  <si>
    <t>정장</t>
  </si>
  <si>
    <t>창문을 닫아요. 그리고 집에서 나가요.</t>
  </si>
  <si>
    <t>집에서 나가기 전에 창문을 닫아요.</t>
  </si>
  <si>
    <t>책을 보세요.</t>
  </si>
  <si>
    <t>요가를 해요. 그리고 회사에 가요.</t>
  </si>
  <si>
    <t>운동복</t>
  </si>
  <si>
    <t>회사에 가기 전에 요가를 해요.</t>
  </si>
  <si>
    <t>책을 펴세요.</t>
  </si>
  <si>
    <t>한옥</t>
  </si>
  <si>
    <t>오늘 오후에 뭐 할 거예요?</t>
  </si>
  <si>
    <t>저 버스를 타세요.</t>
  </si>
  <si>
    <t>공원에 가서 산책을 할 거예요.</t>
  </si>
  <si>
    <t>자기소개 하세요.</t>
  </si>
  <si>
    <t>양복</t>
  </si>
  <si>
    <t>Western-style suit</t>
  </si>
  <si>
    <t>내일 만나요. 안녕히 가세요.</t>
  </si>
  <si>
    <t>한복</t>
  </si>
  <si>
    <t>김밥을 만들어서 먹었어요.</t>
  </si>
  <si>
    <t>그</t>
  </si>
  <si>
    <t>백화점에 가서 쇼핑을 했어요.</t>
  </si>
  <si>
    <t>다음에 만나요.</t>
  </si>
  <si>
    <t>드레스</t>
  </si>
  <si>
    <t>한국 음식점에 가서 불고기를 먹었어요.</t>
  </si>
  <si>
    <t>that (far away)</t>
  </si>
  <si>
    <t>앉아서 기다리세요.</t>
  </si>
  <si>
    <t>원피스</t>
  </si>
  <si>
    <t>이따가 만나요.</t>
  </si>
  <si>
    <t>시내에서 친구를 만나서 영화를 봤어요.</t>
  </si>
  <si>
    <t>전화번호가 뭐예요?</t>
  </si>
  <si>
    <t>코트</t>
  </si>
  <si>
    <t>여기 의자가 있어요. 앉으세요.</t>
  </si>
  <si>
    <t>바닷가에 가서 수영을 했어요.</t>
  </si>
  <si>
    <t>얼마예요?</t>
  </si>
  <si>
    <t>가서</t>
  </si>
  <si>
    <t>바지</t>
  </si>
  <si>
    <t>go and then</t>
  </si>
  <si>
    <t>오천 원</t>
  </si>
  <si>
    <t>질문을 잘 들으세요.</t>
  </si>
  <si>
    <t>사서</t>
  </si>
  <si>
    <t>buy and then</t>
  </si>
  <si>
    <t>와서</t>
  </si>
  <si>
    <t>come and then</t>
  </si>
  <si>
    <t>삼만</t>
  </si>
  <si>
    <t>동전</t>
  </si>
  <si>
    <t>와이셔츠</t>
  </si>
  <si>
    <t>만나서</t>
  </si>
  <si>
    <t>십만</t>
  </si>
  <si>
    <t>meet and then</t>
  </si>
  <si>
    <t>지폐</t>
  </si>
  <si>
    <t>교복</t>
  </si>
  <si>
    <t>일어나서</t>
  </si>
  <si>
    <t>get up and then</t>
  </si>
  <si>
    <t>백만</t>
  </si>
  <si>
    <t>씻어서</t>
  </si>
  <si>
    <t>wash and then</t>
  </si>
  <si>
    <t>찍어서</t>
  </si>
  <si>
    <t>안나 씨가 뭐를 사요?</t>
  </si>
  <si>
    <t>take (a photo) and then</t>
  </si>
  <si>
    <t>만들어서</t>
  </si>
  <si>
    <t>영</t>
  </si>
  <si>
    <t>make and then</t>
  </si>
  <si>
    <t>속옷</t>
  </si>
  <si>
    <t>써서</t>
  </si>
  <si>
    <t>write / use and then</t>
  </si>
  <si>
    <t>걸어서</t>
  </si>
  <si>
    <t>walk and then</t>
  </si>
  <si>
    <t>수영해서</t>
  </si>
  <si>
    <t>swim and then</t>
  </si>
  <si>
    <t>사과를 사요.</t>
  </si>
  <si>
    <t>스웨터</t>
  </si>
  <si>
    <t>요리해서</t>
  </si>
  <si>
    <t>cook and then</t>
  </si>
  <si>
    <t>천</t>
  </si>
  <si>
    <t>thousand</t>
  </si>
  <si>
    <t>전화해서</t>
  </si>
  <si>
    <t>call (phone) and then</t>
  </si>
  <si>
    <t>초대해서</t>
  </si>
  <si>
    <t>invite and then</t>
  </si>
  <si>
    <t>몇 개 사요?</t>
  </si>
  <si>
    <t>만</t>
  </si>
  <si>
    <t>ten thousand</t>
  </si>
  <si>
    <t>이야기해서</t>
  </si>
  <si>
    <t>talk / have a conversation and then</t>
  </si>
  <si>
    <t>잠바</t>
  </si>
  <si>
    <t>은행에 가요. 그 은행에서 돈을 찾아요.</t>
  </si>
  <si>
    <t>다섯 개 사요.</t>
  </si>
  <si>
    <t>은행에 가서 돈을 찾아요</t>
  </si>
  <si>
    <t>점퍼</t>
  </si>
  <si>
    <t>친구를 만나요. 그 친구하고 쇼핑을 해요.</t>
  </si>
  <si>
    <t>친구를 만나서 쇼핑을 해요.</t>
  </si>
  <si>
    <t>모두 얼마예요?</t>
  </si>
  <si>
    <t>바다에 갔어요. 그 바다에서 수영을 했어요.</t>
  </si>
  <si>
    <t>천만</t>
  </si>
  <si>
    <t>바다에 가서 수영을 했어요.</t>
  </si>
  <si>
    <t>자켓</t>
  </si>
  <si>
    <t>떡볶이를 만들었어요. 그 떡볶이를 동생하고 같이 먹었어요.</t>
  </si>
  <si>
    <t>억</t>
  </si>
  <si>
    <t>스커트</t>
  </si>
  <si>
    <t>떡볶이를 만들어서 동생하고 같이 먹었어요.</t>
  </si>
  <si>
    <t>십억</t>
  </si>
  <si>
    <t>친구들을 집에 초대할 거예요. 그 친구들과 파티를 할 거예요.</t>
  </si>
  <si>
    <t>빵 두 개 주세요. 얼마예요?</t>
  </si>
  <si>
    <t>입다</t>
  </si>
  <si>
    <t>to wear (clothes)</t>
  </si>
  <si>
    <t>백억</t>
  </si>
  <si>
    <t>친구들을 집에 초대해서 파티를 할 거예요.</t>
  </si>
  <si>
    <t>이천사백 원이에요.</t>
  </si>
  <si>
    <t>쓰다</t>
  </si>
  <si>
    <t>to wear (things on the head/face)</t>
  </si>
  <si>
    <t>세종학당에 가서 한국어를 공부해요.</t>
  </si>
  <si>
    <t>천억</t>
  </si>
  <si>
    <t>바나나 다섯 개 주세요.</t>
  </si>
  <si>
    <t>자전거를 타고 회사에 가요.</t>
  </si>
  <si>
    <t>써요</t>
  </si>
  <si>
    <t>조</t>
  </si>
  <si>
    <t>billion</t>
  </si>
  <si>
    <t>사과를 씻어서 먹을 거예요.</t>
  </si>
  <si>
    <t>아침에 일어나서 운동을 했어요.</t>
  </si>
  <si>
    <t>십조</t>
  </si>
  <si>
    <t>신다</t>
  </si>
  <si>
    <t>to wear (footwear)</t>
  </si>
  <si>
    <t>점심에 김밥을 사서 먹었어요.</t>
  </si>
  <si>
    <t>정장을 입고 친구 결혼식에 갔어요.</t>
  </si>
  <si>
    <t>하다</t>
  </si>
  <si>
    <t>돈을 많이 벌면 한국에 가서 쇼핑하고 싶어요.</t>
  </si>
  <si>
    <t>영수증</t>
  </si>
  <si>
    <t>팔층</t>
  </si>
  <si>
    <t>매다</t>
  </si>
  <si>
    <t>한국어를 배워서 한국 회사에서 일하고 싶어요.</t>
  </si>
  <si>
    <t>영수증 주세요.</t>
  </si>
  <si>
    <t>일층</t>
  </si>
  <si>
    <t>친구를 만나서 영화를 본 후에 술을 마실 거예요.</t>
  </si>
  <si>
    <t>차다</t>
  </si>
  <si>
    <t>fasten</t>
  </si>
  <si>
    <t>이번 방학에는 아르바이트를 해서 여행 갈 거예요.</t>
  </si>
  <si>
    <t>모두 만 오천 육백 원이에요.</t>
  </si>
  <si>
    <t>지하 일층</t>
  </si>
  <si>
    <t>It’s 15,600 won in total.</t>
  </si>
  <si>
    <t>들다</t>
  </si>
  <si>
    <t>오늘은 아침 일찍 일어나서 30분 동안 운동을 했어요.</t>
  </si>
  <si>
    <t>지하철</t>
  </si>
  <si>
    <t>가격</t>
  </si>
  <si>
    <t>끼다</t>
  </si>
  <si>
    <t>학교에 가서 수업을 들어요.</t>
  </si>
  <si>
    <t>이게 뭐예요? 달력이에요.</t>
  </si>
  <si>
    <t>주노 씨는 어디에 가요?</t>
  </si>
  <si>
    <t>친구를 만나서 같이 영화를 봐요.</t>
  </si>
  <si>
    <t>부츠</t>
  </si>
  <si>
    <t>일찍 일어나서 운동을 하러 가요.</t>
  </si>
  <si>
    <t>일월</t>
  </si>
  <si>
    <t>세종마트에 가요.</t>
  </si>
  <si>
    <t>스타킹</t>
  </si>
  <si>
    <t>샐러드를 만들어서 친구하고 먹어요.</t>
  </si>
  <si>
    <t>이월</t>
  </si>
  <si>
    <t>February</t>
  </si>
  <si>
    <t>친구를 초대해서 생일 파티를 해요.</t>
  </si>
  <si>
    <t>주노 씨는 무엇을 몇 개 사요?</t>
  </si>
  <si>
    <t>삼월</t>
  </si>
  <si>
    <t>수영을 하고 학교에 가서 아침을 먹어요.</t>
  </si>
  <si>
    <t>신발 끈 매요.</t>
  </si>
  <si>
    <t>사월</t>
  </si>
  <si>
    <t>과자 한 개하고 라면 네 개하고 우유 두 개 하고 물 세 병을 사요.</t>
  </si>
  <si>
    <t>저녁은 집에서 먹고 자기 전에 요가를 해요.</t>
  </si>
  <si>
    <t>무엇을 입었어요? 무엇을 신었어요? 그림을 보고 써 보세요.</t>
  </si>
  <si>
    <t>오월</t>
  </si>
  <si>
    <t>자기 전에 먹고 요가를 해요</t>
  </si>
  <si>
    <t>지중해 식단을 해요.</t>
  </si>
  <si>
    <t>유월</t>
  </si>
  <si>
    <t>구두</t>
  </si>
  <si>
    <t>살을 빼요</t>
  </si>
  <si>
    <t>날짜</t>
  </si>
  <si>
    <t>다이어트를 해요</t>
  </si>
  <si>
    <t>칠월</t>
  </si>
  <si>
    <t>오늘 저는 놀이공원에 가요. 청바지를 입어요.</t>
  </si>
  <si>
    <t>식단을 해요.</t>
  </si>
  <si>
    <t>팔월</t>
  </si>
  <si>
    <t>요일</t>
  </si>
  <si>
    <t>생선</t>
  </si>
  <si>
    <t>fish (for eating)</t>
  </si>
  <si>
    <t>구월</t>
  </si>
  <si>
    <t>물고기</t>
  </si>
  <si>
    <t>친구하고 테니스를 쳐요. 운동복을 입어요.</t>
  </si>
  <si>
    <t>일곱 시</t>
  </si>
  <si>
    <t>맛집</t>
  </si>
  <si>
    <t>시월</t>
  </si>
  <si>
    <t>일곱 시에 시작해요</t>
  </si>
  <si>
    <t>여행 경험에 대해 이야기해요.</t>
  </si>
  <si>
    <t>요즘 날씨가 추워요. 모자를 써요.</t>
  </si>
  <si>
    <t>십일월</t>
  </si>
  <si>
    <t>저는 서울에 갔어요. 한강에서 축제를 봤어요.</t>
  </si>
  <si>
    <t>달력</t>
  </si>
  <si>
    <t>인사동에 갔어요. 선물을 산 후에 거리 구경도 했어요</t>
  </si>
  <si>
    <t>십이월</t>
  </si>
  <si>
    <t>공원에서 산책해요. 운동화를 신어요.</t>
  </si>
  <si>
    <t>케이팝 콘서트를 봤어요. 공연이 끝난 후에 사진도 많이 찍었어요</t>
  </si>
  <si>
    <t>삼십오 쪽</t>
  </si>
  <si>
    <t>정장을 입어요. 넥타이를 매요.</t>
  </si>
  <si>
    <t>서울 여행 잘 다녀왔어요?</t>
  </si>
  <si>
    <t>버스예요.</t>
  </si>
  <si>
    <t>지난번 여행보다 더 좋았어요.</t>
  </si>
  <si>
    <t>삼 번</t>
  </si>
  <si>
    <t>저는 요즘 눈이 아파서 책을 오래 못 읽어요.</t>
  </si>
  <si>
    <t>신고 있어요</t>
  </si>
  <si>
    <t>I am wearing (on my feet).</t>
  </si>
  <si>
    <t>어제 열이 나고 기침을 해서 병원에 갔어요.</t>
  </si>
  <si>
    <t>이백이 호</t>
  </si>
  <si>
    <t>number 202</t>
  </si>
  <si>
    <t>무슨 옷을 사고 싶어요?</t>
  </si>
  <si>
    <t>펜이에요.</t>
  </si>
  <si>
    <t>청바지를 사고 싶어요.</t>
  </si>
  <si>
    <t>볼펜이에요.</t>
  </si>
  <si>
    <t>지금 머리도 아프고 배도 아파요. 병원에 가야 돼요.</t>
  </si>
  <si>
    <t>토요일에 등산을 한 후에 다리가 아프고 허리도 많이 아파요.</t>
  </si>
  <si>
    <t>노란색 폴로셔츠를 사고 싶어요.</t>
  </si>
  <si>
    <t>몇 층이에요?</t>
  </si>
  <si>
    <t>그래서 잘 못 걷고 의자에도 못 앉아요.</t>
  </si>
  <si>
    <t>육 층이에요.</t>
  </si>
  <si>
    <t>병원에 갔어요? 어제 갔지만 오늘도 가야 돼요.</t>
  </si>
  <si>
    <t>좋은 습관</t>
  </si>
  <si>
    <t>삼백사십 번이에요.</t>
  </si>
  <si>
    <t>보통 헬스클럽에 가서 운동을 해요</t>
  </si>
  <si>
    <t>학교 식당</t>
  </si>
  <si>
    <t>십이월이에요.</t>
  </si>
  <si>
    <t>바지를 사고 싶어요?</t>
  </si>
  <si>
    <t>한국 음식을 만들 수 있어요?</t>
  </si>
  <si>
    <t>구백오십 원이에요.</t>
  </si>
  <si>
    <t>시간을 정해요</t>
  </si>
  <si>
    <t>아니요, 치마를 사고 싶어요.</t>
  </si>
  <si>
    <t>날짜를 정해요</t>
  </si>
  <si>
    <t>팔백일 호예요.</t>
  </si>
  <si>
    <t>장소를 정해요</t>
  </si>
  <si>
    <t>운동화를 사고 싶어요?</t>
  </si>
  <si>
    <t>장소를 예약해요</t>
  </si>
  <si>
    <t>이십오</t>
  </si>
  <si>
    <t>사람들을 초대해요</t>
  </si>
  <si>
    <t>아니요, 구두를 사고 싶어요.</t>
  </si>
  <si>
    <t>십이</t>
  </si>
  <si>
    <t>연락을 해요</t>
  </si>
  <si>
    <t>음식을 준비해요</t>
  </si>
  <si>
    <t>삼십구</t>
  </si>
  <si>
    <t>빨간색</t>
  </si>
  <si>
    <t>주노 씨는 뭘 할 거예요?</t>
  </si>
  <si>
    <t>구십삼</t>
  </si>
  <si>
    <t>주황색</t>
  </si>
  <si>
    <t>케이크를 준비할 거예요.</t>
  </si>
  <si>
    <t>오십팔</t>
  </si>
  <si>
    <t>생일 케이크를 만들어요.</t>
  </si>
  <si>
    <t>노란색</t>
  </si>
  <si>
    <t>장식품을 사요</t>
  </si>
  <si>
    <t>육십칠</t>
  </si>
  <si>
    <t>카풀링을 준비해요</t>
  </si>
  <si>
    <t>집 청소를 해요</t>
  </si>
  <si>
    <t>연두색</t>
  </si>
  <si>
    <t>음료수랑 과자 사요</t>
  </si>
  <si>
    <t>수지 씨는 무슨 선물을 자주 해요?</t>
  </si>
  <si>
    <t>초록색</t>
  </si>
  <si>
    <t>green</t>
  </si>
  <si>
    <t>백삼십</t>
  </si>
  <si>
    <t>저는 꽃을 자주 선물해요.</t>
  </si>
  <si>
    <t>녹색</t>
  </si>
  <si>
    <t>몇 월이에요?</t>
  </si>
  <si>
    <t>독서 모임은 언제 해요?</t>
  </si>
  <si>
    <t>칠백오십</t>
  </si>
  <si>
    <t>모르겠어요. 모임 시간을 아직 안 정했어요.</t>
  </si>
  <si>
    <t>하늘색</t>
  </si>
  <si>
    <t>삼월이에요.</t>
  </si>
  <si>
    <t>팔월이에요.</t>
  </si>
  <si>
    <t>파란색</t>
  </si>
  <si>
    <t>다음 모임 식사 준비는 어떻게 할까요?</t>
  </si>
  <si>
    <t>마리예요.</t>
  </si>
  <si>
    <t>며칠이에요?</t>
  </si>
  <si>
    <t>What day is it?</t>
  </si>
  <si>
    <t>남색</t>
  </si>
  <si>
    <t>navy blue</t>
  </si>
  <si>
    <t>저하고 주노 씨가 음식을 준비할 거예요.</t>
  </si>
  <si>
    <t>안나 씨, 반 모임 장소를 예약했어요?</t>
  </si>
  <si>
    <t>삼월 일일이에요.</t>
  </si>
  <si>
    <t>보라색</t>
  </si>
  <si>
    <t>아니요. 이따가 한국 식당에 전화할 거예요.</t>
  </si>
  <si>
    <t>재민 씨도 내일 모임에 초대했어요?</t>
  </si>
  <si>
    <t>이천이십사 년</t>
  </si>
  <si>
    <t>분홍색</t>
  </si>
  <si>
    <t>저는 학생이에요.</t>
  </si>
  <si>
    <t>네. 재민 씨도 모임에 올 거예요.</t>
  </si>
  <si>
    <t>이십일 일</t>
  </si>
  <si>
    <t>제가 학생이에요.</t>
  </si>
  <si>
    <t>안나 씨, 한국어를 읽을 수 있어요?</t>
  </si>
  <si>
    <t>회색</t>
  </si>
  <si>
    <t>네. 읽을 수 있어요.</t>
  </si>
  <si>
    <t>여동생이 있어요.</t>
  </si>
  <si>
    <t>오늘은 며칠이에요?</t>
  </si>
  <si>
    <t>내일 모임에 같이 갈 수 있어요?</t>
  </si>
  <si>
    <t>검정색</t>
  </si>
  <si>
    <t>black</t>
  </si>
  <si>
    <t>그럼요. 같이 가요.</t>
  </si>
  <si>
    <t>식당이 맛있어요.</t>
  </si>
  <si>
    <t>검은색</t>
  </si>
  <si>
    <t>black (used before noun)</t>
  </si>
  <si>
    <t>중국어를 할 수 있어요?</t>
  </si>
  <si>
    <t>친구가 있어요.</t>
  </si>
  <si>
    <t>이천이십사 년 팔월 십구일이에요.</t>
  </si>
  <si>
    <t>네, 할 수 있어요. 대학교에서 배웠어요.</t>
  </si>
  <si>
    <t>까만색</t>
  </si>
  <si>
    <t>안나 씨가 호주 사람이에요.</t>
  </si>
  <si>
    <t>내일은 며칠이에요?</t>
  </si>
  <si>
    <t>아니요, 못 읽어요.</t>
  </si>
  <si>
    <t>읽을 수 없어요.</t>
  </si>
  <si>
    <t>밤색</t>
  </si>
  <si>
    <t>교실</t>
  </si>
  <si>
    <t>먹을 수 있어요</t>
  </si>
  <si>
    <t>이천이십사 년 팔월 이십일이에요.</t>
  </si>
  <si>
    <t>받을 수 있어요</t>
  </si>
  <si>
    <t>흰색</t>
  </si>
  <si>
    <t>교실이 몇 호예요?</t>
  </si>
  <si>
    <t>읽을 수 있어요</t>
  </si>
  <si>
    <t>오늘이 이십일이에요?</t>
  </si>
  <si>
    <t>여기</t>
  </si>
  <si>
    <t>찍을 수 있어요</t>
  </si>
  <si>
    <t>여기가 세종학당이에요.</t>
  </si>
  <si>
    <t>들을 수 있어요</t>
  </si>
  <si>
    <t>기차역에 왜 가요?</t>
  </si>
  <si>
    <t>아니요, 오늘이 십구일이에요.</t>
  </si>
  <si>
    <t>갈 수 있어요</t>
  </si>
  <si>
    <t>5층이 영화관이에요.</t>
  </si>
  <si>
    <t>칠 수 있어요</t>
  </si>
  <si>
    <t>친구가 와서 기차역에 가요.</t>
  </si>
  <si>
    <t>생일이 언제예요?</t>
  </si>
  <si>
    <t>탈 수 있어요</t>
  </si>
  <si>
    <t>웨이 씨가 요리사예요.</t>
  </si>
  <si>
    <t>운전할 수 있어요</t>
  </si>
  <si>
    <t>정장을 왜 샀어요?</t>
  </si>
  <si>
    <t>만들 수 있어요</t>
  </si>
  <si>
    <t>이 사람이 안나 씨예요.</t>
  </si>
  <si>
    <t>칠월 십칠일이에요.</t>
  </si>
  <si>
    <t>친구 결혼식이 있어서 샀어요.</t>
  </si>
  <si>
    <t>매운 음식을 먹을 수 있어요.</t>
  </si>
  <si>
    <t>쑤찌 씨가 제 친구예요.</t>
  </si>
  <si>
    <t>겨울에 스키를 탈 수 있어요</t>
  </si>
  <si>
    <t>비가 와서 우산을 샀어요.</t>
  </si>
  <si>
    <t>저 사람이 주노 씨 형이에요.</t>
  </si>
  <si>
    <t>한글을 잘 읽을 수 있어요</t>
  </si>
  <si>
    <t>월요일</t>
  </si>
  <si>
    <t>감기에 걸려서 병원에 가요.</t>
  </si>
  <si>
    <t>사과는 좋아해요. 오렌지는 안 좋아해요.</t>
  </si>
  <si>
    <t>귀여운 인형을 만들 수 있어요</t>
  </si>
  <si>
    <t>피아노하고 기타를 칠 수 있어요</t>
  </si>
  <si>
    <t>화요일</t>
  </si>
  <si>
    <t>피곤해서 아침에 늦게 일어났어요.</t>
  </si>
  <si>
    <t>마리 씨 친구가 누구예요?</t>
  </si>
  <si>
    <t>안나 씨, 저녁에 같이 쇼핑하러 갈까요?</t>
  </si>
  <si>
    <t>내일 시험이 있어서 쇼핑하러 갈 수 없어요.</t>
  </si>
  <si>
    <t>수요일</t>
  </si>
  <si>
    <t>수지 씨, 저하고 좀 이야기할 수 있어요?</t>
  </si>
  <si>
    <t>제가 마리 씨 친구예요.</t>
  </si>
  <si>
    <t>목요일</t>
  </si>
  <si>
    <t>제가 목이 아파서 이야기할 수 없어요.</t>
  </si>
  <si>
    <t>제가 목이 아파서 이야기 못 해요.</t>
  </si>
  <si>
    <t>작아서</t>
  </si>
  <si>
    <t>금요일</t>
  </si>
  <si>
    <t>주노 씨, 반 모임에 올 수 있어요?</t>
  </si>
  <si>
    <t>다른 약속이 있어서 갈 수 없어요.</t>
  </si>
  <si>
    <t>좋아서</t>
  </si>
  <si>
    <t>토요일</t>
  </si>
  <si>
    <t>Because it's nice</t>
  </si>
  <si>
    <t>유진 씨, 주말에 같이 축구할까요?</t>
  </si>
  <si>
    <t>먹어서</t>
  </si>
  <si>
    <t>다리를 다쳐서 축구를 못 해요.</t>
  </si>
  <si>
    <t>일요일</t>
  </si>
  <si>
    <t>재민 씨, 어제 왜 잠을 못 잤어요?</t>
  </si>
  <si>
    <t>무엇이 있어요?</t>
  </si>
  <si>
    <t>무슨 요일이에요?</t>
  </si>
  <si>
    <t>신어서</t>
  </si>
  <si>
    <t>커피를 많이 마셔서 잠을 못 잤어요.</t>
  </si>
  <si>
    <t>커피를 많이 마셔서 잠을 잘 수 없었어요</t>
  </si>
  <si>
    <t>의자가 있어요</t>
  </si>
  <si>
    <t>일요일이에요.</t>
  </si>
  <si>
    <t>쉬워서</t>
  </si>
  <si>
    <t>박물관에서 사진을 찍을 수 있어요?</t>
  </si>
  <si>
    <t>식탁이에요.</t>
  </si>
  <si>
    <t>아니요, 사진을 찍을 수 없어요.</t>
  </si>
  <si>
    <t>예뻐서</t>
  </si>
  <si>
    <t>이 공원에서 자전거를 탈 수 있어요?</t>
  </si>
  <si>
    <t>삼월 십사 일</t>
  </si>
  <si>
    <t>물이에요?</t>
  </si>
  <si>
    <t>네, 공원에서 자전거를 탈 수 있어요.</t>
  </si>
  <si>
    <t>공부해서</t>
  </si>
  <si>
    <t>교실에서 음식을 먹을 수 있어요?</t>
  </si>
  <si>
    <t>유월 칠 일</t>
  </si>
  <si>
    <t>아니요, 물이 아니에요. 주스예요.</t>
  </si>
  <si>
    <t>아니요, 음식을 먹을 수 없어요</t>
  </si>
  <si>
    <t>운동해서</t>
  </si>
  <si>
    <t>이 공원에서 음식을 요리할 수 있어요?</t>
  </si>
  <si>
    <t>시월 구 일</t>
  </si>
  <si>
    <t>오렌지 주스</t>
  </si>
  <si>
    <t>아니요, 요리할 수 없어요</t>
  </si>
  <si>
    <t>따뜻해서</t>
  </si>
  <si>
    <t>오월 이십일 일</t>
  </si>
  <si>
    <t>이 공원에서 술을 마실 수 있어요?</t>
  </si>
  <si>
    <t>아니요, 술을 마실 수 없어요</t>
  </si>
  <si>
    <t>사과 주스</t>
  </si>
  <si>
    <t>시원해서</t>
  </si>
  <si>
    <t>수영을 할 수 있어요?</t>
  </si>
  <si>
    <t>팔월 십육 일</t>
  </si>
  <si>
    <t>네. 수영을 할 수 있어요.</t>
  </si>
  <si>
    <t>포도 주스</t>
  </si>
  <si>
    <t>날씨가 좋아서 산책하러 가요.</t>
  </si>
  <si>
    <t>피아노를 칠 수 있어요?</t>
  </si>
  <si>
    <t>수박 주스</t>
  </si>
  <si>
    <t>십일월 이십사 일</t>
  </si>
  <si>
    <t>아니요. 피아노를 칠 수 없어요.</t>
  </si>
  <si>
    <t>쇼핑을 좋아해서 백화점에 자주 가요.</t>
  </si>
  <si>
    <t>스키를 탈 수 있어요?</t>
  </si>
  <si>
    <t>과일 주스</t>
  </si>
  <si>
    <t>생일 선물을 받아서 기분이 좋아요</t>
  </si>
  <si>
    <t>생일이 언제예요? 다음과 같이 친구와 이야기해 보세요</t>
  </si>
  <si>
    <t>네. 스키를 탈 수 있어요.</t>
  </si>
  <si>
    <t>채소 주스</t>
  </si>
  <si>
    <t>이 책을 읽을 수 있어요?</t>
  </si>
  <si>
    <t>커피를 많이 마셔서 잠을 못 자요.</t>
  </si>
  <si>
    <t>생일 축하합니다!</t>
  </si>
  <si>
    <t>아니요. 이 책을 읽을 수 없어요.</t>
  </si>
  <si>
    <t>한국 드라마를 보고 싶어서 한국어를 배워요.</t>
  </si>
  <si>
    <t>수지 씨는 지금 뭐 해요?</t>
  </si>
  <si>
    <t>아니요, 선생님 아니에요. 학생이에요.</t>
  </si>
  <si>
    <t>방탈출 게임</t>
  </si>
  <si>
    <t>다음과 같이 문장을 완성해 보세요.</t>
  </si>
  <si>
    <t>케이팝을 듣고 있어요.</t>
  </si>
  <si>
    <t>컴퓨터예요?</t>
  </si>
  <si>
    <t>커피를 좋아해서 매일 마셔요.</t>
  </si>
  <si>
    <t>모임 음식 준비는 다 했어요?</t>
  </si>
  <si>
    <t>아니요, 컴퓨터가 아니에요. 텔레비전이에요.</t>
  </si>
  <si>
    <t>아니요. 아직 음식을 만들고 있어요.</t>
  </si>
  <si>
    <t>요즘 바빠서 운동을 못 해요.</t>
  </si>
  <si>
    <t>친구를 만나고 싶어서 친구 집에 갔어요.</t>
  </si>
  <si>
    <t>그저께</t>
  </si>
  <si>
    <t>도서관에서 한국어를 공부하고 있어요.</t>
  </si>
  <si>
    <t>영화관이 8층이에요?</t>
  </si>
  <si>
    <t>집에서 음악을 듣고 있어요.</t>
  </si>
  <si>
    <t>모레</t>
  </si>
  <si>
    <t>아침에 밥을 못 먹어서 점심을 많이 먹었어요.</t>
  </si>
  <si>
    <t>식당에서 점심을 먹고 있어요.</t>
  </si>
  <si>
    <t>지금</t>
  </si>
  <si>
    <t>아니요, 8층이 아니에요. 7층이에요.</t>
  </si>
  <si>
    <t>공원에서 자전거를 타고 있어요.</t>
  </si>
  <si>
    <t>오늘 서울은 날씨가 어때요?</t>
  </si>
  <si>
    <t>영화관에서 영화를 보고 있어요.</t>
  </si>
  <si>
    <t>마리 씨 남자친구예요?</t>
  </si>
  <si>
    <t>카페에서 친구를 만나고 있어요.</t>
  </si>
  <si>
    <t>오늘 바람이 많이 불어서 좀 추워요.</t>
  </si>
  <si>
    <t>언제</t>
  </si>
  <si>
    <t>백화점에서 신발을 사고 있어요.</t>
  </si>
  <si>
    <t>아니요, 남자친구가 아니에요. 동생이에요.</t>
  </si>
  <si>
    <t>영화를 자주 봐요?</t>
  </si>
  <si>
    <t>토요일/일요일</t>
  </si>
  <si>
    <t>지금 뭐 해요?</t>
  </si>
  <si>
    <t>요리하고 있어요.</t>
  </si>
  <si>
    <t>네, 영화를 좋아해서 자주 봐요.</t>
  </si>
  <si>
    <t>주말</t>
  </si>
  <si>
    <t>청소를 하고 있어요.</t>
  </si>
  <si>
    <t>왜 옷을 안 샀어요?</t>
  </si>
  <si>
    <t>한국인</t>
  </si>
  <si>
    <t>팔월 십구일에 만나요</t>
  </si>
  <si>
    <t>좀 비싸서 안 샀어요.</t>
  </si>
  <si>
    <t>언제 한국어 수업이 있어요?</t>
  </si>
  <si>
    <t>테니스를 치고 있어요.</t>
  </si>
  <si>
    <t>그냥 친구예요.</t>
  </si>
  <si>
    <t>왜 아직 회사에 있어요?</t>
  </si>
  <si>
    <t>안나 씨는 지금 뭐 하고 있어요?</t>
  </si>
  <si>
    <t>수업</t>
  </si>
  <si>
    <t>선생님은 여자예요?</t>
  </si>
  <si>
    <t>라면을 먹고 있어요.</t>
  </si>
  <si>
    <t>일이 많아서 회사에 있어요.</t>
  </si>
  <si>
    <t>아침</t>
  </si>
  <si>
    <t>재민 씨는 지금 뭐 하고 있어요?</t>
  </si>
  <si>
    <t>선생님은 여자가 아니에요. 남자예요.</t>
  </si>
  <si>
    <t>자전거를 타고 있어요.</t>
  </si>
  <si>
    <t>아침을 먹어요.</t>
  </si>
  <si>
    <t>어디에 가요?</t>
  </si>
  <si>
    <t>누가 디트만 씨예요?</t>
  </si>
  <si>
    <t>자전거를 타고 있었어요.</t>
  </si>
  <si>
    <t>Who is Mr. Dittman?</t>
  </si>
  <si>
    <t>누가 음식을 만들고 있어요?</t>
  </si>
  <si>
    <t>아침에 학교에 가요.</t>
  </si>
  <si>
    <t>친구 생일이어서 친구 집에 가요.</t>
  </si>
  <si>
    <t>제가 디트만이에요.</t>
  </si>
  <si>
    <t>I'm Dittman.</t>
  </si>
  <si>
    <t>안나 씨하고 주노 씨가 음식을 만들고 있어요.</t>
  </si>
  <si>
    <t>누가 메시지를 보내고 있어요?</t>
  </si>
  <si>
    <t>친구 생일 파티가 있어서 친구 집에 가요.</t>
  </si>
  <si>
    <t>매일 아침에 운동을 해요</t>
  </si>
  <si>
    <t>유진 씨는 한국 사람이 아니에요. 미국 사람이에요.</t>
  </si>
  <si>
    <t>마리 씨가 메시지를 보내고 있어요.</t>
  </si>
  <si>
    <t>어제 왜 등산을 못 했어요?</t>
  </si>
  <si>
    <t>모자가 아니에요. 티셔츠예요.</t>
  </si>
  <si>
    <t>칠월 삼십일에 만나요</t>
  </si>
  <si>
    <t>물을 마시고 있어요.</t>
  </si>
  <si>
    <t>비가 와서 집에 있었어요.</t>
  </si>
  <si>
    <t>수지 씨는 지금 뭐 하고 있어요?</t>
  </si>
  <si>
    <t>올해</t>
  </si>
  <si>
    <t>신발</t>
  </si>
  <si>
    <t>유진 씨하고 이야기하고 있어요.</t>
  </si>
  <si>
    <t>바람이 많이 불어서 집에 있었어요.</t>
  </si>
  <si>
    <t>수지 씨는 뭐 하고 있어요?</t>
  </si>
  <si>
    <t>햄버거를 먹고 있어요.</t>
  </si>
  <si>
    <t>다음 주 일요일에</t>
  </si>
  <si>
    <t>김치를 좋아해요?</t>
  </si>
  <si>
    <t>모여요</t>
  </si>
  <si>
    <t>지난달</t>
  </si>
  <si>
    <t>집에서 모여요.</t>
  </si>
  <si>
    <t>등산화</t>
  </si>
  <si>
    <t>네, 김치를 좋아해서 자주 먹어요.</t>
  </si>
  <si>
    <t>우리 반 모임 장소는 어디예요?</t>
  </si>
  <si>
    <t>이번 달</t>
  </si>
  <si>
    <t>군인이에요.</t>
  </si>
  <si>
    <t>왜 한국어를 공부해요?</t>
  </si>
  <si>
    <t>우리 반 모임 장소는 주노 씨 집이에요.</t>
  </si>
  <si>
    <t>주노 씨는 요즘 무엇을 배우고 있어요?</t>
  </si>
  <si>
    <t>다음 달</t>
  </si>
  <si>
    <t>아니요, 학생이 아니에요. 회사원이에요.</t>
  </si>
  <si>
    <t>한국 문화에 관심이 있어서 한국어를 공부해요.</t>
  </si>
  <si>
    <t>한국 요리를 배우고 있어요.</t>
  </si>
  <si>
    <t>소강당</t>
  </si>
  <si>
    <t>옷이에요?</t>
  </si>
  <si>
    <t>남편 가족하고 이야기하고 싶어서 한국어를 공부해요.</t>
  </si>
  <si>
    <t>지난주</t>
  </si>
  <si>
    <t>문의</t>
  </si>
  <si>
    <t>아니요, 옷이 아니에요. 모자예요.</t>
  </si>
  <si>
    <t>부릅니다</t>
  </si>
  <si>
    <t>여행하고 싶어서 한국어를 공부해요.</t>
  </si>
  <si>
    <t>이번 주</t>
  </si>
  <si>
    <t>노래를 부릅니다.</t>
  </si>
  <si>
    <t>남자친구예요?</t>
  </si>
  <si>
    <t>매주 화요일</t>
  </si>
  <si>
    <t>다른 언어를 공부하고 싶어서 한국어를 공부해요.</t>
  </si>
  <si>
    <t>다음 주</t>
  </si>
  <si>
    <t>안나 씨는 이 모임에 누구를 초대해요?</t>
  </si>
  <si>
    <t>한국 친구가 있어서 한국어를 공부해요.</t>
  </si>
  <si>
    <t>아니요, 남자친구가 아니에요. 오빠예요.</t>
  </si>
  <si>
    <t>안나 씨는 이 모임에 케이팝을 좋아하는 사람들을 초대해요.</t>
  </si>
  <si>
    <t>여기가 교실이에요?</t>
  </si>
  <si>
    <t>사람들은 이 모임에서 무엇을 할 거예요?</t>
  </si>
  <si>
    <t>저녁에 책을 읽을 거예요.</t>
  </si>
  <si>
    <t>저는 지니 씨에게 펜을 선물할 거예요</t>
  </si>
  <si>
    <t>아니요, 교실이 아니에요. 식당이에요.</t>
  </si>
  <si>
    <t>no. It's not a classroom. It's a restaurant.</t>
  </si>
  <si>
    <t>아니요, 공원에서 자전거를 탈 거예요.</t>
  </si>
  <si>
    <t>생일</t>
  </si>
  <si>
    <t>언제 여행을 가요?</t>
  </si>
  <si>
    <t>맞아요?</t>
  </si>
  <si>
    <t>결혼식</t>
  </si>
  <si>
    <t>졸업식</t>
  </si>
  <si>
    <t>팔월 오일에 가요</t>
  </si>
  <si>
    <t>네, 맞아요.</t>
  </si>
  <si>
    <t>어버이날</t>
  </si>
  <si>
    <t>백화점에서 쇼핑할 거예요.</t>
  </si>
  <si>
    <t>5월 8일</t>
  </si>
  <si>
    <t>두 사람은 무슨 이야기를 해요?</t>
  </si>
  <si>
    <t>팔월 오일 목요일에.</t>
  </si>
  <si>
    <t>어린이날</t>
  </si>
  <si>
    <t>먹을 거예요</t>
  </si>
  <si>
    <t>5월 5일</t>
  </si>
  <si>
    <t>안나 씨의 전화번호</t>
  </si>
  <si>
    <t>며칠에 사진을 찍어요?</t>
  </si>
  <si>
    <t>명절</t>
  </si>
  <si>
    <t>traditional holiday</t>
  </si>
  <si>
    <t>신을 거예요</t>
  </si>
  <si>
    <t>추석</t>
  </si>
  <si>
    <t>십월 십사일에 찍어요.</t>
  </si>
  <si>
    <t>학생이에요.</t>
  </si>
  <si>
    <t>8월 15일</t>
  </si>
  <si>
    <t>읽을 거예요</t>
  </si>
  <si>
    <t>언제 요리를 배워요?</t>
  </si>
  <si>
    <t>학생이 아니에요.</t>
  </si>
  <si>
    <t>1월 1일</t>
  </si>
  <si>
    <t>들을 거예요</t>
  </si>
  <si>
    <t>토요일마다</t>
  </si>
  <si>
    <t>스승의 날</t>
  </si>
  <si>
    <t>5월 15일</t>
  </si>
  <si>
    <t>의사예요.</t>
  </si>
  <si>
    <t>갈 거예요</t>
  </si>
  <si>
    <t>토요일에 배워요.</t>
  </si>
  <si>
    <t>한글날</t>
  </si>
  <si>
    <t>볼 거예요</t>
  </si>
  <si>
    <t>10월 9일</t>
  </si>
  <si>
    <t>주중</t>
  </si>
  <si>
    <t>의사가 아니에요.</t>
  </si>
  <si>
    <t>크리스마스</t>
  </si>
  <si>
    <t>공부할 거예요</t>
  </si>
  <si>
    <t>집들이</t>
  </si>
  <si>
    <t>주노 씨는 학생이에요?</t>
  </si>
  <si>
    <t>베이비샤워</t>
  </si>
  <si>
    <t>평일</t>
  </si>
  <si>
    <t>만들 거예요</t>
  </si>
  <si>
    <t>백일</t>
  </si>
  <si>
    <t>목요일에 세종학당에 가요.</t>
  </si>
  <si>
    <t>그림을 보고 문장을 완성해 보세요.</t>
  </si>
  <si>
    <t>돌</t>
  </si>
  <si>
    <t>First birthday celebration</t>
  </si>
  <si>
    <t>수요일에 아르바이트를 해요.</t>
  </si>
  <si>
    <t>나의 일주일</t>
  </si>
  <si>
    <t>이스터</t>
  </si>
  <si>
    <t>친구예요?</t>
  </si>
  <si>
    <t>화요일에 친구 집에 가요.</t>
  </si>
  <si>
    <t>월요일에는 영화를 볼 거예요.</t>
  </si>
  <si>
    <t>부활절</t>
  </si>
  <si>
    <t>주중에 일해요.</t>
  </si>
  <si>
    <t>아니요, 친구가 아니에요. 언니예요.</t>
  </si>
  <si>
    <t>화요일에는 도서관에서 공부할 거예요.</t>
  </si>
  <si>
    <t>꽃</t>
  </si>
  <si>
    <t>하루 종일 자요</t>
  </si>
  <si>
    <t>수요일에는 공원에서 축구할 거예요.</t>
  </si>
  <si>
    <t>지갑</t>
  </si>
  <si>
    <t>의자예요?</t>
  </si>
  <si>
    <t>목요일에는 가게에서 옷을 쇼핑할 거예요.</t>
  </si>
  <si>
    <t>익힘책</t>
  </si>
  <si>
    <t>아니요, 의자가 아니에요. 모자예요.</t>
  </si>
  <si>
    <t>금요일에는 아이스크림 가게에서 친구를 만날 거예요.</t>
  </si>
  <si>
    <t>어휘 표현과 문법</t>
  </si>
  <si>
    <t>볼펜이에요?</t>
  </si>
  <si>
    <t>핸드폰</t>
  </si>
  <si>
    <t>안나 씨, 뭘 살 거예요?</t>
  </si>
  <si>
    <t>게임기</t>
  </si>
  <si>
    <t>더하기 활동</t>
  </si>
  <si>
    <t>디퓨저(방향제)</t>
  </si>
  <si>
    <t>티셔츠를 살 거예요.</t>
  </si>
  <si>
    <t>아니요, 볼펜이 아니에요. 핸드폰이에요.</t>
  </si>
  <si>
    <t>언제 주노 씨를 만나요?</t>
  </si>
  <si>
    <t>기프트카드/상품권</t>
  </si>
  <si>
    <t>뭘 먹을 거예요?</t>
  </si>
  <si>
    <t>일월 십칠일에 만나요.</t>
  </si>
  <si>
    <t>초</t>
  </si>
  <si>
    <t>구두가 아니에요.</t>
  </si>
  <si>
    <t>향초</t>
  </si>
  <si>
    <t>저는 볶음밥을 먹을 거예요.</t>
  </si>
  <si>
    <t>며칠에 생일 파티를 해요?</t>
  </si>
  <si>
    <t>식사</t>
  </si>
  <si>
    <t>롯데백화점</t>
  </si>
  <si>
    <t>커피를 마실 거예요?</t>
  </si>
  <si>
    <t>유월 삼십일에 생일 파티를 해요.</t>
  </si>
  <si>
    <t>유진 씨, 생일에 무슨 선물을 받았어요?</t>
  </si>
  <si>
    <t>게임기를 받았어요.</t>
  </si>
  <si>
    <t>I received a game console.</t>
  </si>
  <si>
    <t>아니요, 저는 홍차를 마실 거예요.</t>
  </si>
  <si>
    <t>언제 아르바이트를 해요?</t>
  </si>
  <si>
    <t>지니 씨 졸업식 때 무슨 선물을 할 거예요?</t>
  </si>
  <si>
    <t>현대백화점</t>
  </si>
  <si>
    <t>저는 지갑을 주고 싶어요.</t>
  </si>
  <si>
    <t>일요일에 아르바이트를 해요.</t>
  </si>
  <si>
    <t>공원에서 뭐 할 거예요?</t>
  </si>
  <si>
    <t>어버이날 선물은 준비했어요?</t>
  </si>
  <si>
    <t>신세계백화점</t>
  </si>
  <si>
    <t>수요일에 한국어 수업이 있어요?</t>
  </si>
  <si>
    <t>네. 편지하고 꽃 준비했어요.</t>
  </si>
  <si>
    <t>자전거를 탈 거예요.</t>
  </si>
  <si>
    <t>동생 입학식에 무슨 선물을 줄 거예요?</t>
  </si>
  <si>
    <t>아니요, 목요일에 한국어 수업이 있어요.</t>
  </si>
  <si>
    <t>한국 가수예요?</t>
  </si>
  <si>
    <t>방학에 어디에 갈 거예요?</t>
  </si>
  <si>
    <t>새 신발을 줄 거예요.</t>
  </si>
  <si>
    <t>언제 드라마를 봐요?</t>
  </si>
  <si>
    <t>어제 생일에 뭐 먹었어요?</t>
  </si>
  <si>
    <t>제주도에 갈 거예요.</t>
  </si>
  <si>
    <t>여자가 아니에요. 남자예요.</t>
  </si>
  <si>
    <t>피자하고 케이크를 먹었어요. 정말 맛있었어요.</t>
  </si>
  <si>
    <t>목요일에 드라마를 봐요.</t>
  </si>
  <si>
    <t>에게</t>
  </si>
  <si>
    <t>언제 백화점에서 쇼핑을 해요?</t>
  </si>
  <si>
    <t>한테</t>
  </si>
  <si>
    <t>영화를 볼 거예요.</t>
  </si>
  <si>
    <t>안나 씨에게 무슨 선물을 할 거예요?</t>
  </si>
  <si>
    <t>일요일에 해요.</t>
  </si>
  <si>
    <t>거기</t>
  </si>
  <si>
    <t>저는 지갑을 줄 거예요.</t>
  </si>
  <si>
    <t>저녁에 뭐 할 거예요?</t>
  </si>
  <si>
    <t>수요일에 도서관에 가요?</t>
  </si>
  <si>
    <t>유진 씨, 지금 뭐 하고 있어요?</t>
  </si>
  <si>
    <t>한국 음식을 먹을 거예요.</t>
  </si>
  <si>
    <t>형한테 사진을 보내고 있어요.</t>
  </si>
  <si>
    <t>저기</t>
  </si>
  <si>
    <t xml:space="preserve">over there / that place (far from both)
</t>
  </si>
  <si>
    <t>아니요, 화요일에 도서관에 가요.</t>
  </si>
  <si>
    <t>보내다</t>
  </si>
  <si>
    <t>send</t>
  </si>
  <si>
    <t>내일 뭐 할 거예요?</t>
  </si>
  <si>
    <t>친구한테 크리스마스 카드를 주었어요.</t>
  </si>
  <si>
    <t>어디예요?</t>
  </si>
  <si>
    <t>where is it?</t>
  </si>
  <si>
    <t>남자친구에게 생일 선물을 주었어요.</t>
  </si>
  <si>
    <t>금요일에 여행을 가요?</t>
  </si>
  <si>
    <t>신발을 살 거예요.</t>
  </si>
  <si>
    <t>부모님께 선물을 드렸어요.</t>
  </si>
  <si>
    <t>아니요, 토요일에 여행을 가요.</t>
  </si>
  <si>
    <t>한국 카페</t>
  </si>
  <si>
    <t>선생님께 크리스마스 카드를 드렸어요.</t>
  </si>
  <si>
    <t>친구한테 커피를 주었어요.</t>
  </si>
  <si>
    <t>주노 씨는 언제 일어나요?</t>
  </si>
  <si>
    <t>무엇</t>
  </si>
  <si>
    <t>줬어요</t>
  </si>
  <si>
    <t>바다에서 수영할 거예요.</t>
  </si>
  <si>
    <t>여섯 시 삼십 분에 일어나요.</t>
  </si>
  <si>
    <t>친구한테 커피를 줬어요.</t>
  </si>
  <si>
    <t>교실에 무엇이 있어요?</t>
  </si>
  <si>
    <t>이따가 뭐 할 거예요?</t>
  </si>
  <si>
    <t>재민 씨, 오늘 친구를 만나요?</t>
  </si>
  <si>
    <t>할머니께 케이크를 드렸어요.</t>
  </si>
  <si>
    <t>필통</t>
  </si>
  <si>
    <t>소포</t>
  </si>
  <si>
    <t>집에서 책을 읽을 거예요.</t>
  </si>
  <si>
    <t>연필</t>
  </si>
  <si>
    <t>저는 일주일에 한 번 부모님께 전화해요.</t>
  </si>
  <si>
    <t>네, 일곱 시에 친구를 만나요.</t>
  </si>
  <si>
    <t>오늘 할머니께 편지를 쓸 거예요.</t>
  </si>
  <si>
    <t>안나 씨와 주노 씨가 쇼핑 계획을 이야기하고 있어요. 두 사람은 무슨 이야기를 할까요?</t>
  </si>
  <si>
    <t>지우개</t>
  </si>
  <si>
    <t>드라마가 몇 시에 시작해요?</t>
  </si>
  <si>
    <t>선생님께 질문을 했어요.</t>
  </si>
  <si>
    <t>동생에게</t>
  </si>
  <si>
    <t>주노 씨, 내일 뭐 할 거예요?</t>
  </si>
  <si>
    <t>드라마가 아홉 시에 시작해요.</t>
  </si>
  <si>
    <t>안나 씨에게</t>
  </si>
  <si>
    <t>형한테</t>
  </si>
  <si>
    <t>쇼핑할 거예요.</t>
  </si>
  <si>
    <t>안나 씨는 언제 세종학당에 가요?</t>
  </si>
  <si>
    <t>친구한테</t>
  </si>
  <si>
    <t>손목시계</t>
  </si>
  <si>
    <t>안나 씨가 유진 씨에게 선물을 주었어요.</t>
  </si>
  <si>
    <t>안나 씨는 목요일에 가요.</t>
  </si>
  <si>
    <t>아버지가 주노 씨한테 사과를 주었어요.</t>
  </si>
  <si>
    <t>뭐 살 거예요?</t>
  </si>
  <si>
    <t>유진 씨는 토요일에 아르바이트를 해요?</t>
  </si>
  <si>
    <t>재민 씨가 누나에게 편지를 보낼 거예요.</t>
  </si>
  <si>
    <t>토요일에 친구 결혼식이 있어서 정장을 살 거예요.</t>
  </si>
  <si>
    <t>수지 씨가 동생한테 전화하고 있어요.</t>
  </si>
  <si>
    <t>아니요, 월요일하고 수요일에 아르바이트를 해요.</t>
  </si>
  <si>
    <t>마리 씨가 리사 씨에게 축하 카드를 썼어요.</t>
  </si>
  <si>
    <t>지금 몇 시예요?</t>
  </si>
  <si>
    <t>유진 씨가 안나 씨에게 빵을 주었어요.</t>
  </si>
  <si>
    <t>어디에서 살 거예요?</t>
  </si>
  <si>
    <t>칠판</t>
  </si>
  <si>
    <t>제가 친구에게 편지를 썼어요.</t>
  </si>
  <si>
    <t>열 시 삼십 분이에요.</t>
  </si>
  <si>
    <t>Where will you buy (it)?</t>
  </si>
  <si>
    <t>형이 고양이에게 물을 주었어요.</t>
  </si>
  <si>
    <t>열 시 반이에요.</t>
  </si>
  <si>
    <t>화이트보드</t>
  </si>
  <si>
    <t>백화점에서 살 거예요.</t>
  </si>
  <si>
    <t>주노 씨가 형에게 선물을 보냈어요.</t>
  </si>
  <si>
    <t>우리 몇 시에 만나요?</t>
  </si>
  <si>
    <t>재민 씨가 누나에게 화장품을 선물했어요.</t>
  </si>
  <si>
    <t>휴지</t>
  </si>
  <si>
    <t>수지 씨가 친구에게 여행 계획을 말했어요.</t>
  </si>
  <si>
    <t>쇼핑몰</t>
  </si>
  <si>
    <t>우리 한 시에 만나요.</t>
  </si>
  <si>
    <t>마리 씨가 안나 씨에게 전화번호를 물었어요.</t>
  </si>
  <si>
    <t>기차가 몇 시에 출발해요?</t>
  </si>
  <si>
    <t>더 큰 사이즈는 없어요?</t>
  </si>
  <si>
    <t>액자</t>
  </si>
  <si>
    <t>친구 아들</t>
  </si>
  <si>
    <t>이 반지는 여자 친구 한테 줄 거예요?</t>
  </si>
  <si>
    <t>커요</t>
  </si>
  <si>
    <t>기차가 여덟 시 이십 분에 출발해요.</t>
  </si>
  <si>
    <t>아니요, 이 반지는 친구 아들한테 선물할 거예요.</t>
  </si>
  <si>
    <t>작아요</t>
  </si>
  <si>
    <t>영화가 몇 시에 시작해요?</t>
  </si>
  <si>
    <t>친구 아들이요?</t>
  </si>
  <si>
    <t>넓어요</t>
  </si>
  <si>
    <t>영화가 여섯 시 십오 분에 시작해요.</t>
  </si>
  <si>
    <t>네, 한국에서는 돌에 아기한테 금반지를 선물해요.</t>
  </si>
  <si>
    <t>문</t>
  </si>
  <si>
    <t>좁아요</t>
  </si>
  <si>
    <t>칠월 이십삼일은 무슨 요일이에요?</t>
  </si>
  <si>
    <t>first birthday</t>
  </si>
  <si>
    <t>높아요</t>
  </si>
  <si>
    <t>내일은 무슨 요일이에요?</t>
  </si>
  <si>
    <t>아, 그래요? 그럼, 이 가방은 누구한테 줄 거예요?</t>
  </si>
  <si>
    <t>낮아요</t>
  </si>
  <si>
    <t>창문</t>
  </si>
  <si>
    <t>수요일이에요.</t>
  </si>
  <si>
    <t>어머니께 드릴 거예요.</t>
  </si>
  <si>
    <t>가방이 정말 예뻐요. 어머니께서, 좋아하실 것 같아요.</t>
  </si>
  <si>
    <t>이번 주 금요일은 며칠이에요?</t>
  </si>
  <si>
    <t>은행</t>
  </si>
  <si>
    <t>길어요</t>
  </si>
  <si>
    <t>주노 씨, 오늘 저녁에 만날까요?</t>
  </si>
  <si>
    <t>짧아요</t>
  </si>
  <si>
    <t>칠월 사일이에요.</t>
  </si>
  <si>
    <t>오늘은 한국어 수업이 있으니까 내일 만나요.</t>
  </si>
  <si>
    <t>아이패드</t>
  </si>
  <si>
    <t>수지 씨에게 어떤 선물을 줄까요?</t>
  </si>
  <si>
    <t>회의</t>
  </si>
  <si>
    <t>태블릿</t>
  </si>
  <si>
    <t>점심 식사</t>
  </si>
  <si>
    <t>수지 씨가 인형을 좋아하니까 인형은 어때요?</t>
  </si>
  <si>
    <t>시간이 없어서 친구를 못 만났어요.</t>
  </si>
  <si>
    <t>편해요</t>
  </si>
  <si>
    <t>오늘은 바쁘니까 내일 만나요.</t>
  </si>
  <si>
    <t>마리 씨 생일이 언제예요?</t>
  </si>
  <si>
    <t>불편해요</t>
  </si>
  <si>
    <t>추우니까 창문 좀 닫아 주세요.</t>
  </si>
  <si>
    <t>팔월 삼일 수요일이에요.</t>
  </si>
  <si>
    <t>계산기</t>
  </si>
  <si>
    <t>빈칸에 알맞은 말을 써서 문장을 완성해 보세요.</t>
  </si>
  <si>
    <t>어제 공부를 많이 했으니까 오늘은 좀 쉬고 싶어요.</t>
  </si>
  <si>
    <t>언제 영화를 봐요?</t>
  </si>
  <si>
    <t>먹으니까</t>
  </si>
  <si>
    <t>이 가방이 조금 비싸요.</t>
  </si>
  <si>
    <t>팔월 십육일 화요일에 봐요.</t>
  </si>
  <si>
    <t>곽티슈</t>
  </si>
  <si>
    <t>많으니까</t>
  </si>
  <si>
    <t>저 수박이 정말 커요.</t>
  </si>
  <si>
    <t>언제 회의를 해요?</t>
  </si>
  <si>
    <t>있으니까</t>
  </si>
  <si>
    <t>세종학당 교실이 넓어요.</t>
  </si>
  <si>
    <t>좋으니까</t>
  </si>
  <si>
    <t>팔월 십이일 금요일에 해요.</t>
  </si>
  <si>
    <t>어디에 있어요?</t>
  </si>
  <si>
    <t>더우니까</t>
  </si>
  <si>
    <t>친구 머리가 정말 길어요.</t>
  </si>
  <si>
    <t>의자 앞</t>
  </si>
  <si>
    <t>가니까</t>
  </si>
  <si>
    <t>하니까</t>
  </si>
  <si>
    <t>친구 머리가 정말 작아요.</t>
  </si>
  <si>
    <t>의자 뒤</t>
  </si>
  <si>
    <t>바쁘니까</t>
  </si>
  <si>
    <t>비싸니까</t>
  </si>
  <si>
    <t>의자 위</t>
  </si>
  <si>
    <t>친구 머리가 좋아요.</t>
  </si>
  <si>
    <t>My friend is smart.</t>
  </si>
  <si>
    <t>머니까</t>
  </si>
  <si>
    <t>오월 삼십일에 해요.</t>
  </si>
  <si>
    <t>의자 아래</t>
  </si>
  <si>
    <t>친구 머리가 나빠요.</t>
  </si>
  <si>
    <t>My friend is not smart.</t>
  </si>
  <si>
    <t>오늘은 숙제가 많으니까 내일 만나요.</t>
  </si>
  <si>
    <t>한 시</t>
  </si>
  <si>
    <t>의자 밑</t>
  </si>
  <si>
    <t>키가 커요</t>
  </si>
  <si>
    <t>날씨가 더우니까 아이스크림을 먹어요.</t>
  </si>
  <si>
    <t>두 시</t>
  </si>
  <si>
    <t>다음 주부터 방학이니까 부산에 놀러 갈까요?</t>
  </si>
  <si>
    <t>키가 작아요</t>
  </si>
  <si>
    <t>의자 옆</t>
  </si>
  <si>
    <t>백화점까지 조금 머니까 버스를 타고 가세요.</t>
  </si>
  <si>
    <t>세 시</t>
  </si>
  <si>
    <t>유진 씨가 운동을 좋아하니까 운동화 선물은 어때요?</t>
  </si>
  <si>
    <t>네 시</t>
  </si>
  <si>
    <t>의자 오른쪽</t>
  </si>
  <si>
    <t>지금은 바쁘니까 이따가 이야기해요.</t>
  </si>
  <si>
    <t>불친절해요</t>
  </si>
  <si>
    <t>도서관이 조용하니까 거기에서 공부해요.</t>
  </si>
  <si>
    <t>다섯 시</t>
  </si>
  <si>
    <t>우체국이 가까우니까 걸어서 가요.</t>
  </si>
  <si>
    <t>의자 왼쪽</t>
  </si>
  <si>
    <t>이 바지가 어때요?</t>
  </si>
  <si>
    <t>여섯 시</t>
  </si>
  <si>
    <t>내일 재민 씨 생일이니까 같이 선물을 사요.</t>
  </si>
  <si>
    <t>의자 사이</t>
  </si>
  <si>
    <t>아침을 못 먹었으니까 점심을 일찍 먹었어요.</t>
  </si>
  <si>
    <t>이 바지가 커요.</t>
  </si>
  <si>
    <t>주말에 같이 뭐 할까요?</t>
  </si>
  <si>
    <t>집 안</t>
  </si>
  <si>
    <t>inside house</t>
  </si>
  <si>
    <t>요즘 날씨가 좋으니까 산책을 해요.</t>
  </si>
  <si>
    <t>이 티셔츠가 어때요?</t>
  </si>
  <si>
    <t>여덟 시</t>
  </si>
  <si>
    <t>집 밖</t>
  </si>
  <si>
    <t>주노 씨에게 시계를 선물할까요?</t>
  </si>
  <si>
    <t>아홉 시</t>
  </si>
  <si>
    <t>시계는 비싸니까 케이크를 사요.</t>
  </si>
  <si>
    <t>금요일에 만날 수 있어요?</t>
  </si>
  <si>
    <t>열 시</t>
  </si>
  <si>
    <t>이 티셔츠가 짧아요.</t>
  </si>
  <si>
    <t>가방이 의자 앞에 있어요.</t>
  </si>
  <si>
    <t>금요일은 바쁘니까 토요일에 만나요.</t>
  </si>
  <si>
    <t>열한 시</t>
  </si>
  <si>
    <t>어느 식당에 갈까요?</t>
  </si>
  <si>
    <t>이 구두가 어때요?</t>
  </si>
  <si>
    <t>세종식당이 싸고 맛있으니까 거기로 가요.</t>
  </si>
  <si>
    <t>열두 시</t>
  </si>
  <si>
    <t>가방이 의자 뒤에 있어요.</t>
  </si>
  <si>
    <t>조금 비싸요.</t>
  </si>
  <si>
    <t>마리 씨, 떡볶이를 먹으러 갈까요?</t>
  </si>
  <si>
    <t>오후 세 시</t>
  </si>
  <si>
    <t>아니요. 떡볶이는 매우니까 냉면을 먹어요.</t>
  </si>
  <si>
    <t>이 의자가 어때요?</t>
  </si>
  <si>
    <t>가방이 의자 위에 있어요.</t>
  </si>
  <si>
    <t>안나 씨, 지니 씨 졸업 선물은 준비했어요?</t>
  </si>
  <si>
    <t>오전 세 시</t>
  </si>
  <si>
    <t>네. 저는 지니 씨에게 펜을 선물할 거예요.</t>
  </si>
  <si>
    <t>정말 편해요.</t>
  </si>
  <si>
    <t>그래요? 저는 아직 준비를 못 했어요.</t>
  </si>
  <si>
    <t>가방이 의자 아래에 있어요.</t>
  </si>
  <si>
    <t>졸업식 축하 선물이니까 꽃은 어때요?</t>
  </si>
  <si>
    <t>점심</t>
  </si>
  <si>
    <t>네. 좋은 생각이에요. 고마워요.</t>
  </si>
  <si>
    <t>가방이 의자 왼쪽에 있어요.</t>
  </si>
  <si>
    <t>등산이 어땠어요?</t>
  </si>
  <si>
    <t>안나 씨가 재민 씨에게 쓴 생일 축하 카드예요. 안나 씨는 재민 씨에게 무슨 말을 썼을까요?</t>
  </si>
  <si>
    <t>저는 오늘 다른 일이 있어서 재민 씨 생일 파티에 못 가요.</t>
  </si>
  <si>
    <t>남자가 집 안에 있어요.</t>
  </si>
  <si>
    <t>산이 아주 높아서 힘들었어요.</t>
  </si>
  <si>
    <t>다시 한번 생일 축하해요.</t>
  </si>
  <si>
    <t>그러니까</t>
  </si>
  <si>
    <t>남자가 집 밖에 있어요.</t>
  </si>
  <si>
    <t>아침에 운동해요.</t>
  </si>
  <si>
    <t>안나 씨 집은 어때요?</t>
  </si>
  <si>
    <t>그래요</t>
  </si>
  <si>
    <t>몇 시예요?</t>
  </si>
  <si>
    <t>방이 넓어서 좋아요.</t>
  </si>
  <si>
    <t>남자가 밖에 있어요.</t>
  </si>
  <si>
    <t>I like it because the room is spacious.</t>
  </si>
  <si>
    <t>언제 점심을 먹어요?</t>
  </si>
  <si>
    <t>필통이 책상 위에 있어요.</t>
  </si>
  <si>
    <t>열두 시에 점심을 먹어요.</t>
  </si>
  <si>
    <t>미용실에 가요. 머리가 길어서 좀 자르고 싶어요.</t>
  </si>
  <si>
    <t>책이 가방 안에 있어요.</t>
  </si>
  <si>
    <t>오후 다섯 시</t>
  </si>
  <si>
    <t>뭘 살 거예요?</t>
  </si>
  <si>
    <t>몇 시에 점심을 먹어요?</t>
  </si>
  <si>
    <t>안나 씨가 유진 씨 왼쪽에 있어요.</t>
  </si>
  <si>
    <t>구두가 조금 불편해서 운동화를 사고 싶어요.</t>
  </si>
  <si>
    <t>주노 씨가 유진 오른쪽에 있어요.</t>
  </si>
  <si>
    <t>몇 시에 회의를 해요?</t>
  </si>
  <si>
    <t>안나 씨가 유진 씨하고 책상 사이에 있어요.</t>
  </si>
  <si>
    <t>좋은 집</t>
  </si>
  <si>
    <t>오후 두 시 이십 분에 회의를 해요.</t>
  </si>
  <si>
    <t>제 옆에 있어요.</t>
  </si>
  <si>
    <t>싼 옷</t>
  </si>
  <si>
    <t>언제 안나 씨를 만나요?</t>
  </si>
  <si>
    <t>바닥 위에 있어요.</t>
  </si>
  <si>
    <t>큰 가방</t>
  </si>
  <si>
    <t>오후 여섯 시 십오 분에 안나 씨를 만나요.</t>
  </si>
  <si>
    <t>가방이 바닥 위에 있어요.</t>
  </si>
  <si>
    <t>어려운 시험</t>
  </si>
  <si>
    <t>오늘 운동을 해요?</t>
  </si>
  <si>
    <t>저 책은 누구 책이에요?</t>
  </si>
  <si>
    <t>짧은 머리</t>
  </si>
  <si>
    <t>네, 오후 여덟 시에 운동을 해요.</t>
  </si>
  <si>
    <t>제 책이에요.</t>
  </si>
  <si>
    <t>매운 김치</t>
  </si>
  <si>
    <t>점심을 먹어요.</t>
  </si>
  <si>
    <t>이 시계는 누구 시계예요?</t>
  </si>
  <si>
    <t>추운 겨울</t>
  </si>
  <si>
    <t>열두 시에 먹어요.</t>
  </si>
  <si>
    <t>유진 씨 시계예요.</t>
  </si>
  <si>
    <t>쉬운 시험</t>
  </si>
  <si>
    <t>오후 열 시 반에 만나요.</t>
  </si>
  <si>
    <t>Let's meet at ten thirty.</t>
  </si>
  <si>
    <t>그 핸드폰은 유진 씨 핸드폰이에요?</t>
  </si>
  <si>
    <t>어려운 한국어</t>
  </si>
  <si>
    <t>다섯 시 반부터 일곱 시 반까지 해요.</t>
  </si>
  <si>
    <t>반가운 손님</t>
  </si>
  <si>
    <t>네, 유진 씨 핸드폰이에요.</t>
  </si>
  <si>
    <t>부터</t>
  </si>
  <si>
    <t>더운 여름</t>
  </si>
  <si>
    <t>까지</t>
  </si>
  <si>
    <t>그 필통은 안나 씨 필통이에요?</t>
  </si>
  <si>
    <t>시끄러운 노래</t>
  </si>
  <si>
    <t>오늘 저녁에 뭐 해요?</t>
  </si>
  <si>
    <t>아니요, 리사 씨 필통이에요.</t>
  </si>
  <si>
    <t>귀여운 인형</t>
  </si>
  <si>
    <t>일곱 시 반에 저녁을 먹어요.</t>
  </si>
  <si>
    <t>유진 씨, 그 책은 누구 책이에요?</t>
  </si>
  <si>
    <t>먼 거리</t>
  </si>
  <si>
    <t>유진 씨, 이 가방은 누구 가방이에요?</t>
  </si>
  <si>
    <t>오후 두 시에 만나요.</t>
  </si>
  <si>
    <t>긴 머리</t>
  </si>
  <si>
    <t>재미있는 영화</t>
  </si>
  <si>
    <t>책상 위에 있어요.</t>
  </si>
  <si>
    <t>오전 일곱 시 사십오 분에 출발해요.</t>
  </si>
  <si>
    <t>맛없는 피자</t>
  </si>
  <si>
    <t>컴퓨터 앞에 있어요.</t>
  </si>
  <si>
    <t>낮은</t>
  </si>
  <si>
    <t>다섯 시 십오 분에 시작해요.</t>
  </si>
  <si>
    <t>우유가 어디에 있어요?</t>
  </si>
  <si>
    <t>넓은</t>
  </si>
  <si>
    <t>회사에 몇 시에 가요?</t>
  </si>
  <si>
    <t>작은</t>
  </si>
  <si>
    <t>오전 여덟 시에 가요.</t>
  </si>
  <si>
    <t>주스 아래에 있어요.</t>
  </si>
  <si>
    <t>매운</t>
  </si>
  <si>
    <t>spicy</t>
  </si>
  <si>
    <t>수업이 몇 시에 끝나요?</t>
  </si>
  <si>
    <t>모자가 어디에 있어요?</t>
  </si>
  <si>
    <t>맛있는</t>
  </si>
  <si>
    <t>오후 일곱 시 반에 끝나요.</t>
  </si>
  <si>
    <t>싼</t>
  </si>
  <si>
    <t>한 시예요.</t>
  </si>
  <si>
    <t>침대 위에 있어요.</t>
  </si>
  <si>
    <t>여섯 시예요.</t>
  </si>
  <si>
    <t>큰</t>
  </si>
  <si>
    <t>수지 씨는 어디에 있어요?</t>
  </si>
  <si>
    <t>열한 시 반이에요.</t>
  </si>
  <si>
    <t>비싼</t>
  </si>
  <si>
    <t>다섯 시 십 분이에요.</t>
  </si>
  <si>
    <t>영화관 안에 있어요.</t>
  </si>
  <si>
    <t>편한</t>
  </si>
  <si>
    <t>comfortable</t>
  </si>
  <si>
    <t>언제 도서관에 가요?</t>
  </si>
  <si>
    <t>긴</t>
  </si>
  <si>
    <t>열 시부터 열한 시까지 가요.</t>
  </si>
  <si>
    <t>뭐가 있어요?</t>
  </si>
  <si>
    <t>수지 씨가 아주 큰 가방을 샀어요.</t>
  </si>
  <si>
    <t>책이 책상 위에 있어요?</t>
  </si>
  <si>
    <t>마리 씨가 예쁜 티셔츠를 입었어요.</t>
  </si>
  <si>
    <t>두 시부터 여섯 시까지 해요.</t>
  </si>
  <si>
    <t>안나 씨가 따뜻한 커피를 마셔요.</t>
  </si>
  <si>
    <t>Anna drinks warm coffee.</t>
  </si>
  <si>
    <t>몇 시에 한국어 수업이 있어요?</t>
  </si>
  <si>
    <t>책이 책상 위에 있어요.</t>
  </si>
  <si>
    <t>재민 씨가 불편한 의자에 앉았어요.</t>
  </si>
  <si>
    <t>일곱 시부터 아홉 시까지 있어요.</t>
  </si>
  <si>
    <t>수지 씨가 집에 있어요?</t>
  </si>
  <si>
    <t>몇 시에 게임을 해요?</t>
  </si>
  <si>
    <t>주노 씨가 맛있는 사과를 먹어요.</t>
  </si>
  <si>
    <t>밤 열 시부터 열한 시까지 해요.</t>
  </si>
  <si>
    <t>재민 씨는 시원한 날씨를 좋아해요.</t>
  </si>
  <si>
    <t>아니요, 집에 없어요. 학교에 있어요.</t>
  </si>
  <si>
    <t>서울은 한국에서 가장 큰 도시예요.</t>
  </si>
  <si>
    <t>금요일 아침 열 시에 해요.</t>
  </si>
  <si>
    <t>차 안에 있어요.</t>
  </si>
  <si>
    <t>한라산은 높은 산이에요.</t>
  </si>
  <si>
    <t>목요일에 배워요.</t>
  </si>
  <si>
    <t>불고기는 맛있는 한국 음식이에요.</t>
  </si>
  <si>
    <t>저는 학교에 있어요.</t>
  </si>
  <si>
    <t>여행을 가요? 토요일에 가요.</t>
  </si>
  <si>
    <t>안나 씨는 재미있는 영화를 보고 싶어 해요.</t>
  </si>
  <si>
    <t>컴퓨터가 교실에 있어요?</t>
  </si>
  <si>
    <t>빵하고 우유를 사요.</t>
  </si>
  <si>
    <t>큰 가방 있어요?</t>
  </si>
  <si>
    <t>장소</t>
  </si>
  <si>
    <t>식품</t>
  </si>
  <si>
    <t>네, 컴퓨터가 교실에 있어요.</t>
  </si>
  <si>
    <t>네, 여기 있습니다.</t>
  </si>
  <si>
    <t>음식</t>
  </si>
  <si>
    <t>가방이 교실에 있어요?</t>
  </si>
  <si>
    <t>오늘 회의는 몇 시에 합니까?</t>
  </si>
  <si>
    <t>아니요, 가방이 교실에 없어요.</t>
  </si>
  <si>
    <t>다섯 시에 합니다.</t>
  </si>
  <si>
    <t>듣습니다</t>
  </si>
  <si>
    <t>시계가 교실에 있어요?</t>
  </si>
  <si>
    <t>먹습니다</t>
  </si>
  <si>
    <t>국수</t>
  </si>
  <si>
    <t>네, 시계가 교실에 있어요.</t>
  </si>
  <si>
    <t>읽습니다</t>
  </si>
  <si>
    <t>과일</t>
  </si>
  <si>
    <t>유진 씨가 교실에 있어요?</t>
  </si>
  <si>
    <t>낮습니다</t>
  </si>
  <si>
    <t>블루베리</t>
  </si>
  <si>
    <t>귤</t>
  </si>
  <si>
    <t>짧습니다</t>
  </si>
  <si>
    <t>아니요, 유진 씨가 교실에 없어요.</t>
  </si>
  <si>
    <t>차</t>
  </si>
  <si>
    <t>tea</t>
  </si>
  <si>
    <t>갑니다</t>
  </si>
  <si>
    <t>칠판 위에 있어요.</t>
  </si>
  <si>
    <t>녹차</t>
  </si>
  <si>
    <t>만납니다</t>
  </si>
  <si>
    <t>네, 가방이 의자 옆에 있어요.</t>
  </si>
  <si>
    <t>홍차</t>
  </si>
  <si>
    <t>공부합니다</t>
  </si>
  <si>
    <t>우유</t>
  </si>
  <si>
    <t>방에 책상이 있어요.</t>
  </si>
  <si>
    <t>큽니다</t>
  </si>
  <si>
    <t>아이스크림</t>
  </si>
  <si>
    <t>깁니다</t>
  </si>
  <si>
    <t>핸드백이 있어요.</t>
  </si>
  <si>
    <t>무엇을 합니까?</t>
  </si>
  <si>
    <t>거울이 없어요.</t>
  </si>
  <si>
    <t>백화점</t>
  </si>
  <si>
    <t>밥을 먹습니다.</t>
  </si>
  <si>
    <t>아니요, 식당에 있어요.</t>
  </si>
  <si>
    <t>잠을 잡니다.</t>
  </si>
  <si>
    <t>책을 읽습니다.</t>
  </si>
  <si>
    <t>아니요, 옷가게에 없어요. 카페에 있어요.</t>
  </si>
  <si>
    <t>누구</t>
  </si>
  <si>
    <t>음악을 듣습니다.</t>
  </si>
  <si>
    <t>누가 동생이에요?</t>
  </si>
  <si>
    <t>테이블</t>
  </si>
  <si>
    <t>빵을 만듭니다.</t>
  </si>
  <si>
    <t>사과</t>
  </si>
  <si>
    <t>apple</t>
  </si>
  <si>
    <t>수지 씨는 어디에 있습니까?</t>
  </si>
  <si>
    <t>포도</t>
  </si>
  <si>
    <t>탁자</t>
  </si>
  <si>
    <t>table</t>
  </si>
  <si>
    <t>지금 카페에 있습니다.</t>
  </si>
  <si>
    <t>식탁</t>
  </si>
  <si>
    <t>유진 씨는 무엇을 합니까?</t>
  </si>
  <si>
    <t>텔레비전을 봅니다.</t>
  </si>
  <si>
    <t>그럼</t>
  </si>
  <si>
    <t>영어</t>
  </si>
  <si>
    <t>운동을 좋아합니까?</t>
  </si>
  <si>
    <t>마리</t>
  </si>
  <si>
    <t>강아지 한 마리가 있어요.</t>
  </si>
  <si>
    <t>네, 운동을 좋아합니다.</t>
  </si>
  <si>
    <t>핸드폰이 어디에 있어요?</t>
  </si>
  <si>
    <t>잔</t>
  </si>
  <si>
    <t>이 모자는 얼마입니까?</t>
  </si>
  <si>
    <t>핸드폰이 책상 위에 있어요.</t>
  </si>
  <si>
    <t>20,000원입니다.</t>
  </si>
  <si>
    <t>권</t>
  </si>
  <si>
    <t>점심 먹었습니까?</t>
  </si>
  <si>
    <t>제 앞에 있어요.</t>
  </si>
  <si>
    <t>한국어 책 세 권 있어요.</t>
  </si>
  <si>
    <t>네, 오늘은 한국 식당에서 밥을 먹었습니다.</t>
  </si>
  <si>
    <t>제 주머니 안에 있어요.</t>
  </si>
  <si>
    <t>장</t>
  </si>
  <si>
    <t>읽을 겁니다</t>
  </si>
  <si>
    <t>주머니</t>
  </si>
  <si>
    <t>살</t>
  </si>
  <si>
    <t>years of age</t>
  </si>
  <si>
    <t>쓸 겁니다</t>
  </si>
  <si>
    <t>제 가방 안에 있어요.</t>
  </si>
  <si>
    <t>It's in my bag</t>
  </si>
  <si>
    <t>돈이 지갑 안에 있어요?</t>
  </si>
  <si>
    <t>안나 씨는 주말에 한국 친구를 만납니다.</t>
  </si>
  <si>
    <t>친구하고 같이 한국 식당에 갑니다.</t>
  </si>
  <si>
    <t>일어나세요</t>
  </si>
  <si>
    <t>한국 친구는 비빔밥을 먹습니다. 안나 씨는 떡볶이를 먹습니다.</t>
  </si>
  <si>
    <t>고맙다</t>
  </si>
  <si>
    <t>떡볶이는 조금 맵습니다. (or 맵다)</t>
  </si>
  <si>
    <t>아니요, 돈이 없어요.</t>
  </si>
  <si>
    <t>감사</t>
  </si>
  <si>
    <t>하지만 아주 맛있습니다. 그래서 안나 씨는 떡볶이를 좋아합니다.</t>
  </si>
  <si>
    <t>은행에 있어요.</t>
  </si>
  <si>
    <t>유진 씨가 옷 가게에 갔어요. 점원과 유진 씨는 무슨 이야기를 할까요?</t>
  </si>
  <si>
    <t>대답하다</t>
  </si>
  <si>
    <t>지금 카페에 있어요?</t>
  </si>
  <si>
    <t>저건</t>
  </si>
  <si>
    <t>대답하세요.</t>
  </si>
  <si>
    <t>펴다</t>
  </si>
  <si>
    <t>open</t>
  </si>
  <si>
    <t>잠시만</t>
  </si>
  <si>
    <t>기다리세요</t>
  </si>
  <si>
    <t>아니요, 카페에 없어요. 집에 있어요.</t>
  </si>
  <si>
    <t>창문을 여세요.</t>
  </si>
  <si>
    <t>바지를 입어봐요</t>
  </si>
  <si>
    <t>도서관에 있어요? 네, 도서관에 있어요.</t>
  </si>
  <si>
    <t>좀 작았어요</t>
  </si>
  <si>
    <t>학교에 있다.</t>
  </si>
  <si>
    <t>오다</t>
  </si>
  <si>
    <t>노래가 정말 좋았어요.</t>
  </si>
  <si>
    <t>학교</t>
  </si>
  <si>
    <t>와요 / 오세요.</t>
  </si>
  <si>
    <t>가수들이 춤도 잘 췄어요.</t>
  </si>
  <si>
    <t>책상 위에 없다.</t>
  </si>
  <si>
    <t>버스</t>
  </si>
  <si>
    <t>아주 멋있었어요.</t>
  </si>
  <si>
    <t>펜이 책상 위에 없어요.</t>
  </si>
  <si>
    <t>춤추다</t>
  </si>
  <si>
    <t>타다</t>
  </si>
  <si>
    <t>공책이 없어요.</t>
  </si>
  <si>
    <t>가게</t>
  </si>
  <si>
    <t>춤춰요</t>
  </si>
  <si>
    <t>냉장고가 없어요.</t>
  </si>
  <si>
    <t>춤췄어요</t>
  </si>
  <si>
    <t>누나는 등산 모자를 살 거예요.</t>
  </si>
  <si>
    <t>거울</t>
  </si>
  <si>
    <t>우리 집</t>
  </si>
  <si>
    <t>옷장이 없어요.</t>
  </si>
  <si>
    <t>과일 가격이 싸서 그 가게에 자주 갑니다.</t>
  </si>
  <si>
    <t>옷장</t>
  </si>
  <si>
    <t>우리 집 근처에 아주 큰 과일 가게가 있습니다.</t>
  </si>
  <si>
    <t>서랍장</t>
  </si>
  <si>
    <t>chiffonier (chest of draws)</t>
  </si>
  <si>
    <t>세종식당이 어디에 있어요?</t>
  </si>
  <si>
    <t>일곱 시 일 분이에요.</t>
  </si>
  <si>
    <t>그림</t>
  </si>
  <si>
    <t>길을 묻고 답할 수 있어요.</t>
  </si>
  <si>
    <t>제 생일</t>
  </si>
  <si>
    <t>올라가요</t>
  </si>
  <si>
    <t>내려가요</t>
  </si>
  <si>
    <t>나가요</t>
  </si>
  <si>
    <t>러그</t>
  </si>
  <si>
    <t>카페트</t>
  </si>
  <si>
    <t>들어가요</t>
  </si>
  <si>
    <t>예금</t>
  </si>
  <si>
    <t>똑바로 가요</t>
  </si>
  <si>
    <t>돌아가요</t>
  </si>
  <si>
    <t>적금</t>
  </si>
  <si>
    <t>건너가요</t>
  </si>
  <si>
    <t>여행</t>
  </si>
  <si>
    <t>재민 씨가 카페에 있어요</t>
  </si>
  <si>
    <t>며칠</t>
  </si>
  <si>
    <t>지나요</t>
  </si>
  <si>
    <t>아니요, 카페에 없어요. 은행에 있어요.</t>
  </si>
  <si>
    <t>사진</t>
  </si>
  <si>
    <t>올라와요</t>
  </si>
  <si>
    <t>Come up (to someone below you)</t>
  </si>
  <si>
    <t>사진을 찍어요.</t>
  </si>
  <si>
    <t>수지 씨가 옷가게에 있어요?</t>
  </si>
  <si>
    <t>주차장이 건물 뒤에 있어요. 돌아가세요.</t>
  </si>
  <si>
    <t>미팅</t>
  </si>
  <si>
    <t>식당이 지하에 있어요. 내려가세요.</t>
  </si>
  <si>
    <t>옷가게</t>
  </si>
  <si>
    <t>안나 씨가 영화관에 있어요?</t>
  </si>
  <si>
    <t>편의점이 밖에 있어요. 나가세요.</t>
  </si>
  <si>
    <t>아니요, 영화관에 없어요. 옷가게에 있어요.</t>
  </si>
  <si>
    <t>오후</t>
  </si>
  <si>
    <t>교실이 2층에 있어요. 올라가세요.</t>
  </si>
  <si>
    <t>유진 씨가 식당에 있어요?</t>
  </si>
  <si>
    <t>시작하다</t>
  </si>
  <si>
    <t>올라가세요.</t>
  </si>
  <si>
    <t>내려가세요.</t>
  </si>
  <si>
    <t>나가세요.</t>
  </si>
  <si>
    <t>들어가세요</t>
  </si>
  <si>
    <t>똑바로 가세요.</t>
  </si>
  <si>
    <t>일</t>
  </si>
  <si>
    <t>돌아가세요.</t>
  </si>
  <si>
    <t>아니요, 식당에 없어요. 영화관에 있어요.</t>
  </si>
  <si>
    <t>건너가세요.</t>
  </si>
  <si>
    <t>시계가 어디에 있어요?</t>
  </si>
  <si>
    <t>세종학당에 가요.</t>
  </si>
  <si>
    <t>지나세요.</t>
  </si>
  <si>
    <t>마트에 가요.</t>
  </si>
  <si>
    <t>시계가 칠판 위에 있어요.</t>
  </si>
  <si>
    <t>There is a clock above the blackboard.</t>
  </si>
  <si>
    <t>화장품 가게는 어디예요?</t>
  </si>
  <si>
    <t>마리 씨는 백화점에 가요.</t>
  </si>
  <si>
    <t>안녕하세요? 저는 디트만이에요. 회사원이에요. 금융 부문에서 일해요. 한국 문화에 관심이 있어요. 반갑습니다.</t>
  </si>
  <si>
    <t>1층이에요. 내려가세요.</t>
  </si>
  <si>
    <t>마리 씨, 어디에 가요?</t>
  </si>
  <si>
    <t>영화관에 가요.</t>
  </si>
  <si>
    <t>믿을 수 있어요?</t>
  </si>
  <si>
    <t>핸드폰이 테이블 위에 있어요.</t>
  </si>
  <si>
    <t>재민 씨, 집에 가요?</t>
  </si>
  <si>
    <t>시간이 너무 빨라요.</t>
  </si>
  <si>
    <t>저쪽에 있어요. 똑바로 가세요.</t>
  </si>
  <si>
    <t>새해 복 많이 받으세요.</t>
  </si>
  <si>
    <t>아니요, 백화점에 가요.</t>
  </si>
  <si>
    <t>네, 재민 씨가 집 밖에 있어요.</t>
  </si>
  <si>
    <t>자막</t>
  </si>
  <si>
    <t>이 근처에 약국이 있어요?</t>
  </si>
  <si>
    <t>아버지 선물을 샀어요.</t>
  </si>
  <si>
    <t>자막 없이 한국 드라마를 보고 싶어요.</t>
  </si>
  <si>
    <t>노력해 볼게요.</t>
  </si>
  <si>
    <t>한국 친구 만들고 싶어요.</t>
  </si>
  <si>
    <t>네, 여기에서 길을 건너가세요.</t>
  </si>
  <si>
    <t>라면하고 김밥을 먹어요.</t>
  </si>
  <si>
    <t>몰랐어요.</t>
  </si>
  <si>
    <t>인기가 많아요.</t>
  </si>
  <si>
    <t>1년 동안 한국어 공부를 쉬었어요.</t>
  </si>
  <si>
    <t>안나 씨가 세종학당 앞에 있어요?</t>
  </si>
  <si>
    <t>유진 씨는 화장품하고 가방을 사요.</t>
  </si>
  <si>
    <t>아이고.</t>
  </si>
  <si>
    <t>끝!</t>
  </si>
  <si>
    <t>읽기는 할 수 있는데 말하기는 아직 어려워요.</t>
  </si>
  <si>
    <t>한국어를 배우는 것은 재미있어요.</t>
  </si>
  <si>
    <t>것은 = 건</t>
  </si>
  <si>
    <t>아니요, 안나 씨가 백화점 앞에 있어요.</t>
  </si>
  <si>
    <t>혼자 공부했어요.</t>
  </si>
  <si>
    <t>교보문고</t>
  </si>
  <si>
    <t>세종학당이 어디예요?</t>
  </si>
  <si>
    <t>가방하고 구두를 사요.</t>
  </si>
  <si>
    <t>저는 프로그램 만드는 일을 해요</t>
  </si>
  <si>
    <t>이 건물 안에 있어요. 들어가세요.</t>
  </si>
  <si>
    <t>교실에 누가 있어요?</t>
  </si>
  <si>
    <t>한국 고등학생들에게 물었어요.</t>
  </si>
  <si>
    <t>은행이 어디에 있어요?</t>
  </si>
  <si>
    <t>초등학생</t>
  </si>
  <si>
    <t>선생님하고 안나 씨가 있어요.</t>
  </si>
  <si>
    <t>중학생</t>
  </si>
  <si>
    <t>이 책이 마리 씨 책이에요?</t>
  </si>
  <si>
    <t>2층에 있어요. 올라가세요.</t>
  </si>
  <si>
    <t>고등학생</t>
  </si>
  <si>
    <t>책상이 한 개 있어요.</t>
  </si>
  <si>
    <t>대학교</t>
  </si>
  <si>
    <t>대학원</t>
  </si>
  <si>
    <t>마트가 어디에 있어요?</t>
  </si>
  <si>
    <t>의자가 다섯 개 있어요.</t>
  </si>
  <si>
    <t>아니요, 제 책은 책상 위에 있어요.</t>
  </si>
  <si>
    <t>묻다</t>
  </si>
  <si>
    <t>물어요</t>
  </si>
  <si>
    <t>앞으로 무슨 일을 하고 싶어요?</t>
  </si>
  <si>
    <t>저 앞에 있어요. 건너가세요.</t>
  </si>
  <si>
    <t>교사</t>
  </si>
  <si>
    <t>저는 스무 살이에요.</t>
  </si>
  <si>
    <t>군인</t>
  </si>
  <si>
    <t>그럼 누구 책이에요?</t>
  </si>
  <si>
    <t>연구원</t>
  </si>
  <si>
    <t>옷 가게가 1층에 있어요?</t>
  </si>
  <si>
    <t>주스가 네 병 있어요.</t>
  </si>
  <si>
    <t>컴퓨터 개발자</t>
  </si>
  <si>
    <t>경찰관</t>
  </si>
  <si>
    <t>아니요, 3층에 있어요. 올라가세요.</t>
  </si>
  <si>
    <t>책이 두 권 있어요.</t>
  </si>
  <si>
    <t>저는 직업 군인이에요.</t>
  </si>
  <si>
    <t>I am a professional soldier.</t>
  </si>
  <si>
    <t>은퇴하고 싶어요.</t>
  </si>
  <si>
    <t>그 책은 유진 씨 책이에요.</t>
  </si>
  <si>
    <t>이발소</t>
  </si>
  <si>
    <t>화장실이 어디에 있어요?</t>
  </si>
  <si>
    <t>헤어 디자이너</t>
  </si>
  <si>
    <t>미용사</t>
  </si>
  <si>
    <t>맥주가 한 병 있어요.</t>
  </si>
  <si>
    <t>가르치다</t>
  </si>
  <si>
    <t>이 펜이 안나 씨 펜이에요?</t>
  </si>
  <si>
    <t>지하에 있어요. 내려가세요.</t>
  </si>
  <si>
    <t>프로그래머</t>
  </si>
  <si>
    <t>제빵사</t>
  </si>
  <si>
    <t>제빵·제과사</t>
  </si>
  <si>
    <t>빵을 한 개 사요.</t>
  </si>
  <si>
    <t>무슨 일을 해요?</t>
  </si>
  <si>
    <t>여기가 세종학당 사무실이에요?</t>
  </si>
  <si>
    <t>저는 프로그램을 만들어요. 프로그래머예요.</t>
  </si>
  <si>
    <t>아니요, 제 펜은 필통 안에 있어요.</t>
  </si>
  <si>
    <t>저는 한국어를 가르쳐요. 교사예요.</t>
  </si>
  <si>
    <t>저는 빵을 구워요. 제빵사예요.</t>
  </si>
  <si>
    <t>네, 맞아요. 들어가세요.</t>
  </si>
  <si>
    <t>저는 회사에 다녀요.</t>
  </si>
  <si>
    <t>저는 회계사 일을 해요.</t>
  </si>
  <si>
    <t>라면 세 개 주세요.</t>
  </si>
  <si>
    <t>저는 한국 회사에서 프로그램을 만들고 싶어요.</t>
  </si>
  <si>
    <t>의문사</t>
  </si>
  <si>
    <t>저는 운동선수 가 되고 싶어요.</t>
  </si>
  <si>
    <t>그럼 누구 펜이에요?</t>
  </si>
  <si>
    <t>저는 운동선수로 일하고 싶어요.</t>
  </si>
  <si>
    <t>답을 쓰세요.</t>
  </si>
  <si>
    <t>저는 예술가가 되고 싶어요.</t>
  </si>
  <si>
    <t>화가</t>
  </si>
  <si>
    <t>어떤 영화를 좋아해요?</t>
  </si>
  <si>
    <t>건물주</t>
  </si>
  <si>
    <t>내일 일찍 오세요.</t>
  </si>
  <si>
    <t>부자가 되고 싶어요.</t>
  </si>
  <si>
    <t>저는 통역사가 되고 싶어요.</t>
  </si>
  <si>
    <t>그 펜은 주노 씨 펜이에요.</t>
  </si>
  <si>
    <t>번역사</t>
  </si>
  <si>
    <t>저는 무서운 영화를 좋아해요.</t>
  </si>
  <si>
    <t>작가</t>
  </si>
  <si>
    <t>시인</t>
  </si>
  <si>
    <t>책을 읽으세요.</t>
  </si>
  <si>
    <t>점장</t>
  </si>
  <si>
    <t>스페인어를 어떻게 배웠어요?</t>
  </si>
  <si>
    <t>이 우산 재민 씨 우산이에요?</t>
  </si>
  <si>
    <t>영화 감독</t>
  </si>
  <si>
    <t>8번 버스를 타세요.</t>
  </si>
  <si>
    <t>아동심리학자</t>
  </si>
  <si>
    <t>백수</t>
  </si>
  <si>
    <t>집에서 혼자 공부했어요.</t>
  </si>
  <si>
    <t>기자</t>
  </si>
  <si>
    <t>여기 앉으세요.</t>
  </si>
  <si>
    <t>아니요, 제 우산은 의자 옆에 있어요.</t>
  </si>
  <si>
    <t>도서관 사서</t>
  </si>
  <si>
    <t>얼마나 걸려요?</t>
  </si>
  <si>
    <t>유명한 수영 선수</t>
  </si>
  <si>
    <t>열심히</t>
  </si>
  <si>
    <t>여행 작가</t>
  </si>
  <si>
    <t>공무원</t>
  </si>
  <si>
    <t>세종학당까지 어떻게 가요?</t>
  </si>
  <si>
    <t>그럼 누구 우산이에요?</t>
  </si>
  <si>
    <t>열심히 공부하세요.</t>
  </si>
  <si>
    <t>주식 트레이더</t>
  </si>
  <si>
    <t>대학교에 다녀요.</t>
  </si>
  <si>
    <t>한국어를 가르쳐요.</t>
  </si>
  <si>
    <t>열 시간쯤 걸려요.</t>
  </si>
  <si>
    <t>빵을 구워요.</t>
  </si>
  <si>
    <t>그 우산 수지 씨 우산이에요.</t>
  </si>
  <si>
    <t>미용실에서 일해요.</t>
  </si>
  <si>
    <t>머리를 잘라요.</t>
  </si>
  <si>
    <t>이름이 무엇이에요?</t>
  </si>
  <si>
    <t>프로그램을 만들어요.</t>
  </si>
  <si>
    <t>금요일에 수영을 해요.</t>
  </si>
  <si>
    <t>오늘 무엇을 해요?</t>
  </si>
  <si>
    <t>저는 헤어 디자이너예요.</t>
  </si>
  <si>
    <t>오늘 점심에 친구를 만나요.</t>
  </si>
  <si>
    <t>어떤 사람이 이상형이에요?</t>
  </si>
  <si>
    <t>오늘 오후에 아르바이트를 해요.</t>
  </si>
  <si>
    <t xml:space="preserve">한국어를 열심히 공부해서 한국어 교사가 되고 싶어요. </t>
  </si>
  <si>
    <t>어떤 성격을 좋아해요?</t>
  </si>
  <si>
    <t>저는 안나라고 해요.</t>
  </si>
  <si>
    <t>언제 유진 씨를 만나요?</t>
  </si>
  <si>
    <t>이건 한국어로 뭐라고 해요?</t>
  </si>
  <si>
    <t>어떤 기분이에요?</t>
  </si>
  <si>
    <t>그건 한복이라고 해요.</t>
  </si>
  <si>
    <t>주말에 만나요.</t>
  </si>
  <si>
    <t>저는 주노라고 해요</t>
  </si>
  <si>
    <t>저는 재민이라고 해요</t>
  </si>
  <si>
    <t>무엇을 좋아해요?</t>
  </si>
  <si>
    <t>주중에 바빠요.</t>
  </si>
  <si>
    <t>저는 디트만이라고 해요.</t>
  </si>
  <si>
    <t>먹어요</t>
  </si>
  <si>
    <t>"니하오."를 한국어로 뭐라고 해요?</t>
  </si>
  <si>
    <t>"안녕하세요."라고 해요.</t>
  </si>
  <si>
    <t>커피를 좋아해요.</t>
  </si>
  <si>
    <t>유진이라고 해요</t>
  </si>
  <si>
    <t>읽어요</t>
  </si>
  <si>
    <t>재민이라고 해요</t>
  </si>
  <si>
    <t>한복이라고 해요</t>
  </si>
  <si>
    <t>비빔밥이라고 해요</t>
  </si>
  <si>
    <t>열두 시 삼십 분에 점심을 먹어요.</t>
  </si>
  <si>
    <t>서울이라고 해요</t>
  </si>
  <si>
    <t>봐요</t>
  </si>
  <si>
    <t>마리라고 해요</t>
  </si>
  <si>
    <t>오후 세 시에 친구를 만나요.</t>
  </si>
  <si>
    <t>주노라고 해요</t>
  </si>
  <si>
    <t>친구를 만나요.</t>
  </si>
  <si>
    <t>불고기라교 해요</t>
  </si>
  <si>
    <t>마셔요</t>
  </si>
  <si>
    <t>김치라고 해요</t>
  </si>
  <si>
    <t>오후 네 시에 요리를 배워요.</t>
  </si>
  <si>
    <t>한국어라고 해요</t>
  </si>
  <si>
    <t>"안녕하세요"라고 해요</t>
  </si>
  <si>
    <t>"감사합니다"라고 해요</t>
  </si>
  <si>
    <t>들어요</t>
  </si>
  <si>
    <t>"미안합니다"라고 해요</t>
  </si>
  <si>
    <t>"사랑해요"라고 해요</t>
  </si>
  <si>
    <t>일곱 시 삼십 분이에요.</t>
  </si>
  <si>
    <t>"좋아해요"라고 해요</t>
  </si>
  <si>
    <t>전통 옷</t>
  </si>
  <si>
    <t>12월 22일이에요.</t>
  </si>
  <si>
    <t>만나요</t>
  </si>
  <si>
    <t>한글</t>
  </si>
  <si>
    <t>한류</t>
  </si>
  <si>
    <t>다른 나라의 언어를 배워요</t>
  </si>
  <si>
    <t>자요</t>
  </si>
  <si>
    <t>늦었지만 생일 축하해요!</t>
  </si>
  <si>
    <t>저는 마리라고 해요.</t>
  </si>
  <si>
    <t>저는 유진라고 해요.</t>
  </si>
  <si>
    <t>일해요</t>
  </si>
  <si>
    <t>한국어로 '사랑해요'이라고 해요.</t>
  </si>
  <si>
    <t>시간이 얼마나 걸려요?</t>
  </si>
  <si>
    <t>날씨</t>
  </si>
  <si>
    <t>한국어로 '휴대전화'라고 해요.</t>
  </si>
  <si>
    <t>한국말로 당근이라고 해요.</t>
  </si>
  <si>
    <t>당근!</t>
  </si>
  <si>
    <t>이야기해요</t>
  </si>
  <si>
    <t>of course</t>
  </si>
  <si>
    <t>계절</t>
  </si>
  <si>
    <t>1시간쯤 걸려요.</t>
  </si>
  <si>
    <t>당연하다</t>
  </si>
  <si>
    <t>한국말로 '차'라고 해요</t>
  </si>
  <si>
    <t>요리해요</t>
  </si>
  <si>
    <t>맑아요</t>
  </si>
  <si>
    <t>좋아하는 노래</t>
  </si>
  <si>
    <t>좋아하는 음식</t>
  </si>
  <si>
    <t>제가 좋아하는 친구예요. 이름은 안나예요.</t>
  </si>
  <si>
    <t>맑다</t>
  </si>
  <si>
    <t>공부해요</t>
  </si>
  <si>
    <t>제가 공부하는 세종학당이에요.</t>
  </si>
  <si>
    <t>매운 음식을 좋아해요.</t>
  </si>
  <si>
    <t>흐려요</t>
  </si>
  <si>
    <t>지금 에릭 씨가 먹는 빵이 뭐예요?</t>
  </si>
  <si>
    <t>저는 피자를 먹어요</t>
  </si>
  <si>
    <t>제가 지금 공부하는 언어는 한국어예요.</t>
  </si>
  <si>
    <t>흐리다</t>
  </si>
  <si>
    <t>제가 지금 먹는 음식이 아이스크림이에요.</t>
  </si>
  <si>
    <t>자주 먹는 음식이 뭐예요?</t>
  </si>
  <si>
    <t>취미가 뭐예요?</t>
  </si>
  <si>
    <t>받는 선물 이 뭐예요?</t>
  </si>
  <si>
    <t>보통 생일에 받는 선울이 많아요?</t>
  </si>
  <si>
    <t>구름</t>
  </si>
  <si>
    <t>빵을 먹어요</t>
  </si>
  <si>
    <t>보는</t>
  </si>
  <si>
    <t>무슨 동물을 봐요?</t>
  </si>
  <si>
    <t>저는 테니스를 좋아해요.</t>
  </si>
  <si>
    <t>바람이 불어요</t>
  </si>
  <si>
    <t>제가 지금 보는 동물이 토끼예요.</t>
  </si>
  <si>
    <t>지금 보는 영화가 뭐예요?</t>
  </si>
  <si>
    <t>지금 책을 읽어요</t>
  </si>
  <si>
    <t>마시는</t>
  </si>
  <si>
    <t>제가 지금 마시는 커피는 맛이 없어요.</t>
  </si>
  <si>
    <t>불다</t>
  </si>
  <si>
    <t>테니스를 얼마나 오래 배웠어요?</t>
  </si>
  <si>
    <t>해외에 사는 친구를 보고 싶어요.</t>
  </si>
  <si>
    <t>바람이 많이 불어요</t>
  </si>
  <si>
    <t>1년 배웠어요.</t>
  </si>
  <si>
    <t>제가 사는 호주는 아름다워요.</t>
  </si>
  <si>
    <t>제가 공부하는 교실이에요.</t>
  </si>
  <si>
    <t>한국 드라마를 봐요</t>
  </si>
  <si>
    <t>눈이 와요</t>
  </si>
  <si>
    <t xml:space="preserve">축구는 제가 좋아하는 운동이에요. </t>
  </si>
  <si>
    <t>Soccer is the sport I like.</t>
  </si>
  <si>
    <t>제가 좋아하는 운동은 축구예요.</t>
  </si>
  <si>
    <t>The sport I like is soccer.</t>
  </si>
  <si>
    <t>제가 자주 마시는 커피예요.</t>
  </si>
  <si>
    <t>저는 가구를 만드는 일을 해요.</t>
  </si>
  <si>
    <t>얼마나 자주 쳐요?</t>
  </si>
  <si>
    <t>저는 컴퓨터 프로그래머예요.</t>
  </si>
  <si>
    <t>텔레비전을 봐요.</t>
  </si>
  <si>
    <t>저는 그림을 그리는 일을 해요.</t>
  </si>
  <si>
    <t>저는 화가예요.</t>
  </si>
  <si>
    <t>저는 웃는 사람을 좋아해요</t>
  </si>
  <si>
    <t>어디에 자주 가요?</t>
  </si>
  <si>
    <t>비가 와요</t>
  </si>
  <si>
    <t>일주일에 2번 쳐요.</t>
  </si>
  <si>
    <t>제가 자주 가는 곳은(장소는) 쇼핑몰이에요.</t>
  </si>
  <si>
    <t>물을 마셔요.</t>
  </si>
  <si>
    <t>무슨 음식을 자주 만들어요?</t>
  </si>
  <si>
    <t>제가 자주 만드는 음식은 떡볶이예요.</t>
  </si>
  <si>
    <t>습하다</t>
  </si>
  <si>
    <t>무슨 음악을 자주 들어요?</t>
  </si>
  <si>
    <t>제가 자주 듣는 한국 음악이에요.</t>
  </si>
  <si>
    <t>누구하고 같이 쳐요?</t>
  </si>
  <si>
    <t>우유를 마셔요.</t>
  </si>
  <si>
    <t>주말에는 어디에 자주 가요?</t>
  </si>
  <si>
    <t>제가 자주가는 곳은 카페예요.</t>
  </si>
  <si>
    <t>자주 잃어버리는 물건이 뭐예요?</t>
  </si>
  <si>
    <t>따뜻해요</t>
  </si>
  <si>
    <t>제가 자주 잃어버리는 물건은 집 열쇠이에요</t>
  </si>
  <si>
    <t>친구하고 같이 쳐요.</t>
  </si>
  <si>
    <t>무슨 영화를 자주 봐요?</t>
  </si>
  <si>
    <t>제가 자주 보는 영화는 한국 영화예요.</t>
  </si>
  <si>
    <t>더워요</t>
  </si>
  <si>
    <t>잃어버리다</t>
  </si>
  <si>
    <t>지갑을 잃어버려요</t>
  </si>
  <si>
    <t>잊어버리다</t>
  </si>
  <si>
    <t>이름을 잊어버려요</t>
  </si>
  <si>
    <t>덥다</t>
  </si>
  <si>
    <t>음악</t>
  </si>
  <si>
    <t>먹는</t>
  </si>
  <si>
    <t>받는</t>
  </si>
  <si>
    <t>receiving</t>
  </si>
  <si>
    <t>읽는 책</t>
  </si>
  <si>
    <t>시원해요</t>
  </si>
  <si>
    <t>어디에서 쳐요?</t>
  </si>
  <si>
    <t>듣는 노래</t>
  </si>
  <si>
    <t>웃는 사람</t>
  </si>
  <si>
    <t>음악을 들어요.</t>
  </si>
  <si>
    <t>시원하다</t>
  </si>
  <si>
    <t>마시는 음료수</t>
  </si>
  <si>
    <t>만나는 사람</t>
  </si>
  <si>
    <t>쌀쌀해요</t>
  </si>
  <si>
    <t>여자친구 있어요?</t>
  </si>
  <si>
    <t>학교 테니스장에서 쳐요.</t>
  </si>
  <si>
    <t>지금 만나는 사람 있어요?</t>
  </si>
  <si>
    <t>BTS 노래</t>
  </si>
  <si>
    <t>공부하는 법</t>
  </si>
  <si>
    <t>추워요</t>
  </si>
  <si>
    <t>한국어를 잘 공부하는 법이 뭐예요?</t>
  </si>
  <si>
    <t>만드는</t>
  </si>
  <si>
    <t>making / that someone makes</t>
  </si>
  <si>
    <t>춥다</t>
  </si>
  <si>
    <t>일 년 전에</t>
  </si>
  <si>
    <t>농구는 제가 좋아하는 운동이에요</t>
  </si>
  <si>
    <t>한국 노래</t>
  </si>
  <si>
    <t>불고기는 제가 좋아하는 음식이에요.</t>
  </si>
  <si>
    <t>이 책는 제가 요즘읽는 잭이에요.</t>
  </si>
  <si>
    <t>오늘 날씨가 어때요?</t>
  </si>
  <si>
    <t>What's the weather like today?</t>
  </si>
  <si>
    <t>이 노래는 제가 자주 듣는 음악이에요.</t>
  </si>
  <si>
    <t>교실이 어디에 있어요?</t>
  </si>
  <si>
    <t>친구를 만나요</t>
  </si>
  <si>
    <t>여기는 제가 공부하는 세종학당이에요.</t>
  </si>
  <si>
    <t>저기는 제가 사는 집이에요.</t>
  </si>
  <si>
    <t>오늘 바람이 조금 불어요</t>
  </si>
  <si>
    <t>이거 한번 으셔 보세요. 자주 마시는 커피예요.</t>
  </si>
  <si>
    <t>이 사람은 제가 좋아하는 가수예요.</t>
  </si>
  <si>
    <t>잠</t>
  </si>
  <si>
    <t>저쪽에 있어요. 저쪽으로 가세요.</t>
  </si>
  <si>
    <t>내일 날씨가 어때요?</t>
  </si>
  <si>
    <t>요즘 한국어를 공부하는 학생이 많아요.</t>
  </si>
  <si>
    <t>지금 제가 먹는 빵이 비싸요.</t>
  </si>
  <si>
    <t>사계절</t>
  </si>
  <si>
    <t>저도 친구가 듣는 음악을 듣고 싶어요.</t>
  </si>
  <si>
    <t>비빔밥을 만들어요.</t>
  </si>
  <si>
    <t>주차장이 어디에 있어요?</t>
  </si>
  <si>
    <t>자주 만드는 한국 음식이 뭐예요?</t>
  </si>
  <si>
    <t>지금 음악을 듣는 사람이 아나 씨예요.</t>
  </si>
  <si>
    <t>사계절이 있어요</t>
  </si>
  <si>
    <t>도서관에 책을 읽는 사람이 많아요.</t>
  </si>
  <si>
    <t>저는 그림을 그리는 화가예요.</t>
  </si>
  <si>
    <t>만들어요</t>
  </si>
  <si>
    <t>호주는 사계절이 있어요</t>
  </si>
  <si>
    <t>이 건물 지하에 있어요. 지하로 내려가세요.</t>
  </si>
  <si>
    <t>요즘 제가 자주 듣는 음악은 한국 노래예요.</t>
  </si>
  <si>
    <t>저는 대학교에서 한국어를 전공하는 학생이에요.</t>
  </si>
  <si>
    <t>하지만</t>
  </si>
  <si>
    <t>저는 베트남어를 가르치는 선생님이에요.</t>
  </si>
  <si>
    <t>저는 고등학교에서 수학을 가르치는 선생님이에요.</t>
  </si>
  <si>
    <t>앞으로</t>
  </si>
  <si>
    <t>go forward</t>
  </si>
  <si>
    <t>저는 회계 일을 하는 회계사예요.</t>
  </si>
  <si>
    <t>이 사람은 무엇을 해요?</t>
  </si>
  <si>
    <t>여름</t>
  </si>
  <si>
    <t>이쪽으로</t>
  </si>
  <si>
    <t>휴게실</t>
  </si>
  <si>
    <t>깨끗합니다</t>
  </si>
  <si>
    <t>가을</t>
  </si>
  <si>
    <t>아주 즐겁습니다</t>
  </si>
  <si>
    <t>무엇을 해요?</t>
  </si>
  <si>
    <t>저쪽으로</t>
  </si>
  <si>
    <t>저는 유진이라고 합니다. 여기는 제가 한국어를 공부하는 세종학당입니다. 저는 일주일에 두 번 세종학당에 갑니다. 세종학당에는 교실, 휴게실, 사무실이 있습니다. 제가 공부하는 교실은 아주 크고 깨끗합니다. 교실 옆에는 쉴 수 있는 휴게실도 있습니다. 휴게실에서 친구들과 같이 차를 마시고 이야기를 합니다. 친구들과 한국어를 배우는 것이 아주 즐겁습니다.</t>
  </si>
  <si>
    <t>겨울</t>
  </si>
  <si>
    <t>모르는 사람</t>
  </si>
  <si>
    <t>단풍</t>
  </si>
  <si>
    <t>뒤로</t>
  </si>
  <si>
    <t>뭘 해요?</t>
  </si>
  <si>
    <t>단풍을 봐요</t>
  </si>
  <si>
    <t>지하로</t>
  </si>
  <si>
    <t>거나</t>
  </si>
  <si>
    <t>뭐 해요?</t>
  </si>
  <si>
    <t>꽃이 많아요</t>
  </si>
  <si>
    <t>등산을 하거나 운동 모임에 가요</t>
  </si>
  <si>
    <t>여가 활동</t>
  </si>
  <si>
    <t>사무실로</t>
  </si>
  <si>
    <t>모임</t>
  </si>
  <si>
    <t>눈사람</t>
  </si>
  <si>
    <t>농구 경기</t>
  </si>
  <si>
    <t>여가 시간</t>
  </si>
  <si>
    <t>차 마셔요.</t>
  </si>
  <si>
    <t>안으로</t>
  </si>
  <si>
    <t>휴일</t>
  </si>
  <si>
    <t>바다 수영해요</t>
  </si>
  <si>
    <t>하루종일</t>
  </si>
  <si>
    <t>음식을 만들다</t>
  </si>
  <si>
    <t>악기를 연주하다.</t>
  </si>
  <si>
    <t>눈사람을 만들어요</t>
  </si>
  <si>
    <t>연주할 수 있는 악기가 있어요?!</t>
  </si>
  <si>
    <t>차를 마셔요.</t>
  </si>
  <si>
    <t>소설을 읽다</t>
  </si>
  <si>
    <t>독서 하다</t>
  </si>
  <si>
    <t>1층으로</t>
  </si>
  <si>
    <t>주말의 날씨가 어때요?</t>
  </si>
  <si>
    <t>시를 읽다</t>
  </si>
  <si>
    <t>잡지</t>
  </si>
  <si>
    <t>만화를 그리다</t>
  </si>
  <si>
    <t>만화영화</t>
  </si>
  <si>
    <t>지난 주말</t>
  </si>
  <si>
    <t>배드민턴을 치다</t>
  </si>
  <si>
    <t>탁구</t>
  </si>
  <si>
    <t>볼링</t>
  </si>
  <si>
    <t>이번 주말</t>
  </si>
  <si>
    <t>풍경 사진을 찍다</t>
  </si>
  <si>
    <t>가방가게</t>
  </si>
  <si>
    <t>인물 사진</t>
  </si>
  <si>
    <t>오른쪽으로</t>
  </si>
  <si>
    <t>다음 주말</t>
  </si>
  <si>
    <t>운동 모임에 가다</t>
  </si>
  <si>
    <t>영화 모임</t>
  </si>
  <si>
    <t>독서 모임</t>
  </si>
  <si>
    <t>나비</t>
  </si>
  <si>
    <t>스포츠 경기를 보다</t>
  </si>
  <si>
    <t>서핑을 하러 바다에 가요.</t>
  </si>
  <si>
    <t>바람이 많이 불어요.</t>
  </si>
  <si>
    <t>위로</t>
  </si>
  <si>
    <t>go up</t>
  </si>
  <si>
    <t>집안일을 해요.</t>
  </si>
  <si>
    <t>집이에요. 물을 마셔요.</t>
  </si>
  <si>
    <t>비가 와요.</t>
  </si>
  <si>
    <t>청소</t>
  </si>
  <si>
    <t>빨래</t>
  </si>
  <si>
    <t>정리</t>
  </si>
  <si>
    <t>우산이 필요해요.</t>
  </si>
  <si>
    <t>정원관리</t>
  </si>
  <si>
    <t>카페로</t>
  </si>
  <si>
    <t>가방가게예요. 가방을 사요.</t>
  </si>
  <si>
    <t>설거지</t>
  </si>
  <si>
    <t>눈이 와요.</t>
  </si>
  <si>
    <t>먼지를 닦아요.</t>
  </si>
  <si>
    <t>필라테스를 해요. 필라테스를 수업을 들어요.</t>
  </si>
  <si>
    <t>가끔</t>
  </si>
  <si>
    <t>주말에 뭐 하는 것을 좋아해요?</t>
  </si>
  <si>
    <t>배드민턴 치는 것하고 자전거 자는 것을 좋아해요.</t>
  </si>
  <si>
    <t>항상</t>
  </si>
  <si>
    <t>피아노 치는 것이에요.</t>
  </si>
  <si>
    <t>피아노 치는 거예요.</t>
  </si>
  <si>
    <t>오른손</t>
  </si>
  <si>
    <t>낚시하는 것하고 사진 찍는 것을 좋아해요.</t>
  </si>
  <si>
    <t>비가 와요. 그리고 습해요.</t>
  </si>
  <si>
    <t>잠을 자는 것하고 언어 공부하는 것을 좋아해요.</t>
  </si>
  <si>
    <t>오른손잡이예요</t>
  </si>
  <si>
    <t>잠을 자는 것 좋아해요.</t>
  </si>
  <si>
    <t>뽀뽀가 필요해요.</t>
  </si>
  <si>
    <t>낚시하는 거를 좋아해요?</t>
  </si>
  <si>
    <t>베드민턴을 쳐요.</t>
  </si>
  <si>
    <t>바이올린을 연주해요.</t>
  </si>
  <si>
    <t>왼손</t>
  </si>
  <si>
    <t>음식을 만들어요</t>
  </si>
  <si>
    <t>돈이 필요해요.</t>
  </si>
  <si>
    <t>만화를 그려요.</t>
  </si>
  <si>
    <t>스포츠 경기를 봐요.</t>
  </si>
  <si>
    <t>토요일에 뭐 했어요?</t>
  </si>
  <si>
    <t>눈이 와요. 그리고 추워요.</t>
  </si>
  <si>
    <t>카페에서 만화를 그렸어요.</t>
  </si>
  <si>
    <t>왼손잡이예요</t>
  </si>
  <si>
    <t>휴일에 뭐 하는 것을 좋아해요?</t>
  </si>
  <si>
    <t>친구와 맛있는 음식을 만드는 것을 좋아해요.</t>
  </si>
  <si>
    <t>바람이 많이 불어요. 그리고 시원해요.</t>
  </si>
  <si>
    <t>주말에 보통 뭐 해요?</t>
  </si>
  <si>
    <t>왼쪽으로 가세요.</t>
  </si>
  <si>
    <t>책 읽는 것을 좋아해서 소설을 읽어요.</t>
  </si>
  <si>
    <t>지난 주말에 집에서 뭐 했어요?</t>
  </si>
  <si>
    <t>더워요. 물이 필요해요.</t>
  </si>
  <si>
    <t>청소했어요. 방을 청소한 후에 화장실을 청소했어요.</t>
  </si>
  <si>
    <t>밖으로 나가세요.</t>
  </si>
  <si>
    <t>일요일에 뭐 했어요?</t>
  </si>
  <si>
    <t>삼십오 도예요.</t>
  </si>
  <si>
    <t>공원에 가서 풍경 사진을 찍었어요.</t>
  </si>
  <si>
    <t>지하로 내려오세요.</t>
  </si>
  <si>
    <t>주스를 마시거나 토스트를 먹어요.</t>
  </si>
  <si>
    <t>토스트를 먹거나 주스를 마셔요.</t>
  </si>
  <si>
    <t>시리얼이나 토스트를 먹어요.</t>
  </si>
  <si>
    <t>사무실로 오세요.</t>
  </si>
  <si>
    <t>토스트나 시리얼을 먹어요.</t>
  </si>
  <si>
    <t>휴일에 뭐 해요?</t>
  </si>
  <si>
    <t>친구 집이에요. 음악을 들어요.</t>
  </si>
  <si>
    <t>흐려요. 구름이 많아요.</t>
  </si>
  <si>
    <t>음식을 만들거나 청소를 해요.</t>
  </si>
  <si>
    <t>보통 무슨 음식을 만들어요?</t>
  </si>
  <si>
    <t>운동장이 어디에 있어요?</t>
  </si>
  <si>
    <t>삼계탕이나 불고기를 만들어요.</t>
  </si>
  <si>
    <t>집에서 가끔 요리해요?</t>
  </si>
  <si>
    <t>김치찌개나 떡볶이를 만들어요.</t>
  </si>
  <si>
    <t>여기에서 오른쪽으로 가세요.</t>
  </si>
  <si>
    <t>도서관이에요. 책을 읽어요.</t>
  </si>
  <si>
    <t>듣거나</t>
  </si>
  <si>
    <t>좀 쌀쌀해요. 그리고 바람이 불어요.</t>
  </si>
  <si>
    <t>돈가스나</t>
  </si>
  <si>
    <t>태권도나</t>
  </si>
  <si>
    <t>지금 서울은 날씨가 흐려요?</t>
  </si>
  <si>
    <t>텔레비전을 보거나 소설을 읽어요.</t>
  </si>
  <si>
    <t>백화점은 어디에 있어요?</t>
  </si>
  <si>
    <t>돈가스나 카레를 만들어요.</t>
  </si>
  <si>
    <t>아니요, 맑아요. 그리고 따뜻해요.</t>
  </si>
  <si>
    <t>소설을 읽거나 악기를 연주해요.</t>
  </si>
  <si>
    <t>이 건물 뒤에 있어요. 뒤로 돌아가세요.</t>
  </si>
  <si>
    <t>배드민턴을 치거나 스포츠 경기를 봐요.</t>
  </si>
  <si>
    <t>우유 나 물을 마셔요.</t>
  </si>
  <si>
    <t>한국의 여름 날씨가 어때요?</t>
  </si>
  <si>
    <t>게임 이나 운동을 해요.</t>
  </si>
  <si>
    <t>대학교 도서관</t>
  </si>
  <si>
    <t>화장실이 어디예요?</t>
  </si>
  <si>
    <t>토요일에 눈이 와요?</t>
  </si>
  <si>
    <t>드라마를 보거나 게임을 해요.</t>
  </si>
  <si>
    <t>주말에 뭐 해요?</t>
  </si>
  <si>
    <t>밖에 있어요. 밖으로 나가세요.</t>
  </si>
  <si>
    <t>카페에 가거나 텔레비전을 봐요.</t>
  </si>
  <si>
    <t>네, 눈이 와요. 그리고 추워요.</t>
  </si>
  <si>
    <t>정말</t>
  </si>
  <si>
    <t>태권도를 연습하거나 책을 읽어요.</t>
  </si>
  <si>
    <t>남자 옷은 어디에서 사요?</t>
  </si>
  <si>
    <t>공원에서 뭐 해요?</t>
  </si>
  <si>
    <t>저는 우유를 마셔요.</t>
  </si>
  <si>
    <t>산책하거나 조깅을 해요.</t>
  </si>
  <si>
    <t>산책하거나 팟캐스트를 들어요.</t>
  </si>
  <si>
    <t>듣다</t>
  </si>
  <si>
    <t>3층으로 가세요.</t>
  </si>
  <si>
    <t>저는 우유를 안 마셔요.</t>
  </si>
  <si>
    <t>매일 아침에 뭐 먹어요?</t>
  </si>
  <si>
    <t>귀리나 바나나 를 먹어요.</t>
  </si>
  <si>
    <t>매일 몇 시쯤 자요?</t>
  </si>
  <si>
    <t>선생님 사무실이 어디예요?</t>
  </si>
  <si>
    <t>저는 우유를 못 마셔요.</t>
  </si>
  <si>
    <t>책을 읽어요</t>
  </si>
  <si>
    <t>11시나 12시쯤 자요.</t>
  </si>
  <si>
    <t>일곱 시나 일곱 시 반에 일어나요</t>
  </si>
  <si>
    <t>만을거나</t>
  </si>
  <si>
    <t>안 예뻐요</t>
  </si>
  <si>
    <t>지하 일층으로 가세요.</t>
  </si>
  <si>
    <t>가거나</t>
  </si>
  <si>
    <t>그리거나</t>
  </si>
  <si>
    <t>날씨가 좋아요.</t>
  </si>
  <si>
    <t>하거나</t>
  </si>
  <si>
    <t>김밥이나</t>
  </si>
  <si>
    <t>휴일에 뭐 할 거예요?</t>
  </si>
  <si>
    <t>지하 일층으로 내려가세요.</t>
  </si>
  <si>
    <t>친구를 만나거나 운동 모임에 갈 거예요</t>
  </si>
  <si>
    <t>날씨가 안 좋아요.</t>
  </si>
  <si>
    <t>네, 지금 공부해요.</t>
  </si>
  <si>
    <t>쉬거나 운동해요</t>
  </si>
  <si>
    <t>시청이 어디에 있어요?</t>
  </si>
  <si>
    <t>어떻게 학교에 가요?</t>
  </si>
  <si>
    <t>나빠요</t>
  </si>
  <si>
    <t>걸어서 가거나 자전거로 가요</t>
  </si>
  <si>
    <t>버스를 타거나 기차를 타요.</t>
  </si>
  <si>
    <t>버스나 기차를 타요.</t>
  </si>
  <si>
    <t>안 먹어요</t>
  </si>
  <si>
    <t>뒤로 가세요.</t>
  </si>
  <si>
    <t>아니요, 자요.</t>
  </si>
  <si>
    <t>빵이나 김밥을 먹어요</t>
  </si>
  <si>
    <t>어디에서 커피를 사요?</t>
  </si>
  <si>
    <t>안 좋아요</t>
  </si>
  <si>
    <t>카페나 편의점에서 커피를 사요</t>
  </si>
  <si>
    <t>학교가 어디에 있어요?</t>
  </si>
  <si>
    <t>점심에 뭐 먹을 거예요?</t>
  </si>
  <si>
    <t>요리하다</t>
  </si>
  <si>
    <t>비빔밥이나 김치찌개를 먹을 거예요</t>
  </si>
  <si>
    <t>안 와요</t>
  </si>
  <si>
    <t>백화점이나 도서관에 갈 거예요</t>
  </si>
  <si>
    <t>운동을 안 해요</t>
  </si>
  <si>
    <t>오른쪽으로 가세요.</t>
  </si>
  <si>
    <t>오늘 수업 후에 뭐 해요?</t>
  </si>
  <si>
    <t>오늘 친구를 만나요?</t>
  </si>
  <si>
    <t>공원에 가서 산책하거나 그네를 타요.</t>
  </si>
  <si>
    <t>쉬거나 잠을 잘 거예요</t>
  </si>
  <si>
    <t>한국어를 공부해요.</t>
  </si>
  <si>
    <t>오늘 저녁에 뭐 먹고 싶어요?</t>
  </si>
  <si>
    <t>부리토나 파스타를 먹고 싶어요.</t>
  </si>
  <si>
    <t>버터 치킨이나 김밥을 먹고 싶어요.</t>
  </si>
  <si>
    <t>내일 같이 등산 가요.</t>
  </si>
  <si>
    <t>좋아요. 그런데 내일도 날씨가 맑을까요?</t>
  </si>
  <si>
    <t>오늘도 열심히 공부할까요?</t>
  </si>
  <si>
    <t>아니요, 안 만나요.</t>
  </si>
  <si>
    <t>이번 휴가에 다같이 한국에 갈까요?</t>
  </si>
  <si>
    <t>다음에 제가 김밥을 만들까요?</t>
  </si>
  <si>
    <t>기차역이 어디에 있어요?</t>
  </si>
  <si>
    <t>지금 날씨가 어때요?</t>
  </si>
  <si>
    <t>오늘 영화를 봐요?</t>
  </si>
  <si>
    <t>내일도 날씨가 맑을까요?</t>
  </si>
  <si>
    <t>오늘 배울 문법이 어려울까요?</t>
  </si>
  <si>
    <t>먹을까요?</t>
  </si>
  <si>
    <t>아니요, 안 봐요.</t>
  </si>
  <si>
    <t>여기에서 똑바로 가세요.</t>
  </si>
  <si>
    <t>좋을까요?</t>
  </si>
  <si>
    <t>받을까요?</t>
  </si>
  <si>
    <t>노래를 들어요. 노래를 해요.</t>
  </si>
  <si>
    <t>주말에 공원에 가요?</t>
  </si>
  <si>
    <t>앞으로 똑바로 가세요.</t>
  </si>
  <si>
    <t>걸을까요?</t>
  </si>
  <si>
    <t>어려울까요?</t>
  </si>
  <si>
    <t>갈까요?</t>
  </si>
  <si>
    <t>아니요, 안 가요.</t>
  </si>
  <si>
    <t>이쪽으로 똑바로 가세요.</t>
  </si>
  <si>
    <t>볼까요?</t>
  </si>
  <si>
    <t>바쁠까요?</t>
  </si>
  <si>
    <t>시원할까요?</t>
  </si>
  <si>
    <t>밥을 먹다</t>
  </si>
  <si>
    <t>eat a meal</t>
  </si>
  <si>
    <t>만들까요?</t>
  </si>
  <si>
    <t>오늘 바빠요?</t>
  </si>
  <si>
    <t>물을까요?</t>
  </si>
  <si>
    <t>시장이 어디에 있어요?</t>
  </si>
  <si>
    <t>들을까요?</t>
  </si>
  <si>
    <t>밥을 먹어요</t>
  </si>
  <si>
    <t>아름다울까요?</t>
  </si>
  <si>
    <t>아니요, 안 바빠요.</t>
  </si>
  <si>
    <t>그식당이 좋을까요?</t>
  </si>
  <si>
    <t>제 차가 아직 뜨거울까요? 아직 따뜻할까요?</t>
  </si>
  <si>
    <t>뒤로 돌아가세요.</t>
  </si>
  <si>
    <t>Will the tea still be hot? Will the tea still be warm?</t>
  </si>
  <si>
    <t>선생님이 김치를 잘 만들까요?</t>
  </si>
  <si>
    <t>에프원이 볼까요?</t>
  </si>
  <si>
    <t>시간이 있어요</t>
  </si>
  <si>
    <t>식당이 어디에 있어요?</t>
  </si>
  <si>
    <t>주말에 같이 영화 봐요.</t>
  </si>
  <si>
    <t>좋아요. 그런데 무슨 영화가 재미있을까요?</t>
  </si>
  <si>
    <t>물건</t>
  </si>
  <si>
    <t>우리 같이 태권도를 배워요.</t>
  </si>
  <si>
    <t>시간이 많아요.</t>
  </si>
  <si>
    <t>좋아요. 그런데 어려울까요?</t>
  </si>
  <si>
    <t>2층으로 올라가세요.</t>
  </si>
  <si>
    <t>좋아요. 그런데 안 어려울까요?</t>
  </si>
  <si>
    <t>주말에 같이 운동 모임에 가요.</t>
  </si>
  <si>
    <t>위치</t>
  </si>
  <si>
    <t>좋아요. 무엇을 준비해야 될까요?</t>
  </si>
  <si>
    <t>엘리베이터가 어디에 있어요?</t>
  </si>
  <si>
    <t>좋아요. 무엇을 준비해야 할까요?</t>
  </si>
  <si>
    <t>주말에 같이 자전거 탈까요?</t>
  </si>
  <si>
    <t>일요일에 쇼핑해요?</t>
  </si>
  <si>
    <t>좋아요. 그런데 저도 잘 탈 수 있을까요?</t>
  </si>
  <si>
    <t>자전거를 잘 못 타요</t>
  </si>
  <si>
    <t>내일 날씨가 추울까요?</t>
  </si>
  <si>
    <t>네. 내일 날씨가 추울 거예요. 일기 예보에서 봤어요.</t>
  </si>
  <si>
    <t>아니요, 쇼핑 안 해요.</t>
  </si>
  <si>
    <t>영하 십 도예요</t>
  </si>
  <si>
    <t>이 책이 재미있을까요?</t>
  </si>
  <si>
    <t>네. 재미있을거에요. 제가 읽었어요.</t>
  </si>
  <si>
    <t>마리 씨가 지금 전화를 받달까요?</t>
  </si>
  <si>
    <t>여름을 좋아해요.</t>
  </si>
  <si>
    <t>아니요. 지금 전화를 안 받을 거예요. 너무 늦었어요. 벌써 열한 시예요. 지금 자고 있을 거예요.</t>
  </si>
  <si>
    <t>미나 씨가 점심을 먹었을까요?</t>
  </si>
  <si>
    <t>글쎄요. 잘 모르겠어요.</t>
  </si>
  <si>
    <t>카페가 어디에 있어요?</t>
  </si>
  <si>
    <t>여름이 좋아요.</t>
  </si>
  <si>
    <t>그런데 지금 세 시니까 밥을 먹었을 거예요.</t>
  </si>
  <si>
    <t>지하 1층으로 내려가세요.</t>
  </si>
  <si>
    <t>영화관이 어디에 있어요?</t>
  </si>
  <si>
    <t>이 샤넬 가방이 너무 비싼데 선생님이 이 가방을 받을까요?</t>
  </si>
  <si>
    <t>바나나를 안 사요. 딸기를 사요.</t>
  </si>
  <si>
    <t>3층으로 올라가세요.</t>
  </si>
  <si>
    <t>날씨가 안 좋아요. 흐려요.</t>
  </si>
  <si>
    <t>시드니는 더운데 호바트는 시원할까요?</t>
  </si>
  <si>
    <t>콘서트에 사람이 많이 올까요?</t>
  </si>
  <si>
    <t>유명한 가수의 콘서트니까 사람이 많이 올 거예요.</t>
  </si>
  <si>
    <t>한국어가 어려워요?</t>
  </si>
  <si>
    <t>한국은 지금 더울까요?</t>
  </si>
  <si>
    <t>아니요. 한국은 지금 겨울이어서 추워요.</t>
  </si>
  <si>
    <t>수지 씨는 세종식당에 가고 싶어 해요.</t>
  </si>
  <si>
    <t>부산에서 서울까지 멀까요?</t>
  </si>
  <si>
    <t>아니요, 안 어려워요. 쉬워요.</t>
  </si>
  <si>
    <t>조금 멀어요. 버스를 타고 네 시간쯤 걸려요.</t>
  </si>
  <si>
    <t>이 식당 음식이 맛있을까요?</t>
  </si>
  <si>
    <t>수지 씨는 세종식당에서 먹고 싶어 해요.</t>
  </si>
  <si>
    <t>손님이 많으니까 맛있을 거예요.</t>
  </si>
  <si>
    <t>지금 밖에 비가 와요? 아니요, 안 와요.</t>
  </si>
  <si>
    <t>내일 백화점에 사람이 많을까요?</t>
  </si>
  <si>
    <t>Is it raining outside now? No, it's not raining.</t>
  </si>
  <si>
    <t>주말이니까 사람이 많을 거예요.</t>
  </si>
  <si>
    <t>좋아해요</t>
  </si>
  <si>
    <t>한국어 시험이 쉬울까요?</t>
  </si>
  <si>
    <t>빵집</t>
  </si>
  <si>
    <t>열심히 공부했으니까 안 어려울 거예요.</t>
  </si>
  <si>
    <t>밤에는 좀 쌀쌀해요.</t>
  </si>
  <si>
    <t>9 공부를 안 했으니까 너무 어려울 것 같아요.</t>
  </si>
  <si>
    <t>마리 씨는 이번 주말에 등산을 갈 수 있을까요?</t>
  </si>
  <si>
    <t>어떻게</t>
  </si>
  <si>
    <t>아니요. 이번 주말에 비가 오니까 등산을 갈 수 없을 거예요.</t>
  </si>
  <si>
    <t>지금 전화를 해요?</t>
  </si>
  <si>
    <t>요즘 아침마다 회의가 있어요</t>
  </si>
  <si>
    <t>아기가 자요.</t>
  </si>
  <si>
    <t>언제 한국어를 공부해요?</t>
  </si>
  <si>
    <t>안나 씨 집에 어떻게 가요?</t>
  </si>
  <si>
    <t>아니요, 전화를 안 해요.</t>
  </si>
  <si>
    <t>하루 일과</t>
  </si>
  <si>
    <t>아기</t>
  </si>
  <si>
    <t>메시지를 보내요.</t>
  </si>
  <si>
    <t>그러면 빵집이 있을 거예요.</t>
  </si>
  <si>
    <t>출근하다</t>
  </si>
  <si>
    <t>아이</t>
  </si>
  <si>
    <t>퇴근하다</t>
  </si>
  <si>
    <t>finished work</t>
  </si>
  <si>
    <t>출퇴근하다</t>
  </si>
  <si>
    <t>까톡을 보내요.</t>
  </si>
  <si>
    <t>등교하다</t>
  </si>
  <si>
    <t>수지 씨가 텔레비전을 봐요.</t>
  </si>
  <si>
    <t>한국 음식은 숟가락하고 젓가락으로 먹어요.</t>
  </si>
  <si>
    <t>하교하다</t>
  </si>
  <si>
    <t>하산하다</t>
  </si>
  <si>
    <t>문자를 보내요.</t>
  </si>
  <si>
    <t>몇 시에 하산해요?</t>
  </si>
  <si>
    <t>What time do you finish school?</t>
  </si>
  <si>
    <t>출근 시간이 몇 시예요? 아홉 시예요.</t>
  </si>
  <si>
    <t>주노 씨가 요리해요.</t>
  </si>
  <si>
    <t>한국어 숙제를 컴퓨터로 했어요.</t>
  </si>
  <si>
    <t>안 가요</t>
  </si>
  <si>
    <t>학생들 등교 시간에는 차가 막혀요.</t>
  </si>
  <si>
    <t>불고기를 먹어요.</t>
  </si>
  <si>
    <t>회의를 준비하다</t>
  </si>
  <si>
    <t>한국미술관까지 어떻게 가요?</t>
  </si>
  <si>
    <t>저는 매일 출근 준비가 오래 걸려요.</t>
  </si>
  <si>
    <t>이메일을 읽다</t>
  </si>
  <si>
    <t>이메일을 쓰다</t>
  </si>
  <si>
    <t>이메일을 보내다</t>
  </si>
  <si>
    <t>수업을 듣다</t>
  </si>
  <si>
    <t>시험공부를 하다</t>
  </si>
  <si>
    <t>오토바이</t>
  </si>
  <si>
    <t>동아리 활동을 하다</t>
  </si>
  <si>
    <t>아르바이트를 하다</t>
  </si>
  <si>
    <t>안 좋아해요</t>
  </si>
  <si>
    <t>불고기를 만들어요.</t>
  </si>
  <si>
    <t>회의에 참석해요.</t>
  </si>
  <si>
    <t>택시</t>
  </si>
  <si>
    <t>특별한 하루 일과가 있어요?</t>
  </si>
  <si>
    <t>새벽 5시에 일어나요.</t>
  </si>
  <si>
    <t>사랑 안 해요</t>
  </si>
  <si>
    <t>아침형 인간이에요.</t>
  </si>
  <si>
    <t>안나 씨가 친구를 만나요.</t>
  </si>
  <si>
    <t>수지 씨는 아침에 일어나서 뭐 해요?</t>
  </si>
  <si>
    <t>저는 샤워를 하고 아침을 먹어요.</t>
  </si>
  <si>
    <t>일 안 해요</t>
  </si>
  <si>
    <t>아침 식사를 해요. 커피를 만들어요.</t>
  </si>
  <si>
    <t>안나 씨가 사과 먹어요?</t>
  </si>
  <si>
    <t>강아지한테 밥을 주고 커피를 마셔요.</t>
  </si>
  <si>
    <t>도시락을 싸다.</t>
  </si>
  <si>
    <t>공부 안 해요</t>
  </si>
  <si>
    <t>짐을 싸요.</t>
  </si>
  <si>
    <t>네, 안나 씨가 사과 먹어요.</t>
  </si>
  <si>
    <t>내일 한국에 가요. 그래서 지금 짐을 싸요.</t>
  </si>
  <si>
    <t>출근해서 가장 먼저 뭐 해요?</t>
  </si>
  <si>
    <t>요리 안 해요</t>
  </si>
  <si>
    <t>이메일을 읽어요.</t>
  </si>
  <si>
    <t>주노 씨가 책 읽어요?</t>
  </si>
  <si>
    <t>세종학당에서 뭐 해요?</t>
  </si>
  <si>
    <t>운동 안 해요</t>
  </si>
  <si>
    <t>수업을 들어요.</t>
  </si>
  <si>
    <t>수업이 끝난 후에 뭐 해요?</t>
  </si>
  <si>
    <t>아르바이트를 해요.</t>
  </si>
  <si>
    <t>네, 주노 씨가 책을 읽어요.</t>
  </si>
  <si>
    <t>비행기</t>
  </si>
  <si>
    <t>금요일에 시험이 있어요. 같이 시험공부를 할까요?</t>
  </si>
  <si>
    <t>좋아요. 그럼 내일 도서관에서 만나요.</t>
  </si>
  <si>
    <t>안 비싸요</t>
  </si>
  <si>
    <t>동료들과 수다들 떨어요</t>
  </si>
  <si>
    <t>마리 씨가 음악 들어요?</t>
  </si>
  <si>
    <t>트램</t>
  </si>
  <si>
    <t>수다를 떨다</t>
  </si>
  <si>
    <t>안 더워요</t>
  </si>
  <si>
    <t>같이 일하는 사람</t>
  </si>
  <si>
    <t>아침에 매일 주스를 마셔요.</t>
  </si>
  <si>
    <t>안 추워요</t>
  </si>
  <si>
    <t>아니요, 영화를 봐요.</t>
  </si>
  <si>
    <t>아침마다 주스를 마셔요.</t>
  </si>
  <si>
    <t>경전철</t>
  </si>
  <si>
    <t>날마다</t>
  </si>
  <si>
    <t>주마다</t>
  </si>
  <si>
    <t>수지 씨는 공원에 가요. 안나 씨는 공원에 안 가요.</t>
  </si>
  <si>
    <t>드라마를 봐요.</t>
  </si>
  <si>
    <t>매달</t>
  </si>
  <si>
    <t>달마다</t>
  </si>
  <si>
    <t>마리 씨는 지금 공부해요. 우진 씨는 공부 안 해요.</t>
  </si>
  <si>
    <t>해마다</t>
  </si>
  <si>
    <t>재민 씨가 일해요?</t>
  </si>
  <si>
    <t>고속버스</t>
  </si>
  <si>
    <t>every year</t>
  </si>
  <si>
    <t>아침마다</t>
  </si>
  <si>
    <t>주말마다</t>
  </si>
  <si>
    <t>서울은 비가 와요. 베이징은 비가 안 와요.</t>
  </si>
  <si>
    <t>걸어서 가요</t>
  </si>
  <si>
    <t>방학마다</t>
  </si>
  <si>
    <t>네, 재민 씨가 일해요.</t>
  </si>
  <si>
    <t>저녁마다</t>
  </si>
  <si>
    <t>아침에 바빠요. 저녁에 안 바빠요.</t>
  </si>
  <si>
    <t>오후마다</t>
  </si>
  <si>
    <t>차를 운전해요</t>
  </si>
  <si>
    <t>부모님께 전화해요</t>
  </si>
  <si>
    <t>수지 씨가 요리해요?</t>
  </si>
  <si>
    <t>자기 전에 책을 읽어요.</t>
  </si>
  <si>
    <t>버스로 갈아타요</t>
  </si>
  <si>
    <t>저는 고기를 먹어요. 동생은 안 먹어요.</t>
  </si>
  <si>
    <t>낮잠을 자요.</t>
  </si>
  <si>
    <t>오후마다 낮잠을 자고 싶어요.</t>
  </si>
  <si>
    <t>아니요, 수지 씨가 운동해요.</t>
  </si>
  <si>
    <t>저는 목요일마다 운동을 해요.</t>
  </si>
  <si>
    <t>토요일마다 등산을 해요.</t>
  </si>
  <si>
    <t>지하철을 타요</t>
  </si>
  <si>
    <t>토요일에 아르바이트를 해요. 일요일에는 아르바이트를 안 해요.</t>
  </si>
  <si>
    <t>일요일 마다 데이트를 해요.</t>
  </si>
  <si>
    <t>월요일하고 수요일 마다 수업을 들어요.</t>
  </si>
  <si>
    <t>수요일 오후 마다 세종학당에 가요</t>
  </si>
  <si>
    <t>택시에서 내려요</t>
  </si>
  <si>
    <t>지금 비가 와요?</t>
  </si>
  <si>
    <t>아침마다 무엇을 해요?</t>
  </si>
  <si>
    <t>시청에 어떻게 가요?</t>
  </si>
  <si>
    <t>과제를 하다</t>
  </si>
  <si>
    <t>수달</t>
  </si>
  <si>
    <t>버스를 타고 가요.</t>
  </si>
  <si>
    <t>한국 음식을 좋아해요.</t>
  </si>
  <si>
    <t>아침마다 과일을 먹어요.</t>
  </si>
  <si>
    <t>아니요, 비가 안 와요. 눈이 와요.</t>
  </si>
  <si>
    <t>건강한 사람이 아니에요. ㅜㅜ</t>
  </si>
  <si>
    <t>계란밥</t>
  </si>
  <si>
    <t>우체국에 어떻게 가요?</t>
  </si>
  <si>
    <t>기생충</t>
  </si>
  <si>
    <t>주말마다 고향에 가요</t>
  </si>
  <si>
    <t>parasite</t>
  </si>
  <si>
    <t>오늘 비빔밥을 먹어요?</t>
  </si>
  <si>
    <t>부모님과 따로 살아요.</t>
  </si>
  <si>
    <t>지하철을 타고 가요.</t>
  </si>
  <si>
    <t>일요일마다 집 청소를 해요.</t>
  </si>
  <si>
    <t>방학마다, 여행을 가요.</t>
  </si>
  <si>
    <t>꽃을 사요.</t>
  </si>
  <si>
    <t>아니요, 안 먹어요. 불고기를 먹어요.</t>
  </si>
  <si>
    <t>저녁마다, 운동해요.</t>
  </si>
  <si>
    <t>백화점에 어떻게 가요?</t>
  </si>
  <si>
    <t>설거지를 해요.</t>
  </si>
  <si>
    <t>놀아요</t>
  </si>
  <si>
    <t>토요일에 일해요?</t>
  </si>
  <si>
    <t>빨래를 해요.</t>
  </si>
  <si>
    <t>택시를 타고 가요.</t>
  </si>
  <si>
    <t>아침마다 이를 닦아요.</t>
  </si>
  <si>
    <t>아니요, 일 안 해요. 영화를 봐요.</t>
  </si>
  <si>
    <t>차를 세차해요.</t>
  </si>
  <si>
    <t>게임을 해요</t>
  </si>
  <si>
    <t>공원에 뭘 타고 가요?</t>
  </si>
  <si>
    <t>언제 세종학당에 가요?</t>
  </si>
  <si>
    <t>How do you get to the park?</t>
  </si>
  <si>
    <t>수요일마다 세종학당에 가요.</t>
  </si>
  <si>
    <t>아침에 주스를 마셔요?</t>
  </si>
  <si>
    <t>언제 청소를 해요?</t>
  </si>
  <si>
    <t>자전거를 타고 가요.</t>
  </si>
  <si>
    <t>고양이를 좋아해요.</t>
  </si>
  <si>
    <t>금요일마다 청소를 해요.</t>
  </si>
  <si>
    <t>언제 등산을 해요?</t>
  </si>
  <si>
    <t>아니요, 안 마셔요. 우유를 마셔요.</t>
  </si>
  <si>
    <t>집에 버스를 타고 가요?</t>
  </si>
  <si>
    <t>음악을 좋아해요.</t>
  </si>
  <si>
    <t>목요일마다 운동을 해요.</t>
  </si>
  <si>
    <t>오늘 시드니 날씨가 어때요?</t>
  </si>
  <si>
    <t>언제 데이트를 해요?</t>
  </si>
  <si>
    <t>아니요, 걸어서 가요.</t>
  </si>
  <si>
    <t>게임을 좋아해요.</t>
  </si>
  <si>
    <t>일요일마다 데이트를 해요.</t>
  </si>
  <si>
    <t>정오</t>
  </si>
  <si>
    <t>따뜻해요.</t>
  </si>
  <si>
    <t>세종학당에 어떻게 가요?</t>
  </si>
  <si>
    <t>자정</t>
  </si>
  <si>
    <t>쇼핑을 사랑해요.</t>
  </si>
  <si>
    <t>오늘 눈이 와요?</t>
  </si>
  <si>
    <t>등하교 시간</t>
  </si>
  <si>
    <t>출퇴근 시간</t>
  </si>
  <si>
    <t>출퇴근 시간 에는 차가 막혀요.</t>
  </si>
  <si>
    <t>김치를 좋아해요.</t>
  </si>
  <si>
    <t>학교에 어떻게 가요?</t>
  </si>
  <si>
    <t>아니요, 눈이 안 와요.</t>
  </si>
  <si>
    <t>언제 음악을 들어요?</t>
  </si>
  <si>
    <t>저는 보통 출퇴근할 때 음악을 들어요.</t>
  </si>
  <si>
    <t>저녁을 먹어요. 한국 드라마를 봐요.</t>
  </si>
  <si>
    <t>걸어서 가요.</t>
  </si>
  <si>
    <t>불고기를 좋아해요.</t>
  </si>
  <si>
    <t>운동해요?</t>
  </si>
  <si>
    <t>저녁을 먹을 때 한국 드라마를 봐요.</t>
  </si>
  <si>
    <t>산책 좋아해요? 자주 해요?</t>
  </si>
  <si>
    <t>회사에 어떻게 가요?</t>
  </si>
  <si>
    <t>옷</t>
  </si>
  <si>
    <t>아니요, 운동 안 해요.</t>
  </si>
  <si>
    <t>자동차를 운전해서 가요.</t>
  </si>
  <si>
    <t>사계절이 있어요.</t>
  </si>
  <si>
    <t>백화점에 뭘 타고 가요?</t>
  </si>
  <si>
    <t>주로 언제 산책을 해요?</t>
  </si>
  <si>
    <t>날씨가 좋을 때 산책해요.</t>
  </si>
  <si>
    <t>불규칙</t>
  </si>
  <si>
    <t>출퇴근하다.</t>
  </si>
  <si>
    <t>저는 보통 등하교할 때 음악을 들어요.</t>
  </si>
  <si>
    <t>신발가게</t>
  </si>
  <si>
    <t>학교에 갈 때 음악을 들어요.</t>
  </si>
  <si>
    <t>한국 음악을 들어요.</t>
  </si>
  <si>
    <t>일을 한 후에 음악을 들어요.</t>
  </si>
  <si>
    <t>일할 때 음악을 들어요.</t>
  </si>
  <si>
    <t>지금 영화를 봐요.</t>
  </si>
  <si>
    <t>자기 전에 음악을 들어요.</t>
  </si>
  <si>
    <t>걷다</t>
  </si>
  <si>
    <t>먹을 때</t>
  </si>
  <si>
    <t>여기에서 누리백화점까지 가까워요?</t>
  </si>
  <si>
    <t>읽을 때</t>
  </si>
  <si>
    <t>있을 때</t>
  </si>
  <si>
    <t>네, 음악을 들어요.</t>
  </si>
  <si>
    <t>걸어요.</t>
  </si>
  <si>
    <t>추울 때</t>
  </si>
  <si>
    <t>아니요, 조금 멀어요.</t>
  </si>
  <si>
    <t>들을 때</t>
  </si>
  <si>
    <t>갈 때</t>
  </si>
  <si>
    <t>볼 때</t>
  </si>
  <si>
    <t>아니요, 안 일해요.</t>
  </si>
  <si>
    <t>집에서 회사까지 얼마나 걸려요?</t>
  </si>
  <si>
    <t>공부할 때</t>
  </si>
  <si>
    <t>운동할 때</t>
  </si>
  <si>
    <t>한 시간쯤 걸려요.</t>
  </si>
  <si>
    <t>지금 한국어를 공부해요.</t>
  </si>
  <si>
    <t>만들 때</t>
  </si>
  <si>
    <t>영화를 볼 때 팝콘을 먹었어요.</t>
  </si>
  <si>
    <t>점심을 먹을 때 한국어를 공부해요.</t>
  </si>
  <si>
    <t>집에서 학교까지 어떻게 가요?</t>
  </si>
  <si>
    <t>아름답다</t>
  </si>
  <si>
    <t>안 가요.</t>
  </si>
  <si>
    <t>커피를 만들 때 뉴스를 들어요.</t>
  </si>
  <si>
    <t>커피를 만들 때 뉴스를 봐요.</t>
  </si>
  <si>
    <t>집부터 학교까지 어떻게 가요?</t>
  </si>
  <si>
    <t>운동할 때 물을 많이 마셔요.</t>
  </si>
  <si>
    <t>일 리터, 이 리터..</t>
  </si>
  <si>
    <t>일을 안 해요.</t>
  </si>
  <si>
    <t>아름다워요</t>
  </si>
  <si>
    <t>땀을 많이 흘려요.</t>
  </si>
  <si>
    <t>큰 수건이 필요해요.</t>
  </si>
  <si>
    <t>집에서 세종학당까지 자전거를 타고 가요.</t>
  </si>
  <si>
    <t>I ride a bicycle from home to the Sejong Institute.</t>
  </si>
  <si>
    <t>사랑 안 해요.</t>
  </si>
  <si>
    <t>뭐를 들고가요?</t>
  </si>
  <si>
    <t>가져가요?</t>
  </si>
  <si>
    <t>비다 빈 여행가방을 가져가요.</t>
  </si>
  <si>
    <t>집에서 공원까지 걸어서 가요.</t>
  </si>
  <si>
    <t>백지영</t>
  </si>
  <si>
    <t>시간이 있을 때 만나요.</t>
  </si>
  <si>
    <t>붕어빵은 한국의 겨울 길거리 음식이에요.</t>
  </si>
  <si>
    <t>서울에서 제주도까지 비행기를 타고 가요.</t>
  </si>
  <si>
    <t>언제 점장을 입어요?</t>
  </si>
  <si>
    <t>여행 가방</t>
  </si>
  <si>
    <t>홈런볼</t>
  </si>
  <si>
    <t>저는 보통 회사에 갈 때 정장을 입어요.</t>
  </si>
  <si>
    <t>회사에 갈 때 뭐를 입어요? 운동복을 입어요.</t>
  </si>
  <si>
    <t>학교에서 카페까지 10분쯤 걸려요.</t>
  </si>
  <si>
    <t>친구 결혼식에 갈 때 정장을 입어요.</t>
  </si>
  <si>
    <t>무겁다</t>
  </si>
  <si>
    <t>그림을 좋아해요.</t>
  </si>
  <si>
    <t>면접을 볼 때 정장을 입어요.</t>
  </si>
  <si>
    <t>장례식에 갈 때 검은색 정장을 입어요.</t>
  </si>
  <si>
    <t>베트남부터 한국까지 4시간쯤 걸려요.</t>
  </si>
  <si>
    <t>저는 배가 고플 때마다 간식을 먹어요.</t>
  </si>
  <si>
    <t>가방이 무거워요?</t>
  </si>
  <si>
    <t>신발을 좋아해요.</t>
  </si>
  <si>
    <t>시간이 있을 때마다 운동을 해요.</t>
  </si>
  <si>
    <t>언제 택시를 타요?</t>
  </si>
  <si>
    <t>서울에서 제주도까지 어떻게 가요?</t>
  </si>
  <si>
    <t>아니요, 가벼워요.</t>
  </si>
  <si>
    <t>밥을 먹어요?</t>
  </si>
  <si>
    <t>학교에? 늦었을 때 택시를 타요.</t>
  </si>
  <si>
    <t>언제 노래방에 가요?</t>
  </si>
  <si>
    <t>친구와 노래를 하고 싶을 때 노래방에 가요.</t>
  </si>
  <si>
    <t>언제 행복해요?</t>
  </si>
  <si>
    <t>서울에서 경주까지 어떻게 가요?</t>
  </si>
  <si>
    <t>맛있는 음식을 0먹을 때 제일 행복해요.</t>
  </si>
  <si>
    <t>조카를 만날 때 제일 행복해요.</t>
  </si>
  <si>
    <t>아이가 우유를 마셔요.</t>
  </si>
  <si>
    <t>친구들과 시간을 보낼 때 제일 제일 행복해요.</t>
  </si>
  <si>
    <t>서울에서 경주까지 기차를 타고 가요.</t>
  </si>
  <si>
    <t>장화 신은 고양이</t>
  </si>
  <si>
    <t>형이 강아지를 좋아해요.</t>
  </si>
  <si>
    <t>언제 백화점에 가요?</t>
  </si>
  <si>
    <t>부산에서 제주도까지 얼마나 걸려요?</t>
  </si>
  <si>
    <t>옷을 사고 싶을 때 백화점에 가요.</t>
  </si>
  <si>
    <t>언제 카페에 가요?</t>
  </si>
  <si>
    <t>유진 씨가 한국 음식을 먹어요.</t>
  </si>
  <si>
    <t>케이크를 먹고 싶을 때 카페에 가요.</t>
  </si>
  <si>
    <t>배를 타고 가도 9시간 걸려요.</t>
  </si>
  <si>
    <t>맵다</t>
  </si>
  <si>
    <t>시험 공부를 할 때 도서관에 가요.</t>
  </si>
  <si>
    <t>출발지</t>
  </si>
  <si>
    <t>선생님이 책을 읽어요.</t>
  </si>
  <si>
    <t>책을 빌리고 싶을 때 도서관에 가요.</t>
  </si>
  <si>
    <t>매워요</t>
  </si>
  <si>
    <t>빌리다</t>
  </si>
  <si>
    <t>반납하다</t>
  </si>
  <si>
    <t>도착지</t>
  </si>
  <si>
    <t>반납해야 될 때 도서관에 가요.</t>
  </si>
  <si>
    <t>저는 가방을 사요.</t>
  </si>
  <si>
    <t>한국 음식이 매워요</t>
  </si>
  <si>
    <t>언제 공원에 가요?</t>
  </si>
  <si>
    <t>시간</t>
  </si>
  <si>
    <t>날씨가 좋을 때 공원에 가요.</t>
  </si>
  <si>
    <t>들울때</t>
  </si>
  <si>
    <t>그려요</t>
  </si>
  <si>
    <t>아름다울 때</t>
  </si>
  <si>
    <t>교통수단</t>
  </si>
  <si>
    <t>많이 걸을 때 발이 아파요.</t>
  </si>
  <si>
    <t>꽃을 그려요.</t>
  </si>
  <si>
    <t>부산에서 경주까지 얼마나 걸려요?</t>
  </si>
  <si>
    <t>무거워요</t>
  </si>
  <si>
    <t>부산에서 경주까지 버스로 한 시간 반 걸려요.</t>
  </si>
  <si>
    <t>가볍다</t>
  </si>
  <si>
    <t>그리다</t>
  </si>
  <si>
    <t>친구하고 놀 때</t>
  </si>
  <si>
    <t>살 때</t>
  </si>
  <si>
    <t>세종학당에서 집까지 어떻게 가요?</t>
  </si>
  <si>
    <t>한국에 살았을 때</t>
  </si>
  <si>
    <t>가벼워요</t>
  </si>
  <si>
    <t>배워요</t>
  </si>
  <si>
    <t>한국에서 살았을 때</t>
  </si>
  <si>
    <t>저는 출퇴근할 때 커피를 사요</t>
  </si>
  <si>
    <t>저는 한국어를 공부할 때 즐거워요.</t>
  </si>
  <si>
    <t>쉽다</t>
  </si>
  <si>
    <t>저는 날씨가 더울때 아이스크림을 먹어요.</t>
  </si>
  <si>
    <t>버스 정류장에서 서울 호텔까지 어떻게 가요?</t>
  </si>
  <si>
    <t>저는 시간이 있을 때 한강 공원에 가요.</t>
  </si>
  <si>
    <t>저는 버스를 타고 갈 때, 음악을 들어요.</t>
  </si>
  <si>
    <t>쉬워요</t>
  </si>
  <si>
    <t>저는 케이팝을 들을 때, 행복해요.</t>
  </si>
  <si>
    <t>피아노를 배워요</t>
  </si>
  <si>
    <t>어렵다</t>
  </si>
  <si>
    <t>제주도에서 부산까지 어떻게 가요?</t>
  </si>
  <si>
    <t>한국어를 배워요.</t>
  </si>
  <si>
    <t>어려워요</t>
  </si>
  <si>
    <t>책을 읽고 싶을 때 도서관에 가요.</t>
  </si>
  <si>
    <t>배를 타고 가요.</t>
  </si>
  <si>
    <t>퇴근할 때 전화 주세요.</t>
  </si>
  <si>
    <t>마리 씨는 오늘 한국어를 공부해요.</t>
  </si>
  <si>
    <t>도착했어요!</t>
  </si>
  <si>
    <t>저는 지금 출발해요!</t>
  </si>
  <si>
    <t>가는 중이에요.</t>
  </si>
  <si>
    <t>여러분 나라에서 한국까지 어떻게 가요?</t>
  </si>
  <si>
    <t>지금 가고 있어요.</t>
  </si>
  <si>
    <t>친구하고 뭐 해요?</t>
  </si>
  <si>
    <t>문자 해.</t>
  </si>
  <si>
    <t>아니요, 안 어려워요. 아주 쉬워요.</t>
  </si>
  <si>
    <t>비행기를 타고 가요.</t>
  </si>
  <si>
    <t>불고기를 안 먹어요.</t>
  </si>
  <si>
    <t>문자 줘.</t>
  </si>
  <si>
    <t>공항에 어떻게 갈까요?</t>
  </si>
  <si>
    <t>카톡 해.</t>
  </si>
  <si>
    <t>영화를 안 봐요.</t>
  </si>
  <si>
    <t>Send a message (on KakaoTalk).</t>
  </si>
  <si>
    <t>요즘</t>
  </si>
  <si>
    <t>톡해.</t>
  </si>
  <si>
    <t>미안해요. 이름을 잊어버렸어요.</t>
  </si>
  <si>
    <t>제 차를 타고 가요.</t>
  </si>
  <si>
    <t>노래방</t>
  </si>
  <si>
    <t>거실</t>
  </si>
  <si>
    <t>요즘 날씨가 어때요?</t>
  </si>
  <si>
    <t>즐겁다</t>
  </si>
  <si>
    <t>이상형</t>
  </si>
  <si>
    <t>저녁에 뭐 먹을까요?</t>
  </si>
  <si>
    <t>경기장</t>
  </si>
  <si>
    <t>맞아요</t>
  </si>
  <si>
    <t>농구 경기장</t>
  </si>
  <si>
    <t>축구 경기장</t>
  </si>
  <si>
    <t>좀 더워요.</t>
  </si>
  <si>
    <t>부활절 휴일</t>
  </si>
  <si>
    <t>비빔밥을 같이 먹어요.</t>
  </si>
  <si>
    <t>확인해 주세요.</t>
  </si>
  <si>
    <t>다시 한 번 확인해 주세요</t>
  </si>
  <si>
    <t>글쎄요</t>
  </si>
  <si>
    <t>한국은 겨울 날씨가 어때요?</t>
  </si>
  <si>
    <t>전화해요</t>
  </si>
  <si>
    <t>글쎄...</t>
  </si>
  <si>
    <t>I’m calling</t>
  </si>
  <si>
    <t>에스엔에스</t>
  </si>
  <si>
    <t>지루하다</t>
  </si>
  <si>
    <t>노트북</t>
  </si>
  <si>
    <t>영화가 너무 지루해요</t>
  </si>
  <si>
    <t>언제 점심을 먹을까요?</t>
  </si>
  <si>
    <t>한국어 수업이 안 지루해요.</t>
  </si>
  <si>
    <t>같다</t>
  </si>
  <si>
    <t>1시에 먹어요.</t>
  </si>
  <si>
    <t>똑같다</t>
  </si>
  <si>
    <t>공부가 어려워요?</t>
  </si>
  <si>
    <t>생일이 같아요.</t>
  </si>
  <si>
    <t>남친하고 데이트를 해요.</t>
  </si>
  <si>
    <t>데이트가 있어요.</t>
  </si>
  <si>
    <t>아니요, 쉬워요.</t>
  </si>
  <si>
    <t>볼링정</t>
  </si>
  <si>
    <t>어디에서 만날까요?</t>
  </si>
  <si>
    <t>롤러스케이트장</t>
  </si>
  <si>
    <t>소년</t>
  </si>
  <si>
    <t>빙상장</t>
  </si>
  <si>
    <t>아이스스케이트창</t>
  </si>
  <si>
    <t>김치가 어때요?</t>
  </si>
  <si>
    <t>시험공부</t>
  </si>
  <si>
    <t>동아리 활동</t>
  </si>
  <si>
    <t>세종학당 앞 카페에서 만나요.</t>
  </si>
  <si>
    <t>소녀</t>
  </si>
  <si>
    <t>끝내다</t>
  </si>
  <si>
    <t>끝나다</t>
  </si>
  <si>
    <t>수업이 끝났어요.</t>
  </si>
  <si>
    <t>맛있어요. 그런데 좀 매워요.</t>
  </si>
  <si>
    <t>주말에 어디에 갈까요?</t>
  </si>
  <si>
    <t>선생님이 수업을 끝냈어요.</t>
  </si>
  <si>
    <t>꼬맹이</t>
  </si>
  <si>
    <t>naughty boy</t>
  </si>
  <si>
    <t>저는 어제 숙제를 끝냈어요</t>
  </si>
  <si>
    <t>영화가 끝났어요.</t>
  </si>
  <si>
    <t>몇</t>
  </si>
  <si>
    <t>월말</t>
  </si>
  <si>
    <t>which</t>
  </si>
  <si>
    <t>월말에는 아주 바빠요.</t>
  </si>
  <si>
    <t>발표</t>
  </si>
  <si>
    <t>네, 아주 무거워요.</t>
  </si>
  <si>
    <t>뭘 타고 갈까요?</t>
  </si>
  <si>
    <t>에다가</t>
  </si>
  <si>
    <t>청바지에다가 티셔츠를 입으려고 해요</t>
  </si>
  <si>
    <t>짧은 바지</t>
  </si>
  <si>
    <t>선글라스를 써요.</t>
  </si>
  <si>
    <t>고향</t>
  </si>
  <si>
    <t>오늘 뭘 할까요?</t>
  </si>
  <si>
    <t>한국어 책이 어려워요.</t>
  </si>
  <si>
    <t>세배하다</t>
  </si>
  <si>
    <t>이십오일 오월</t>
  </si>
  <si>
    <t>오늘 산책해요.</t>
  </si>
  <si>
    <t>잠옷</t>
  </si>
  <si>
    <t>장갑</t>
  </si>
  <si>
    <t>일 달러</t>
  </si>
  <si>
    <t>영어 소설이 쉬워요.</t>
  </si>
  <si>
    <t>목도리</t>
  </si>
  <si>
    <t>스카프</t>
  </si>
  <si>
    <t>주말에 뭐 할까요?</t>
  </si>
  <si>
    <t>일 달러 정도</t>
  </si>
  <si>
    <t>정장 바지</t>
  </si>
  <si>
    <t>요즘 브리즈번 날씨는 어때요?</t>
  </si>
  <si>
    <t>영화를 봐요.</t>
  </si>
  <si>
    <t>모자를 써요.</t>
  </si>
  <si>
    <t>선글라스 써요.</t>
  </si>
  <si>
    <t>주노 씨 동생이 누구예요?</t>
  </si>
  <si>
    <t>결혼 반지를 껴요.</t>
  </si>
  <si>
    <t>날씨가 너무 추워서 장갑을 꼈어요.</t>
  </si>
  <si>
    <t>어디에 갈까요?</t>
  </si>
  <si>
    <t>요즘 좋아요. 아주 더워요.</t>
  </si>
  <si>
    <t>넥타이를 매요.</t>
  </si>
  <si>
    <t>스카프를 매요.</t>
  </si>
  <si>
    <t>신발을 신어요.</t>
  </si>
  <si>
    <t>카페에 가요.</t>
  </si>
  <si>
    <t>잠바를 입어요.</t>
  </si>
  <si>
    <t>중국 날씨는 어때요?</t>
  </si>
  <si>
    <t>저는 보통 원피스를 입어요.</t>
  </si>
  <si>
    <t>안나 씨가 누구예요?</t>
  </si>
  <si>
    <t>원피스를 입었어요.</t>
  </si>
  <si>
    <t>저는 지금 티셔츠하고 청바지를 입고 운동화를 신었어요.</t>
  </si>
  <si>
    <t>몇 시에 만날까요?</t>
  </si>
  <si>
    <t>티셔츠하고 반바지를 입고 슬리퍼를 신었어요.</t>
  </si>
  <si>
    <t>쌀쌀해요.</t>
  </si>
  <si>
    <t>제가 안나예요</t>
  </si>
  <si>
    <t>실내화</t>
  </si>
  <si>
    <t>저는 안경을 썼어요. 그리고 티셔츠하고 바지를 입었어요.</t>
  </si>
  <si>
    <t>저는 반잠바하고 운동바지를 입어요.</t>
  </si>
  <si>
    <t>3시에 만나요.</t>
  </si>
  <si>
    <t>의자가 무거워요.</t>
  </si>
  <si>
    <t>면바지</t>
  </si>
  <si>
    <t>내가 안나예요</t>
  </si>
  <si>
    <t>긴바지</t>
  </si>
  <si>
    <t>반팔티셔츠</t>
  </si>
  <si>
    <t>긴팔티셔츠</t>
  </si>
  <si>
    <t>간식은 뭘 살까요?</t>
  </si>
  <si>
    <t>운동화를 신어요.</t>
  </si>
  <si>
    <t>저는 회사에 갈 때 블라우스하고 치마를 입어요.</t>
  </si>
  <si>
    <t>제 방이 좀 더러워요.</t>
  </si>
  <si>
    <t>사과가 책상 위에 있어요</t>
  </si>
  <si>
    <t>산에 갈 때는 운동복에다가 등산화를 9 신어요.</t>
  </si>
  <si>
    <t>날씨가 많이 추울 때는 목도리를껴요.</t>
  </si>
  <si>
    <t>과자하고 주스를 사요.</t>
  </si>
  <si>
    <t>다음 주에 뭐 할 거예요?</t>
  </si>
  <si>
    <t>I’m buying snacks and juice.</t>
  </si>
  <si>
    <t>친구를 만나기로 했어요</t>
  </si>
  <si>
    <t>안나 씨, 김치가 어때요?</t>
  </si>
  <si>
    <t>와, 옷이 멋있어요.</t>
  </si>
  <si>
    <t>책상 위에 사과가 있어요.</t>
  </si>
  <si>
    <t>고마워요. 오늘 저녁에 여자 친구를 만나기로 했어요.</t>
  </si>
  <si>
    <t>단풍을 구경해요.</t>
  </si>
  <si>
    <t>저녁에 같이 떡볶이를 만들까요?</t>
  </si>
  <si>
    <t>좀 매워요. 그렇지만 맛있어요.</t>
  </si>
  <si>
    <t>가족하고 같이 블루마운틴에 가기로 했어요.</t>
  </si>
  <si>
    <t>필통 안에 뭐가 있어요?</t>
  </si>
  <si>
    <t>오늘부터 열심히 공부하기로 했어요.</t>
  </si>
  <si>
    <t>내일부터 건강한 음식을 먹기로 했어요.</t>
  </si>
  <si>
    <t>네, 매운 떡볶이를 만들어요.</t>
  </si>
  <si>
    <t>책이 어려워요?</t>
  </si>
  <si>
    <t>내일부터 몸에 좋은 음식을 먹기로 했어요.</t>
  </si>
  <si>
    <t>오늘 저녁에 케이크를 먹기로 했어요.</t>
  </si>
  <si>
    <t>지우개가 있어요.</t>
  </si>
  <si>
    <t>오늘 저녁에 친구하고 한국 음식을 먹기로 했어요.</t>
  </si>
  <si>
    <t>아니요, 쉬워요. 재미있어요.</t>
  </si>
  <si>
    <t>시간 있어요? 우리 만날까요? 미안해요.</t>
  </si>
  <si>
    <t>배가 고파요.</t>
  </si>
  <si>
    <t>오늘 제 동생하고 공원에서 놀기로 했어요.</t>
  </si>
  <si>
    <t>내일 친구하고 영화를 보기로 했어요.</t>
  </si>
  <si>
    <t>가방이 가벼워요?</t>
  </si>
  <si>
    <t>무슨 영화가 재미있어요?</t>
  </si>
  <si>
    <t>소주</t>
  </si>
  <si>
    <t>그럼 같이 피자를 먹어요.</t>
  </si>
  <si>
    <t>내일 애인을 만나기로 했어요?</t>
  </si>
  <si>
    <t>아니요, 무거워요.</t>
  </si>
  <si>
    <t>네. 만나기로 했어요.</t>
  </si>
  <si>
    <t>저는 게임을 좋아해요.</t>
  </si>
  <si>
    <t>운동화가 필요해서 쇼핑하기로 했어요</t>
  </si>
  <si>
    <t>맥주</t>
  </si>
  <si>
    <t>내일 박싱데이여서 쇼핑하기로 했어요.</t>
  </si>
  <si>
    <t>밖이 추워요?</t>
  </si>
  <si>
    <t>그럼 같이 게임해요.</t>
  </si>
  <si>
    <t>데이트를 하기로 했어요.</t>
  </si>
  <si>
    <t>5시에 회사 앞에서 마나기로했어요.</t>
  </si>
  <si>
    <t>친구하고 같이 밥을먹기로했어요.</t>
  </si>
  <si>
    <t>와인</t>
  </si>
  <si>
    <t>저는 차를 싫어해요.</t>
  </si>
  <si>
    <t>주말에 시내에서놀기했어요.</t>
  </si>
  <si>
    <t>I hate tea.</t>
  </si>
  <si>
    <t>친구하고 차를 마시고 영화를보기로했어요.</t>
  </si>
  <si>
    <t>오늘 오후에 뭐 해요?</t>
  </si>
  <si>
    <t>방이 추워요.</t>
  </si>
  <si>
    <t>친구하고 쇼핑하기로 했어요.</t>
  </si>
  <si>
    <t>그럼 같이 커피를 마셔요.</t>
  </si>
  <si>
    <t>막걸리</t>
  </si>
  <si>
    <t>내일 뭐 해요?</t>
  </si>
  <si>
    <t>내일 헬스클럽에 가기로 했어요.</t>
  </si>
  <si>
    <t>책이 무거워요.</t>
  </si>
  <si>
    <t>이번 주말에 한국어 공부하기로 했어요.</t>
  </si>
  <si>
    <t>산책하고 싶어요.</t>
  </si>
  <si>
    <t>다음 주에 뭐 해요?</t>
  </si>
  <si>
    <t>다음 주에 한국어 공부하기로 했어요.</t>
  </si>
  <si>
    <t>뭐 사요?</t>
  </si>
  <si>
    <t>안작 데이 뭐 해요?</t>
  </si>
  <si>
    <t>숙제가 쉬워요.</t>
  </si>
  <si>
    <t>안작 데이에 아침에 Martin Place에 가기로 했어요.</t>
  </si>
  <si>
    <t>그럼 같이 걸어요.</t>
  </si>
  <si>
    <t>다음 주에 딸 생일 파티를 하기로 했어요.</t>
  </si>
  <si>
    <t>즐거운 시간 보내세요</t>
  </si>
  <si>
    <t>김치가 매워요.</t>
  </si>
  <si>
    <t>내일 아내하고 같이 장 보러 가기로 했어요.</t>
  </si>
  <si>
    <t>저도 데려가세요!</t>
  </si>
  <si>
    <t>한국 음식을 먹기로 했어요</t>
  </si>
  <si>
    <t>시험이 어려워요.</t>
  </si>
  <si>
    <t>시내에서 놀기로 했어요</t>
  </si>
  <si>
    <t>늦었어요.</t>
  </si>
  <si>
    <t>월요일에 뭐 할 거예요?</t>
  </si>
  <si>
    <t>운동 모임을 하기로 했어요.</t>
  </si>
  <si>
    <t>가방이 가벼워요.</t>
  </si>
  <si>
    <t>목요일에 뭐 하기로 했어요?</t>
  </si>
  <si>
    <t>그럼 같이 택시를 타요.</t>
  </si>
  <si>
    <t>동아리 모임을 하기로 했어요</t>
  </si>
  <si>
    <t>금요일에 뭐 할 거예요?</t>
  </si>
  <si>
    <t>꽃이 아름다워요.</t>
  </si>
  <si>
    <t>재민 씨하고 영화를 보기로 했어요</t>
  </si>
  <si>
    <t>언제 생일 파티를 할까요?</t>
  </si>
  <si>
    <t>토요일에 뭐 하기로 했어요?</t>
  </si>
  <si>
    <t>숙제해요. 숙제가 너무 어려워요.</t>
  </si>
  <si>
    <t>안나 씨하고 배드민턴을 치기로 했어요</t>
  </si>
  <si>
    <t>일요일에 뭐 할 거예요?</t>
  </si>
  <si>
    <t>집에서 축구 경기를 보기로 했어요.</t>
  </si>
  <si>
    <t>이번 주 주말에 해요.</t>
  </si>
  <si>
    <t>수업 후에한국어를 더 많이 공부하기로 했어요.</t>
  </si>
  <si>
    <t>제주도가 어때요?</t>
  </si>
  <si>
    <t>가정의 달</t>
  </si>
  <si>
    <t>지지난주</t>
  </si>
  <si>
    <t>몇 시에 할까요?</t>
  </si>
  <si>
    <t>면티</t>
  </si>
  <si>
    <t>바다가 아주 아름다워요.</t>
  </si>
  <si>
    <t>여러분은 지난주부터 한국어를 더 열심히 공부하기로 했 어요.</t>
  </si>
  <si>
    <t>오늘 저하고 시내에 갈까요?</t>
  </si>
  <si>
    <t>오후 6시에 해요.</t>
  </si>
  <si>
    <t>미안해요. 오늘은 남자 친구하고 저녁을 먹기로 했어요.</t>
  </si>
  <si>
    <t>공책에다가 답을 쓰세요.</t>
  </si>
  <si>
    <t>가방이 무거워요.</t>
  </si>
  <si>
    <t>공원에다가 쓰레기를 버려요.</t>
  </si>
  <si>
    <t>어디에서 생일 파티를 할까요?</t>
  </si>
  <si>
    <t>매일 청바지에다가 티셔츠를 입어요.</t>
  </si>
  <si>
    <t>국에다가 소금을 넣어요.</t>
  </si>
  <si>
    <t>내일 회의가 있어요. 뭘 입을까요?</t>
  </si>
  <si>
    <t>네, 가방이 무거워요.</t>
  </si>
  <si>
    <t>정장에다가 구두를 신으세요.</t>
  </si>
  <si>
    <t>중요한 회의</t>
  </si>
  <si>
    <t>행복식당에서 파티를 해요.</t>
  </si>
  <si>
    <t>내일 루나 파크에 갈 거예요. 뭘 입을까요?</t>
  </si>
  <si>
    <t>서울은 겨울 날씨가 어때요?</t>
  </si>
  <si>
    <t>운동복에다가 운동화를 신으세요.</t>
  </si>
  <si>
    <t>편한 옷을 입으세요.</t>
  </si>
  <si>
    <t>목에다가</t>
  </si>
  <si>
    <t>뭘 먹을까요?</t>
  </si>
  <si>
    <t>목에다가 스카프를 하세요.</t>
  </si>
  <si>
    <t>아주 추워요.</t>
  </si>
  <si>
    <t>정장에다가</t>
  </si>
  <si>
    <t>정장에다가 넥타이를 매요.</t>
  </si>
  <si>
    <t>블라우스에다가 치마를 입으세요.</t>
  </si>
  <si>
    <t>불고기랑 비빔밥을 먹어요.</t>
  </si>
  <si>
    <t>meeting (blind date)</t>
  </si>
  <si>
    <t>소개팅</t>
  </si>
  <si>
    <t>무슨 선물을 살까요?</t>
  </si>
  <si>
    <t>티셔츠에다가 반바지를 입으세요.</t>
  </si>
  <si>
    <t>스웨터에다가 장갑을 끼세요.</t>
  </si>
  <si>
    <t>바지 에다가 블라우스를 입으세요.</t>
  </si>
  <si>
    <t>운동화를 사요.</t>
  </si>
  <si>
    <t>날씨가 추워서 코트에다가 목도리를 해요.</t>
  </si>
  <si>
    <t>지은 씨는 지금 서울에 있어요.</t>
  </si>
  <si>
    <t>날씨가 추우니까 코트에다가 목도리를 해요.</t>
  </si>
  <si>
    <t>추울 때 뭘 입어요?</t>
  </si>
  <si>
    <t>그런데</t>
  </si>
  <si>
    <t>스웨터에다가 장갑을 끼고 목도리를 해요.</t>
  </si>
  <si>
    <t>운동을 할 때 뭘 입어요?</t>
  </si>
  <si>
    <t>민호 씨는 지금 부산에 있어요.</t>
  </si>
  <si>
    <t>티셔츠에다가 반바지를입고 운동화를 신어요.</t>
  </si>
  <si>
    <t>회사에 갈 때 뭘 입어요?</t>
  </si>
  <si>
    <t>그런데 한국미술관이 어디에 있어요?</t>
  </si>
  <si>
    <t>정장에다가 넥타이매고 구두를신어요.</t>
  </si>
  <si>
    <t>부산도 더워요? 아니요, 안 더워요.</t>
  </si>
  <si>
    <t>산에 갈 때 뭘 입어요?</t>
  </si>
  <si>
    <t>운동복에다가 등신화신고 모자를 써요.</t>
  </si>
  <si>
    <t>공항에 갈 때 (한국에 갈 때) 뭘 입어요?</t>
  </si>
  <si>
    <t>목적</t>
  </si>
  <si>
    <t>서울도 비가 와요? 아니요, 비가 안 와요. 맑아요.</t>
  </si>
  <si>
    <t>따뜻한 자켓에다가 스웨터를 입어요.</t>
  </si>
  <si>
    <t>비행기를 오래 타요.</t>
  </si>
  <si>
    <t>비행 시간이 길어요.</t>
  </si>
  <si>
    <t>보통 편한 옷을 입어요.</t>
  </si>
  <si>
    <t>잘 지내요.</t>
  </si>
  <si>
    <t>저도 편한 옷에다가 운동화를 신어요.</t>
  </si>
  <si>
    <t>역시</t>
  </si>
  <si>
    <t>저는 바지에다가 티셔츠를 입어요.</t>
  </si>
  <si>
    <t>always (formal)</t>
  </si>
  <si>
    <t>티셔츠에다가 청바지를 입어요.</t>
  </si>
  <si>
    <t>습관</t>
  </si>
  <si>
    <t>면바지에다가 면티를 입고 운동화 신어요</t>
  </si>
  <si>
    <t>저도 청바지에다가 스웨터하고 티셔츠를 입어요.</t>
  </si>
  <si>
    <t>언제나</t>
  </si>
  <si>
    <t>스웨터에다가 치마를 입고 목도리를 해요.</t>
  </si>
  <si>
    <t>모자티에다가 면바지를 입고 운동화.</t>
  </si>
  <si>
    <t>답장</t>
  </si>
  <si>
    <t>저도 편한 티셔츠에다가 트레이닝 바지를 입어요.</t>
  </si>
  <si>
    <t>친구 결혼식에 갈 때 보통 어떤 옷을 입어요?</t>
  </si>
  <si>
    <t>블라우스에다가 치마를 입어요</t>
  </si>
  <si>
    <t>자전거를 탈 때 어떤 옷을 입어요?</t>
  </si>
  <si>
    <t>회사에 갈 때 보통 어떤 옷차림을 해요?</t>
  </si>
  <si>
    <t>덕분</t>
  </si>
  <si>
    <t>정장에다가 구두를 신어요</t>
  </si>
  <si>
    <t>십오 도예요.</t>
  </si>
  <si>
    <t>차리다</t>
  </si>
  <si>
    <t>상차림</t>
  </si>
  <si>
    <t>상차림이 정말 예뻐요.</t>
  </si>
  <si>
    <t>혹시</t>
  </si>
  <si>
    <t>몇 도예요?</t>
  </si>
  <si>
    <t>날씨가 더울 때 보통 어떤 옷을 입어요?</t>
  </si>
  <si>
    <t>티셔츠에다가 반바지를 입어요.</t>
  </si>
  <si>
    <t>날씨가 추울 때 보통 어떤 옷을 입어요?</t>
  </si>
  <si>
    <t>집중</t>
  </si>
  <si>
    <t>영하</t>
  </si>
  <si>
    <t>스웨터에다가 코트를 입어요.</t>
  </si>
  <si>
    <t>친구 생일을 달력에다가 메모를 해요.</t>
  </si>
  <si>
    <t>저는 꼭 잭에다가 이름을 써요.</t>
  </si>
  <si>
    <t>각각</t>
  </si>
  <si>
    <t>공잭에다가 숙제을 했어요.</t>
  </si>
  <si>
    <t>영하 사 도</t>
  </si>
  <si>
    <t>에스엔에스에다가 사진을 올렸어요.</t>
  </si>
  <si>
    <t>four degrees below zero</t>
  </si>
  <si>
    <t>가방에다가 책을 넣었어요.</t>
  </si>
  <si>
    <t>음식점</t>
  </si>
  <si>
    <t>커피에다가 설탕하고 우유를 넣어요.</t>
  </si>
  <si>
    <t xml:space="preserve">셀카
</t>
  </si>
  <si>
    <t>저는 커피에다가 설탕을 안 넣어요</t>
  </si>
  <si>
    <t>다음 주말에 친구들하고 바다에 놀러 가기로 했어요.</t>
  </si>
  <si>
    <t>갑자기</t>
  </si>
  <si>
    <t>정말 좋겠어요.</t>
  </si>
  <si>
    <t>마리 씨는 왜 옷을 사요?</t>
  </si>
  <si>
    <t>마리 씨는 친구들하고 바다에 놀러 가기로 했어요.</t>
  </si>
  <si>
    <t>목소리</t>
  </si>
  <si>
    <t>마리 씨는 다음 주말에 어떤 옷을 입을 거예요?</t>
  </si>
  <si>
    <t>마리 씨는 청바지에다가 티셔츠를 입을 거예요.</t>
  </si>
  <si>
    <t>고르다</t>
  </si>
  <si>
    <t>청바지에다가 운동화를 신고 야구 모자를 쓰려고 해요.</t>
  </si>
  <si>
    <t>영하 사십 도</t>
  </si>
  <si>
    <t>우리 집에 꼭 오세요.</t>
  </si>
  <si>
    <t>Please be sure to come to our house.</t>
  </si>
  <si>
    <t>거실 창문이 커서 경치를 구경하기가 좋아요.</t>
  </si>
  <si>
    <t>minus forty degrees</t>
  </si>
  <si>
    <t>안방</t>
  </si>
  <si>
    <t>master room</t>
  </si>
  <si>
    <t>작은방</t>
  </si>
  <si>
    <t>주노 씨, 안녕하세요? 저는 5월 1일에 결혼할 거예요.</t>
  </si>
  <si>
    <t>Hello, Juno. I'm getting married on May 1st.</t>
  </si>
  <si>
    <t>손님방</t>
  </si>
  <si>
    <t>아이방</t>
  </si>
  <si>
    <t>주방</t>
  </si>
  <si>
    <t>모스크바</t>
  </si>
  <si>
    <t>부엌</t>
  </si>
  <si>
    <t>결혼식 초대</t>
  </si>
  <si>
    <t>화장실</t>
  </si>
  <si>
    <t>욕실</t>
  </si>
  <si>
    <t>세탁실</t>
  </si>
  <si>
    <t>세탁하다</t>
  </si>
  <si>
    <t>세종 호텔에서 결혼식을 할 거예요.</t>
  </si>
  <si>
    <t>자카르타</t>
  </si>
  <si>
    <t>빨래하다</t>
  </si>
  <si>
    <t>차고</t>
  </si>
  <si>
    <t>정원</t>
  </si>
  <si>
    <t>세종 호텔은 세종학당 근처에 있어요.</t>
  </si>
  <si>
    <t>마당</t>
  </si>
  <si>
    <t>앞마당</t>
  </si>
  <si>
    <t>뒷마당</t>
  </si>
  <si>
    <t>세종학당에서 똑바로 가세요.</t>
  </si>
  <si>
    <t>베란다</t>
  </si>
  <si>
    <t>한라산</t>
  </si>
  <si>
    <t>창고</t>
  </si>
  <si>
    <t>게임방</t>
  </si>
  <si>
    <t>그리고 오른쪽으로 가세요.</t>
  </si>
  <si>
    <t>경치</t>
  </si>
  <si>
    <t>scenery/view</t>
  </si>
  <si>
    <t>주택</t>
  </si>
  <si>
    <t>가격이 오르다 집값이 많이 올라요</t>
  </si>
  <si>
    <t>아파트에서 살 때는 무엇이 좋을까요? 그리고 주택에서 살 때는 무엇이 좋을까요?</t>
  </si>
  <si>
    <t>거기에 경찰서가 있어요.</t>
  </si>
  <si>
    <t>청소가 쉬워요.</t>
  </si>
  <si>
    <t>집 관리가 쉬워요.</t>
  </si>
  <si>
    <t>보안이 좋아요.</t>
  </si>
  <si>
    <t>경찰서 옆에 세종 호텔이 있어요.</t>
  </si>
  <si>
    <t>시내하고 가까워요.</t>
  </si>
  <si>
    <t>편의시설이 많아요.</t>
  </si>
  <si>
    <t>애완 동물을 쉽게 키울 수 있어요.</t>
  </si>
  <si>
    <t>반려 동물을 쉽게 키울 수 있어요.</t>
  </si>
  <si>
    <t>제 결혼식에 꼭 오세요.</t>
  </si>
  <si>
    <t>방이 여러개 있어요.</t>
  </si>
  <si>
    <t>공간이 더 많아요.</t>
  </si>
  <si>
    <t>집이 넓어요.</t>
  </si>
  <si>
    <t>안나 씨, 안녕하세요? 저는 2월 14일에 결혼을 할 거예요.</t>
  </si>
  <si>
    <t>사생활을 더 잘 보호할 수 있어요.</t>
  </si>
  <si>
    <t>비 때문에 조금 추워요</t>
  </si>
  <si>
    <t>조용해요.</t>
  </si>
  <si>
    <t>층간소음이 아주 큰 1문제예요.</t>
  </si>
  <si>
    <t>깨끗하다</t>
  </si>
  <si>
    <t>한국 호텔에서 결혼식을 할 거예요.</t>
  </si>
  <si>
    <t>넓다</t>
  </si>
  <si>
    <t>미용실</t>
  </si>
  <si>
    <t>밝다</t>
  </si>
  <si>
    <t>짐이 적다</t>
  </si>
  <si>
    <t>to have little luggage / few belongings</t>
  </si>
  <si>
    <t>지저분하다</t>
  </si>
  <si>
    <t>한국 호텔은 세종 쇼핑몰 근처에 있어요.</t>
  </si>
  <si>
    <t>놀이</t>
  </si>
  <si>
    <t>좁다</t>
  </si>
  <si>
    <t>한국에 갈 때 짐을 많이 가지고 가요?</t>
  </si>
  <si>
    <t>놀이공원</t>
  </si>
  <si>
    <t>세종 쇼핑몰에서 똑바로 가세요.</t>
  </si>
  <si>
    <t>짐을 많이 가지고 가요</t>
  </si>
  <si>
    <t>아니요, 짐이 적어요</t>
  </si>
  <si>
    <t>편하게 가려고 짐을 적게 가져가요</t>
  </si>
  <si>
    <t>빈 여행 가방</t>
  </si>
  <si>
    <t>그리고 왼쪽으로 가세요.</t>
  </si>
  <si>
    <t>케이마트</t>
  </si>
  <si>
    <t>어둡다</t>
  </si>
  <si>
    <t>어두워요</t>
  </si>
  <si>
    <t>거기에 공원이 있어요.</t>
  </si>
  <si>
    <t>짐이많다</t>
  </si>
  <si>
    <t>빅더블유</t>
  </si>
  <si>
    <t>안나 씨는 어떤 집이 좋아요?</t>
  </si>
  <si>
    <t>저는 학교하고 가까운 집이 좋아요. 그리고 넓고 밝 집이 좋아요.</t>
  </si>
  <si>
    <t>공원 옆에 한국 호텔이 있어요.</t>
  </si>
  <si>
    <t>저는 시내 가까운 집이 좋아요.</t>
  </si>
  <si>
    <t>저는 큰 이층집이 좋아요.</t>
  </si>
  <si>
    <t>기차역이 가깝고 창문이 큰 집이 좋아요.</t>
  </si>
  <si>
    <t>박물관</t>
  </si>
  <si>
    <t>공원이 가까운 집이 좋아요.</t>
  </si>
  <si>
    <t>현관</t>
  </si>
  <si>
    <t>계단이 많으면 무릎이 아파요.</t>
  </si>
  <si>
    <t>좁고 어두워요</t>
  </si>
  <si>
    <t>넓고 깨끗해요.</t>
  </si>
  <si>
    <t>시청역에서 한 번 갈아타요.</t>
  </si>
  <si>
    <t>넓고 깨끗하지만 어두워요</t>
  </si>
  <si>
    <t>지저분하지만 밝고 넓어요.</t>
  </si>
  <si>
    <t>수영장</t>
  </si>
  <si>
    <t>좁지만 깨끗해요.</t>
  </si>
  <si>
    <t xml:space="preserve">야경이 멋져요. </t>
  </si>
  <si>
    <t>저는 토요일에 도서관에 가요.</t>
  </si>
  <si>
    <t>야식</t>
  </si>
  <si>
    <t>이 책은 쉬워서 학생들이 매일 읽기가 좋아요.</t>
  </si>
  <si>
    <t>머리카락을 잘라요.</t>
  </si>
  <si>
    <t>이 책은 글씨가 커서 읽기가 좋아요.</t>
  </si>
  <si>
    <t>이 스웨터는 추운 날씨에 입기가 좋아요.</t>
  </si>
  <si>
    <t>도서관에서 책을 읽어요.</t>
  </si>
  <si>
    <t>이 도시는 살기가 좋아요.</t>
  </si>
  <si>
    <t>시드니는 바다가 많아서 살기가 좋아요.</t>
  </si>
  <si>
    <t>맛집이 많아서, 날씨가 좋아서, 공기가 좋아서</t>
  </si>
  <si>
    <t>그리고 숙제를 해요.</t>
  </si>
  <si>
    <t>이 영화는 귀여워서 동생하고 같이 보기가 좋아요.</t>
  </si>
  <si>
    <t>내용이 좋아서</t>
  </si>
  <si>
    <t>이야기가 좋아서</t>
  </si>
  <si>
    <t>머리 아파요.</t>
  </si>
  <si>
    <t>날씨가 좋아서 산책하기가 좋다</t>
  </si>
  <si>
    <t>도서관은 집에서 조금 멀어요.</t>
  </si>
  <si>
    <t>봄에는 날씨가 따뜻해서 산책하기가 좋아요.</t>
  </si>
  <si>
    <t>부엌이 넓어서 요리하기가 좋아요.</t>
  </si>
  <si>
    <t>이 책은 쉽고 재미있어서, 아이들에게 선물하기가 좋아요.</t>
  </si>
  <si>
    <t>집 근처 지하철역에서 지하철을 타요.</t>
  </si>
  <si>
    <t>이 스카프는 인기가 많아서 어머니한테 선물하기가 좋아요.</t>
  </si>
  <si>
    <t>팔이 아파요.</t>
  </si>
  <si>
    <t>도서관이 조용해서 책을 읽기가 좋았어요.</t>
  </si>
  <si>
    <t>이 바지는 시원해서 여름에 입기가 좋을 거예요.</t>
  </si>
  <si>
    <t>시청역에서 내려요.</t>
  </si>
  <si>
    <t>마리 씨 집이 어때요?</t>
  </si>
  <si>
    <t>근처에 공원이 없어서 운동하기 안 좋아요.</t>
  </si>
  <si>
    <t>놀이기구를 타요.</t>
  </si>
  <si>
    <t>회사하고 가까워서 출퇴근하기 좋아요.</t>
  </si>
  <si>
    <t>바람이 많이 불어서 산책하기 안 좋았어요.</t>
  </si>
  <si>
    <t>그리고 도서관까지 걸어서 가요.</t>
  </si>
  <si>
    <t>따뜻해서 산책하기가 좋아요.</t>
  </si>
  <si>
    <t>책을 빌려요.</t>
  </si>
  <si>
    <t>그 소설이 어때요?</t>
  </si>
  <si>
    <t>내용이 재미있어서 읽기가 좋아요.</t>
  </si>
  <si>
    <t>집에서 도서관까지 30분쯤 걸려요.</t>
  </si>
  <si>
    <t>그 만화 영화가 어땠어요?</t>
  </si>
  <si>
    <t>내용이 쉬워서 동생하고 같이 보기가 좋았어요.</t>
  </si>
  <si>
    <t>노래해요.</t>
  </si>
  <si>
    <t>저는 토요일에 한강공원에 가요.</t>
  </si>
  <si>
    <t>가을에 어디에 갈까요?</t>
  </si>
  <si>
    <t>산에 가요.단퐁이 아름다워서 구경하기가 좋을 거예요.</t>
  </si>
  <si>
    <t>봄에는 밖에서 자전거를 타기 좋아요.</t>
  </si>
  <si>
    <t>노래를 불러요.</t>
  </si>
  <si>
    <t>겨울에는 밖에서 놀기 안 좋다.</t>
  </si>
  <si>
    <t>눈사람 만들어요.</t>
  </si>
  <si>
    <t>한강공원에서 산책해요. 그리고 친구들하고 같이 농구를 해요.</t>
  </si>
  <si>
    <t>눈싸움을 해요.</t>
  </si>
  <si>
    <t>스키를 타요.</t>
  </si>
  <si>
    <t>스케이트를 타요.</t>
  </si>
  <si>
    <t>춤을 춰요.</t>
  </si>
  <si>
    <t>빵은 시간이 없을 때 먹기 좋아요.</t>
  </si>
  <si>
    <t>커피는 자기 전에 마시가 안 좋아요.</t>
  </si>
  <si>
    <t>한강공원은 집에서 조금 멀어요.</t>
  </si>
  <si>
    <t>우유는 매운 음식을 먹을 때 마시기 좋아요.</t>
  </si>
  <si>
    <t>저는 매일 청소해요.</t>
  </si>
  <si>
    <t>구경해요.</t>
  </si>
  <si>
    <t>저는 매일 청소 안 해요.</t>
  </si>
  <si>
    <t>집 근처 버스 정류장에서 버스를 타요.</t>
  </si>
  <si>
    <t>저는 매일 청소 못 해요.</t>
  </si>
  <si>
    <t>저는 매일 청소 하지 않아요.</t>
  </si>
  <si>
    <t>머는 매일 청소하지 못해요.</t>
  </si>
  <si>
    <t>저는 청소하는 것을 싫어해요.</t>
  </si>
  <si>
    <t>한강공원 앞 버스 정류장에서 내려요.</t>
  </si>
  <si>
    <t>그래서 청소를 하지 않아요.</t>
  </si>
  <si>
    <t>일이 많아서 시간이 없어요.</t>
  </si>
  <si>
    <t>그래서 청소를 하지 못해요.</t>
  </si>
  <si>
    <t>저는 도서관에 가지 않아요.</t>
  </si>
  <si>
    <t>그리고 한강공원까지 걸어서 가요.</t>
  </si>
  <si>
    <t>수영해요.</t>
  </si>
  <si>
    <t>저는 도서 관에 가지 못 해요.</t>
  </si>
  <si>
    <t>저는 안 예뻐요.</t>
  </si>
  <si>
    <t>저는 예쁘지 않아요.</t>
  </si>
  <si>
    <t>집에서 한강공원까지 30분쯤 걸려요.</t>
  </si>
  <si>
    <t>어렵지 않아요.</t>
  </si>
  <si>
    <t>집에서 일해요.</t>
  </si>
  <si>
    <t>안 어려워요.</t>
  </si>
  <si>
    <t>너를 싫어해.</t>
  </si>
  <si>
    <t>네가 싫어.</t>
  </si>
  <si>
    <t>피아노를 치는 것을 좋아해요.</t>
  </si>
  <si>
    <t>피아노를 치는 것이에요.</t>
  </si>
  <si>
    <t>친구 집</t>
  </si>
  <si>
    <t>축구를 하는 거예요.</t>
  </si>
  <si>
    <t>너무 매운 음식을 먹지 못해요.</t>
  </si>
  <si>
    <t>설사를 해요.</t>
  </si>
  <si>
    <t xml:space="preserve">저는 땅콩 알레르기가 있어요. </t>
  </si>
  <si>
    <t>그래서 땅콩을 먹지 못해요.</t>
  </si>
  <si>
    <t>산책해요</t>
  </si>
  <si>
    <t>비행기표가 너무 비싸서 올해 한국에 가지 못해요.</t>
  </si>
  <si>
    <t>게으르다</t>
  </si>
  <si>
    <t>게을러요</t>
  </si>
  <si>
    <t>부르다</t>
  </si>
  <si>
    <t>강아지하고 산책해요.</t>
  </si>
  <si>
    <t>불러요</t>
  </si>
  <si>
    <t>제 방은 큰 창문이 있어서 어둡지 않아요.</t>
  </si>
  <si>
    <t>창문이 커서 어둡지 않아요.</t>
  </si>
  <si>
    <t>매일 청소해서 지저분하지 않아요.</t>
  </si>
  <si>
    <t>매일 집에 없어서 지저분하지 않아요.</t>
  </si>
  <si>
    <t>쓰레기를 버리대</t>
  </si>
  <si>
    <t>냉장고를 버리고 싶어요.</t>
  </si>
  <si>
    <t>그런데 너무 무거워서 혼자 버리지 못해요</t>
  </si>
  <si>
    <t>김치 냉장고</t>
  </si>
  <si>
    <t>안나 씨는 매일 청소를 해요.</t>
  </si>
  <si>
    <t>동네</t>
  </si>
  <si>
    <t>그래서 방이 별로 지저분하지 않아요</t>
  </si>
  <si>
    <t>제 방에는 큰 창문이 있어요.</t>
  </si>
  <si>
    <t>그래서 방이 어둡지 않아요</t>
  </si>
  <si>
    <t>미나 씨는 뭘 안 먹어요?</t>
  </si>
  <si>
    <t>동네에서 자전거를 타요.</t>
  </si>
  <si>
    <t>저는 고기를 싫어해서 먹지 않아요.</t>
  </si>
  <si>
    <t>저는 고기를  전혀 안 먹어요.</t>
  </si>
  <si>
    <t>미나 씨는 뭘 못 먹어요?</t>
  </si>
  <si>
    <t>저는 계란을 먹을 때마다 배가 아파요. 그래서 계란을 전혀 먹지 못해요.</t>
  </si>
  <si>
    <t>제가 어렸을 때 완두콩을 먹어야 했어요.</t>
  </si>
  <si>
    <t>집에 있어요. 드라마를 봐요.</t>
  </si>
  <si>
    <t>그때 완두콩을 좋아하지 않았어요.</t>
  </si>
  <si>
    <t>완두콩을 억지로 먹었어요</t>
  </si>
  <si>
    <t>그래서 지금 완두콩을 먹으면 토해요.</t>
  </si>
  <si>
    <t>그래서 완두콩을 전혀 먹지 못해요.</t>
  </si>
  <si>
    <t>오늘 저녁에 집에 있어요?</t>
  </si>
  <si>
    <t>당근 먹는 것을 피해요.</t>
  </si>
  <si>
    <t xml:space="preserve">키위가 새콤해서 먹지 않아요. </t>
  </si>
  <si>
    <t>양고기</t>
  </si>
  <si>
    <t>냄새가 강해서 양고기를 먹지 않아요.</t>
  </si>
  <si>
    <t>아니요, 영화관에 가요. 영화를 봐요.</t>
  </si>
  <si>
    <t>재민 씨, 왜 점심을 안 먹었어요?</t>
  </si>
  <si>
    <t>배가 안 고파서 먹지 않았어요.</t>
  </si>
  <si>
    <t>방 청소했어요?</t>
  </si>
  <si>
    <t>아니요. 요즘 정말 바빠서 청소하지 못했어요.</t>
  </si>
  <si>
    <t>오늘도 학교에 가요?</t>
  </si>
  <si>
    <t>박물관에 가요?</t>
  </si>
  <si>
    <t>아니요. 오늘은 일요일이니까 학교에 가지 않아요.</t>
  </si>
  <si>
    <t>안나 씨, 어제 왜 학교에 안 왔어요?</t>
  </si>
  <si>
    <t>아, 선생님. 제가 늦게 일어나서 학교에 옷지 못했어요.</t>
  </si>
  <si>
    <t>새집이 어때요?</t>
  </si>
  <si>
    <t>네, 박물관에 가요. 구경해요.</t>
  </si>
  <si>
    <t>회사하고 멀어서 회사에 다니기가 좋지 않아요</t>
  </si>
  <si>
    <t>아니요. 저는 한국 음식을 만들지 못해요</t>
  </si>
  <si>
    <t>지금도 머리가 아파요?</t>
  </si>
  <si>
    <t>아니요, 집에 있어요. 책을 읽어요.</t>
  </si>
  <si>
    <t>아니요. 지금은 머리가 아프지 않아요.</t>
  </si>
  <si>
    <t>같이 노래방에 갈까요?</t>
  </si>
  <si>
    <t>미안해요. 오늘은 노래를 하고 싶지 않아요.</t>
  </si>
  <si>
    <t>어제 이사 잘 했어요?</t>
  </si>
  <si>
    <t>평일이라 도와주지 못해서 미안했어요.</t>
  </si>
  <si>
    <t>저도 그런 집으로 이사 가고 싶어요.</t>
  </si>
  <si>
    <t>하하하. 그렇게 좋은 집은 아니에요.</t>
  </si>
  <si>
    <t>회사에 가요. 일해요.</t>
  </si>
  <si>
    <t>ㅎㅎㅎ</t>
  </si>
  <si>
    <t>ㅋㅋㅋ</t>
  </si>
  <si>
    <t>다음에 한번 놀러 오세요.</t>
  </si>
  <si>
    <t>학교에 가요. 가르쳐요.</t>
  </si>
  <si>
    <t>주노 씨는 어제 뭐 했어요? 어땠어요?</t>
  </si>
  <si>
    <t>주노 씨는 어제 이사했어요. 짐이 많아서 이사가 좀 힘들었어요.</t>
  </si>
  <si>
    <t>주노 씨 새집은 어때요?</t>
  </si>
  <si>
    <t>넓지 않지만 거실 창문이 커서 경치를 구경하기가 좋아요.</t>
  </si>
  <si>
    <t>병원에 가요.</t>
  </si>
  <si>
    <t>커피를 마시면서 음악을 들어요</t>
  </si>
  <si>
    <t>자주 가는 장소가 있어요?</t>
  </si>
  <si>
    <t>환자를 돌봐요.</t>
  </si>
  <si>
    <t>다 너무 비싸요.</t>
  </si>
  <si>
    <t>집에서 차를 마셔야 돼요!</t>
  </si>
  <si>
    <t>차를 마시면서 한국어를 공부해요.</t>
  </si>
  <si>
    <t>환자를 도와요.</t>
  </si>
  <si>
    <t>팝콘하고 콜라를 먹으면서 영화를 봐요.</t>
  </si>
  <si>
    <t>한국 사람들은 시간이 있을 때 카페에 자주 가요/ 카페에 가서 무엇을 할까요?</t>
  </si>
  <si>
    <t>여러분도 카페에 자주 가요? 가서 무엇을 해요?</t>
  </si>
  <si>
    <t>친구를 도와요.</t>
  </si>
  <si>
    <t>일주일에 세 번정도 카페에 가요.</t>
  </si>
  <si>
    <t>포장해 주세요.</t>
  </si>
  <si>
    <t>선물을 포장해요.</t>
  </si>
  <si>
    <t>가지고 갈게요.</t>
  </si>
  <si>
    <t>수영장에 가요.</t>
  </si>
  <si>
    <t>밖에서 친구를 만날 때 카페에 가요.</t>
  </si>
  <si>
    <t>커피를 마시면서 친구하고 이야기해요.</t>
  </si>
  <si>
    <t>메뉴(판) 좀 주세요.</t>
  </si>
  <si>
    <t>수영장에서 수영해요.</t>
  </si>
  <si>
    <t>가격표</t>
  </si>
  <si>
    <t>벽</t>
  </si>
  <si>
    <t>포스터</t>
  </si>
  <si>
    <t>데이트를 해요.</t>
  </si>
  <si>
    <t>그림 액자</t>
  </si>
  <si>
    <t>공원에서 자전거를 타요.</t>
  </si>
  <si>
    <t>사진 액자</t>
  </si>
  <si>
    <t>커피 머신</t>
  </si>
  <si>
    <t>식당에서 저녁을 먹어요.</t>
  </si>
  <si>
    <t>커피 기계</t>
  </si>
  <si>
    <t>화분</t>
  </si>
  <si>
    <t>flower pot</t>
  </si>
  <si>
    <t>바닥</t>
  </si>
  <si>
    <t>천장</t>
  </si>
  <si>
    <t>식당에서 밥을 먹어요.</t>
  </si>
  <si>
    <t>꽃병</t>
  </si>
  <si>
    <t>light</t>
  </si>
  <si>
    <t>조명</t>
  </si>
  <si>
    <t>인형</t>
  </si>
  <si>
    <t>쿠션</t>
  </si>
  <si>
    <t>포도주를 마셔요.</t>
  </si>
  <si>
    <t>소파</t>
  </si>
  <si>
    <t>냅킨</t>
  </si>
  <si>
    <t>쓰레기통</t>
  </si>
  <si>
    <t>trash can / garbage bin</t>
  </si>
  <si>
    <t>바체어</t>
  </si>
  <si>
    <t>카페에서 친구를 만나요.</t>
  </si>
  <si>
    <t>바테이블</t>
  </si>
  <si>
    <t>커피원두</t>
  </si>
  <si>
    <t>놓여 있다</t>
  </si>
  <si>
    <t>걸려 있다</t>
  </si>
  <si>
    <t>집에서 드라마를 봐요.</t>
  </si>
  <si>
    <t>꽃병을 테이블 위에 놓아요.</t>
  </si>
  <si>
    <t>꽃병이 테이블 위에 놓여요.</t>
  </si>
  <si>
    <t>꽃병이 테이블 위에 놓여 있어요.</t>
  </si>
  <si>
    <t>옷이 옷걸이에 걸려 있어요.</t>
  </si>
  <si>
    <t>백화점에서 쇼핑을 해요.</t>
  </si>
  <si>
    <t>커피 머신이 바 테이블 위에 놓여 있어요.</t>
  </si>
  <si>
    <t>등이 천장에 걸려 있어요.</t>
  </si>
  <si>
    <t>매뉴가 벽에 걸려 있어요.</t>
  </si>
  <si>
    <t>커피 테이블이 소파 앞에 놓여 있어요.</t>
  </si>
  <si>
    <t>쿠션이 소파 위에 놓여 있어요.</t>
  </si>
  <si>
    <t>벽난로</t>
  </si>
  <si>
    <t>벽난로 위에 사진 액자와 초가 놓여 있어요.</t>
  </si>
  <si>
    <t>시골에서 벽난로가 있는 집에 살고 싶어요.</t>
  </si>
  <si>
    <t>벽돌</t>
  </si>
  <si>
    <t>방에 거울이 놓여 있어요.</t>
  </si>
  <si>
    <t>교복이 벽에 걸려 있어요.</t>
  </si>
  <si>
    <t>맥북이 테이블 위에 놓여 있어요.</t>
  </si>
  <si>
    <t>옷이 어디에 있어요?</t>
  </si>
  <si>
    <t>옷걸이에 걸려 있어요</t>
  </si>
  <si>
    <t>텔레비전이 어디에 있어요?</t>
  </si>
  <si>
    <t>계획</t>
  </si>
  <si>
    <t>벽 에 걸려 있어요</t>
  </si>
  <si>
    <t>테이블 위에 뭐가 있어요?</t>
  </si>
  <si>
    <t>꽃병하고 리모콘이 테이블 위에 놓여 있어요</t>
  </si>
  <si>
    <t>벽에 뭐가 있어요?</t>
  </si>
  <si>
    <t>시계하고 그림 걸려 있어요.</t>
  </si>
  <si>
    <t>선반이 두개 걸려 있어요.</t>
  </si>
  <si>
    <t>민호 씨, 지금 뭐 하고 있어요?</t>
  </si>
  <si>
    <t>청소해요.</t>
  </si>
  <si>
    <t>음악을 들으면서 산책해요</t>
  </si>
  <si>
    <t>음식을 만들면서 티비를 봐요.</t>
  </si>
  <si>
    <t>음악을 들으면서 운동해요.</t>
  </si>
  <si>
    <t>핸드폰을 보면서 친구를 괴롭혀요.</t>
  </si>
  <si>
    <t>빨래해요.</t>
  </si>
  <si>
    <t>식기세척기를 사용해요?</t>
  </si>
  <si>
    <t>손으로 설거지를 해요. 설거지를 하면서 러닝맨을 봐요.</t>
  </si>
  <si>
    <t>아는 형님</t>
  </si>
  <si>
    <t>설거지해요.</t>
  </si>
  <si>
    <t>자막을 보면서 영상을 보세요</t>
  </si>
  <si>
    <t>요리해요.</t>
  </si>
  <si>
    <t>예능 프로그램</t>
  </si>
  <si>
    <t>친구하고 이야기하면서 산책해요.</t>
  </si>
  <si>
    <t>저는 밥을 먹으면서 텔레비전을 봐요.</t>
  </si>
  <si>
    <t>토요일에 공원에 가요</t>
  </si>
  <si>
    <t>음악을 들으면서 공부해요.</t>
  </si>
  <si>
    <t>친구들과 게임을 하면서 놀고 있어요.</t>
  </si>
  <si>
    <t>여행을 다니면서 외국어를 공부해요.</t>
  </si>
  <si>
    <t>형용사</t>
  </si>
  <si>
    <t>먹으면서</t>
  </si>
  <si>
    <t>읽으면서</t>
  </si>
  <si>
    <t>입으면서</t>
  </si>
  <si>
    <t>찍으면서</t>
  </si>
  <si>
    <t>공원에서 조깅해요.</t>
  </si>
  <si>
    <t>들으면서</t>
  </si>
  <si>
    <t>보면서</t>
  </si>
  <si>
    <t>마시면서</t>
  </si>
  <si>
    <t>드라마를 보면서 친구하고 이야기해요</t>
  </si>
  <si>
    <t>대학교에 다니면서 아르바이트를 해요</t>
  </si>
  <si>
    <t>달리다</t>
  </si>
  <si>
    <t>친구를 기다리면서 책을 읽어요</t>
  </si>
  <si>
    <t>케이크를 먹으면서 우유를 마셔요</t>
  </si>
  <si>
    <t>달리기를 해요.</t>
  </si>
  <si>
    <t>음식을 만들면서 친구를 기다려요.</t>
  </si>
  <si>
    <t>비가 오면 파전하고 막걸리를 먹어요!!</t>
  </si>
  <si>
    <t>주말에 뭐 했어요?</t>
  </si>
  <si>
    <t>친구하고 게임을 하면서 놀았어요</t>
  </si>
  <si>
    <t>일요일에 뭐 해요?</t>
  </si>
  <si>
    <t>한강에서 음악을 들으면서 운동했어요</t>
  </si>
  <si>
    <t>달리기</t>
  </si>
  <si>
    <t>밥을 먹으면서 준비를 할 거예요</t>
  </si>
  <si>
    <t>밥을 먹으면서 친구 만날 준비를 할거예요</t>
  </si>
  <si>
    <t>영화관에서 영화를 봐요.</t>
  </si>
  <si>
    <t>외출 준비</t>
  </si>
  <si>
    <t>근육 회복</t>
  </si>
  <si>
    <t>여러분 방 벽에도 액자가 걸려 있어요?</t>
  </si>
  <si>
    <t>오늘 회사에 가요?</t>
  </si>
  <si>
    <t>한국 아이돌 포스터가 벽에 걸려 있어요.</t>
  </si>
  <si>
    <t>제일 좋아하는 아이돌이 누구예요?</t>
  </si>
  <si>
    <t>디트만 씨는 프로틴 바(단백질 바)를 먹으면서 선생님하고 이야기했어요.</t>
  </si>
  <si>
    <t>아니요, 집에서 쉬어요.</t>
  </si>
  <si>
    <t>밥을 먹으면서 한국 드라마를 봐요.</t>
  </si>
  <si>
    <t>유튜브를 봐요.</t>
  </si>
  <si>
    <t>주말에 집에서 쉬어요?</t>
  </si>
  <si>
    <t>유재석의 B&amp;B</t>
  </si>
  <si>
    <t>2박 3일</t>
  </si>
  <si>
    <t>1박 2일 강호동</t>
  </si>
  <si>
    <t>친구 집에서 게임을 해요.</t>
  </si>
  <si>
    <t>주노 씨는 한국 드라마를 좋아해요.</t>
  </si>
  <si>
    <t>주노 씨는 한국 드라마를 좋아하지요?</t>
  </si>
  <si>
    <t>오늘 시드니는 날씨가 좋지요?</t>
  </si>
  <si>
    <t>방에서 자요.</t>
  </si>
  <si>
    <t>네. 정말 좋아요.</t>
  </si>
  <si>
    <t>아니요. 조금 흐려요.</t>
  </si>
  <si>
    <t>한국 치킨은 정말 맛있지요?</t>
  </si>
  <si>
    <t>집에서 공부해요.</t>
  </si>
  <si>
    <t>이번 방학에 한국에 가지요?</t>
  </si>
  <si>
    <t>어제 시드니는 날씨가 안 좋았지요?</t>
  </si>
  <si>
    <t>내일은 회사에 갈 거지요?</t>
  </si>
  <si>
    <t>쉽죠?</t>
  </si>
  <si>
    <t>어제 한국 드라마를 봤지요?</t>
  </si>
  <si>
    <t>가지요?</t>
  </si>
  <si>
    <t>알지요?</t>
  </si>
  <si>
    <t>맛있지요?</t>
  </si>
  <si>
    <t>예쁘지요?</t>
  </si>
  <si>
    <t>재미있지요?</t>
  </si>
  <si>
    <t>오늘 비가 정말 많이 오지요?</t>
  </si>
  <si>
    <t>네, 정말 많이 와요.</t>
  </si>
  <si>
    <t>미나 씨, 이번 주말에 한국어 시험을 보지요?</t>
  </si>
  <si>
    <t>주로 어디에서 수영해요?</t>
  </si>
  <si>
    <t>네. 그래서 열심히 공부하고 있어요.</t>
  </si>
  <si>
    <t>저 사람 너무 멋있지요?</t>
  </si>
  <si>
    <t>글쎄요. 저는 잘 모르겠어요.</t>
  </si>
  <si>
    <t>우리 토요일에 만나기로 했지요?</t>
  </si>
  <si>
    <t>네. 맞아요. 2시에 만나기로 했어요.</t>
  </si>
  <si>
    <t>안나 씨는 회사원이지요?</t>
  </si>
  <si>
    <t>아니요. 학생이에요.</t>
  </si>
  <si>
    <t>의사지요?</t>
  </si>
  <si>
    <t>다했지요?</t>
  </si>
  <si>
    <t>다 했죠?</t>
  </si>
  <si>
    <t>다 먹었죠?</t>
  </si>
  <si>
    <t>그럼 우리 커피 마시자.</t>
  </si>
  <si>
    <t>시험을 잘 보세요.</t>
  </si>
  <si>
    <t>시험을 잘 봤어요.</t>
  </si>
  <si>
    <t>백화점에서 쇼핑해요.</t>
  </si>
  <si>
    <t>시험을 잘 못 봤어요.</t>
  </si>
  <si>
    <t>시험을 못 봤어요.</t>
  </si>
  <si>
    <t>내가 아는 것</t>
  </si>
  <si>
    <t>한국 사람들은 모두 매운 음식을 잘 먹어요.</t>
  </si>
  <si>
    <t>선생님, 한국 사람들은 모두 매운 음식을 잘 먹지요?</t>
  </si>
  <si>
    <t>토요일에 회사에 가요?</t>
  </si>
  <si>
    <t>한국은 사계절이 있어요.</t>
  </si>
  <si>
    <t>한국은 사계절이 있지요?</t>
  </si>
  <si>
    <t>한국은 전통시장이 많이 있어요.</t>
  </si>
  <si>
    <t>한국은 전통시장이 많이 있지요?</t>
  </si>
  <si>
    <t>아니요, 집에서 고양이하고 쉬어요.</t>
  </si>
  <si>
    <t>한국 사람들은 모두 김치를 좋아하지요?</t>
  </si>
  <si>
    <t>거의 모든 한국 사람들이 김치를 좋아하고 잘 먹어요.</t>
  </si>
  <si>
    <t>한국 여름은 아주 덥지요?</t>
  </si>
  <si>
    <t>네. 맞아요. 한국 여름은 아주 덥고 습해요.</t>
  </si>
  <si>
    <t>날씨가 건조해서 괜찮아요.</t>
  </si>
  <si>
    <t>주말에 친구를 만나요?</t>
  </si>
  <si>
    <t>네. 호주처럼 한국도 사계절이 있어요.</t>
  </si>
  <si>
    <t>그런데 계절은 반대예요.</t>
  </si>
  <si>
    <t>한국 사람들은 모두 스포츠를 좋아하고 야외 활동을 좋아하지요?</t>
  </si>
  <si>
    <t>BTS를 알지요?</t>
  </si>
  <si>
    <t>네. BTS를 모르면 한국 사람이 아니에요.</t>
  </si>
  <si>
    <t>네, 카페에서 친구를 만나요.</t>
  </si>
  <si>
    <t>한국 사람들은 다 피부관리를 열심히 하죠?</t>
  </si>
  <si>
    <t>그러면 저는 호주 사람이에요?</t>
  </si>
  <si>
    <t>요즘에는 남자들이 더 피부관리를 해요.</t>
  </si>
  <si>
    <t>한국의 초등학생들은 모두 학교에서 영어를 배우죠?</t>
  </si>
  <si>
    <t>영어 학원에 많이 다녀요.</t>
  </si>
  <si>
    <t>금요일 저녁에 운동해요?</t>
  </si>
  <si>
    <t>한국은 겨울에 눈이 많이 오죠?</t>
  </si>
  <si>
    <t>한국 사람들은 항상 빨리빨리 하죠?</t>
  </si>
  <si>
    <t>한국은 와이파이 속도가 빠르죠?</t>
  </si>
  <si>
    <t>세상에서 제일 빨라요.</t>
  </si>
  <si>
    <t>네, 공원에서 자전거를 타요.</t>
  </si>
  <si>
    <t>한국에서는 대학 입시가 중요하죠?</t>
  </si>
  <si>
    <t>입학 시험</t>
  </si>
  <si>
    <t>수능</t>
  </si>
  <si>
    <t>미용실에서 머리를 잘라요.</t>
  </si>
  <si>
    <t>내일이 수능 날이에요.</t>
  </si>
  <si>
    <t>강남에 입시 학원이 많이 있어요.</t>
  </si>
  <si>
    <t>놀이공원에서 놀이기구를 타요.</t>
  </si>
  <si>
    <t>저 모자 예쁘지요?</t>
  </si>
  <si>
    <t>네. 정말 예뻐요.</t>
  </si>
  <si>
    <t>그 영화 재미있었지요?</t>
  </si>
  <si>
    <t>네. 정말 재미있었어요.</t>
  </si>
  <si>
    <t>안나 씨를 알지요?</t>
  </si>
  <si>
    <t>도서관에서 공부해요.</t>
  </si>
  <si>
    <t>네 잘 알아요. 안나 씨는 제 친구예요.</t>
  </si>
  <si>
    <t>네. 한국에 가서 친구를 만나려고 해요.</t>
  </si>
  <si>
    <t>유진 씨 전화번호는 010 1562 9122지요?</t>
  </si>
  <si>
    <t>도서관에서 책을 빌려요.</t>
  </si>
  <si>
    <t>네. 맞아요.</t>
  </si>
  <si>
    <t>유진 씨가 좋아하는 음식은 불고기지요?</t>
  </si>
  <si>
    <t>유진 씨는 불고기를 좋아하지요?</t>
  </si>
  <si>
    <t>네. 맞아요. 불고기를 좋아해요.</t>
  </si>
  <si>
    <t>유진 씨는 게임을 좋아하지요?</t>
  </si>
  <si>
    <t>학교에 다녀요.</t>
  </si>
  <si>
    <t>네, 시간이 있을 때마다 게임을 해요.</t>
  </si>
  <si>
    <t>카페에 대해 이야기해요.</t>
  </si>
  <si>
    <t>와, 이 카페 분위기가 정말 좋아요.</t>
  </si>
  <si>
    <t>가끔 심심할 때는 여기저기 놓여 있는 잡지도 읽고요.</t>
  </si>
  <si>
    <t>학생이었어요.</t>
  </si>
  <si>
    <t>심심하다</t>
  </si>
  <si>
    <t>쉬고 싶을 때 카페에 가요.</t>
  </si>
  <si>
    <t>의사였어요.</t>
  </si>
  <si>
    <t>김치찌개에다가 돼지고기를 넣을 거예요.</t>
  </si>
  <si>
    <t>싱겁다 싱거워요. 국에다가 소금을 넣어요.</t>
  </si>
  <si>
    <t>이 찌개가 너무 짜요.</t>
  </si>
  <si>
    <t>찌개에다가 물을 좀 넣으세요.</t>
  </si>
  <si>
    <t>학교에 갔어요.</t>
  </si>
  <si>
    <t>지금 여러분의 방이 어때요? 지저분해요.</t>
  </si>
  <si>
    <t>지저분해서 서가를 사고 싶어요.</t>
  </si>
  <si>
    <t>별로 없어요.</t>
  </si>
  <si>
    <t>전혀 없어요.</t>
  </si>
  <si>
    <t>전혀 안 먹어요.</t>
  </si>
  <si>
    <t>공부했어요.</t>
  </si>
  <si>
    <t>아예 안 먹어요.</t>
  </si>
  <si>
    <t>부엌이 넓어서 요리하기 좋아요.</t>
  </si>
  <si>
    <t>도서관이 조용해서 책을 읽기 좋았어요.</t>
  </si>
  <si>
    <t>와 길이 정말 좁아요.</t>
  </si>
  <si>
    <t>네. 그래서 산책하기(안)좋아요.</t>
  </si>
  <si>
    <t>저는 어제 한국어를 공부했어요.</t>
  </si>
  <si>
    <t>오늘 맑아서 빨래하기 좋아요.</t>
  </si>
  <si>
    <t>오늘 흐려서 빨래하기 안 좋아요.</t>
  </si>
  <si>
    <t>여러분 어제 한국어를 공부했어요?</t>
  </si>
  <si>
    <t>안나 씨는 매일 청소를 해서 방이 별로 지저분하지 않아요.</t>
  </si>
  <si>
    <t>안나 씨는 매일 청소를 해서 방이 안 지저분해요.</t>
  </si>
  <si>
    <t>이 분은 제 선생님이세요.</t>
  </si>
  <si>
    <t>여기저기 놓여 있는 잡지를 읽어요.</t>
  </si>
  <si>
    <t>그렇죠?</t>
  </si>
  <si>
    <t>아니요, 친구하고 놀았어요.</t>
  </si>
  <si>
    <t>도서관에서 책을 읽었어요.</t>
  </si>
  <si>
    <t>어제 날씨가 어땠어요?</t>
  </si>
  <si>
    <t>아주 좋았어요.</t>
  </si>
  <si>
    <t>어제 바람이 불었어요.</t>
  </si>
  <si>
    <t>어제 추웠어요.</t>
  </si>
  <si>
    <t>예뻤어요.</t>
  </si>
  <si>
    <t>영화가 좋았어요.</t>
  </si>
  <si>
    <t>영화를 좋아했어요.</t>
  </si>
  <si>
    <t>집에 일찍 갔어요.</t>
  </si>
  <si>
    <t>집에 일찍 왔어요.</t>
  </si>
  <si>
    <t>라면이 맛있었어요.</t>
  </si>
  <si>
    <t>어제 수영을 했어요?</t>
  </si>
  <si>
    <t>아니요, 집에서 쉬었어요.</t>
  </si>
  <si>
    <t>친구하고 같이 김밥을 만들었어요.</t>
  </si>
  <si>
    <t>어제 오후에 뭐 했어요?</t>
  </si>
  <si>
    <t>친구를 만났어요.</t>
  </si>
  <si>
    <t>어제 부산은 날씨가 시원했어요?</t>
  </si>
  <si>
    <t>아니요, 날씨가 더웠어요.</t>
  </si>
  <si>
    <t>재미있어요.</t>
  </si>
  <si>
    <t>식당에서 불고기를 먹었어요.</t>
  </si>
  <si>
    <t>맛있었어요.</t>
  </si>
  <si>
    <t>부모님 집에 갔어요.</t>
  </si>
  <si>
    <t>요리했어요.</t>
  </si>
  <si>
    <t>케이크를 만들었어요.</t>
  </si>
  <si>
    <t>베이킹을 했어요.</t>
  </si>
  <si>
    <t>친구하고 공원에서 자전거를 탔어요.</t>
  </si>
  <si>
    <t>박물관에서 구경했어요.</t>
  </si>
  <si>
    <t>동사</t>
  </si>
  <si>
    <t>갔어요</t>
  </si>
  <si>
    <t>봤어요</t>
  </si>
  <si>
    <t>좋았어요</t>
  </si>
  <si>
    <t>만났어요</t>
  </si>
  <si>
    <t>미수</t>
  </si>
  <si>
    <t>먹었어요</t>
  </si>
  <si>
    <t>주부</t>
  </si>
  <si>
    <t>은행원</t>
  </si>
  <si>
    <t>태권도</t>
  </si>
  <si>
    <t>쉬었어요</t>
  </si>
  <si>
    <t>자막없이</t>
  </si>
  <si>
    <t>웨스트라이드</t>
  </si>
  <si>
    <t>읽었어요</t>
  </si>
  <si>
    <t>예능프로그램</t>
  </si>
  <si>
    <t>부산(경성대)</t>
  </si>
  <si>
    <t>추웠어요</t>
  </si>
  <si>
    <t>스트레스 증상</t>
  </si>
  <si>
    <t>스트레스를 받으면 가슴이 답답해요</t>
  </si>
  <si>
    <t>더웠어요</t>
  </si>
  <si>
    <t>답답해요</t>
  </si>
  <si>
    <t>설문조사</t>
  </si>
  <si>
    <t>직장</t>
  </si>
  <si>
    <t>workplace</t>
  </si>
  <si>
    <t>한국 사람들이 스트레스를 받는 곳</t>
  </si>
  <si>
    <t>아름다웠어요</t>
  </si>
  <si>
    <t>일상생활</t>
  </si>
  <si>
    <t>68프로</t>
  </si>
  <si>
    <t>오십점 오 퍼센트</t>
  </si>
  <si>
    <t>fifty point five percent</t>
  </si>
  <si>
    <t>사싶일 프로</t>
  </si>
  <si>
    <t>fourty one percent</t>
  </si>
  <si>
    <t>육아 스트레스</t>
  </si>
  <si>
    <t>좋은 남편</t>
  </si>
  <si>
    <t>일했어요</t>
  </si>
  <si>
    <t>간병인</t>
  </si>
  <si>
    <t>간병</t>
  </si>
  <si>
    <t>가족 문제</t>
  </si>
  <si>
    <t>동료</t>
  </si>
  <si>
    <t>수영했어요</t>
  </si>
  <si>
    <t>공부할 게 많아서</t>
  </si>
  <si>
    <t>머리가 복잡하다</t>
  </si>
  <si>
    <t>속이 안 좋다</t>
  </si>
  <si>
    <t>얼굴이 붓다</t>
  </si>
  <si>
    <t>공부했어요</t>
  </si>
  <si>
    <t>눈이 붓다</t>
  </si>
  <si>
    <t>잠이 안 오다</t>
  </si>
  <si>
    <t>얼굴에 뭐가 나다</t>
  </si>
  <si>
    <t>따뜻했어요</t>
  </si>
  <si>
    <t>가슴이 답답하다</t>
  </si>
  <si>
    <t>어디 안 좋아요?</t>
  </si>
  <si>
    <t>네. 머리가 복잡해요.</t>
  </si>
  <si>
    <t>어제 아팠어요.</t>
  </si>
  <si>
    <t>많이 피곤해요?</t>
  </si>
  <si>
    <t>네. 어제 잠이 안 와서 못 잤어요.</t>
  </si>
  <si>
    <t>무슨 일 있어요?</t>
  </si>
  <si>
    <t>들었어요</t>
  </si>
  <si>
    <t>요즘 스트레스를 많이 받아서 가슴이 답답해요.</t>
  </si>
  <si>
    <t>요즘 일이 많아서 스트레스를 많이 받아요.</t>
  </si>
  <si>
    <t>걱정이 많아서 가슴이 답답해요.</t>
  </si>
  <si>
    <t>어제 친구를 만났어요.</t>
  </si>
  <si>
    <t>생각할 게 너무 많아서 머리가 복잡해요.</t>
  </si>
  <si>
    <t>시험 때문에 요즘 머리가 정말 복잡해요.</t>
  </si>
  <si>
    <t>어제 음식을 잘못 먹어서 속이 안 좋아요.</t>
  </si>
  <si>
    <t>어제 짜게 먹어서 얼굴이 좀 부었어요.</t>
  </si>
  <si>
    <t>어제 날씨가 더웠어요.</t>
  </si>
  <si>
    <t>울어서 눈이 부었어요.</t>
  </si>
  <si>
    <t>스트레스를 받아서 잠이 잘 안 와요.</t>
  </si>
  <si>
    <t>밤에 생각이 많아서 잠이 안 왔어요.</t>
  </si>
  <si>
    <t>요즘 스트레스 때문에 얼굴에 뭐가 났어요.</t>
  </si>
  <si>
    <t>어제 집에서 쉬었어요.</t>
  </si>
  <si>
    <t>초콜릿 많이 먹으면 얼굴에 뭐가 나요.</t>
  </si>
  <si>
    <t>어제 잠을 못 자서 얼굴이 붓고 속이 안 좋아요</t>
  </si>
  <si>
    <t>스트레스를 받을 때 몸이 어때요?</t>
  </si>
  <si>
    <t>어제 영화를 봤어요.</t>
  </si>
  <si>
    <t>저는 스트레스를 받을 때 잠이 안 와요</t>
  </si>
  <si>
    <t>어디가 안 좋아요?</t>
  </si>
  <si>
    <t>요즘 가슴이 답답해요</t>
  </si>
  <si>
    <t>얼굴에 머가 나서 병원에 가요.</t>
  </si>
  <si>
    <t>어제 게임을 했어요.</t>
  </si>
  <si>
    <t>날씨가 좋으면 산에 가요.</t>
  </si>
  <si>
    <t>날씨가 안 좋으면 집에서 쉬어요.</t>
  </si>
  <si>
    <t>어제 한국어를 공부했어요.</t>
  </si>
  <si>
    <t>먹으면</t>
  </si>
  <si>
    <t>많으면</t>
  </si>
  <si>
    <t>좋으면</t>
  </si>
  <si>
    <t>들으면</t>
  </si>
  <si>
    <t>쉬우면</t>
  </si>
  <si>
    <t>가면</t>
  </si>
  <si>
    <t>if you go</t>
  </si>
  <si>
    <t>마시면</t>
  </si>
  <si>
    <t>아프면</t>
  </si>
  <si>
    <t>집에서 청소했어요.</t>
  </si>
  <si>
    <t>피곤하면</t>
  </si>
  <si>
    <t>힘들면</t>
  </si>
  <si>
    <t>어려우면</t>
  </si>
  <si>
    <t>만들면</t>
  </si>
  <si>
    <t>추우면</t>
  </si>
  <si>
    <t>지으면</t>
  </si>
  <si>
    <t>토요일 저녁에 뭐 했어요?</t>
  </si>
  <si>
    <t>입으면</t>
  </si>
  <si>
    <t>걸으면</t>
  </si>
  <si>
    <t>닫으면</t>
  </si>
  <si>
    <t>열면</t>
  </si>
  <si>
    <t>집에서 요리했어요.</t>
  </si>
  <si>
    <t>수업이 끝나면 친구하고 점심을 먹어요</t>
  </si>
  <si>
    <t>숙제를 다 하면 드라마를 봐요</t>
  </si>
  <si>
    <t>날씨가 좋으면 자전거를 타요</t>
  </si>
  <si>
    <t>공원에서 걸으면 기분이 좋아요</t>
  </si>
  <si>
    <t>그 책이 어땠어요?</t>
  </si>
  <si>
    <t>날씨가 추우면 따뜻한 차를 마셔요</t>
  </si>
  <si>
    <t>비가 안 오면 등산을 할 거예요</t>
  </si>
  <si>
    <t>날씨가 더우면 바다에서 수영할 거예요.</t>
  </si>
  <si>
    <t>이 책이 안 좋았어요.</t>
  </si>
  <si>
    <t>단 음식을 먹으면 기분이 좋아요.</t>
  </si>
  <si>
    <t>저는 머리가 아프면 자요.</t>
  </si>
  <si>
    <t>날씨가 추우면 옷을 많이 입으세요.</t>
  </si>
  <si>
    <t>시간이 있으면 여행 가고 싶어요.</t>
  </si>
  <si>
    <t>재미없었어요.</t>
  </si>
  <si>
    <t>수업이 끝나면 뭐 할 거예요?</t>
  </si>
  <si>
    <t>수업이 끝나면 친구하고 밥을 먹을 거예요.</t>
  </si>
  <si>
    <t>어려웠어요.</t>
  </si>
  <si>
    <t>얼굴이 많이 부었어요.</t>
  </si>
  <si>
    <t>젓다</t>
  </si>
  <si>
    <t>to stir / row</t>
  </si>
  <si>
    <t>짓다</t>
  </si>
  <si>
    <t>to build / make</t>
  </si>
  <si>
    <t>낫다</t>
  </si>
  <si>
    <t>to get better / recover</t>
  </si>
  <si>
    <t>집에서 보드게임을 했어요.</t>
  </si>
  <si>
    <t>긋다</t>
  </si>
  <si>
    <t>이름을 지어요</t>
  </si>
  <si>
    <t>집을 지어요.</t>
  </si>
  <si>
    <t>마리 씨는 집에서 쉬었어요.</t>
  </si>
  <si>
    <t>학교를 지어요</t>
  </si>
  <si>
    <t>밥을 지어요</t>
  </si>
  <si>
    <t>감기가 나았어요</t>
  </si>
  <si>
    <t>우진 씨는 친구하고 공원에서 산책했어요.</t>
  </si>
  <si>
    <t>줄을 긋다</t>
  </si>
  <si>
    <t>Woojin went hiking with his friend at the park.</t>
  </si>
  <si>
    <t>밑줄을 그으세요</t>
  </si>
  <si>
    <t>씻다</t>
  </si>
  <si>
    <t>웃다</t>
  </si>
  <si>
    <t>수지 씨는 도심에서 친구를 만났어요.</t>
  </si>
  <si>
    <t>벗다</t>
  </si>
  <si>
    <t>모기가 물어서 눈이 부었어요.</t>
  </si>
  <si>
    <t>지금 라면을 먹으면 내일 아침에 얼굴이 부으니까 먹지 마세요.</t>
  </si>
  <si>
    <t>재민 씨는 미술관에서 구경했어요.</t>
  </si>
  <si>
    <t>컵에 커피와 크림, 설탕을 넣고 저으세요.</t>
  </si>
  <si>
    <t>어느 색(깔)이 더 나아요?</t>
  </si>
  <si>
    <t>새 집을 지었어요.</t>
  </si>
  <si>
    <t>부모님</t>
  </si>
  <si>
    <t>강아지 이름을 한국어로 지었어요.</t>
  </si>
  <si>
    <t>감기가 나았어요.</t>
  </si>
  <si>
    <t>연필로 그으세요.</t>
  </si>
  <si>
    <t>나아요</t>
  </si>
  <si>
    <t>나으니까</t>
  </si>
  <si>
    <t>낫습니다</t>
  </si>
  <si>
    <t>나으세요</t>
  </si>
  <si>
    <t>낫고 있어요</t>
  </si>
  <si>
    <t>부어요</t>
  </si>
  <si>
    <t>부으니까</t>
  </si>
  <si>
    <t>약속</t>
  </si>
  <si>
    <t>붓습니다</t>
  </si>
  <si>
    <t>부으세요</t>
  </si>
  <si>
    <t>붓고 있어요</t>
  </si>
  <si>
    <t>저어요</t>
  </si>
  <si>
    <t>롯데월드</t>
  </si>
  <si>
    <t>지으니까</t>
  </si>
  <si>
    <t>젓습니다</t>
  </si>
  <si>
    <t>저으세요</t>
  </si>
  <si>
    <t>젓고 있어요</t>
  </si>
  <si>
    <t>씻어요</t>
  </si>
  <si>
    <t>에버랜드</t>
  </si>
  <si>
    <t>씻으니까</t>
  </si>
  <si>
    <t>씻습니다</t>
  </si>
  <si>
    <t>어제 잠을 못 자서 얼굴이 부었어요.</t>
  </si>
  <si>
    <t xml:space="preserve">약을 먹고 아픈 것이 다 나았어요.
</t>
  </si>
  <si>
    <t>이 빌딩은 10년 전에 짓었어요.</t>
  </si>
  <si>
    <t>우유에 꿀을 넣고 저었어요.</t>
  </si>
  <si>
    <t>어제 많이 울어서 눈이 부었어요.</t>
  </si>
  <si>
    <t>누가 이름을 지었어요?</t>
  </si>
  <si>
    <t>우리 같이 놀이공원에 갈까요?</t>
  </si>
  <si>
    <t>요리하기 전에 손을 씻으세요.</t>
  </si>
  <si>
    <t>사진을 찍을 때는 웃어 보세요.</t>
  </si>
  <si>
    <t>라면을 먹고 자면 얼굴이 부어요.</t>
  </si>
  <si>
    <t>생강차를 마시면 감기가 빨리 나을 거예요.</t>
  </si>
  <si>
    <t>따뜻한 물에 약을 넣고 잘 저어서 드세요.</t>
  </si>
  <si>
    <t>강아지 이름을 뭐라고 지을 거예요?</t>
  </si>
  <si>
    <t>오늘 시간이 있어요?</t>
  </si>
  <si>
    <t>해피라고 지을 거예요.</t>
  </si>
  <si>
    <t>어떻게 하면 감기가 빨리 나아요?</t>
  </si>
  <si>
    <t>물을 많이 마시세요.</t>
  </si>
  <si>
    <t>시간이 있어요.</t>
  </si>
  <si>
    <t>잠을 많이 자세요.</t>
  </si>
  <si>
    <t>Oscar라고 지을 거예요.</t>
  </si>
  <si>
    <t>아스카디언</t>
  </si>
  <si>
    <t>아들</t>
  </si>
  <si>
    <t>특별한 일이 없어요.</t>
  </si>
  <si>
    <t>잠을 많이 자면 감기가 빨리 나을 거예요.</t>
  </si>
  <si>
    <t>튼 목이 아플 때 한 시간마다 꿀 한 숟 가락을 먹으면</t>
  </si>
  <si>
    <t>유진 씨는 왜 어젯밤에 라면을 먹었어요?</t>
  </si>
  <si>
    <t>시간이 없어요.</t>
  </si>
  <si>
    <t>저녁을 못 먹어서</t>
  </si>
  <si>
    <t>유진 씨는 스트레스를 받으면 어때요?</t>
  </si>
  <si>
    <t>가슴이 답답하고 자꾸 매운 음식이 먹고 싶어요</t>
  </si>
  <si>
    <t>요즘과제가 많서 너무 힘들어요.</t>
  </si>
  <si>
    <t>다른 약속이 있어요.</t>
  </si>
  <si>
    <t>속이 안 좋다 스트레스를 많이 받지요?</t>
  </si>
  <si>
    <t>요즘 일이 많아서 너무 힘들어요.</t>
  </si>
  <si>
    <t>일이 많으면 스트레스를 많이 받지요?</t>
  </si>
  <si>
    <t>네. 스트레스 받아서 머리가 복잡해요. 마리 씨는 이럴 때 어떻게 해요?</t>
  </si>
  <si>
    <t>오늘은 바빠요.</t>
  </si>
  <si>
    <t>저는 머리가 복잡하면 공원에서 산책해요.</t>
  </si>
  <si>
    <t>요즘 과제가 많아서 너무 힘들어요.</t>
  </si>
  <si>
    <t>과제가 많으면 속이 안 좋지요?</t>
  </si>
  <si>
    <t>네. 속이 안 좋아서 머리가 복잡해요. 마리 씨는 이럴 때 어떻게 해요?</t>
  </si>
  <si>
    <t>바쁘다</t>
  </si>
  <si>
    <t>저는 속이 안 좋으면 약을 먹고 쉬어요.</t>
  </si>
  <si>
    <t>요즘 시험이 많아서 너무 힘들어요.</t>
  </si>
  <si>
    <t>시험이 많으면 스트레스를 많이 받지요?</t>
  </si>
  <si>
    <t>네. 스트레스 받아서 잠이 안 와요. 마리 씨는 이럴 때 어떻게 해요?</t>
  </si>
  <si>
    <t>한국 가수 콘서트를 봐요.</t>
  </si>
  <si>
    <t>저는 잠이 안 오면 따뜻한 우유를 마시고 일찍 자요.</t>
  </si>
  <si>
    <t>저 다음 주 토요일에 여행을 가게 되어서 수업을 못 들을 것 같아요</t>
  </si>
  <si>
    <t>잠이 안 오면 가벼운 운동을 해 보세요</t>
  </si>
  <si>
    <t>콘서트를 가요.</t>
  </si>
  <si>
    <t>생활 습관</t>
  </si>
  <si>
    <t>밥을 먹기 전에 손을 씻어요.</t>
  </si>
  <si>
    <t>화장실에 다녀온 후에 손을 씻어요.</t>
  </si>
  <si>
    <t>아파트</t>
  </si>
  <si>
    <t>집에 들어왔을 때 손을 씻어요.</t>
  </si>
  <si>
    <t>채소를 먹어요</t>
  </si>
  <si>
    <t>채소를 먹어요 (버섯, 고구마, 당근, 오이, 옥수수, 브로콜리, 가지, 오크라, 시금치, 감자, 양파)</t>
  </si>
  <si>
    <t>농구</t>
  </si>
  <si>
    <t>항상 웃어요</t>
  </si>
  <si>
    <t>물을 많이 마셔요</t>
  </si>
  <si>
    <t>잘 씻어요</t>
  </si>
  <si>
    <t>축구</t>
  </si>
  <si>
    <t>매일 걸어요</t>
  </si>
  <si>
    <t>술을 많이 마시지 않아요</t>
  </si>
  <si>
    <t>담배를 피우지 않아요.</t>
  </si>
  <si>
    <t>계단으로 올라가요</t>
  </si>
  <si>
    <t>배구</t>
  </si>
  <si>
    <t>가공식품</t>
  </si>
  <si>
    <t>가공식품을 많이 먹지 않아요</t>
  </si>
  <si>
    <t>튀긴 음식을 많이 먹지 않아요</t>
  </si>
  <si>
    <t>짜게 먹지 않아요</t>
  </si>
  <si>
    <t>스트레칭을 해요.</t>
  </si>
  <si>
    <t>일찍 자고 일찍 일어나다</t>
  </si>
  <si>
    <t>음식을 골고루 먹다</t>
  </si>
  <si>
    <t>짜증을 잘 내다</t>
  </si>
  <si>
    <t>늦게 자고 늦게 일어나다</t>
  </si>
  <si>
    <t>골프를 치다</t>
  </si>
  <si>
    <t>야식을 먹다</t>
  </si>
  <si>
    <t>컴퓨터를 오래 하다</t>
  </si>
  <si>
    <t>잘 웃다</t>
  </si>
  <si>
    <t>공원에서 가벼운 운동을 해요</t>
  </si>
  <si>
    <t>음식을 골고루 먹어요</t>
  </si>
  <si>
    <t>컴퓨터를 오래 해요</t>
  </si>
  <si>
    <t>테니스</t>
  </si>
  <si>
    <t>야식을 많이 먹어서 속이 안 좋아요.</t>
  </si>
  <si>
    <t>손을 잘 씻어요</t>
  </si>
  <si>
    <t>짜증을 잘 내요</t>
  </si>
  <si>
    <t>일찍 자고 일찍 일어나요</t>
  </si>
  <si>
    <t>배드민턴</t>
  </si>
  <si>
    <t>늦게 자고 늦게 일어나요</t>
  </si>
  <si>
    <t>어떻게 하면 잠을 푹 잘 수 있어요?</t>
  </si>
  <si>
    <t>잠이 안 오면 낮에 가벼운 운동을 해 보세요.</t>
  </si>
  <si>
    <t>피아노</t>
  </si>
  <si>
    <t>어디 아파요?</t>
  </si>
  <si>
    <t>어제 야식을 먹어서 속이 안 좋아요.</t>
  </si>
  <si>
    <t>어제 자기 전까지 컴퓨터를 오래 하서 너무 피곤해요.</t>
  </si>
  <si>
    <t>잠을 자기 전에는 컴퓨터를 하지 않는 게 좋아요.</t>
  </si>
  <si>
    <t>음료수</t>
  </si>
  <si>
    <t>어떻게 하면 건강하게 살 수 있어요?</t>
  </si>
  <si>
    <t>음식을 골고루 먹으면 건강하게 살 수 있을 거예요.</t>
  </si>
  <si>
    <t>좋아하는 음식만 먹으면 건강에 안 좋아요.</t>
  </si>
  <si>
    <t>어제 골프를 쳤어요.</t>
  </si>
  <si>
    <t>여러분은 어떤 습관을 갖고 싶어요? 다음과 같이 이야기해 보세요.</t>
  </si>
  <si>
    <t>저는 매일 운동하고 싶어요.</t>
  </si>
  <si>
    <t>마라톤을 할 수 있게 되고 싶어요.</t>
  </si>
  <si>
    <t>체력을 기르고 싶어요.</t>
  </si>
  <si>
    <t>반 친구</t>
  </si>
  <si>
    <t>더 오래 달리고 싶어요.</t>
  </si>
  <si>
    <t>더 멀리 달리고 싶어요.</t>
  </si>
  <si>
    <t>컴퓨터를 오래 하고 싶지 않아요.</t>
  </si>
  <si>
    <t>머리가 좀 아픈데 혹시 약이 있어요?</t>
  </si>
  <si>
    <t>반 친구하고 한강공원에 가요.</t>
  </si>
  <si>
    <t>싼데</t>
  </si>
  <si>
    <t>좋은데</t>
  </si>
  <si>
    <t>가는데</t>
  </si>
  <si>
    <t>먹는데</t>
  </si>
  <si>
    <t>친구인데</t>
  </si>
  <si>
    <t>동생하고 등산을 가요.</t>
  </si>
  <si>
    <t>겨울인데</t>
  </si>
  <si>
    <t>만드는데</t>
  </si>
  <si>
    <t>추운데</t>
  </si>
  <si>
    <t>재미있는데</t>
  </si>
  <si>
    <t>읽는데</t>
  </si>
  <si>
    <t>공부하는데</t>
  </si>
  <si>
    <t>많은데</t>
  </si>
  <si>
    <t>없는데</t>
  </si>
  <si>
    <t>큰데</t>
  </si>
  <si>
    <t>오후에 한국어 공부해요.</t>
  </si>
  <si>
    <t>고픈데</t>
  </si>
  <si>
    <t>아픈데</t>
  </si>
  <si>
    <t>심심한데</t>
  </si>
  <si>
    <t>입는데</t>
  </si>
  <si>
    <t>좁은데</t>
  </si>
  <si>
    <t>한국어 수업을 들어요.</t>
  </si>
  <si>
    <t>닫는데</t>
  </si>
  <si>
    <t>열는데</t>
  </si>
  <si>
    <t>노는데</t>
  </si>
  <si>
    <t>더운데</t>
  </si>
  <si>
    <t>먼데</t>
  </si>
  <si>
    <t>긴데</t>
  </si>
  <si>
    <t>아름다운데</t>
  </si>
  <si>
    <t>요즘 한국어를 공부하는데 아주 재미있어요.</t>
  </si>
  <si>
    <t>비가 오는데 택시를 탈까요?</t>
  </si>
  <si>
    <t>회사에 가요.</t>
  </si>
  <si>
    <t>요즘 한국어 책을 읽는데 조금 어려워요.</t>
  </si>
  <si>
    <t>심심하는데 영화 볼까요?</t>
  </si>
  <si>
    <t>날씨가 좋은데 산에 갈까요?</t>
  </si>
  <si>
    <t>밥을 먹고 있는데 전화가 왔어요.</t>
  </si>
  <si>
    <t>공부를 하는데 친구가 왔어요.</t>
  </si>
  <si>
    <t>요즘 요리를 배우고 있는데 재미있어요.</t>
  </si>
  <si>
    <t>시험을 봐요.</t>
  </si>
  <si>
    <t>어제 영화를 봤는데 영화가 무서웠어요.</t>
  </si>
  <si>
    <t>한국에서 어디에 가 봤어요?</t>
  </si>
  <si>
    <t>제주도에 가 봤어요. 경치가 아주 아름다웠어요.</t>
  </si>
  <si>
    <t>와 봤어요</t>
  </si>
  <si>
    <t>시험을 잘 보세요!</t>
  </si>
  <si>
    <t>와 봐요</t>
  </si>
  <si>
    <t>운전해 봤어요</t>
  </si>
  <si>
    <t>운전해 봐요</t>
  </si>
  <si>
    <t>마셔 봤어요</t>
  </si>
  <si>
    <t>일해요.</t>
  </si>
  <si>
    <t>마셔 봐요</t>
  </si>
  <si>
    <t>제주도에서 한라산을 등산해 봤어요?</t>
  </si>
  <si>
    <t>네, 등산해 봤어요.</t>
  </si>
  <si>
    <t>이번 주말에 뭐 해요?</t>
  </si>
  <si>
    <t>비빔밥을 먹어 봤어요?</t>
  </si>
  <si>
    <t>네, 먹어 봤어요</t>
  </si>
  <si>
    <t>아르바이트를 해 봤어요?</t>
  </si>
  <si>
    <t>친구 집에 가요. 고양이 두 마리를 돌봐요.</t>
  </si>
  <si>
    <t>네, 여름 방학에 아르바이트를 해 봤어요.</t>
  </si>
  <si>
    <t>네, 기숙사에서 살아 봤어요.</t>
  </si>
  <si>
    <t>아니요, 기숙사에서 안 살아 봤어요.</t>
  </si>
  <si>
    <t>한국 책을 읽어 봤어요?</t>
  </si>
  <si>
    <t>가 봤어요</t>
  </si>
  <si>
    <t>방학에 뭐 해요?</t>
  </si>
  <si>
    <t>불러 봤어요</t>
  </si>
  <si>
    <t>읽어 봤어요</t>
  </si>
  <si>
    <t>들어 봤어요</t>
  </si>
  <si>
    <t>해 봤어요</t>
  </si>
  <si>
    <t>먹어 봤어요</t>
  </si>
  <si>
    <t>만나 봤어요</t>
  </si>
  <si>
    <t>살라 봤어요</t>
  </si>
  <si>
    <t>여행을 계획해요</t>
  </si>
  <si>
    <t>써 봤어요</t>
  </si>
  <si>
    <t>타 봤어요</t>
  </si>
  <si>
    <t>비빔밥이 맛있는 식당 알아요?</t>
  </si>
  <si>
    <t>하나식당 비빔밥이 맛있는데 한번 가 보세요.</t>
  </si>
  <si>
    <t>앉아 보세요</t>
  </si>
  <si>
    <t>찾아 보세요</t>
  </si>
  <si>
    <t>가 보세요</t>
  </si>
  <si>
    <t>영화관에서 영화를 봤어요.</t>
  </si>
  <si>
    <t>만나 보세요</t>
  </si>
  <si>
    <t>일어나 보세요</t>
  </si>
  <si>
    <t>먹어 보세요</t>
  </si>
  <si>
    <t>일이나 보세요</t>
  </si>
  <si>
    <t>안나 씨, 내일 뭐 해요?</t>
  </si>
  <si>
    <t>마셔 보세요</t>
  </si>
  <si>
    <t>배워 보세요</t>
  </si>
  <si>
    <t>들어 보세요</t>
  </si>
  <si>
    <t>해 보세요</t>
  </si>
  <si>
    <t>구경해 보세요</t>
  </si>
  <si>
    <t>공원에서 친구하고 자전거를 타요.</t>
  </si>
  <si>
    <t>여행해 보세요</t>
  </si>
  <si>
    <t>운동해 보세요</t>
  </si>
  <si>
    <t>이야기 해보세요</t>
  </si>
  <si>
    <t>열어 보새요</t>
  </si>
  <si>
    <t>농구를 했어요.</t>
  </si>
  <si>
    <t>걸어 보세요</t>
  </si>
  <si>
    <t>닫아 보세요</t>
  </si>
  <si>
    <t>불러 보세요</t>
  </si>
  <si>
    <t>저어 보세요</t>
  </si>
  <si>
    <t>입어 보세요</t>
  </si>
  <si>
    <t>치맥을 먹고 싶어요.</t>
  </si>
  <si>
    <t>이 책이 정말 재미있는데 한번 읽어 보세요.</t>
  </si>
  <si>
    <t>가슴이 답답하면 산책을 해 보세요.</t>
  </si>
  <si>
    <t>이 옷이 멋있는데 한번 입어 보세요.</t>
  </si>
  <si>
    <t>이 노래 아주 좋은데 한번 들어보세요.</t>
  </si>
  <si>
    <t>피곤해요. 자고 싶어요.</t>
  </si>
  <si>
    <t>저 모자가 예쁜데 한번 써 보세요.</t>
  </si>
  <si>
    <t>이번 휴가 때 뭘 하면 좋을까요?</t>
  </si>
  <si>
    <t>해외여행을 해 보세요. 한국은 어때요?</t>
  </si>
  <si>
    <t>운동을 배우고 싶은데 무슨 운동이 좋을까요?</t>
  </si>
  <si>
    <t>테니스를 배워 보세요. 재미있어요.</t>
  </si>
  <si>
    <t>비아 씨는 떡볶이를 먹고 싶어 해요.</t>
  </si>
  <si>
    <t>요즘 잠이 잘 오지 않아서 고민이에요.</t>
  </si>
  <si>
    <t>잠을 자기 전에 따뜻한 우유를 마셔 보세요.</t>
  </si>
  <si>
    <t>고향 친구가 한국으로 여행을 오는데 뭘 하면 좋을까요?</t>
  </si>
  <si>
    <t>맛있는 한국 음식을 먹어 보세요.</t>
  </si>
  <si>
    <t>이번 휴가에 어디에 가고 싶어요?</t>
  </si>
  <si>
    <t>친구 생일인데 무슨 선물을 살까요?</t>
  </si>
  <si>
    <t>꽃을 사 보세요. 친구가 좋아할 거예요.</t>
  </si>
  <si>
    <t>한국어를 잘하고 싶어요.</t>
  </si>
  <si>
    <t>케이팝(K-POP)을 들어 보세요.</t>
  </si>
  <si>
    <t>저는 구찌 가방을 받고 싶어요.</t>
  </si>
  <si>
    <t>떡볶이가 맛있는데 한번 먹어 보세요.</t>
  </si>
  <si>
    <t>스티브 잡스 전기가 재미있는데 한번 읽어 보세요.</t>
  </si>
  <si>
    <t>명동교자가 맛있는데 한번 가 보세요.</t>
  </si>
  <si>
    <t>로파이 걸음악이 편안한데 한번 들어 보세요.</t>
  </si>
  <si>
    <t>피아노를 잘 쳐요</t>
  </si>
  <si>
    <t>클로젯 배틀이 재미있는데 한번 봐 보세요.</t>
  </si>
  <si>
    <t>여러분은 밤에 잠이 잘 와요? 잠이 안 오면 어떻게 하는 것이 좋을까요?</t>
  </si>
  <si>
    <t>재민 씨와 마리 씨가 생활 습관을 이야기해요. 무슨 이야기를 할까요?</t>
  </si>
  <si>
    <t>수영을 잘 해요.</t>
  </si>
  <si>
    <t>마리 씨, 이거 제가 집에서 가져왔어요. 마셔 보세요. 한국 커피예요.</t>
  </si>
  <si>
    <t>와, 안 그래도 피곤해서 커피를 마시고 싶었는데 고마워요.</t>
  </si>
  <si>
    <t>왜요? 어제 잠을 잘 못 잤어요?</t>
  </si>
  <si>
    <t>네. 푹 자고 싶은데 잠이 안 와요. 뭐 좋은 방법 없을까요?</t>
  </si>
  <si>
    <t>한국어를 잘 해요.</t>
  </si>
  <si>
    <t>음. 잠이 안 오면 낮에 가벼운 운동을 해 보세요.</t>
  </si>
  <si>
    <t>그럴까요? 고마워요.</t>
  </si>
  <si>
    <t>안녕하세요? 저는 고치고 싶은 습관이 있습니다. 저는 게임을 좋아해서 늦게까지 컴퓨터로 게임을 합니다. 그래서 늦게 자고 늦게 일어납니다.
늦게 자서 피곤하고 가끔 지각도 합니다. 늦게 자는 습관을 고치고 싶은데 어떻게 하면 될까요?</t>
  </si>
  <si>
    <t>안녕하세요? 습관을 고치는 것이 어렵지요? 늦게 자는 습관을 고치고 싶으면 먼저 밤에 게임을 하지 않는 것이 좋습니다. 게임을 하고 싶으면 시간을 정해서 해 보세요. 그리고 낮에 몸을 많이 움직여 보세요. 산책도 좋고 가벼운 운동도 좋습니다. 그럼 일찍 잘 수 있을 거예요.</t>
  </si>
  <si>
    <t>한국어를 잘하네요.</t>
  </si>
  <si>
    <t>안나 씨, 저 요즘 운동을 하는데 뭘 더 하면 건강에 좋을까요?</t>
  </si>
  <si>
    <t>음. 음식을 골고루 먹어 보세요. 그리고 컴퓨터를 오래 하지 않는 게 좋아요.</t>
  </si>
  <si>
    <t>좋은 방법인데 매일 그렇게 할 수 있을까요?</t>
  </si>
  <si>
    <t>방학에 어디에 가고 싶어요?</t>
  </si>
  <si>
    <t>쉽지 않을 거예요. 하지만 이렇게 하면 건강하게 살 수 있을 거예요.</t>
  </si>
  <si>
    <t>요즘 잠을 잘 못 자는데 어떻게 하면 좋을까요?</t>
  </si>
  <si>
    <t>일찍 자고 일찍 일어나 보세요.</t>
  </si>
  <si>
    <t>그리고 야식을 먹지 않는 게 좋아요.</t>
  </si>
  <si>
    <t>건강을 위해 뭘 하면 좋을까요?</t>
  </si>
  <si>
    <t>요가를 해 보세요.</t>
  </si>
  <si>
    <t>그리고 채소를 많이 먹는 게 좋아요.</t>
  </si>
  <si>
    <t>그럼 칼국수를 먹는 게 어때요?</t>
  </si>
  <si>
    <t>한국 사람들은 어디에서 뭘 자주 먹어요?</t>
  </si>
  <si>
    <t>요리를 하고 싶지 않거나 할 수 없을 때, 한국 사람들은 어떻게 식사할까요?</t>
  </si>
  <si>
    <t>저는 한국에 가고 싶어요.</t>
  </si>
  <si>
    <t>식당에 가서 먹어요.</t>
  </si>
  <si>
    <t>전화나 인터넷으로 주문해요.</t>
  </si>
  <si>
    <t>식당에서 사서 집에 와서 먹어요.</t>
  </si>
  <si>
    <t>오늘 뭘 먹고 싶어요?</t>
  </si>
  <si>
    <t>중식</t>
  </si>
  <si>
    <t>일식</t>
  </si>
  <si>
    <t>패스트푸드</t>
  </si>
  <si>
    <t>배달</t>
  </si>
  <si>
    <t>저는 비빔밥을 먹고 싶어요.</t>
  </si>
  <si>
    <t>짜장면</t>
  </si>
  <si>
    <t>짬뽕</t>
  </si>
  <si>
    <t>탕수육</t>
  </si>
  <si>
    <t>여러분은 보통 어디에서 밥을 먹어요? 거기에서 뭘 자주 먹어요?</t>
  </si>
  <si>
    <t>회사에서 인터넷으로 일식을 주문해요.</t>
  </si>
  <si>
    <t>재민 씨는 주말에 뭘 하고 싶어 해요?</t>
  </si>
  <si>
    <t>맥도날드</t>
  </si>
  <si>
    <t>맥치킨</t>
  </si>
  <si>
    <t>카페</t>
  </si>
  <si>
    <t>딤섬</t>
  </si>
  <si>
    <t>재민 씨는 낚시를 하고 싶어 해요.</t>
  </si>
  <si>
    <t>태국 식당</t>
  </si>
  <si>
    <t>친구들 호주 식당에 가서 와인을 마셔요</t>
  </si>
  <si>
    <t>오마카세</t>
  </si>
  <si>
    <t>이모카세</t>
  </si>
  <si>
    <t>떡국</t>
  </si>
  <si>
    <t>수지 씨는 지금 뭘 하고 싶어 해요?</t>
  </si>
  <si>
    <t>순두부찌개</t>
  </si>
  <si>
    <t>갈비탕</t>
  </si>
  <si>
    <t>칼국수</t>
  </si>
  <si>
    <t>수지 씨는 지금 여행을 하고 싶어 해요.</t>
  </si>
  <si>
    <t>스파게티</t>
  </si>
  <si>
    <t>메뉴를 봐요.</t>
  </si>
  <si>
    <t>카드로 계산해요.</t>
  </si>
  <si>
    <t>음식을 주문해요.</t>
  </si>
  <si>
    <t>어디에 가고 싶어요?</t>
  </si>
  <si>
    <t>메뉴를 정해요.</t>
  </si>
  <si>
    <t>현금으로 계산해요.</t>
  </si>
  <si>
    <t>이 케이크를 살까요?</t>
  </si>
  <si>
    <t>네. 마리 씨가 좋아할 것 같아요.</t>
  </si>
  <si>
    <t>도쿄에 가고 싶어요.</t>
  </si>
  <si>
    <t>비가 온 것 같아요.</t>
  </si>
  <si>
    <t>비가 오는 것 같아요.</t>
  </si>
  <si>
    <t>비가 올 것 같아요.</t>
  </si>
  <si>
    <t>뭘 하고 싶어요?</t>
  </si>
  <si>
    <t>시험을 잘 본 것 같아요.</t>
  </si>
  <si>
    <t>너무 많이 먹은 것 같아요.</t>
  </si>
  <si>
    <t>텔레비전을 보는 것 같아요.</t>
  </si>
  <si>
    <t>음악을 듣는 것 같아요.</t>
  </si>
  <si>
    <t>초밥을 먹고 싶어요.</t>
  </si>
  <si>
    <t>파티에 사람이 많이 올 것 같아요.</t>
  </si>
  <si>
    <t>김치를 만들 것 같아요</t>
  </si>
  <si>
    <t>이 김치는 좀 매운 것 같아요.</t>
  </si>
  <si>
    <t>이 김치는 좀 매울 것 같아요.</t>
  </si>
  <si>
    <t>날씨가 좋은 것 같아요.</t>
  </si>
  <si>
    <t>날씨가 좋을 것 같아요.</t>
  </si>
  <si>
    <t>치마가 좀 긴 것 같아요.</t>
  </si>
  <si>
    <t>회를 먹고 싶어요.</t>
  </si>
  <si>
    <t>치마가 좀 길 것 같아요.</t>
  </si>
  <si>
    <t>구두가 불편한 것 같아요.</t>
  </si>
  <si>
    <t>구두가 불편할 것 같아요.</t>
  </si>
  <si>
    <t>바지가 큰 것 같아요.</t>
  </si>
  <si>
    <t>누구를 만나고 싶어요?</t>
  </si>
  <si>
    <t>바지가 클 것 같아요.</t>
  </si>
  <si>
    <t>바뿐 것 같아요.</t>
  </si>
  <si>
    <t>더운 것 같아요.</t>
  </si>
  <si>
    <t>남자친구가 아닌 것 같아요.</t>
  </si>
  <si>
    <t>박서준</t>
  </si>
  <si>
    <t>한국 사람인 것 같아요.</t>
  </si>
  <si>
    <t>선생님이 아닐 것 같아요.</t>
  </si>
  <si>
    <t>학생일 것 같아요.</t>
  </si>
  <si>
    <t>주말에 시간 있을 것 같아요.</t>
  </si>
  <si>
    <t>가고 싶어요</t>
  </si>
  <si>
    <t>주말에 시간 없을 것 같아요.</t>
  </si>
  <si>
    <t>갈비탕 먹을까요?</t>
  </si>
  <si>
    <t>좋아요, 맛있을 것 같아요</t>
  </si>
  <si>
    <t>가고 싶어 해요</t>
  </si>
  <si>
    <t>이 영화가 재미없을 것 같아요.</t>
  </si>
  <si>
    <t>He/she wants to go</t>
  </si>
  <si>
    <t>어떤 영화를 볼까요?</t>
  </si>
  <si>
    <t>우리 이 영화를 봐요. 재미있을 것 같아요.</t>
  </si>
  <si>
    <t>이 가방 예쁘죠?</t>
  </si>
  <si>
    <t>네. 그런데 좀 비싼 것 같아요.</t>
  </si>
  <si>
    <t>먹고 싶어요</t>
  </si>
  <si>
    <t>재민 씨는 언제 와요? 한번 전화해 보세요.</t>
  </si>
  <si>
    <t>전화했는데 안 받아요. 오늘도 늦을 것 같아요.</t>
  </si>
  <si>
    <t>내일도 더울까요?</t>
  </si>
  <si>
    <t>요즘 계속 더웠으니까 내일도 더울 것 같아요</t>
  </si>
  <si>
    <t>먹고 싶어 해요</t>
  </si>
  <si>
    <t>He/she wants to eat</t>
  </si>
  <si>
    <t>이 단어가 어떤 의미예요?</t>
  </si>
  <si>
    <t>저도 잘 몰라요. 안나 씨에게 물어보세요. 안나 씨는 알 것 같아요.</t>
  </si>
  <si>
    <t>먹는 것 같다</t>
  </si>
  <si>
    <t>오는 것 같다</t>
  </si>
  <si>
    <t>만들고 싶어요</t>
  </si>
  <si>
    <t>듣는 것 같다</t>
  </si>
  <si>
    <t>만드는 것 같다</t>
  </si>
  <si>
    <t>재미 있는 같다</t>
  </si>
  <si>
    <t>작은 것 같다</t>
  </si>
  <si>
    <t>좁은 것 같다</t>
  </si>
  <si>
    <t>만들고 싶어 해요</t>
  </si>
  <si>
    <t>He/she wants to make it</t>
  </si>
  <si>
    <t>좋은 것 같다</t>
  </si>
  <si>
    <t>늦은 것 같다</t>
  </si>
  <si>
    <t>괜찮은 것 같다</t>
  </si>
  <si>
    <t>짠 것 같다</t>
  </si>
  <si>
    <t>요리하고 싶어요</t>
  </si>
  <si>
    <t>큰 것 같다</t>
  </si>
  <si>
    <t>따뜻한 것 같다</t>
  </si>
  <si>
    <t>먼 것 같다</t>
  </si>
  <si>
    <t>추운 것 같다</t>
  </si>
  <si>
    <t>먹은 것 같다</t>
  </si>
  <si>
    <t>요리하고 싶어 해요</t>
  </si>
  <si>
    <t>He/she wants to cook</t>
  </si>
  <si>
    <t>찍은 것 같다</t>
  </si>
  <si>
    <t>들은 것 같다</t>
  </si>
  <si>
    <t>온 것 같다</t>
  </si>
  <si>
    <t>마신 것 같다</t>
  </si>
  <si>
    <t>다음 중 알맞은 것을 고르세요.</t>
  </si>
  <si>
    <t>만든 것 같다</t>
  </si>
  <si>
    <t>먹을 것 같다</t>
  </si>
  <si>
    <t>찍을 것 같다</t>
  </si>
  <si>
    <t>올 것 같다</t>
  </si>
  <si>
    <t>마실 것 같다</t>
  </si>
  <si>
    <t>저는 책을 읽고 싶어요.</t>
  </si>
  <si>
    <t>걸은 것 같다</t>
  </si>
  <si>
    <t>연 것 같다</t>
  </si>
  <si>
    <t>수지 씨가 일찍 올까요?</t>
  </si>
  <si>
    <t>재민 씨는 등산을 하고 싶어 해요.</t>
  </si>
  <si>
    <t>아니요. 오늘도 좀 늦을 것 같아요</t>
  </si>
  <si>
    <t>이번 시험은 어떨까요?</t>
  </si>
  <si>
    <t>좀 어려울 것 같아요</t>
  </si>
  <si>
    <t>마리 씨가 아침부터 계속 노래를 불러요.</t>
  </si>
  <si>
    <t>기분이 좋은 것 같아요</t>
  </si>
  <si>
    <t>유진 씨는 여행을 가고 싶어 해요.</t>
  </si>
  <si>
    <t>안나 씨가 교실에 없어요.</t>
  </si>
  <si>
    <t>집에 간 것 같아요</t>
  </si>
  <si>
    <t>저는 케이팝 콘서트를 보고 싶어요</t>
  </si>
  <si>
    <t>오늘 너무 피곤해서 요리를 하고 싶지 않아요.</t>
  </si>
  <si>
    <t>그럼 식당에서 저녁을 먹는 게 어때요?</t>
  </si>
  <si>
    <t>먹는 게 어때요?</t>
  </si>
  <si>
    <t>마리 씨는 피아노를 배우고 싶어 해요</t>
  </si>
  <si>
    <t>찍는 게 어때요?</t>
  </si>
  <si>
    <t>보는 게 어때요?</t>
  </si>
  <si>
    <t>여는 게 어때요?</t>
  </si>
  <si>
    <t>저는 수지 씨하고 놀이공원에 가고 싶어요</t>
  </si>
  <si>
    <t>그럼 따뜻한 물을 마시는 게 어때요?</t>
  </si>
  <si>
    <t>다리가 아파요.</t>
  </si>
  <si>
    <t>좀앉는 게 어때요 ?</t>
  </si>
  <si>
    <t>좋은 음악을 듣고 싶어요.</t>
  </si>
  <si>
    <t>저는 점심을 먹고 싶어요</t>
  </si>
  <si>
    <t>그럼 이 음악을 듣는 게 어때요?</t>
  </si>
  <si>
    <t>더워요.</t>
  </si>
  <si>
    <t>그럼 창문을 여는 게 어때요?</t>
  </si>
  <si>
    <t>인터넷으로 피자를 주문하는 게 어때요?</t>
  </si>
  <si>
    <t>재민 씨는 농구를 하고 싶어 해요</t>
  </si>
  <si>
    <t>빵과 우유를 먹는 게 어때요?</t>
  </si>
  <si>
    <t>식당에 전화해서 먹고 싶은 음식을 시키는 게 어때요?</t>
  </si>
  <si>
    <t>어제 파티를 해서 집에 음식이 많아요. 우리 집에 가는 어떼요?</t>
  </si>
  <si>
    <t>저는 백화점에서 쇼핑을 하고 싶어요</t>
  </si>
  <si>
    <t>더우면 창문을 좀 여는 게 어때요?</t>
  </si>
  <si>
    <t>심심하면 같이 영화를 보는 게 어때요?</t>
  </si>
  <si>
    <t>안나 씨는 제주도에 여행을 가고 싶어 해요.</t>
  </si>
  <si>
    <t>이 불고기가 정말 맛있어요. 좀 먹어 보는 어때요?</t>
  </si>
  <si>
    <t>저기 꽃이 정말 예뻐요! 저기에서 같이 사진을 찍는 게 어때요?</t>
  </si>
  <si>
    <t>여기에서 사진을 찍을까요?</t>
  </si>
  <si>
    <t>많이 걸어서 다리가 아파요.</t>
  </si>
  <si>
    <t>그럼 저 의자에 좀 앉는 게 어때요?</t>
  </si>
  <si>
    <t>어제 잠을 못 자서 피곤해요.</t>
  </si>
  <si>
    <t>네, 그래요.</t>
  </si>
  <si>
    <t>그럼 집에서 좀 자는 게 어때요?</t>
  </si>
  <si>
    <t>찌개가 너무 짜요.</t>
  </si>
  <si>
    <t>주말에 같이 자전거를 탈까요?</t>
  </si>
  <si>
    <t>그럼 물을 좀 넣는 게 어때요?</t>
  </si>
  <si>
    <t>그럼 우리 지금 점심을 먹으러 가는 게 어때요?</t>
  </si>
  <si>
    <t>피자를 먹는 게 어때요?</t>
  </si>
  <si>
    <t>피자를 먹는 것이 어때요?</t>
  </si>
  <si>
    <t>오늘 일을 너무 많이 했어요.</t>
  </si>
  <si>
    <t>그럼 좀 쉬는 게 어때요?</t>
  </si>
  <si>
    <t>음식이 너무 짜요.</t>
  </si>
  <si>
    <t>한국어가 어려워요.</t>
  </si>
  <si>
    <t>매일 집중해서 공부하는 게 어때요?</t>
  </si>
  <si>
    <t>찍을까요?</t>
  </si>
  <si>
    <t>매일 열심히 공부하는 게 어때요?</t>
  </si>
  <si>
    <t>그럼 공부할 시간을 늘리는 게 어때요.</t>
  </si>
  <si>
    <t>앉을까요?</t>
  </si>
  <si>
    <t>그럼 매일 집중해서 열심히 공부하는 게 어때요?</t>
  </si>
  <si>
    <t>천천히 공부하는 게 어때요?</t>
  </si>
  <si>
    <t>같이 공부하는 게 어때요</t>
  </si>
  <si>
    <t>한국 드라마를 보는 게 어때요?</t>
  </si>
  <si>
    <t>우리 여기 잠깐 앉을까요?</t>
  </si>
  <si>
    <t>한국 친구와 이야기하는 게 어때요?</t>
  </si>
  <si>
    <t>저는 항상 시간이 없어요.</t>
  </si>
  <si>
    <t>그럼 일찍 자는 게 어때요?</t>
  </si>
  <si>
    <t>이 자리에 앉을까요?</t>
  </si>
  <si>
    <t>그럼 와인을 드시는 게 어때요?</t>
  </si>
  <si>
    <t>그럼 맛있는 음식을 먹는 게 어때요?</t>
  </si>
  <si>
    <t>물을 더 붓는 게 어때요?</t>
  </si>
  <si>
    <t>오늘 너무 심심해요</t>
  </si>
  <si>
    <t>영화를 보는 게 어때요?</t>
  </si>
  <si>
    <t>방이 지저분해요.</t>
  </si>
  <si>
    <t>매일 십 분씨 청소하는 게 어때요?</t>
  </si>
  <si>
    <t>어깨가 아파요.</t>
  </si>
  <si>
    <t>허리가 아파요.</t>
  </si>
  <si>
    <t>약을 먹는 게 어때요?</t>
  </si>
  <si>
    <t>재민: 뭐 주문할 거예요? 정했어요?</t>
  </si>
  <si>
    <t>마리: 아직요. 재민 씨는 뭐 시킬 거예요?</t>
  </si>
  <si>
    <t>재민: 저는 김치찌개를 시키려고 해요. 마리 씨는요?</t>
  </si>
  <si>
    <t>공부할까요?</t>
  </si>
  <si>
    <t>마리: 음. 저는 안 매운 음식을 먹고 싶어요.</t>
  </si>
  <si>
    <t>맵지 않고 맛있는 음식이 있을까요?</t>
  </si>
  <si>
    <t>재민: 그럼 칼국수를 먹는 게 어때요? 칼국수는 별로 맵지 않을 거예요.</t>
  </si>
  <si>
    <t>마리: 좋아요. 여기요! 김치찌개하고 칼국수 주세요.</t>
  </si>
  <si>
    <t>놀까요?</t>
  </si>
  <si>
    <t>A: 뭐 주문할 거예요? 정했어요?</t>
  </si>
  <si>
    <t>B: 네. 저는 짜장면으로 정했어요. 민호 씨는요?</t>
  </si>
  <si>
    <t>다음 주에 시험이 있어요.</t>
  </si>
  <si>
    <t>A: 저도 짜장면이 맛있을 것 같아요.</t>
  </si>
  <si>
    <t>B: 그럼 민호 씨도 짜장면을 먹는 게 어때요? 여기 짜장면</t>
  </si>
  <si>
    <t>살다</t>
  </si>
  <si>
    <t>B: 네. 저는 스파게티로 정했어요. 민호 씨는요?</t>
  </si>
  <si>
    <t>A: 저도 스파게티가 괜찮을 것 같아요.</t>
  </si>
  <si>
    <t>B: 그럼 민호 씨도 스파게티를 주문하는 게 어때요? 여기 스파게티가 괜찮아요.</t>
  </si>
  <si>
    <t xml:space="preserve">A: 뭐 주문할 거예요? 정했어요?
B: 네. 저는 비빔밥으로 정했어요. 민호 씨는요?
A: 저도 비빔밥이 맛있을 것 같아요.
B: 그럼 민호 씨도 비빔밥을 먹는 게 어때요? 여기 비빔밥이 아주 맛있어요.
</t>
  </si>
  <si>
    <t>살까요?</t>
  </si>
  <si>
    <t>저는 요즘 회사 일이 바빠서 직접 요리를 하지 않고 식당에서 사 먹습니다.
집에서 밥을 먹을 때는 식당에서 사 오거나 배달을 시켜서 먹습니다. 그런데 이번 주말에는 세종학당 친구들과 같이 우리 집에서 한국 음식을 만들어서 먹기로 했습니다. 유진 씨가 좋아하는 된장찌개도 끓이고 안나 씨가 좋아하는 떡볶이도 만들 겁니다. 친구들과 같이 요리를 하면 아주 재미있을 것 같습니다.</t>
  </si>
  <si>
    <t>서울에 살까요?</t>
  </si>
  <si>
    <t>끓이다</t>
  </si>
  <si>
    <t>그럼 저 까만 구두는 어때요?</t>
  </si>
  <si>
    <t>서울에서 살까요?</t>
  </si>
  <si>
    <t>일할까요?</t>
  </si>
  <si>
    <t>휴가</t>
  </si>
  <si>
    <t>vacation (work)</t>
  </si>
  <si>
    <t>로즈골드</t>
  </si>
  <si>
    <t>자주색</t>
  </si>
  <si>
    <t>purple</t>
  </si>
  <si>
    <t>모든 일을 열심히 하는 사람이에요.</t>
  </si>
  <si>
    <t>재미있는 것을 잘 만드는 사람이에요.</t>
  </si>
  <si>
    <t>방학</t>
  </si>
  <si>
    <t>vacation (school)</t>
  </si>
  <si>
    <t>맞는 말만 하는 사람이에요.</t>
  </si>
  <si>
    <t>친구가 많은 사람이에요.</t>
  </si>
  <si>
    <t>사랑을 많이 받는 사람이에요.</t>
  </si>
  <si>
    <t>여름 방학</t>
  </si>
  <si>
    <t>머리가 아주 좋은 사람이에요.</t>
  </si>
  <si>
    <t>옷을 잘 입고 멋있는 사람이에요.</t>
  </si>
  <si>
    <t>디자인</t>
  </si>
  <si>
    <t>단순하다</t>
  </si>
  <si>
    <t>겨울 방학</t>
  </si>
  <si>
    <t>적당하다</t>
  </si>
  <si>
    <t>표시</t>
  </si>
  <si>
    <t>하얗다</t>
  </si>
  <si>
    <t>까맣다</t>
  </si>
  <si>
    <t>파랗다</t>
  </si>
  <si>
    <t>지난 방학</t>
  </si>
  <si>
    <t>빨갛다</t>
  </si>
  <si>
    <t>노랗다</t>
  </si>
  <si>
    <t>까매요</t>
  </si>
  <si>
    <t>다음 방학</t>
  </si>
  <si>
    <t>파래요</t>
  </si>
  <si>
    <t>노래요</t>
  </si>
  <si>
    <t>힌색</t>
  </si>
  <si>
    <t>이번 방학에 같이 태권도를 배울까요?</t>
  </si>
  <si>
    <t>하얘요</t>
  </si>
  <si>
    <t>빨개요</t>
  </si>
  <si>
    <t>이거 살까요?</t>
  </si>
  <si>
    <t>아니요. 너무 커요.</t>
  </si>
  <si>
    <t>여기에 앉을까요?</t>
  </si>
  <si>
    <t>이 가방이 어때요?</t>
  </si>
  <si>
    <t>가격이 좀 비싸요</t>
  </si>
  <si>
    <t>옷 사이즈가 어때요?</t>
  </si>
  <si>
    <t>좀 작아요.</t>
  </si>
  <si>
    <t>재민 씨, 주말에 농구를 할까요?</t>
  </si>
  <si>
    <t>이 핸드폰 디자인이 어때요?</t>
  </si>
  <si>
    <t>단순하지만 예뻐요.</t>
  </si>
  <si>
    <t>이 신발이 어때요?</t>
  </si>
  <si>
    <t>디자인이 좋고 가격도 적당 해요</t>
  </si>
  <si>
    <t>이 가방은 크기가 적당하고 디자인이 단순해요.</t>
  </si>
  <si>
    <t>이번 주말에 같이 영화를 볼까요?</t>
  </si>
  <si>
    <t>이 지갑은 디자인이 단순해요. 그리고 비싸요.</t>
  </si>
  <si>
    <t>이 핸드폰은 크기가 적당하고 디자인이 단순해요.</t>
  </si>
  <si>
    <t>이 지갑은 디자인이 단순해요. 그런데 비싸요.</t>
  </si>
  <si>
    <t>뭘 드릴까요?</t>
  </si>
  <si>
    <t>저 하얀 바지 주세요.</t>
  </si>
  <si>
    <t>밥 다 먹었요? 우리 산책할까요?</t>
  </si>
  <si>
    <t>미나 씨, 얼굴이 빨개요.</t>
  </si>
  <si>
    <t>네, 교실이 좀 덥네요.</t>
  </si>
  <si>
    <t>백설공주는 머리가 까맣고 피부는 하얘요.</t>
  </si>
  <si>
    <t>백설</t>
  </si>
  <si>
    <t>왕비는 백설공주에게 빨간 사과를 줬어요.</t>
  </si>
  <si>
    <t>빨갛고</t>
  </si>
  <si>
    <t>네, 좋아요. 저도 좀 걷고 싶어요.</t>
  </si>
  <si>
    <t>빨간</t>
  </si>
  <si>
    <t>파랗고</t>
  </si>
  <si>
    <t>파란</t>
  </si>
  <si>
    <t>하얗고</t>
  </si>
  <si>
    <t>하얀</t>
  </si>
  <si>
    <t>이렇고</t>
  </si>
  <si>
    <t>이래요</t>
  </si>
  <si>
    <t>다 했어요?</t>
  </si>
  <si>
    <t>이런</t>
  </si>
  <si>
    <t>Are you finished?</t>
  </si>
  <si>
    <t>어떻고</t>
  </si>
  <si>
    <t>어때요</t>
  </si>
  <si>
    <t>어떤</t>
  </si>
  <si>
    <t>아니요, 아직 다 못 했어요.</t>
  </si>
  <si>
    <t>까매서</t>
  </si>
  <si>
    <t>까맣지만</t>
  </si>
  <si>
    <t>파래서</t>
  </si>
  <si>
    <t>파랳지만</t>
  </si>
  <si>
    <t>빨개서</t>
  </si>
  <si>
    <t>다 읽었어요?</t>
  </si>
  <si>
    <t>빨갛지만</t>
  </si>
  <si>
    <t>노래서</t>
  </si>
  <si>
    <t>노랗지만</t>
  </si>
  <si>
    <t>하얘서</t>
  </si>
  <si>
    <t>하얗지만</t>
  </si>
  <si>
    <t>쇼핑센터</t>
  </si>
  <si>
    <t>좋지만</t>
  </si>
  <si>
    <t>빨간 셔츠가 잘 어울려요.</t>
  </si>
  <si>
    <t>고마워요. 어제 백화점에서 샀어요.</t>
  </si>
  <si>
    <t>이 운동화를 살 거예요?</t>
  </si>
  <si>
    <t>저도 갈까요?</t>
  </si>
  <si>
    <t>사고 싶은데 하얘서 금방 더러워질 것 같아요.</t>
  </si>
  <si>
    <t>오랜만에 날씨가 좋네요.</t>
  </si>
  <si>
    <t>네. 공기도 좋고 하늘도 파래요.</t>
  </si>
  <si>
    <t>요즘 매일 라면을 먹어요.</t>
  </si>
  <si>
    <t>같이 게임을 할까요?</t>
  </si>
  <si>
    <t>그러면 안 돼요. 라면은 건강에 안 좋아요.</t>
  </si>
  <si>
    <t>어제 본 영화가 어땠어요?</t>
  </si>
  <si>
    <t>정말 재미있었어요. 또 보고 싶어요.</t>
  </si>
  <si>
    <t>저 노란 우산 주세요.</t>
  </si>
  <si>
    <t>여기에서 택시를 탈까요?</t>
  </si>
  <si>
    <t>저는 까만 머리가 좋아요.</t>
  </si>
  <si>
    <t>저 빨간 장미 주세요.</t>
  </si>
  <si>
    <t>파란 바다를 보고 싶어요.</t>
  </si>
  <si>
    <t>저는 이 노란 가방을 좋아해요.</t>
  </si>
  <si>
    <t>책을 가방에 넣어요</t>
  </si>
  <si>
    <t>주말에 영화를 볼까요?</t>
  </si>
  <si>
    <t>우리 집 강아지는 하얗고 귀여워요.</t>
  </si>
  <si>
    <t>테이블 위에 꽃병을 놓았어요</t>
  </si>
  <si>
    <t>맑고 파란 하늘을 보고 싶어요.</t>
  </si>
  <si>
    <t>오늘 같이 저녁을 먹을까요?</t>
  </si>
  <si>
    <t>이 옷은 어때요?</t>
  </si>
  <si>
    <t>작을 것 같아요. 사이즈가 좀 더 크면 좋겠어요.</t>
  </si>
  <si>
    <t>방학에 같이 여행을 갈까요?</t>
  </si>
  <si>
    <t>읽으면 좋겠다</t>
  </si>
  <si>
    <t>많으면 좋겠다</t>
  </si>
  <si>
    <t>도우면 좋겠다</t>
  </si>
  <si>
    <t>들으면 좋겠다</t>
  </si>
  <si>
    <t>나으면 좋겠다</t>
  </si>
  <si>
    <t>오면 좋겠다</t>
  </si>
  <si>
    <t>행복하면 좋겠다</t>
  </si>
  <si>
    <t>살면 좋겠다</t>
  </si>
  <si>
    <t>하야면 좋겠어요</t>
  </si>
  <si>
    <t>걸으면 좋겠어요</t>
  </si>
  <si>
    <t>열면 좋겠어요</t>
  </si>
  <si>
    <t>배울까요?</t>
  </si>
  <si>
    <t>좁으면 좋겠어요</t>
  </si>
  <si>
    <t>입으면 좋겠어요</t>
  </si>
  <si>
    <t>받으면 좋겠어요</t>
  </si>
  <si>
    <t>지으면 좋겠어요</t>
  </si>
  <si>
    <t>불면 좋겠어요</t>
  </si>
  <si>
    <t>빨가면 좋겠어요</t>
  </si>
  <si>
    <t>돈이 많으면 좋겠어요.</t>
  </si>
  <si>
    <t>돈이 많았으면 좋겠어요.</t>
  </si>
  <si>
    <t>지금 다니는 학교는 어때요? 좋아요?</t>
  </si>
  <si>
    <t>다 좋은데 등록금이 좀더 젛겠어요.</t>
  </si>
  <si>
    <t>초밥을 만들까요?</t>
  </si>
  <si>
    <t>그 식당 음식이 좀 맵지요?</t>
  </si>
  <si>
    <t>네. 좀 덜 매우면 좋겠어요.</t>
  </si>
  <si>
    <t>요즘 날씨가 너무 덥네요.</t>
  </si>
  <si>
    <t>8시 30분에 만날까요?</t>
  </si>
  <si>
    <t>네, 빨리 겨울이 오면 좋겠어요.</t>
  </si>
  <si>
    <t>양양 씨가 마라톤에 나간다면 서요?</t>
  </si>
  <si>
    <t>네, 야야 씨가 꼭 끝 까지 달리면 좋겠어요.</t>
  </si>
  <si>
    <t>같이 야구 경기를 볼까요?</t>
  </si>
  <si>
    <t>하얬으면 좋겠어요</t>
  </si>
  <si>
    <t>빨갰으면 좋겠어요</t>
  </si>
  <si>
    <t>도서관에서 같이 공부할까요?</t>
  </si>
  <si>
    <t>걸었으면 좋겠어요</t>
  </si>
  <si>
    <t>열었으면 좋겠어요</t>
  </si>
  <si>
    <t>좁았으면 좋겠어요</t>
  </si>
  <si>
    <t>입었으면 좋겠어요</t>
  </si>
  <si>
    <t>저 나무 앞에서 사진을 찍을까요?</t>
  </si>
  <si>
    <t>받았으면 좋겠어요</t>
  </si>
  <si>
    <t>지었으면 좋겠어요</t>
  </si>
  <si>
    <t>불었으면 좋겠어요</t>
  </si>
  <si>
    <t>오늘은 무슨 요일이에요?</t>
  </si>
  <si>
    <t>너무 쿨 것 같아요.</t>
  </si>
  <si>
    <t>사이즈가 좀 더 작으면 좋겠어요.</t>
  </si>
  <si>
    <t>월요일이에요.</t>
  </si>
  <si>
    <t>가격이좀 더 싸면 좋겠어요.</t>
  </si>
  <si>
    <t>길이가 더 길면 좋곘어요.</t>
  </si>
  <si>
    <t>디자인이 더 단순하면 좋겠어요.</t>
  </si>
  <si>
    <t>디자인이 덜 복잡하면 좋겠어요.</t>
  </si>
  <si>
    <t>배가 많이 고파요?</t>
  </si>
  <si>
    <t>네. 빨리 점심을 먹으면 좋겠어요.</t>
  </si>
  <si>
    <t>집에서 학교까지 우 시간 걸려요?</t>
  </si>
  <si>
    <t>네. 학교에서 좀더 가까우면 좋겠어요.</t>
  </si>
  <si>
    <t>네. 학교에서 좀더 가까웠으면 좋겠어요.</t>
  </si>
  <si>
    <t>십일월 사일이에요.</t>
  </si>
  <si>
    <t>마호이 더워요? 에어컨을 켤까요?</t>
  </si>
  <si>
    <t>아니요. 창문을 좀 열면 좋겠어요.</t>
  </si>
  <si>
    <t>아니요. 창문을 좀 열었으 좋겠어요.</t>
  </si>
  <si>
    <t>텔래비전을 볼까요?</t>
  </si>
  <si>
    <t>아니요. 음악을 좀 들으면 좋겠어요.</t>
  </si>
  <si>
    <t>아니요. 음악을 좀 들었으면 좋겠어요.</t>
  </si>
  <si>
    <t>지금 영화를 보고 싶어요?</t>
  </si>
  <si>
    <t>내. 영화를 봤으면 좋겠어요.</t>
  </si>
  <si>
    <t>아니요. 음악을 들었으면 좋겠어요.</t>
  </si>
  <si>
    <t>그옷이 어떼요?</t>
  </si>
  <si>
    <t>한국 영화를 볼까요?</t>
  </si>
  <si>
    <t>디자인이 너무 복잔해요. 디자인이 좀더 단순하면 좋겠어요.</t>
  </si>
  <si>
    <t>그 신발이 어떼요?</t>
  </si>
  <si>
    <t>너무 커요. 사이즈가 좀 더 작으면 좋겠어요.</t>
  </si>
  <si>
    <t>이 방이 어떼요?</t>
  </si>
  <si>
    <t>공원에서 자전거를 탈까요?</t>
  </si>
  <si>
    <t>너무 어두워요. 조금 밝았으면 좋겠어요.</t>
  </si>
  <si>
    <t>저 컴퓨터가 어때요?</t>
  </si>
  <si>
    <t>가격이 너무 비싸요. 좀 더 싸면 좋겠어요.</t>
  </si>
  <si>
    <t>그 치마가 어때요?</t>
  </si>
  <si>
    <t>조금 짧았으면 좋겠어요.</t>
  </si>
  <si>
    <t>몇 시에 야구를 할까요?</t>
  </si>
  <si>
    <t>A: 이 가게에 좋은 물건이 많죠?</t>
  </si>
  <si>
    <t>B: 네. 여기에서 새 책상을 하나 사면 좋겠어요.</t>
  </si>
  <si>
    <t>A: 어떤 책상을 사고 싶어요?</t>
  </si>
  <si>
    <t>B: 크기가 작고 하얀 책상요.</t>
  </si>
  <si>
    <t>같이 케이크를 만들까요?</t>
  </si>
  <si>
    <t>B: 네. 여기에서 새 운동화를 하나 사면 좋겠어요.</t>
  </si>
  <si>
    <t>A: 어떤 운동화를 사고 싶어요?</t>
  </si>
  <si>
    <t>B: 가격이 싸고 까만 운동화요.</t>
  </si>
  <si>
    <t>B: 네. 여기에서 새 가방을 하나 사면 좋겠어요.</t>
  </si>
  <si>
    <t>A: 어떤 가방을 사고 싶어요?</t>
  </si>
  <si>
    <t>B: 가볍고 파란색 가방요.</t>
  </si>
  <si>
    <t xml:space="preserve"> </t>
  </si>
  <si>
    <t>배가 고프면 점 심을 일찍 먹어요.</t>
  </si>
  <si>
    <t>놀이공원 앞에서 만나요.</t>
  </si>
  <si>
    <t>식당이 문을 열면 포장 주문을 할 거에요.</t>
  </si>
  <si>
    <t>컵에 설탕을 넣고 저으세요.</t>
  </si>
  <si>
    <t>시간이 많이 없는데 빨리 준비해야 해요.</t>
  </si>
  <si>
    <t>무릎이 아파서 걸을 수가 없어요.</t>
  </si>
  <si>
    <t>노트북이 고장났는데 고사 씨 노트북 좀 잠깜 빌릴 수 있을까요?</t>
  </si>
  <si>
    <t>강북</t>
  </si>
  <si>
    <t>어제 야식을 먹어서 얼굴이 부있어요</t>
  </si>
  <si>
    <t>해외에서 일해 봤어요?</t>
  </si>
  <si>
    <t>이 검은 재킷이 멋있어요. 한번 입어 보세요.</t>
  </si>
  <si>
    <t xml:space="preserve">스카이다이빙을 해 봤어요? </t>
  </si>
  <si>
    <t>강남</t>
  </si>
  <si>
    <t>한국 문화원에 가봤어요</t>
  </si>
  <si>
    <t>맛있게 드세요</t>
  </si>
  <si>
    <t>시험 못봐서 속상하면 노래방에 가는 게 어때요?</t>
  </si>
  <si>
    <t>저 파란 가방이 더 예쁘지 않아요?</t>
  </si>
  <si>
    <t>내 눈은 까매요.</t>
  </si>
  <si>
    <t>귀가 빨게요.</t>
  </si>
  <si>
    <t>까만 머리가 제 일 예뻐요.</t>
  </si>
  <si>
    <t>이 티셔츠가 저한테 잘 맞으면 좋겠어요.</t>
  </si>
  <si>
    <t>빨리 주말이 되면/됐으면 좋겠어요.</t>
  </si>
  <si>
    <t>푸르쉐 차를 사면 좋겠어요.</t>
  </si>
  <si>
    <t>아이가 아프지 않았어면 좋겠어요.</t>
  </si>
  <si>
    <t>매일 늦게 일어닜어면 좋겠어요.</t>
  </si>
  <si>
    <t>한국 노래를 불러 봤어요?</t>
  </si>
  <si>
    <t>저원피스가 너무 빨게요</t>
  </si>
  <si>
    <t>스트게스를 받으면 잠이 안 와 올 수 있어요.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</si>
</sst>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9">
    <font>
      <sz val="10"/>
      <color rgb="FF000000"/>
      <name val="Arial"/>
      <scheme val="minor"/>
    </font>
    <font>
      <b/>
      <sz val="12"/>
      <color theme="1"/>
      <name val="Arial"/>
      <scheme val="minor"/>
    </font>
    <font>
      <sz val="14"/>
      <color theme="1"/>
      <name val="Arial"/>
      <scheme val="minor"/>
    </font>
    <font>
      <sz val="12"/>
      <color theme="1"/>
      <name val="Arial"/>
      <scheme val="minor"/>
    </font>
    <font>
      <b/>
      <sz val="10"/>
      <color theme="1"/>
      <name val="Arial"/>
      <scheme val="minor"/>
    </font>
    <font>
      <sz val="14"/>
      <color rgb="FF000000"/>
      <name val="Arial"/>
    </font>
    <font>
      <sz val="10"/>
      <color theme="1"/>
      <name val="Arial"/>
      <scheme val="minor"/>
    </font>
    <font>
      <sz val="12"/>
      <color theme="1"/>
      <name val="Arial"/>
    </font>
    <font>
      <sz val="14"/>
      <color rgb="FF000000"/>
      <name val="Sans-serif"/>
    </font>
  </fonts>
  <fills count="8">
    <fill>
      <patternFill patternType="none"/>
    </fill>
    <fill>
      <patternFill patternType="gray125"/>
    </fill>
    <fill>
      <patternFill patternType="solid">
        <fgColor theme="0"/>
        <bgColor theme="0"/>
      </patternFill>
    </fill>
    <fill>
      <patternFill patternType="solid">
        <fgColor rgb="FFF4CCCC"/>
        <bgColor rgb="FFF4CCCC"/>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2" fillId="2" borderId="0" xfId="0" applyFont="1" applyFill="1"/>
    <xf numFmtId="0" fontId="2" fillId="0" borderId="0" xfId="0" applyFont="1"/>
    <xf numFmtId="0" fontId="3" fillId="0" borderId="0" xfId="0" applyFont="1"/>
    <xf numFmtId="0" fontId="2" fillId="3" borderId="0" xfId="0" applyFont="1" applyFill="1"/>
    <xf numFmtId="0" fontId="4" fillId="0" borderId="0" xfId="0" applyFont="1"/>
    <xf numFmtId="0" fontId="2" fillId="4" borderId="0" xfId="0" applyFont="1" applyFill="1"/>
    <xf numFmtId="0" fontId="2" fillId="5" borderId="0" xfId="0" applyFont="1" applyFill="1"/>
    <xf numFmtId="0" fontId="2" fillId="6" borderId="0" xfId="0" applyFont="1" applyFill="1"/>
    <xf numFmtId="0" fontId="5" fillId="2" borderId="0" xfId="0" applyFont="1" applyFill="1" applyAlignment="1">
      <alignment horizontal="left"/>
    </xf>
    <xf numFmtId="0" fontId="3" fillId="2" borderId="0" xfId="0" applyFont="1" applyFill="1"/>
    <xf numFmtId="0" fontId="6" fillId="2" borderId="0" xfId="0" applyFont="1" applyFill="1"/>
    <xf numFmtId="0" fontId="7" fillId="0" borderId="0" xfId="0" applyFont="1"/>
    <xf numFmtId="0" fontId="3" fillId="4" borderId="0" xfId="0" applyFont="1" applyFill="1"/>
    <xf numFmtId="0" fontId="6" fillId="4" borderId="0" xfId="0" applyFont="1" applyFill="1"/>
    <xf numFmtId="164" fontId="2" fillId="3" borderId="0" xfId="0" applyNumberFormat="1" applyFont="1" applyFill="1"/>
    <xf numFmtId="0" fontId="2" fillId="2" borderId="0" xfId="0" applyFont="1" applyFill="1" applyAlignment="1">
      <alignment wrapText="1"/>
    </xf>
    <xf numFmtId="164" fontId="2" fillId="0" borderId="0" xfId="0" applyNumberFormat="1" applyFont="1"/>
    <xf numFmtId="0" fontId="6" fillId="0" borderId="0" xfId="0" applyFont="1"/>
    <xf numFmtId="0" fontId="2" fillId="7" borderId="0" xfId="0" applyFont="1" applyFill="1"/>
    <xf numFmtId="0" fontId="2" fillId="0" borderId="0" xfId="0" quotePrefix="1" applyFont="1"/>
    <xf numFmtId="0" fontId="8"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60"/>
  <sheetViews>
    <sheetView workbookViewId="0"/>
  </sheetViews>
  <sheetFormatPr baseColWidth="10" defaultColWidth="12.6640625" defaultRowHeight="15.75" customHeight="1"/>
  <cols>
    <col min="1" max="1" width="53.1640625" customWidth="1"/>
    <col min="2" max="2" width="71.33203125" customWidth="1"/>
    <col min="3" max="3" width="31.1640625" customWidth="1"/>
    <col min="4" max="4" width="43" customWidth="1"/>
  </cols>
  <sheetData>
    <row r="1" spans="1:25" ht="16">
      <c r="A1" s="1" t="s">
        <v>0</v>
      </c>
      <c r="B1" s="1" t="s">
        <v>1</v>
      </c>
      <c r="C1" s="1" t="s">
        <v>2</v>
      </c>
      <c r="D1" s="1" t="s">
        <v>3</v>
      </c>
      <c r="E1" s="1" t="s">
        <v>4</v>
      </c>
      <c r="F1" s="6"/>
      <c r="G1" s="6"/>
      <c r="H1" s="6"/>
      <c r="I1" s="6"/>
      <c r="J1" s="6"/>
      <c r="K1" s="6"/>
      <c r="L1" s="6"/>
      <c r="M1" s="6"/>
      <c r="N1" s="6"/>
      <c r="O1" s="6"/>
      <c r="P1" s="6"/>
      <c r="Q1" s="6"/>
      <c r="R1" s="6"/>
      <c r="S1" s="6"/>
      <c r="T1" s="6"/>
      <c r="U1" s="6"/>
      <c r="V1" s="6"/>
      <c r="W1" s="6"/>
      <c r="X1" s="6"/>
      <c r="Y1" s="6"/>
    </row>
    <row r="2" spans="1:25" ht="18">
      <c r="A2" s="3" t="s">
        <v>11</v>
      </c>
      <c r="B2" s="4" t="str">
        <f ca="1">IFERROR(__xludf.DUMMYFUNCTION("IFERROR(GOOGLETRANSLATE(A2,""ko"",""en""),)"),"there is")</f>
        <v>there is</v>
      </c>
      <c r="C2" s="4" t="str">
        <f ca="1">IFERROR(__xludf.DUMMYFUNCTION("IFERROR(GOOGLETRANSLATE(B2,""en"",""ja""),)"),"がある")</f>
        <v>がある</v>
      </c>
      <c r="D2" s="4" t="str">
        <f ca="1">IFERROR(__xludf.DUMMYFUNCTION("IFERROR(GOOGLETRANSLATE(B2,""en"",""zh-TW""),)"),"有")</f>
        <v>有</v>
      </c>
      <c r="E2" s="4" t="str">
        <f ca="1">IFERROR(__xludf.DUMMYFUNCTION("IFERROR(GOOGLETRANSLATE(B2,""en"",""zh-CN""),)"),"有")</f>
        <v>有</v>
      </c>
    </row>
    <row r="3" spans="1:25" ht="18">
      <c r="A3" s="3" t="s">
        <v>19</v>
      </c>
      <c r="B3" s="4" t="str">
        <f ca="1">IFERROR(__xludf.DUMMYFUNCTION("IFERROR(GOOGLETRANSLATE(A3,""ko"",""en""),)"),"there is")</f>
        <v>there is</v>
      </c>
      <c r="C3" s="4" t="str">
        <f ca="1">IFERROR(__xludf.DUMMYFUNCTION("IFERROR(GOOGLETRANSLATE(B3,""en"",""ja""),)"),"がある")</f>
        <v>がある</v>
      </c>
      <c r="D3" s="4" t="str">
        <f ca="1">IFERROR(__xludf.DUMMYFUNCTION("IFERROR(GOOGLETRANSLATE(B3,""en"",""zh-TW""),)"),"有")</f>
        <v>有</v>
      </c>
      <c r="E3" s="4" t="str">
        <f ca="1">IFERROR(__xludf.DUMMYFUNCTION("IFERROR(GOOGLETRANSLATE(B3,""en"",""zh-CN""),)"),"有")</f>
        <v>有</v>
      </c>
    </row>
    <row r="4" spans="1:25" ht="18">
      <c r="A4" s="5" t="s">
        <v>23</v>
      </c>
      <c r="B4" s="4" t="str">
        <f ca="1">IFERROR(__xludf.DUMMYFUNCTION("IFERROR(GOOGLETRANSLATE(A4,""ko"",""en""),)"),"afternoon")</f>
        <v>afternoon</v>
      </c>
      <c r="C4" s="4" t="str">
        <f ca="1">IFERROR(__xludf.DUMMYFUNCTION("IFERROR(GOOGLETRANSLATE(B4,""en"",""ja""),)"),"午後")</f>
        <v>午後</v>
      </c>
      <c r="D4" s="4" t="str">
        <f ca="1">IFERROR(__xludf.DUMMYFUNCTION("IFERROR(GOOGLETRANSLATE(B4,""en"",""zh-TW""),)"),"午安")</f>
        <v>午安</v>
      </c>
      <c r="E4" s="4" t="str">
        <f ca="1">IFERROR(__xludf.DUMMYFUNCTION("IFERROR(GOOGLETRANSLATE(B4,""en"",""zh-CN""),)"),"下午")</f>
        <v>下午</v>
      </c>
    </row>
    <row r="5" spans="1:25" ht="18">
      <c r="A5" s="3" t="s">
        <v>29</v>
      </c>
      <c r="B5" s="4" t="str">
        <f ca="1">IFERROR(__xludf.DUMMYFUNCTION("IFERROR(GOOGLETRANSLATE(A5,""ko"",""en""),)"),"night")</f>
        <v>night</v>
      </c>
      <c r="C5" s="4" t="str">
        <f ca="1">IFERROR(__xludf.DUMMYFUNCTION("IFERROR(GOOGLETRANSLATE(B5,""en"",""ja""),)"),"夜")</f>
        <v>夜</v>
      </c>
      <c r="D5" s="4" t="str">
        <f ca="1">IFERROR(__xludf.DUMMYFUNCTION("IFERROR(GOOGLETRANSLATE(B5,""en"",""zh-TW""),)"),"夜晚")</f>
        <v>夜晚</v>
      </c>
      <c r="E5" s="4" t="str">
        <f ca="1">IFERROR(__xludf.DUMMYFUNCTION("IFERROR(GOOGLETRANSLATE(B5,""en"",""zh-CN""),)"),"夜晚")</f>
        <v>夜晚</v>
      </c>
    </row>
    <row r="6" spans="1:25" ht="18">
      <c r="A6" s="3" t="s">
        <v>35</v>
      </c>
      <c r="B6" s="4" t="str">
        <f ca="1">IFERROR(__xludf.DUMMYFUNCTION("IFERROR(GOOGLETRANSLATE(A6,""ko"",""en""),)"),"Day and night")</f>
        <v>Day and night</v>
      </c>
      <c r="C6" s="4" t="str">
        <f ca="1">IFERROR(__xludf.DUMMYFUNCTION("IFERROR(GOOGLETRANSLATE(B6,""en"",""ja""),)"),"昼も夜も")</f>
        <v>昼も夜も</v>
      </c>
      <c r="D6" s="4" t="str">
        <f ca="1">IFERROR(__xludf.DUMMYFUNCTION("IFERROR(GOOGLETRANSLATE(B6,""en"",""zh-TW""),)"),"日夜")</f>
        <v>日夜</v>
      </c>
      <c r="E6" s="4" t="str">
        <f ca="1">IFERROR(__xludf.DUMMYFUNCTION("IFERROR(GOOGLETRANSLATE(B6,""en"",""zh-CN""),)"),"日夜")</f>
        <v>日夜</v>
      </c>
    </row>
    <row r="7" spans="1:25" ht="18">
      <c r="A7" s="5" t="s">
        <v>39</v>
      </c>
      <c r="B7" s="4" t="str">
        <f ca="1">IFERROR(__xludf.DUMMYFUNCTION("IFERROR(GOOGLETRANSLATE(A7,""ko"",""en""),)"),"moon")</f>
        <v>moon</v>
      </c>
      <c r="C7" s="4" t="str">
        <f ca="1">IFERROR(__xludf.DUMMYFUNCTION("IFERROR(GOOGLETRANSLATE(B7,""en"",""ja""),)"),"月")</f>
        <v>月</v>
      </c>
      <c r="D7" s="4" t="str">
        <f ca="1">IFERROR(__xludf.DUMMYFUNCTION("IFERROR(GOOGLETRANSLATE(B7,""en"",""zh-TW""),)"),"月亮")</f>
        <v>月亮</v>
      </c>
      <c r="E7" s="4" t="str">
        <f ca="1">IFERROR(__xludf.DUMMYFUNCTION("IFERROR(GOOGLETRANSLATE(B7,""en"",""zh-CN""),)"),"月亮")</f>
        <v>月亮</v>
      </c>
    </row>
    <row r="8" spans="1:25" ht="18">
      <c r="A8" s="3" t="s">
        <v>45</v>
      </c>
      <c r="B8" s="4" t="str">
        <f ca="1">IFERROR(__xludf.DUMMYFUNCTION("IFERROR(GOOGLETRANSLATE(A8,""ko"",""en""),)"),"star")</f>
        <v>star</v>
      </c>
      <c r="C8" s="4" t="str">
        <f ca="1">IFERROR(__xludf.DUMMYFUNCTION("IFERROR(GOOGLETRANSLATE(B8,""en"",""ja""),)"),"星")</f>
        <v>星</v>
      </c>
      <c r="D8" s="4" t="str">
        <f ca="1">IFERROR(__xludf.DUMMYFUNCTION("IFERROR(GOOGLETRANSLATE(B8,""en"",""zh-TW""),)"),"星星")</f>
        <v>星星</v>
      </c>
      <c r="E8" s="4" t="str">
        <f ca="1">IFERROR(__xludf.DUMMYFUNCTION("IFERROR(GOOGLETRANSLATE(B8,""en"",""zh-CN""),)"),"星星")</f>
        <v>星星</v>
      </c>
    </row>
    <row r="9" spans="1:25" ht="18">
      <c r="A9" s="5" t="s">
        <v>50</v>
      </c>
      <c r="B9" s="4" t="str">
        <f ca="1">IFERROR(__xludf.DUMMYFUNCTION("IFERROR(GOOGLETRANSLATE(A9,""ko"",""en""),)"),"sun")</f>
        <v>sun</v>
      </c>
      <c r="C9" s="4" t="str">
        <f ca="1">IFERROR(__xludf.DUMMYFUNCTION("IFERROR(GOOGLETRANSLATE(B9,""en"",""ja""),)"),"太陽")</f>
        <v>太陽</v>
      </c>
      <c r="D9" s="4" t="str">
        <f ca="1">IFERROR(__xludf.DUMMYFUNCTION("IFERROR(GOOGLETRANSLATE(B9,""en"",""zh-TW""),)"),"太陽")</f>
        <v>太陽</v>
      </c>
      <c r="E9" s="4" t="str">
        <f ca="1">IFERROR(__xludf.DUMMYFUNCTION("IFERROR(GOOGLETRANSLATE(B9,""en"",""zh-CN""),)"),"太阳")</f>
        <v>太阳</v>
      </c>
    </row>
    <row r="10" spans="1:25" ht="18">
      <c r="A10" s="3" t="s">
        <v>53</v>
      </c>
      <c r="B10" s="4" t="str">
        <f ca="1">IFERROR(__xludf.DUMMYFUNCTION("IFERROR(GOOGLETRANSLATE(A10,""ko"",""en""),)"),"water")</f>
        <v>water</v>
      </c>
      <c r="C10" s="4" t="str">
        <f ca="1">IFERROR(__xludf.DUMMYFUNCTION("IFERROR(GOOGLETRANSLATE(B10,""en"",""ja""),)"),"水")</f>
        <v>水</v>
      </c>
      <c r="D10" s="4" t="str">
        <f ca="1">IFERROR(__xludf.DUMMYFUNCTION("IFERROR(GOOGLETRANSLATE(B10,""en"",""zh-TW""),)"),"水")</f>
        <v>水</v>
      </c>
      <c r="E10" s="4" t="str">
        <f ca="1">IFERROR(__xludf.DUMMYFUNCTION("IFERROR(GOOGLETRANSLATE(B10,""en"",""zh-CN""),)"),"水")</f>
        <v>水</v>
      </c>
    </row>
    <row r="11" spans="1:25" ht="18">
      <c r="A11" s="3" t="s">
        <v>59</v>
      </c>
      <c r="B11" s="4" t="str">
        <f ca="1">IFERROR(__xludf.DUMMYFUNCTION("IFERROR(GOOGLETRANSLATE(A11,""ko"",""en""),)"),"fire")</f>
        <v>fire</v>
      </c>
      <c r="C11" s="4" t="str">
        <f ca="1">IFERROR(__xludf.DUMMYFUNCTION("IFERROR(GOOGLETRANSLATE(B11,""en"",""ja""),)"),"火")</f>
        <v>火</v>
      </c>
      <c r="D11" s="4" t="str">
        <f ca="1">IFERROR(__xludf.DUMMYFUNCTION("IFERROR(GOOGLETRANSLATE(B11,""en"",""zh-TW""),)"),"火")</f>
        <v>火</v>
      </c>
      <c r="E11" s="4" t="str">
        <f ca="1">IFERROR(__xludf.DUMMYFUNCTION("IFERROR(GOOGLETRANSLATE(B11,""en"",""zh-CN""),)"),"火")</f>
        <v>火</v>
      </c>
    </row>
    <row r="12" spans="1:25" ht="18">
      <c r="A12" s="5" t="s">
        <v>63</v>
      </c>
      <c r="B12" s="4" t="str">
        <f ca="1">IFERROR(__xludf.DUMMYFUNCTION("IFERROR(GOOGLETRANSLATE(A12,""ko"",""en""),)"),"bear")</f>
        <v>bear</v>
      </c>
      <c r="C12" s="4" t="str">
        <f ca="1">IFERROR(__xludf.DUMMYFUNCTION("IFERROR(GOOGLETRANSLATE(B12,""en"",""ja""),)"),"クマ")</f>
        <v>クマ</v>
      </c>
      <c r="D12" s="4" t="str">
        <f ca="1">IFERROR(__xludf.DUMMYFUNCTION("IFERROR(GOOGLETRANSLATE(B12,""en"",""zh-TW""),)"),"熊")</f>
        <v>熊</v>
      </c>
      <c r="E12" s="4" t="str">
        <f ca="1">IFERROR(__xludf.DUMMYFUNCTION("IFERROR(GOOGLETRANSLATE(B12,""en"",""zh-CN""),)"),"熊")</f>
        <v>熊</v>
      </c>
    </row>
    <row r="13" spans="1:25" ht="18">
      <c r="A13" s="3" t="s">
        <v>68</v>
      </c>
      <c r="B13" s="4" t="str">
        <f ca="1">IFERROR(__xludf.DUMMYFUNCTION("IFERROR(GOOGLETRANSLATE(A13,""ko"",""en""),)"),"spring")</f>
        <v>spring</v>
      </c>
      <c r="C13" s="4" t="str">
        <f ca="1">IFERROR(__xludf.DUMMYFUNCTION("IFERROR(GOOGLETRANSLATE(B13,""en"",""ja""),)"),"春")</f>
        <v>春</v>
      </c>
      <c r="D13" s="4" t="str">
        <f ca="1">IFERROR(__xludf.DUMMYFUNCTION("IFERROR(GOOGLETRANSLATE(B13,""en"",""zh-TW""),)"),"春天")</f>
        <v>春天</v>
      </c>
      <c r="E13" s="4" t="str">
        <f ca="1">IFERROR(__xludf.DUMMYFUNCTION("IFERROR(GOOGLETRANSLATE(B13,""en"",""zh-CN""),)"),"春天")</f>
        <v>春天</v>
      </c>
    </row>
    <row r="14" spans="1:25" ht="18">
      <c r="A14" s="5" t="s">
        <v>73</v>
      </c>
      <c r="B14" s="4" t="s">
        <v>74</v>
      </c>
      <c r="C14" s="4" t="str">
        <f ca="1">IFERROR(__xludf.DUMMYFUNCTION("IFERROR(GOOGLETRANSLATE(B14,""en"",""ja""),)"),"血と汗と涙")</f>
        <v>血と汗と涙</v>
      </c>
      <c r="D14" s="4" t="str">
        <f ca="1">IFERROR(__xludf.DUMMYFUNCTION("IFERROR(GOOGLETRANSLATE(B14,""en"",""zh-TW""),)"),"血汗淚")</f>
        <v>血汗淚</v>
      </c>
      <c r="E14" s="4" t="str">
        <f ca="1">IFERROR(__xludf.DUMMYFUNCTION("IFERROR(GOOGLETRANSLATE(B14,""en"",""zh-CN""),)"),"血汗泪")</f>
        <v>血汗泪</v>
      </c>
    </row>
    <row r="15" spans="1:25" ht="18">
      <c r="A15" s="3" t="s">
        <v>79</v>
      </c>
      <c r="B15" s="4" t="str">
        <f ca="1">IFERROR(__xludf.DUMMYFUNCTION("IFERROR(GOOGLETRANSLATE(A15,""ko"",""en""),)"),"rice")</f>
        <v>rice</v>
      </c>
      <c r="C15" s="4" t="str">
        <f ca="1">IFERROR(__xludf.DUMMYFUNCTION("IFERROR(GOOGLETRANSLATE(B15,""en"",""ja""),)"),"米")</f>
        <v>米</v>
      </c>
      <c r="D15" s="4" t="str">
        <f ca="1">IFERROR(__xludf.DUMMYFUNCTION("IFERROR(GOOGLETRANSLATE(B15,""en"",""zh-TW""),)"),"白飯")</f>
        <v>白飯</v>
      </c>
      <c r="E15" s="4" t="str">
        <f ca="1">IFERROR(__xludf.DUMMYFUNCTION("IFERROR(GOOGLETRANSLATE(B15,""en"",""zh-CN""),)"),"米")</f>
        <v>米</v>
      </c>
    </row>
    <row r="16" spans="1:25" ht="18">
      <c r="A16" s="3" t="s">
        <v>84</v>
      </c>
      <c r="B16" s="4" t="str">
        <f ca="1">IFERROR(__xludf.DUMMYFUNCTION("IFERROR(GOOGLETRANSLATE(A16,""ko"",""en""),)"),"house")</f>
        <v>house</v>
      </c>
      <c r="C16" s="4" t="str">
        <f ca="1">IFERROR(__xludf.DUMMYFUNCTION("IFERROR(GOOGLETRANSLATE(B16,""en"",""ja""),)"),"家")</f>
        <v>家</v>
      </c>
      <c r="D16" s="4" t="str">
        <f ca="1">IFERROR(__xludf.DUMMYFUNCTION("IFERROR(GOOGLETRANSLATE(B16,""en"",""zh-TW""),)"),"房子")</f>
        <v>房子</v>
      </c>
      <c r="E16" s="4" t="str">
        <f ca="1">IFERROR(__xludf.DUMMYFUNCTION("IFERROR(GOOGLETRANSLATE(B16,""en"",""zh-CN""),)"),"房子")</f>
        <v>房子</v>
      </c>
    </row>
    <row r="17" spans="1:5" ht="18">
      <c r="A17" s="3" t="s">
        <v>87</v>
      </c>
      <c r="B17" s="4" t="str">
        <f ca="1">IFERROR(__xludf.DUMMYFUNCTION("IFERROR(GOOGLETRANSLATE(A17,""ko"",""en""),)"),"In front of the house")</f>
        <v>In front of the house</v>
      </c>
      <c r="C17" s="4" t="str">
        <f ca="1">IFERROR(__xludf.DUMMYFUNCTION("IFERROR(GOOGLETRANSLATE(B17,""en"",""ja""),)"),"家の前")</f>
        <v>家の前</v>
      </c>
      <c r="D17" s="4" t="str">
        <f ca="1">IFERROR(__xludf.DUMMYFUNCTION("IFERROR(GOOGLETRANSLATE(B17,""en"",""zh-TW""),)"),"在房子前面")</f>
        <v>在房子前面</v>
      </c>
      <c r="E17" s="4" t="str">
        <f ca="1">IFERROR(__xludf.DUMMYFUNCTION("IFERROR(GOOGLETRANSLATE(B17,""en"",""zh-CN""),)"),"在房子前面")</f>
        <v>在房子前面</v>
      </c>
    </row>
    <row r="18" spans="1:5" ht="18">
      <c r="A18" s="3" t="s">
        <v>93</v>
      </c>
      <c r="B18" s="4" t="str">
        <f ca="1">IFERROR(__xludf.DUMMYFUNCTION("IFERROR(GOOGLETRANSLATE(A18,""ko"",""en""),)"),"Under the house")</f>
        <v>Under the house</v>
      </c>
      <c r="C18" s="4" t="str">
        <f ca="1">IFERROR(__xludf.DUMMYFUNCTION("IFERROR(GOOGLETRANSLATE(B18,""en"",""ja""),)"),"家の真下")</f>
        <v>家の真下</v>
      </c>
      <c r="D18" s="4" t="str">
        <f ca="1">IFERROR(__xludf.DUMMYFUNCTION("IFERROR(GOOGLETRANSLATE(B18,""en"",""zh-TW""),)"),"房子下面")</f>
        <v>房子下面</v>
      </c>
      <c r="E18" s="4" t="str">
        <f ca="1">IFERROR(__xludf.DUMMYFUNCTION("IFERROR(GOOGLETRANSLATE(B18,""en"",""zh-CN""),)"),"房子下面")</f>
        <v>房子下面</v>
      </c>
    </row>
    <row r="19" spans="1:5" ht="18">
      <c r="A19" s="3" t="s">
        <v>96</v>
      </c>
      <c r="B19" s="4" t="str">
        <f ca="1">IFERROR(__xludf.DUMMYFUNCTION("IFERROR(GOOGLETRANSLATE(A19,""ko"",""en""),)"),"Next to the house")</f>
        <v>Next to the house</v>
      </c>
      <c r="C19" s="4" t="str">
        <f ca="1">IFERROR(__xludf.DUMMYFUNCTION("IFERROR(GOOGLETRANSLATE(B19,""en"",""ja""),)"),"家の隣")</f>
        <v>家の隣</v>
      </c>
      <c r="D19" s="4" t="str">
        <f ca="1">IFERROR(__xludf.DUMMYFUNCTION("IFERROR(GOOGLETRANSLATE(B19,""en"",""zh-TW""),)"),"房子旁邊")</f>
        <v>房子旁邊</v>
      </c>
      <c r="E19" s="4" t="str">
        <f ca="1">IFERROR(__xludf.DUMMYFUNCTION("IFERROR(GOOGLETRANSLATE(B19,""en"",""zh-CN""),)"),"房子旁边")</f>
        <v>房子旁边</v>
      </c>
    </row>
    <row r="20" spans="1:5" ht="18">
      <c r="A20" s="3" t="s">
        <v>103</v>
      </c>
      <c r="B20" s="4" t="str">
        <f ca="1">IFERROR(__xludf.DUMMYFUNCTION("IFERROR(GOOGLETRANSLATE(A20,""ko"",""en""),)"),"ball")</f>
        <v>ball</v>
      </c>
      <c r="C20" s="4" t="str">
        <f ca="1">IFERROR(__xludf.DUMMYFUNCTION("IFERROR(GOOGLETRANSLATE(B20,""en"",""ja""),)"),"ボール")</f>
        <v>ボール</v>
      </c>
      <c r="D20" s="4" t="str">
        <f ca="1">IFERROR(__xludf.DUMMYFUNCTION("IFERROR(GOOGLETRANSLATE(B20,""en"",""zh-TW""),)"),"球")</f>
        <v>球</v>
      </c>
      <c r="E20" s="4" t="str">
        <f ca="1">IFERROR(__xludf.DUMMYFUNCTION("IFERROR(GOOGLETRANSLATE(B20,""en"",""zh-CN""),)"),"球")</f>
        <v>球</v>
      </c>
    </row>
    <row r="21" spans="1:5" ht="18">
      <c r="A21" s="5" t="s">
        <v>107</v>
      </c>
      <c r="B21" s="4" t="s">
        <v>108</v>
      </c>
      <c r="C21" s="4" t="str">
        <f ca="1">IFERROR(__xludf.DUMMYFUNCTION("IFERROR(GOOGLETRANSLATE(B21,""en"",""ja""),)"),"ボトル")</f>
        <v>ボトル</v>
      </c>
      <c r="D21" s="4" t="str">
        <f ca="1">IFERROR(__xludf.DUMMYFUNCTION("IFERROR(GOOGLETRANSLATE(B21,""en"",""zh-TW""),)"),"瓶子")</f>
        <v>瓶子</v>
      </c>
      <c r="E21" s="4" t="str">
        <f ca="1">IFERROR(__xludf.DUMMYFUNCTION("IFERROR(GOOGLETRANSLATE(B21,""en"",""zh-CN""),)"),"瓶子")</f>
        <v>瓶子</v>
      </c>
    </row>
    <row r="22" spans="1:5" ht="18">
      <c r="A22" s="5" t="s">
        <v>112</v>
      </c>
      <c r="B22" s="4" t="str">
        <f ca="1">IFERROR(__xludf.DUMMYFUNCTION("IFERROR(GOOGLETRANSLATE(A22,""ko"",""en""),)"),"bread")</f>
        <v>bread</v>
      </c>
      <c r="C22" s="4" t="str">
        <f ca="1">IFERROR(__xludf.DUMMYFUNCTION("IFERROR(GOOGLETRANSLATE(B22,""en"",""ja""),)"),"パン")</f>
        <v>パン</v>
      </c>
      <c r="D22" s="4" t="str">
        <f ca="1">IFERROR(__xludf.DUMMYFUNCTION("IFERROR(GOOGLETRANSLATE(B22,""en"",""zh-TW""),)"),"麵包")</f>
        <v>麵包</v>
      </c>
      <c r="E22" s="4" t="str">
        <f ca="1">IFERROR(__xludf.DUMMYFUNCTION("IFERROR(GOOGLETRANSLATE(B22,""en"",""zh-CN""),)"),"面包")</f>
        <v>面包</v>
      </c>
    </row>
    <row r="23" spans="1:5" ht="18">
      <c r="A23" s="3" t="s">
        <v>117</v>
      </c>
      <c r="B23" s="4" t="s">
        <v>118</v>
      </c>
      <c r="C23" s="4" t="str">
        <f ca="1">IFERROR(__xludf.DUMMYFUNCTION("IFERROR(GOOGLETRANSLATE(B23,""en"",""ja""),)"),"我が国")</f>
        <v>我が国</v>
      </c>
      <c r="D23" s="4" t="str">
        <f ca="1">IFERROR(__xludf.DUMMYFUNCTION("IFERROR(GOOGLETRANSLATE(B23,""en"",""zh-TW""),)"),"我們的國家")</f>
        <v>我們的國家</v>
      </c>
      <c r="E23" s="4" t="str">
        <f ca="1">IFERROR(__xludf.DUMMYFUNCTION("IFERROR(GOOGLETRANSLATE(B23,""en"",""zh-CN""),)"),"我们的国家")</f>
        <v>我们的国家</v>
      </c>
    </row>
    <row r="24" spans="1:5" ht="18">
      <c r="A24" s="3" t="s">
        <v>123</v>
      </c>
      <c r="B24" s="4" t="str">
        <f ca="1">IFERROR(__xludf.DUMMYFUNCTION("IFERROR(GOOGLETRANSLATE(A24,""ko"",""en""),)"),"under")</f>
        <v>under</v>
      </c>
      <c r="C24" s="4" t="str">
        <f ca="1">IFERROR(__xludf.DUMMYFUNCTION("IFERROR(GOOGLETRANSLATE(B24,""en"",""ja""),)"),"下")</f>
        <v>下</v>
      </c>
      <c r="D24" s="4" t="str">
        <f ca="1">IFERROR(__xludf.DUMMYFUNCTION("IFERROR(GOOGLETRANSLATE(B24,""en"",""zh-TW""),)"),"在下面")</f>
        <v>在下面</v>
      </c>
      <c r="E24" s="4" t="str">
        <f ca="1">IFERROR(__xludf.DUMMYFUNCTION("IFERROR(GOOGLETRANSLATE(B24,""en"",""zh-CN""),)"),"在下面")</f>
        <v>在下面</v>
      </c>
    </row>
    <row r="25" spans="1:5" ht="18">
      <c r="A25" s="3" t="s">
        <v>127</v>
      </c>
      <c r="B25" s="4" t="str">
        <f ca="1">IFERROR(__xludf.DUMMYFUNCTION("IFERROR(GOOGLETRANSLATE(A25,""ko"",""en""),)"),"every")</f>
        <v>every</v>
      </c>
      <c r="C25" s="4" t="str">
        <f ca="1">IFERROR(__xludf.DUMMYFUNCTION("IFERROR(GOOGLETRANSLATE(B25,""en"",""ja""),)"),"毎")</f>
        <v>毎</v>
      </c>
      <c r="D25" s="4" t="str">
        <f ca="1">IFERROR(__xludf.DUMMYFUNCTION("IFERROR(GOOGLETRANSLATE(B25,""en"",""zh-TW""),)"),"每一個")</f>
        <v>每一個</v>
      </c>
      <c r="E25" s="4" t="str">
        <f ca="1">IFERROR(__xludf.DUMMYFUNCTION("IFERROR(GOOGLETRANSLATE(B25,""en"",""zh-CN""),)"),"每一个")</f>
        <v>每一个</v>
      </c>
    </row>
    <row r="26" spans="1:5" ht="18">
      <c r="A26" s="3" t="s">
        <v>135</v>
      </c>
      <c r="B26" s="4" t="str">
        <f ca="1">IFERROR(__xludf.DUMMYFUNCTION("IFERROR(GOOGLETRANSLATE(A26,""ko"",""en""),)"),"please")</f>
        <v>please</v>
      </c>
      <c r="C26" s="4" t="str">
        <f ca="1">IFERROR(__xludf.DUMMYFUNCTION("IFERROR(GOOGLETRANSLATE(B26,""en"",""ja""),)"),"お願いします")</f>
        <v>お願いします</v>
      </c>
      <c r="D26" s="4" t="str">
        <f ca="1">IFERROR(__xludf.DUMMYFUNCTION("IFERROR(GOOGLETRANSLATE(B26,""en"",""zh-TW""),)"),"請")</f>
        <v>請</v>
      </c>
      <c r="E26" s="4" t="str">
        <f ca="1">IFERROR(__xludf.DUMMYFUNCTION("IFERROR(GOOGLETRANSLATE(B26,""en"",""zh-CN""),)"),"请")</f>
        <v>请</v>
      </c>
    </row>
    <row r="27" spans="1:5" ht="18">
      <c r="A27" s="5" t="s">
        <v>141</v>
      </c>
      <c r="B27" s="4" t="str">
        <f ca="1">IFERROR(__xludf.DUMMYFUNCTION("IFERROR(GOOGLETRANSLATE(A27,""ko"",""en""),)"),"yesterday")</f>
        <v>yesterday</v>
      </c>
      <c r="C27" s="4" t="str">
        <f ca="1">IFERROR(__xludf.DUMMYFUNCTION("IFERROR(GOOGLETRANSLATE(B27,""en"",""ja""),)"),"昨日")</f>
        <v>昨日</v>
      </c>
      <c r="D27" s="4" t="str">
        <f ca="1">IFERROR(__xludf.DUMMYFUNCTION("IFERROR(GOOGLETRANSLATE(B27,""en"",""zh-TW""),)"),"昨天")</f>
        <v>昨天</v>
      </c>
      <c r="E27" s="4" t="str">
        <f ca="1">IFERROR(__xludf.DUMMYFUNCTION("IFERROR(GOOGLETRANSLATE(B27,""en"",""zh-CN""),)"),"昨天")</f>
        <v>昨天</v>
      </c>
    </row>
    <row r="28" spans="1:5" ht="18">
      <c r="A28" s="3" t="s">
        <v>148</v>
      </c>
      <c r="B28" s="4" t="str">
        <f ca="1">IFERROR(__xludf.DUMMYFUNCTION("IFERROR(GOOGLETRANSLATE(A28,""ko"",""en""),)"),"today")</f>
        <v>today</v>
      </c>
      <c r="C28" s="4" t="str">
        <f ca="1">IFERROR(__xludf.DUMMYFUNCTION("IFERROR(GOOGLETRANSLATE(B28,""en"",""ja""),)"),"今日")</f>
        <v>今日</v>
      </c>
      <c r="D28" s="4" t="str">
        <f ca="1">IFERROR(__xludf.DUMMYFUNCTION("IFERROR(GOOGLETRANSLATE(B28,""en"",""zh-TW""),)"),"今天")</f>
        <v>今天</v>
      </c>
      <c r="E28" s="4" t="str">
        <f ca="1">IFERROR(__xludf.DUMMYFUNCTION("IFERROR(GOOGLETRANSLATE(B28,""en"",""zh-CN""),)"),"今天")</f>
        <v>今天</v>
      </c>
    </row>
    <row r="29" spans="1:5" ht="18">
      <c r="A29" s="3" t="s">
        <v>156</v>
      </c>
      <c r="B29" s="4" t="str">
        <f ca="1">IFERROR(__xludf.DUMMYFUNCTION("IFERROR(GOOGLETRANSLATE(A29,""ko"",""en""),)"),"Let's study Korean today.")</f>
        <v>Let's study Korean today.</v>
      </c>
      <c r="C29" s="4" t="str">
        <f ca="1">IFERROR(__xludf.DUMMYFUNCTION("IFERROR(GOOGLETRANSLATE(B29,""en"",""ja""),)"),"今日は韓国語を勉強しましょう。")</f>
        <v>今日は韓国語を勉強しましょう。</v>
      </c>
      <c r="D29" s="4" t="str">
        <f ca="1">IFERROR(__xludf.DUMMYFUNCTION("IFERROR(GOOGLETRANSLATE(B29,""en"",""zh-TW""),)"),"今天我們來學習韓語。")</f>
        <v>今天我們來學習韓語。</v>
      </c>
      <c r="E29" s="4" t="str">
        <f ca="1">IFERROR(__xludf.DUMMYFUNCTION("IFERROR(GOOGLETRANSLATE(B29,""en"",""zh-CN""),)"),"今天我们来学习韩语。")</f>
        <v>今天我们来学习韩语。</v>
      </c>
    </row>
    <row r="30" spans="1:5" ht="18">
      <c r="A30" s="5" t="s">
        <v>164</v>
      </c>
      <c r="B30" s="4" t="str">
        <f ca="1">IFERROR(__xludf.DUMMYFUNCTION("IFERROR(GOOGLETRANSLATE(A30,""ko"",""en""),)"),"tomorrow")</f>
        <v>tomorrow</v>
      </c>
      <c r="C30" s="4" t="str">
        <f ca="1">IFERROR(__xludf.DUMMYFUNCTION("IFERROR(GOOGLETRANSLATE(B30,""en"",""ja""),)"),"明日")</f>
        <v>明日</v>
      </c>
      <c r="D30" s="4" t="str">
        <f ca="1">IFERROR(__xludf.DUMMYFUNCTION("IFERROR(GOOGLETRANSLATE(B30,""en"",""zh-TW""),)"),"明天")</f>
        <v>明天</v>
      </c>
      <c r="E30" s="4" t="str">
        <f ca="1">IFERROR(__xludf.DUMMYFUNCTION("IFERROR(GOOGLETRANSLATE(B30,""en"",""zh-CN""),)"),"明天")</f>
        <v>明天</v>
      </c>
    </row>
    <row r="31" spans="1:5" ht="18">
      <c r="A31" s="3" t="s">
        <v>170</v>
      </c>
      <c r="B31" s="4" t="str">
        <f ca="1">IFERROR(__xludf.DUMMYFUNCTION("IFERROR(GOOGLETRANSLATE(A31,""ko"",""en""),)"),"day")</f>
        <v>day</v>
      </c>
      <c r="C31" s="4" t="str">
        <f ca="1">IFERROR(__xludf.DUMMYFUNCTION("IFERROR(GOOGLETRANSLATE(B31,""en"",""ja""),)"),"日")</f>
        <v>日</v>
      </c>
      <c r="D31" s="4" t="str">
        <f ca="1">IFERROR(__xludf.DUMMYFUNCTION("IFERROR(GOOGLETRANSLATE(B31,""en"",""zh-TW""),)"),"天")</f>
        <v>天</v>
      </c>
      <c r="E31" s="4" t="str">
        <f ca="1">IFERROR(__xludf.DUMMYFUNCTION("IFERROR(GOOGLETRANSLATE(B31,""en"",""zh-CN""),)"),"天")</f>
        <v>天</v>
      </c>
    </row>
    <row r="32" spans="1:5" ht="18">
      <c r="A32" s="5" t="s">
        <v>179</v>
      </c>
      <c r="B32" s="4" t="str">
        <f ca="1">IFERROR(__xludf.DUMMYFUNCTION("IFERROR(GOOGLETRANSLATE(A32,""ko"",""en""),)"),"Washing my face")</f>
        <v>Washing my face</v>
      </c>
      <c r="C32" s="4" t="str">
        <f ca="1">IFERROR(__xludf.DUMMYFUNCTION("IFERROR(GOOGLETRANSLATE(B32,""en"",""ja""),)"),"顔を洗う")</f>
        <v>顔を洗う</v>
      </c>
      <c r="D32" s="4" t="str">
        <f ca="1">IFERROR(__xludf.DUMMYFUNCTION("IFERROR(GOOGLETRANSLATE(B32,""en"",""zh-TW""),)"),"洗臉")</f>
        <v>洗臉</v>
      </c>
      <c r="E32" s="4" t="str">
        <f ca="1">IFERROR(__xludf.DUMMYFUNCTION("IFERROR(GOOGLETRANSLATE(B32,""en"",""zh-CN""),)"),"洗脸")</f>
        <v>洗脸</v>
      </c>
    </row>
    <row r="33" spans="1:5" ht="18">
      <c r="A33" s="3" t="s">
        <v>17</v>
      </c>
      <c r="B33" s="4" t="str">
        <f ca="1">IFERROR(__xludf.DUMMYFUNCTION("IFERROR(GOOGLETRANSLATE(A33,""ko"",""en""),)"),"ocean")</f>
        <v>ocean</v>
      </c>
      <c r="C33" s="4" t="str">
        <f ca="1">IFERROR(__xludf.DUMMYFUNCTION("IFERROR(GOOGLETRANSLATE(B33,""en"",""ja""),)"),"海")</f>
        <v>海</v>
      </c>
      <c r="D33" s="4" t="str">
        <f ca="1">IFERROR(__xludf.DUMMYFUNCTION("IFERROR(GOOGLETRANSLATE(B33,""en"",""zh-TW""),)"),"海洋")</f>
        <v>海洋</v>
      </c>
      <c r="E33" s="4" t="str">
        <f ca="1">IFERROR(__xludf.DUMMYFUNCTION("IFERROR(GOOGLETRANSLATE(B33,""en"",""zh-CN""),)"),"海洋")</f>
        <v>海洋</v>
      </c>
    </row>
    <row r="34" spans="1:5" ht="18">
      <c r="A34" s="3" t="s">
        <v>187</v>
      </c>
      <c r="B34" s="4" t="str">
        <f ca="1">IFERROR(__xludf.DUMMYFUNCTION("IFERROR(GOOGLETRANSLATE(A34,""ko"",""en""),)"),"jeju island")</f>
        <v>jeju island</v>
      </c>
      <c r="C34" s="4" t="str">
        <f ca="1">IFERROR(__xludf.DUMMYFUNCTION("IFERROR(GOOGLETRANSLATE(B34,""en"",""ja""),)"),"済州島")</f>
        <v>済州島</v>
      </c>
      <c r="D34" s="4" t="str">
        <f ca="1">IFERROR(__xludf.DUMMYFUNCTION("IFERROR(GOOGLETRANSLATE(B34,""en"",""zh-TW""),)"),"濟州島")</f>
        <v>濟州島</v>
      </c>
      <c r="E34" s="4" t="str">
        <f ca="1">IFERROR(__xludf.DUMMYFUNCTION("IFERROR(GOOGLETRANSLATE(B34,""en"",""zh-CN""),)"),"济州岛")</f>
        <v>济州岛</v>
      </c>
    </row>
    <row r="35" spans="1:5" ht="18">
      <c r="A35" s="3" t="s">
        <v>195</v>
      </c>
      <c r="B35" s="4" t="str">
        <f ca="1">IFERROR(__xludf.DUMMYFUNCTION("IFERROR(GOOGLETRANSLATE(A35,""ko"",""en""),)"),"radio")</f>
        <v>radio</v>
      </c>
      <c r="C35" s="4" t="str">
        <f ca="1">IFERROR(__xludf.DUMMYFUNCTION("IFERROR(GOOGLETRANSLATE(B35,""en"",""ja""),)"),"無線")</f>
        <v>無線</v>
      </c>
      <c r="D35" s="4" t="str">
        <f ca="1">IFERROR(__xludf.DUMMYFUNCTION("IFERROR(GOOGLETRANSLATE(B35,""en"",""zh-TW""),)"),"收音機")</f>
        <v>收音機</v>
      </c>
      <c r="E35" s="4" t="str">
        <f ca="1">IFERROR(__xludf.DUMMYFUNCTION("IFERROR(GOOGLETRANSLATE(B35,""en"",""zh-CN""),)"),"收音机")</f>
        <v>收音机</v>
      </c>
    </row>
    <row r="36" spans="1:5" ht="18">
      <c r="A36" s="3" t="s">
        <v>199</v>
      </c>
      <c r="B36" s="4" t="str">
        <f ca="1">IFERROR(__xludf.DUMMYFUNCTION("IFERROR(GOOGLETRANSLATE(A36,""ko"",""en""),)"),"drama")</f>
        <v>drama</v>
      </c>
      <c r="C36" s="4" t="str">
        <f ca="1">IFERROR(__xludf.DUMMYFUNCTION("IFERROR(GOOGLETRANSLATE(B36,""en"",""ja""),)"),"ドラマ")</f>
        <v>ドラマ</v>
      </c>
      <c r="D36" s="4" t="str">
        <f ca="1">IFERROR(__xludf.DUMMYFUNCTION("IFERROR(GOOGLETRANSLATE(B36,""en"",""zh-TW""),)"),"戲劇")</f>
        <v>戲劇</v>
      </c>
      <c r="E36" s="4" t="str">
        <f ca="1">IFERROR(__xludf.DUMMYFUNCTION("IFERROR(GOOGLETRANSLATE(B36,""en"",""zh-CN""),)"),"戏剧")</f>
        <v>戏剧</v>
      </c>
    </row>
    <row r="37" spans="1:5" ht="18">
      <c r="A37" s="5" t="s">
        <v>210</v>
      </c>
      <c r="B37" s="4" t="str">
        <f ca="1">IFERROR(__xludf.DUMMYFUNCTION("IFERROR(GOOGLETRANSLATE(A37,""ko"",""en""),)"),"drink")</f>
        <v>drink</v>
      </c>
      <c r="C37" s="4" t="str">
        <f ca="1">IFERROR(__xludf.DUMMYFUNCTION("IFERROR(GOOGLETRANSLATE(B37,""en"",""ja""),)"),"飲む")</f>
        <v>飲む</v>
      </c>
      <c r="D37" s="4" t="str">
        <f ca="1">IFERROR(__xludf.DUMMYFUNCTION("IFERROR(GOOGLETRANSLATE(B37,""en"",""zh-TW""),)"),"喝")</f>
        <v>喝</v>
      </c>
      <c r="E37" s="4" t="str">
        <f ca="1">IFERROR(__xludf.DUMMYFUNCTION("IFERROR(GOOGLETRANSLATE(B37,""en"",""zh-CN""),)"),"喝")</f>
        <v>喝</v>
      </c>
    </row>
    <row r="38" spans="1:5" ht="18">
      <c r="A38" s="5" t="s">
        <v>215</v>
      </c>
      <c r="B38" s="4" t="s">
        <v>216</v>
      </c>
      <c r="C38" s="4" t="str">
        <f ca="1">IFERROR(__xludf.DUMMYFUNCTION("IFERROR(GOOGLETRANSLATE(B38,""en"",""ja""),)"),"美味しい")</f>
        <v>美味しい</v>
      </c>
      <c r="D38" s="4" t="str">
        <f ca="1">IFERROR(__xludf.DUMMYFUNCTION("IFERROR(GOOGLETRANSLATE(B38,""en"",""zh-TW""),)"),"可口的")</f>
        <v>可口的</v>
      </c>
      <c r="E38" s="4" t="str">
        <f ca="1">IFERROR(__xludf.DUMMYFUNCTION("IFERROR(GOOGLETRANSLATE(B38,""en"",""zh-CN""),)"),"可口的")</f>
        <v>可口的</v>
      </c>
    </row>
    <row r="39" spans="1:5" ht="18">
      <c r="A39" s="5" t="s">
        <v>220</v>
      </c>
      <c r="B39" s="4" t="str">
        <f ca="1">IFERROR(__xludf.DUMMYFUNCTION("IFERROR(GOOGLETRANSLATE(A39,""ko"",""en""),)"),"learn")</f>
        <v>learn</v>
      </c>
      <c r="C39" s="4" t="str">
        <f ca="1">IFERROR(__xludf.DUMMYFUNCTION("IFERROR(GOOGLETRANSLATE(B39,""en"",""ja""),)"),"学ぶ")</f>
        <v>学ぶ</v>
      </c>
      <c r="D39" s="4" t="str">
        <f ca="1">IFERROR(__xludf.DUMMYFUNCTION("IFERROR(GOOGLETRANSLATE(B39,""en"",""zh-TW""),)"),"學習")</f>
        <v>學習</v>
      </c>
      <c r="E39" s="4" t="str">
        <f ca="1">IFERROR(__xludf.DUMMYFUNCTION("IFERROR(GOOGLETRANSLATE(B39,""en"",""zh-CN""),)"),"学习")</f>
        <v>学习</v>
      </c>
    </row>
    <row r="40" spans="1:5" ht="18">
      <c r="A40" s="3" t="s">
        <v>225</v>
      </c>
      <c r="B40" s="4" t="str">
        <f ca="1">IFERROR(__xludf.DUMMYFUNCTION("IFERROR(GOOGLETRANSLATE(A40,""ko"",""en""),)"),"song")</f>
        <v>song</v>
      </c>
      <c r="C40" s="4" t="str">
        <f ca="1">IFERROR(__xludf.DUMMYFUNCTION("IFERROR(GOOGLETRANSLATE(B40,""en"",""ja""),)"),"歌")</f>
        <v>歌</v>
      </c>
      <c r="D40" s="4" t="str">
        <f ca="1">IFERROR(__xludf.DUMMYFUNCTION("IFERROR(GOOGLETRANSLATE(B40,""en"",""zh-TW""),)"),"歌曲")</f>
        <v>歌曲</v>
      </c>
      <c r="E40" s="4" t="str">
        <f ca="1">IFERROR(__xludf.DUMMYFUNCTION("IFERROR(GOOGLETRANSLATE(B40,""en"",""zh-CN""),)"),"歌曲")</f>
        <v>歌曲</v>
      </c>
    </row>
    <row r="41" spans="1:5" ht="18">
      <c r="A41" s="3" t="s">
        <v>228</v>
      </c>
      <c r="B41" s="4" t="str">
        <f ca="1">IFERROR(__xludf.DUMMYFUNCTION("IFERROR(GOOGLETRANSLATE(A41,""ko"",""en""),)"),"menu")</f>
        <v>menu</v>
      </c>
      <c r="C41" s="4" t="str">
        <f ca="1">IFERROR(__xludf.DUMMYFUNCTION("IFERROR(GOOGLETRANSLATE(B41,""en"",""ja""),)"),"メニュー")</f>
        <v>メニュー</v>
      </c>
      <c r="D41" s="4" t="str">
        <f ca="1">IFERROR(__xludf.DUMMYFUNCTION("IFERROR(GOOGLETRANSLATE(B41,""en"",""zh-TW""),)"),"選單")</f>
        <v>選單</v>
      </c>
      <c r="E41" s="4" t="str">
        <f ca="1">IFERROR(__xludf.DUMMYFUNCTION("IFERROR(GOOGLETRANSLATE(B41,""en"",""zh-CN""),)"),"菜单")</f>
        <v>菜单</v>
      </c>
    </row>
    <row r="42" spans="1:5" ht="18">
      <c r="A42" s="3" t="s">
        <v>233</v>
      </c>
      <c r="B42" s="4" t="str">
        <f ca="1">IFERROR(__xludf.DUMMYFUNCTION("IFERROR(GOOGLETRANSLATE(A42,""ko"",""en""),)"),"baseball")</f>
        <v>baseball</v>
      </c>
      <c r="C42" s="4" t="str">
        <f ca="1">IFERROR(__xludf.DUMMYFUNCTION("IFERROR(GOOGLETRANSLATE(B42,""en"",""ja""),)"),"野球")</f>
        <v>野球</v>
      </c>
      <c r="D42" s="4" t="str">
        <f ca="1">IFERROR(__xludf.DUMMYFUNCTION("IFERROR(GOOGLETRANSLATE(B42,""en"",""zh-TW""),)"),"棒球")</f>
        <v>棒球</v>
      </c>
      <c r="E42" s="4" t="str">
        <f ca="1">IFERROR(__xludf.DUMMYFUNCTION("IFERROR(GOOGLETRANSLATE(B42,""en"",""zh-CN""),)"),"棒球")</f>
        <v>棒球</v>
      </c>
    </row>
    <row r="43" spans="1:5" ht="18">
      <c r="A43" s="3" t="s">
        <v>238</v>
      </c>
      <c r="B43" s="4" t="str">
        <f ca="1">IFERROR(__xludf.DUMMYFUNCTION("IFERROR(GOOGLETRANSLATE(A43,""ko"",""en""),)"),"clock")</f>
        <v>clock</v>
      </c>
      <c r="C43" s="4" t="str">
        <f ca="1">IFERROR(__xludf.DUMMYFUNCTION("IFERROR(GOOGLETRANSLATE(B43,""en"",""ja""),)"),"クロック")</f>
        <v>クロック</v>
      </c>
      <c r="D43" s="4" t="str">
        <f ca="1">IFERROR(__xludf.DUMMYFUNCTION("IFERROR(GOOGLETRANSLATE(B43,""en"",""zh-TW""),)"),"鐘")</f>
        <v>鐘</v>
      </c>
      <c r="E43" s="4" t="str">
        <f ca="1">IFERROR(__xludf.DUMMYFUNCTION("IFERROR(GOOGLETRANSLATE(B43,""en"",""zh-CN""),)"),"钟")</f>
        <v>钟</v>
      </c>
    </row>
    <row r="44" spans="1:5" ht="18">
      <c r="A44" s="3" t="s">
        <v>242</v>
      </c>
      <c r="B44" s="4" t="str">
        <f ca="1">IFERROR(__xludf.DUMMYFUNCTION("IFERROR(GOOGLETRANSLATE(A44,""ko"",""en""),)"),"party")</f>
        <v>party</v>
      </c>
      <c r="C44" s="4" t="str">
        <f ca="1">IFERROR(__xludf.DUMMYFUNCTION("IFERROR(GOOGLETRANSLATE(B44,""en"",""ja""),)"),"パーティー")</f>
        <v>パーティー</v>
      </c>
      <c r="D44" s="4" t="str">
        <f ca="1">IFERROR(__xludf.DUMMYFUNCTION("IFERROR(GOOGLETRANSLATE(B44,""en"",""zh-TW""),)"),"派對")</f>
        <v>派對</v>
      </c>
      <c r="E44" s="4" t="str">
        <f ca="1">IFERROR(__xludf.DUMMYFUNCTION("IFERROR(GOOGLETRANSLATE(B44,""en"",""zh-CN""),)"),"派对")</f>
        <v>派对</v>
      </c>
    </row>
    <row r="45" spans="1:5" ht="18">
      <c r="A45" s="3" t="s">
        <v>247</v>
      </c>
      <c r="B45" s="4" t="str">
        <f ca="1">IFERROR(__xludf.DUMMYFUNCTION("IFERROR(GOOGLETRANSLATE(A45,""ko"",""en""),)"),"Birthday party")</f>
        <v>Birthday party</v>
      </c>
      <c r="C45" s="4" t="str">
        <f ca="1">IFERROR(__xludf.DUMMYFUNCTION("IFERROR(GOOGLETRANSLATE(B45,""en"",""ja""),)"),"誕生日パーティー")</f>
        <v>誕生日パーティー</v>
      </c>
      <c r="D45" s="4" t="str">
        <f ca="1">IFERROR(__xludf.DUMMYFUNCTION("IFERROR(GOOGLETRANSLATE(B45,""en"",""zh-TW""),)"),"生日派對")</f>
        <v>生日派對</v>
      </c>
      <c r="E45" s="4" t="str">
        <f ca="1">IFERROR(__xludf.DUMMYFUNCTION("IFERROR(GOOGLETRANSLATE(B45,""en"",""zh-CN""),)"),"生日派对")</f>
        <v>生日派对</v>
      </c>
    </row>
    <row r="46" spans="1:5" ht="18">
      <c r="A46" s="3" t="s">
        <v>251</v>
      </c>
      <c r="B46" s="4" t="str">
        <f ca="1">IFERROR(__xludf.DUMMYFUNCTION("IFERROR(GOOGLETRANSLATE(A46,""ko"",""en""),)"),"hobby")</f>
        <v>hobby</v>
      </c>
      <c r="C46" s="4" t="str">
        <f ca="1">IFERROR(__xludf.DUMMYFUNCTION("IFERROR(GOOGLETRANSLATE(B46,""en"",""ja""),)"),"趣味")</f>
        <v>趣味</v>
      </c>
      <c r="D46" s="4" t="str">
        <f ca="1">IFERROR(__xludf.DUMMYFUNCTION("IFERROR(GOOGLETRANSLATE(B46,""en"",""zh-TW""),)"),"嗜好")</f>
        <v>嗜好</v>
      </c>
      <c r="E46" s="4" t="str">
        <f ca="1">IFERROR(__xludf.DUMMYFUNCTION("IFERROR(GOOGLETRANSLATE(B46,""en"",""zh-CN""),)"),"爱好")</f>
        <v>爱好</v>
      </c>
    </row>
    <row r="47" spans="1:5" ht="18">
      <c r="A47" s="5" t="s">
        <v>255</v>
      </c>
      <c r="B47" s="4" t="str">
        <f ca="1">IFERROR(__xludf.DUMMYFUNCTION("IFERROR(GOOGLETRANSLATE(A47,""ko"",""en""),)"),"conversation")</f>
        <v>conversation</v>
      </c>
      <c r="C47" s="4" t="str">
        <f ca="1">IFERROR(__xludf.DUMMYFUNCTION("IFERROR(GOOGLETRANSLATE(B47,""en"",""ja""),)"),"会話")</f>
        <v>会話</v>
      </c>
      <c r="D47" s="4" t="str">
        <f ca="1">IFERROR(__xludf.DUMMYFUNCTION("IFERROR(GOOGLETRANSLATE(B47,""en"",""zh-TW""),)"),"對話")</f>
        <v>對話</v>
      </c>
      <c r="E47" s="4" t="str">
        <f ca="1">IFERROR(__xludf.DUMMYFUNCTION("IFERROR(GOOGLETRANSLATE(B47,""en"",""zh-CN""),)"),"对话")</f>
        <v>对话</v>
      </c>
    </row>
    <row r="48" spans="1:5" ht="18">
      <c r="A48" s="5" t="s">
        <v>259</v>
      </c>
      <c r="B48" s="4" t="str">
        <f ca="1">IFERROR(__xludf.DUMMYFUNCTION("IFERROR(GOOGLETRANSLATE(A48,""ko"",""en""),)"),"later")</f>
        <v>later</v>
      </c>
      <c r="C48" s="4" t="str">
        <f ca="1">IFERROR(__xludf.DUMMYFUNCTION("IFERROR(GOOGLETRANSLATE(B48,""en"",""ja""),)"),"後で")</f>
        <v>後で</v>
      </c>
      <c r="D48" s="4" t="str">
        <f ca="1">IFERROR(__xludf.DUMMYFUNCTION("IFERROR(GOOGLETRANSLATE(B48,""en"",""zh-TW""),)"),"之後")</f>
        <v>之後</v>
      </c>
      <c r="E48" s="4" t="str">
        <f ca="1">IFERROR(__xludf.DUMMYFUNCTION("IFERROR(GOOGLETRANSLATE(B48,""en"",""zh-CN""),)"),"之后")</f>
        <v>之后</v>
      </c>
    </row>
    <row r="49" spans="1:5" ht="18">
      <c r="A49" s="3" t="s">
        <v>263</v>
      </c>
      <c r="B49" s="4" t="str">
        <f ca="1">IFERROR(__xludf.DUMMYFUNCTION("IFERROR(GOOGLETRANSLATE(A49,""ko"",""en""),)"),"cake")</f>
        <v>cake</v>
      </c>
      <c r="C49" s="4" t="str">
        <f ca="1">IFERROR(__xludf.DUMMYFUNCTION("IFERROR(GOOGLETRANSLATE(B49,""en"",""ja""),)"),"ケーキ")</f>
        <v>ケーキ</v>
      </c>
      <c r="D49" s="4" t="str">
        <f ca="1">IFERROR(__xludf.DUMMYFUNCTION("IFERROR(GOOGLETRANSLATE(B49,""en"",""zh-TW""),)"),"蛋糕")</f>
        <v>蛋糕</v>
      </c>
      <c r="E49" s="4" t="str">
        <f ca="1">IFERROR(__xludf.DUMMYFUNCTION("IFERROR(GOOGLETRANSLATE(B49,""en"",""zh-CN""),)"),"蛋糕")</f>
        <v>蛋糕</v>
      </c>
    </row>
    <row r="50" spans="1:5" ht="18">
      <c r="A50" s="3" t="s">
        <v>268</v>
      </c>
      <c r="B50" s="4" t="str">
        <f ca="1">IFERROR(__xludf.DUMMYFUNCTION("IFERROR(GOOGLETRANSLATE(A50,""ko"",""en""),)"),"t-shirt")</f>
        <v>t-shirt</v>
      </c>
      <c r="C50" s="4" t="str">
        <f ca="1">IFERROR(__xludf.DUMMYFUNCTION("IFERROR(GOOGLETRANSLATE(B50,""en"",""ja""),)"),"Tシャツ")</f>
        <v>Tシャツ</v>
      </c>
      <c r="D50" s="4" t="str">
        <f ca="1">IFERROR(__xludf.DUMMYFUNCTION("IFERROR(GOOGLETRANSLATE(B50,""en"",""zh-TW""),)"),"T恤")</f>
        <v>T恤</v>
      </c>
      <c r="E50" s="4" t="str">
        <f ca="1">IFERROR(__xludf.DUMMYFUNCTION("IFERROR(GOOGLETRANSLATE(B50,""en"",""zh-CN""),)"),"T恤")</f>
        <v>T恤</v>
      </c>
    </row>
    <row r="51" spans="1:5" ht="18">
      <c r="A51" s="5" t="s">
        <v>270</v>
      </c>
      <c r="B51" s="4" t="str">
        <f ca="1">IFERROR(__xludf.DUMMYFUNCTION("IFERROR(GOOGLETRANSLATE(A51,""ko"",""en""),)"),"change")</f>
        <v>change</v>
      </c>
      <c r="C51" s="4" t="str">
        <f ca="1">IFERROR(__xludf.DUMMYFUNCTION("IFERROR(GOOGLETRANSLATE(B51,""en"",""ja""),)"),"変化")</f>
        <v>変化</v>
      </c>
      <c r="D51" s="4" t="str">
        <f ca="1">IFERROR(__xludf.DUMMYFUNCTION("IFERROR(GOOGLETRANSLATE(B51,""en"",""zh-TW""),)"),"改變")</f>
        <v>改變</v>
      </c>
      <c r="E51" s="4" t="str">
        <f ca="1">IFERROR(__xludf.DUMMYFUNCTION("IFERROR(GOOGLETRANSLATE(B51,""en"",""zh-CN""),)"),"改变")</f>
        <v>改变</v>
      </c>
    </row>
    <row r="52" spans="1:5" ht="18">
      <c r="A52" s="3" t="s">
        <v>275</v>
      </c>
      <c r="B52" s="4" t="str">
        <f ca="1">IFERROR(__xludf.DUMMYFUNCTION("IFERROR(GOOGLETRANSLATE(A52,""ko"",""en""),)"),"pretty")</f>
        <v>pretty</v>
      </c>
      <c r="C52" s="4" t="str">
        <f ca="1">IFERROR(__xludf.DUMMYFUNCTION("IFERROR(GOOGLETRANSLATE(B52,""en"",""ja""),)"),"かわいい")</f>
        <v>かわいい</v>
      </c>
      <c r="D52" s="4" t="str">
        <f ca="1">IFERROR(__xludf.DUMMYFUNCTION("IFERROR(GOOGLETRANSLATE(B52,""en"",""zh-TW""),)"),"漂亮的")</f>
        <v>漂亮的</v>
      </c>
      <c r="E52" s="4" t="str">
        <f ca="1">IFERROR(__xludf.DUMMYFUNCTION("IFERROR(GOOGLETRANSLATE(B52,""en"",""zh-CN""),)"),"漂亮的")</f>
        <v>漂亮的</v>
      </c>
    </row>
    <row r="53" spans="1:5" ht="18">
      <c r="A53" s="3" t="s">
        <v>279</v>
      </c>
      <c r="B53" s="4" t="str">
        <f ca="1">IFERROR(__xludf.DUMMYFUNCTION("IFERROR(GOOGLETRANSLATE(A53,""ko"",""en""),)"),"table")</f>
        <v>table</v>
      </c>
      <c r="C53" s="4" t="str">
        <f ca="1">IFERROR(__xludf.DUMMYFUNCTION("IFERROR(GOOGLETRANSLATE(B53,""en"",""ja""),)"),"テーブル")</f>
        <v>テーブル</v>
      </c>
      <c r="D53" s="4" t="str">
        <f ca="1">IFERROR(__xludf.DUMMYFUNCTION("IFERROR(GOOGLETRANSLATE(B53,""en"",""zh-TW""),)"),"桌子")</f>
        <v>桌子</v>
      </c>
      <c r="E53" s="4" t="str">
        <f ca="1">IFERROR(__xludf.DUMMYFUNCTION("IFERROR(GOOGLETRANSLATE(B53,""en"",""zh-CN""),)"),"桌子")</f>
        <v>桌子</v>
      </c>
    </row>
    <row r="54" spans="1:5" ht="18">
      <c r="A54" s="3" t="s">
        <v>284</v>
      </c>
      <c r="B54" s="4" t="str">
        <f ca="1">IFERROR(__xludf.DUMMYFUNCTION("IFERROR(GOOGLETRANSLATE(A54,""ko"",""en""),)"),"socks")</f>
        <v>socks</v>
      </c>
      <c r="C54" s="4" t="str">
        <f ca="1">IFERROR(__xludf.DUMMYFUNCTION("IFERROR(GOOGLETRANSLATE(B54,""en"",""ja""),)"),"ソックス")</f>
        <v>ソックス</v>
      </c>
      <c r="D54" s="4" t="str">
        <f ca="1">IFERROR(__xludf.DUMMYFUNCTION("IFERROR(GOOGLETRANSLATE(B54,""en"",""zh-TW""),)"),"襪子")</f>
        <v>襪子</v>
      </c>
      <c r="E54" s="4" t="str">
        <f ca="1">IFERROR(__xludf.DUMMYFUNCTION("IFERROR(GOOGLETRANSLATE(B54,""en"",""zh-CN""),)"),"袜子")</f>
        <v>袜子</v>
      </c>
    </row>
    <row r="55" spans="1:5" ht="18">
      <c r="A55" s="3" t="s">
        <v>289</v>
      </c>
      <c r="B55" s="4" t="str">
        <f ca="1">IFERROR(__xludf.DUMMYFUNCTION("IFERROR(GOOGLETRANSLATE(A55,""ko"",""en""),)"),"snack")</f>
        <v>snack</v>
      </c>
      <c r="C55" s="4" t="str">
        <f ca="1">IFERROR(__xludf.DUMMYFUNCTION("IFERROR(GOOGLETRANSLATE(B55,""en"",""ja""),)"),"スナック")</f>
        <v>スナック</v>
      </c>
      <c r="D55" s="4" t="str">
        <f ca="1">IFERROR(__xludf.DUMMYFUNCTION("IFERROR(GOOGLETRANSLATE(B55,""en"",""zh-TW""),)"),"小吃")</f>
        <v>小吃</v>
      </c>
      <c r="E55" s="4" t="str">
        <f ca="1">IFERROR(__xludf.DUMMYFUNCTION("IFERROR(GOOGLETRANSLATE(B55,""en"",""zh-CN""),)"),"小吃")</f>
        <v>小吃</v>
      </c>
    </row>
    <row r="56" spans="1:5" ht="18">
      <c r="A56" s="3" t="s">
        <v>293</v>
      </c>
      <c r="B56" s="4" t="str">
        <f ca="1">IFERROR(__xludf.DUMMYFUNCTION("IFERROR(GOOGLETRANSLATE(A56,""ko"",""en""),)"),"family")</f>
        <v>family</v>
      </c>
      <c r="C56" s="4" t="str">
        <f ca="1">IFERROR(__xludf.DUMMYFUNCTION("IFERROR(GOOGLETRANSLATE(B56,""en"",""ja""),)"),"家族")</f>
        <v>家族</v>
      </c>
      <c r="D56" s="4" t="str">
        <f ca="1">IFERROR(__xludf.DUMMYFUNCTION("IFERROR(GOOGLETRANSLATE(B56,""en"",""zh-TW""),)"),"家庭")</f>
        <v>家庭</v>
      </c>
      <c r="E56" s="4" t="str">
        <f ca="1">IFERROR(__xludf.DUMMYFUNCTION("IFERROR(GOOGLETRANSLATE(B56,""en"",""zh-CN""),)"),"家庭")</f>
        <v>家庭</v>
      </c>
    </row>
    <row r="57" spans="1:5" ht="18">
      <c r="A57" s="3" t="s">
        <v>299</v>
      </c>
      <c r="B57" s="4" t="str">
        <f ca="1">IFERROR(__xludf.DUMMYFUNCTION("IFERROR(GOOGLETRANSLATE(A57,""ko"",""en""),)"),"refrigerator")</f>
        <v>refrigerator</v>
      </c>
      <c r="C57" s="4" t="str">
        <f ca="1">IFERROR(__xludf.DUMMYFUNCTION("IFERROR(GOOGLETRANSLATE(B57,""en"",""ja""),)"),"冷蔵庫")</f>
        <v>冷蔵庫</v>
      </c>
      <c r="D57" s="4" t="str">
        <f ca="1">IFERROR(__xludf.DUMMYFUNCTION("IFERROR(GOOGLETRANSLATE(B57,""en"",""zh-TW""),)"),"冰箱")</f>
        <v>冰箱</v>
      </c>
      <c r="E57" s="4" t="str">
        <f ca="1">IFERROR(__xludf.DUMMYFUNCTION("IFERROR(GOOGLETRANSLATE(B57,""en"",""zh-CN""),)"),"冰箱")</f>
        <v>冰箱</v>
      </c>
    </row>
    <row r="58" spans="1:5" ht="18">
      <c r="A58" s="5" t="s">
        <v>306</v>
      </c>
      <c r="B58" s="4" t="str">
        <f ca="1">IFERROR(__xludf.DUMMYFUNCTION("IFERROR(GOOGLETRANSLATE(A58,""ko"",""en""),)"),"company")</f>
        <v>company</v>
      </c>
      <c r="C58" s="4" t="str">
        <f ca="1">IFERROR(__xludf.DUMMYFUNCTION("IFERROR(GOOGLETRANSLATE(B58,""en"",""ja""),)"),"会社")</f>
        <v>会社</v>
      </c>
      <c r="D58" s="4" t="str">
        <f ca="1">IFERROR(__xludf.DUMMYFUNCTION("IFERROR(GOOGLETRANSLATE(B58,""en"",""zh-TW""),)"),"公司")</f>
        <v>公司</v>
      </c>
      <c r="E58" s="4" t="str">
        <f ca="1">IFERROR(__xludf.DUMMYFUNCTION("IFERROR(GOOGLETRANSLATE(B58,""en"",""zh-CN""),)"),"公司")</f>
        <v>公司</v>
      </c>
    </row>
    <row r="59" spans="1:5" ht="18">
      <c r="A59" s="3" t="s">
        <v>49</v>
      </c>
      <c r="B59" s="4" t="str">
        <f ca="1">IFERROR(__xludf.DUMMYFUNCTION("IFERROR(GOOGLETRANSLATE(A59,""ko"",""en""),)"),"sneakers")</f>
        <v>sneakers</v>
      </c>
      <c r="C59" s="4" t="str">
        <f ca="1">IFERROR(__xludf.DUMMYFUNCTION("IFERROR(GOOGLETRANSLATE(B59,""en"",""ja""),)"),"スニーカー")</f>
        <v>スニーカー</v>
      </c>
      <c r="D59" s="4" t="str">
        <f ca="1">IFERROR(__xludf.DUMMYFUNCTION("IFERROR(GOOGLETRANSLATE(B59,""en"",""zh-TW""),)"),"運動鞋")</f>
        <v>運動鞋</v>
      </c>
      <c r="E59" s="4" t="str">
        <f ca="1">IFERROR(__xludf.DUMMYFUNCTION("IFERROR(GOOGLETRANSLATE(B59,""en"",""zh-CN""),)"),"运动鞋")</f>
        <v>运动鞋</v>
      </c>
    </row>
    <row r="60" spans="1:5" ht="18">
      <c r="A60" s="5" t="s">
        <v>313</v>
      </c>
      <c r="B60" s="4" t="str">
        <f ca="1">IFERROR(__xludf.DUMMYFUNCTION("IFERROR(GOOGLETRANSLATE(A60,""ko"",""en""),)"),"train")</f>
        <v>train</v>
      </c>
      <c r="C60" s="4" t="str">
        <f ca="1">IFERROR(__xludf.DUMMYFUNCTION("IFERROR(GOOGLETRANSLATE(B60,""en"",""ja""),)"),"電車")</f>
        <v>電車</v>
      </c>
      <c r="D60" s="4" t="str">
        <f ca="1">IFERROR(__xludf.DUMMYFUNCTION("IFERROR(GOOGLETRANSLATE(B60,""en"",""zh-TW""),)"),"火車")</f>
        <v>火車</v>
      </c>
      <c r="E60" s="4" t="str">
        <f ca="1">IFERROR(__xludf.DUMMYFUNCTION("IFERROR(GOOGLETRANSLATE(B60,""en"",""zh-CN""),)"),"火车")</f>
        <v>火车</v>
      </c>
    </row>
    <row r="61" spans="1:5" ht="18">
      <c r="A61" s="3" t="s">
        <v>318</v>
      </c>
      <c r="B61" s="4" t="str">
        <f ca="1">IFERROR(__xludf.DUMMYFUNCTION("IFERROR(GOOGLETRANSLATE(A61,""ko"",""en""),)"),"bag")</f>
        <v>bag</v>
      </c>
      <c r="C61" s="4" t="str">
        <f ca="1">IFERROR(__xludf.DUMMYFUNCTION("IFERROR(GOOGLETRANSLATE(B61,""en"",""ja""),)"),"バッグ")</f>
        <v>バッグ</v>
      </c>
      <c r="D61" s="4" t="str">
        <f ca="1">IFERROR(__xludf.DUMMYFUNCTION("IFERROR(GOOGLETRANSLATE(B61,""en"",""zh-TW""),)"),"包包")</f>
        <v>包包</v>
      </c>
      <c r="E61" s="4" t="str">
        <f ca="1">IFERROR(__xludf.DUMMYFUNCTION("IFERROR(GOOGLETRANSLATE(B61,""en"",""zh-CN""),)"),"包")</f>
        <v>包</v>
      </c>
    </row>
    <row r="62" spans="1:5" ht="18">
      <c r="A62" s="3" t="s">
        <v>324</v>
      </c>
      <c r="B62" s="4" t="str">
        <f ca="1">IFERROR(__xludf.DUMMYFUNCTION("IFERROR(GOOGLETRANSLATE(A62,""ko"",""en""),)"),"notebook")</f>
        <v>notebook</v>
      </c>
      <c r="C62" s="4" t="str">
        <f ca="1">IFERROR(__xludf.DUMMYFUNCTION("IFERROR(GOOGLETRANSLATE(B62,""en"",""ja""),)"),"ノート")</f>
        <v>ノート</v>
      </c>
      <c r="D62" s="4" t="str">
        <f ca="1">IFERROR(__xludf.DUMMYFUNCTION("IFERROR(GOOGLETRANSLATE(B62,""en"",""zh-TW""),)"),"筆記本")</f>
        <v>筆記本</v>
      </c>
      <c r="E62" s="4" t="str">
        <f ca="1">IFERROR(__xludf.DUMMYFUNCTION("IFERROR(GOOGLETRANSLATE(B62,""en"",""zh-CN""),)"),"笔记本")</f>
        <v>笔记本</v>
      </c>
    </row>
    <row r="63" spans="1:5" ht="18">
      <c r="A63" s="3" t="s">
        <v>329</v>
      </c>
      <c r="B63" s="4" t="str">
        <f ca="1">IFERROR(__xludf.DUMMYFUNCTION("IFERROR(GOOGLETRANSLATE(A63,""ko"",""en""),)"),"movie")</f>
        <v>movie</v>
      </c>
      <c r="C63" s="4" t="str">
        <f ca="1">IFERROR(__xludf.DUMMYFUNCTION("IFERROR(GOOGLETRANSLATE(B63,""en"",""ja""),)"),"映画")</f>
        <v>映画</v>
      </c>
      <c r="D63" s="4" t="str">
        <f ca="1">IFERROR(__xludf.DUMMYFUNCTION("IFERROR(GOOGLETRANSLATE(B63,""en"",""zh-TW""),)"),"電影")</f>
        <v>電影</v>
      </c>
      <c r="E63" s="4" t="str">
        <f ca="1">IFERROR(__xludf.DUMMYFUNCTION("IFERROR(GOOGLETRANSLATE(B63,""en"",""zh-CN""),)"),"电影")</f>
        <v>电影</v>
      </c>
    </row>
    <row r="64" spans="1:5" ht="18">
      <c r="A64" s="3" t="s">
        <v>332</v>
      </c>
      <c r="B64" s="4" t="str">
        <f ca="1">IFERROR(__xludf.DUMMYFUNCTION("IFERROR(GOOGLETRANSLATE(A64,""ko"",""en""),)"),"automobile")</f>
        <v>automobile</v>
      </c>
      <c r="C64" s="4" t="str">
        <f ca="1">IFERROR(__xludf.DUMMYFUNCTION("IFERROR(GOOGLETRANSLATE(B64,""en"",""ja""),)"),"自動車")</f>
        <v>自動車</v>
      </c>
      <c r="D64" s="4" t="str">
        <f ca="1">IFERROR(__xludf.DUMMYFUNCTION("IFERROR(GOOGLETRANSLATE(B64,""en"",""zh-TW""),)"),"汽車")</f>
        <v>汽車</v>
      </c>
      <c r="E64" s="4" t="str">
        <f ca="1">IFERROR(__xludf.DUMMYFUNCTION("IFERROR(GOOGLETRANSLATE(B64,""en"",""zh-CN""),)"),"汽车")</f>
        <v>汽车</v>
      </c>
    </row>
    <row r="65" spans="1:5" ht="18">
      <c r="A65" s="3" t="s">
        <v>337</v>
      </c>
      <c r="B65" s="4" t="str">
        <f ca="1">IFERROR(__xludf.DUMMYFUNCTION("IFERROR(GOOGLETRANSLATE(A65,""ko"",""en""),)"),"Please come in.")</f>
        <v>Please come in.</v>
      </c>
      <c r="C65" s="4" t="str">
        <f ca="1">IFERROR(__xludf.DUMMYFUNCTION("IFERROR(GOOGLETRANSLATE(B65,""en"",""ja""),)"),"どうぞお入りください。")</f>
        <v>どうぞお入りください。</v>
      </c>
      <c r="D65" s="4" t="str">
        <f ca="1">IFERROR(__xludf.DUMMYFUNCTION("IFERROR(GOOGLETRANSLATE(B65,""en"",""zh-TW""),)"),"請進。")</f>
        <v>請進。</v>
      </c>
      <c r="E65" s="4" t="str">
        <f ca="1">IFERROR(__xludf.DUMMYFUNCTION("IFERROR(GOOGLETRANSLATE(B65,""en"",""zh-CN""),)"),"请进。")</f>
        <v>请进。</v>
      </c>
    </row>
    <row r="66" spans="1:5" ht="18">
      <c r="A66" s="5" t="s">
        <v>342</v>
      </c>
      <c r="B66" s="4" t="str">
        <f ca="1">IFERROR(__xludf.DUMMYFUNCTION("IFERROR(GOOGLETRANSLATE(A66,""ko"",""en""),)"),"Please come next time")</f>
        <v>Please come next time</v>
      </c>
      <c r="C66" s="4" t="str">
        <f ca="1">IFERROR(__xludf.DUMMYFUNCTION("IFERROR(GOOGLETRANSLATE(B66,""en"",""ja""),)"),"次回ぜひお越しください")</f>
        <v>次回ぜひお越しください</v>
      </c>
      <c r="D66" s="4" t="str">
        <f ca="1">IFERROR(__xludf.DUMMYFUNCTION("IFERROR(GOOGLETRANSLATE(B66,""en"",""zh-TW""),)"),"歡迎下次光臨")</f>
        <v>歡迎下次光臨</v>
      </c>
      <c r="E66" s="4" t="str">
        <f ca="1">IFERROR(__xludf.DUMMYFUNCTION("IFERROR(GOOGLETRANSLATE(B66,""en"",""zh-CN""),)"),"欢迎下次光临")</f>
        <v>欢迎下次光临</v>
      </c>
    </row>
    <row r="67" spans="1:5" ht="18">
      <c r="A67" s="5" t="s">
        <v>348</v>
      </c>
      <c r="B67" s="4" t="str">
        <f ca="1">IFERROR(__xludf.DUMMYFUNCTION("IFERROR(GOOGLETRANSLATE(A67,""ko"",""en""),)"),"See you again")</f>
        <v>See you again</v>
      </c>
      <c r="C67" s="4" t="str">
        <f ca="1">IFERROR(__xludf.DUMMYFUNCTION("IFERROR(GOOGLETRANSLATE(B67,""en"",""ja""),)"),"また会いましょう")</f>
        <v>また会いましょう</v>
      </c>
      <c r="D67" s="4" t="str">
        <f ca="1">IFERROR(__xludf.DUMMYFUNCTION("IFERROR(GOOGLETRANSLATE(B67,""en"",""zh-TW""),)"),"再見")</f>
        <v>再見</v>
      </c>
      <c r="E67" s="4" t="str">
        <f ca="1">IFERROR(__xludf.DUMMYFUNCTION("IFERROR(GOOGLETRANSLATE(B67,""en"",""zh-CN""),)"),"再见")</f>
        <v>再见</v>
      </c>
    </row>
    <row r="68" spans="1:5" ht="18">
      <c r="A68" s="3" t="s">
        <v>353</v>
      </c>
      <c r="B68" s="4" t="str">
        <f ca="1">IFERROR(__xludf.DUMMYFUNCTION("IFERROR(GOOGLETRANSLATE(A68,""ko"",""en""),)"),"are you okay")</f>
        <v>are you okay</v>
      </c>
      <c r="C68" s="4" t="str">
        <f ca="1">IFERROR(__xludf.DUMMYFUNCTION("IFERROR(GOOGLETRANSLATE(B68,""en"",""ja""),)"),"大丈夫ですか")</f>
        <v>大丈夫ですか</v>
      </c>
      <c r="D68" s="4" t="str">
        <f ca="1">IFERROR(__xludf.DUMMYFUNCTION("IFERROR(GOOGLETRANSLATE(B68,""en"",""zh-TW""),)"),"你還好嗎？")</f>
        <v>你還好嗎？</v>
      </c>
      <c r="E68" s="4" t="str">
        <f ca="1">IFERROR(__xludf.DUMMYFUNCTION("IFERROR(GOOGLETRANSLATE(B68,""en"",""zh-CN""),)"),"你还好吗？")</f>
        <v>你还好吗？</v>
      </c>
    </row>
    <row r="69" spans="1:5" ht="18">
      <c r="A69" s="5" t="s">
        <v>359</v>
      </c>
      <c r="B69" s="4" t="str">
        <f ca="1">IFERROR(__xludf.DUMMYFUNCTION("IFERROR(GOOGLETRANSLATE(A69,""ko"",""en""),)"),"nice to meet you")</f>
        <v>nice to meet you</v>
      </c>
      <c r="C69" s="4" t="str">
        <f ca="1">IFERROR(__xludf.DUMMYFUNCTION("IFERROR(GOOGLETRANSLATE(B69,""en"",""ja""),)"),"はじめまして")</f>
        <v>はじめまして</v>
      </c>
      <c r="D69" s="4" t="str">
        <f ca="1">IFERROR(__xludf.DUMMYFUNCTION("IFERROR(GOOGLETRANSLATE(B69,""en"",""zh-TW""),)"),"很高興見到你")</f>
        <v>很高興見到你</v>
      </c>
      <c r="E69" s="4" t="str">
        <f ca="1">IFERROR(__xludf.DUMMYFUNCTION("IFERROR(GOOGLETRANSLATE(B69,""en"",""zh-CN""),)"),"很高兴见到你")</f>
        <v>很高兴见到你</v>
      </c>
    </row>
    <row r="70" spans="1:5" ht="18">
      <c r="A70" s="5" t="s">
        <v>364</v>
      </c>
      <c r="B70" s="4" t="str">
        <f ca="1">IFERROR(__xludf.DUMMYFUNCTION("IFERROR(GOOGLETRANSLATE(A70,""ko"",""en""),)"),"Please sit down")</f>
        <v>Please sit down</v>
      </c>
      <c r="C70" s="4" t="str">
        <f ca="1">IFERROR(__xludf.DUMMYFUNCTION("IFERROR(GOOGLETRANSLATE(B70,""en"",""ja""),)"),"どうぞお座りください")</f>
        <v>どうぞお座りください</v>
      </c>
      <c r="D70" s="4" t="str">
        <f ca="1">IFERROR(__xludf.DUMMYFUNCTION("IFERROR(GOOGLETRANSLATE(B70,""en"",""zh-TW""),)"),"請坐。")</f>
        <v>請坐。</v>
      </c>
      <c r="E70" s="4" t="str">
        <f ca="1">IFERROR(__xludf.DUMMYFUNCTION("IFERROR(GOOGLETRANSLATE(B70,""en"",""zh-CN""),)"),"请坐。")</f>
        <v>请坐。</v>
      </c>
    </row>
    <row r="71" spans="1:5" ht="18">
      <c r="A71" s="5" t="s">
        <v>370</v>
      </c>
      <c r="B71" s="4" t="str">
        <f ca="1">IFERROR(__xludf.DUMMYFUNCTION("IFERROR(GOOGLETRANSLATE(A71,""ko"",""en""),)"),"late")</f>
        <v>late</v>
      </c>
      <c r="C71" s="4" t="str">
        <f ca="1">IFERROR(__xludf.DUMMYFUNCTION("IFERROR(GOOGLETRANSLATE(B71,""en"",""ja""),)"),"遅い")</f>
        <v>遅い</v>
      </c>
      <c r="D71" s="4" t="str">
        <f ca="1">IFERROR(__xludf.DUMMYFUNCTION("IFERROR(GOOGLETRANSLATE(B71,""en"",""zh-TW""),)"),"晚的")</f>
        <v>晚的</v>
      </c>
      <c r="E71" s="4" t="str">
        <f ca="1">IFERROR(__xludf.DUMMYFUNCTION("IFERROR(GOOGLETRANSLATE(B71,""en"",""zh-CN""),)"),"晚的")</f>
        <v>晚的</v>
      </c>
    </row>
    <row r="72" spans="1:5" ht="18">
      <c r="A72" s="3" t="s">
        <v>374</v>
      </c>
      <c r="B72" s="4" t="str">
        <f ca="1">IFERROR(__xludf.DUMMYFUNCTION("IFERROR(GOOGLETRANSLATE(A72,""ko"",""en""),)"),"I'm sorry.")</f>
        <v>I'm sorry.</v>
      </c>
      <c r="C72" s="4" t="str">
        <f ca="1">IFERROR(__xludf.DUMMYFUNCTION("IFERROR(GOOGLETRANSLATE(B72,""en"",""ja""),)"),"ごめんなさい。")</f>
        <v>ごめんなさい。</v>
      </c>
      <c r="D72" s="4" t="str">
        <f ca="1">IFERROR(__xludf.DUMMYFUNCTION("IFERROR(GOOGLETRANSLATE(B72,""en"",""zh-TW""),)"),"對不起。")</f>
        <v>對不起。</v>
      </c>
      <c r="E72" s="4" t="str">
        <f ca="1">IFERROR(__xludf.DUMMYFUNCTION("IFERROR(GOOGLETRANSLATE(B72,""en"",""zh-CN""),)"),"对不起。")</f>
        <v>对不起。</v>
      </c>
    </row>
    <row r="73" spans="1:5" ht="18">
      <c r="A73" s="5" t="s">
        <v>380</v>
      </c>
      <c r="B73" s="4" t="str">
        <f ca="1">IFERROR(__xludf.DUMMYFUNCTION("IFERROR(GOOGLETRANSLATE(A73,""ko"",""en""),)"),"I'm sorry for the delay.")</f>
        <v>I'm sorry for the delay.</v>
      </c>
      <c r="C73" s="4" t="str">
        <f ca="1">IFERROR(__xludf.DUMMYFUNCTION("IFERROR(GOOGLETRANSLATE(B73,""en"",""ja""),)"),"遅れて申し訳ありません。")</f>
        <v>遅れて申し訳ありません。</v>
      </c>
      <c r="D73" s="4" t="str">
        <f ca="1">IFERROR(__xludf.DUMMYFUNCTION("IFERROR(GOOGLETRANSLATE(B73,""en"",""zh-TW""),)"),"很抱歉耽擱了。")</f>
        <v>很抱歉耽擱了。</v>
      </c>
      <c r="E73" s="4" t="str">
        <f ca="1">IFERROR(__xludf.DUMMYFUNCTION("IFERROR(GOOGLETRANSLATE(B73,""en"",""zh-CN""),)"),"很抱歉耽搁了。")</f>
        <v>很抱歉耽搁了。</v>
      </c>
    </row>
    <row r="74" spans="1:5" ht="18">
      <c r="A74" s="3" t="s">
        <v>385</v>
      </c>
      <c r="B74" s="4" t="str">
        <f ca="1">IFERROR(__xludf.DUMMYFUNCTION("IFERROR(GOOGLETRANSLATE(A74,""ko"",""en""),)"),"Welcome")</f>
        <v>Welcome</v>
      </c>
      <c r="C74" s="4" t="str">
        <f ca="1">IFERROR(__xludf.DUMMYFUNCTION("IFERROR(GOOGLETRANSLATE(B74,""en"",""ja""),)"),"いらっしゃいませ")</f>
        <v>いらっしゃいませ</v>
      </c>
      <c r="D74" s="4" t="str">
        <f ca="1">IFERROR(__xludf.DUMMYFUNCTION("IFERROR(GOOGLETRANSLATE(B74,""en"",""zh-TW""),)"),"歡迎")</f>
        <v>歡迎</v>
      </c>
      <c r="E74" s="4" t="str">
        <f ca="1">IFERROR(__xludf.DUMMYFUNCTION("IFERROR(GOOGLETRANSLATE(B74,""en"",""zh-CN""),)"),"欢迎")</f>
        <v>欢迎</v>
      </c>
    </row>
    <row r="75" spans="1:5" ht="18">
      <c r="A75" s="3" t="s">
        <v>391</v>
      </c>
      <c r="B75" s="4" t="str">
        <f ca="1">IFERROR(__xludf.DUMMYFUNCTION("IFERROR(GOOGLETRANSLATE(A75,""ko"",""en""),)"),"hello?")</f>
        <v>hello?</v>
      </c>
      <c r="C75" s="4" t="str">
        <f ca="1">IFERROR(__xludf.DUMMYFUNCTION("IFERROR(GOOGLETRANSLATE(B75,""en"",""ja""),)"),"こんにちは？")</f>
        <v>こんにちは？</v>
      </c>
      <c r="D75" s="4" t="str">
        <f ca="1">IFERROR(__xludf.DUMMYFUNCTION("IFERROR(GOOGLETRANSLATE(B75,""en"",""zh-TW""),)"),"你好？")</f>
        <v>你好？</v>
      </c>
      <c r="E75" s="4" t="str">
        <f ca="1">IFERROR(__xludf.DUMMYFUNCTION("IFERROR(GOOGLETRANSLATE(B75,""en"",""zh-CN""),)"),"你好？")</f>
        <v>你好？</v>
      </c>
    </row>
    <row r="76" spans="1:5" ht="18">
      <c r="A76" s="3" t="s">
        <v>396</v>
      </c>
      <c r="B76" s="4" t="s">
        <v>397</v>
      </c>
      <c r="C76" s="4" t="str">
        <f ca="1">IFERROR(__xludf.DUMMYFUNCTION("IFERROR(GOOGLETRANSLATE(B76,""en"",""ja""),)"),"さようなら（去っていく人に対して）")</f>
        <v>さようなら（去っていく人に対して）</v>
      </c>
      <c r="D76" s="4" t="str">
        <f ca="1">IFERROR(__xludf.DUMMYFUNCTION("IFERROR(GOOGLETRANSLATE(B76,""en"",""zh-TW""),)"),"（對即將離開的人說再見）")</f>
        <v>（對即將離開的人說再見）</v>
      </c>
      <c r="E76" s="4" t="str">
        <f ca="1">IFERROR(__xludf.DUMMYFUNCTION("IFERROR(GOOGLETRANSLATE(B76,""en"",""zh-CN""),)"),"（对即将离开的人说再见）")</f>
        <v>（对即将离开的人说再见）</v>
      </c>
    </row>
    <row r="77" spans="1:5" ht="18">
      <c r="A77" s="3" t="s">
        <v>401</v>
      </c>
      <c r="B77" s="4" t="s">
        <v>402</v>
      </c>
      <c r="C77" s="4" t="str">
        <f ca="1">IFERROR(__xludf.DUMMYFUNCTION("IFERROR(GOOGLETRANSLATE(B77,""en"",""ja""),)"),"さようなら（滞在する人に対して）")</f>
        <v>さようなら（滞在する人に対して）</v>
      </c>
      <c r="D77" s="4" t="str">
        <f ca="1">IFERROR(__xludf.DUMMYFUNCTION("IFERROR(GOOGLETRANSLATE(B77,""en"",""zh-TW""),)"),"（對即將留下來的人）再見")</f>
        <v>（對即將留下來的人）再見</v>
      </c>
      <c r="E77" s="4" t="str">
        <f ca="1">IFERROR(__xludf.DUMMYFUNCTION("IFERROR(GOOGLETRANSLATE(B77,""en"",""zh-CN""),)"),"（对即将留下来的人）再见")</f>
        <v>（对即将留下来的人）再见</v>
      </c>
    </row>
    <row r="78" spans="1:5" ht="18">
      <c r="A78" s="2" t="s">
        <v>407</v>
      </c>
      <c r="B78" s="4" t="str">
        <f ca="1">IFERROR(__xludf.DUMMYFUNCTION("IFERROR(GOOGLETRANSLATE(A78,""ko"",""en""),)"),"I'm sorry")</f>
        <v>I'm sorry</v>
      </c>
      <c r="C78" s="4" t="str">
        <f ca="1">IFERROR(__xludf.DUMMYFUNCTION("IFERROR(GOOGLETRANSLATE(B78,""en"",""ja""),)"),"ごめんなさい")</f>
        <v>ごめんなさい</v>
      </c>
      <c r="D78" s="4" t="str">
        <f ca="1">IFERROR(__xludf.DUMMYFUNCTION("IFERROR(GOOGLETRANSLATE(B78,""en"",""zh-TW""),)"),"對不起")</f>
        <v>對不起</v>
      </c>
      <c r="E78" s="4" t="str">
        <f ca="1">IFERROR(__xludf.DUMMYFUNCTION("IFERROR(GOOGLETRANSLATE(B78,""en"",""zh-CN""),)"),"对不起")</f>
        <v>对不起</v>
      </c>
    </row>
    <row r="79" spans="1:5" ht="18">
      <c r="A79" s="5" t="s">
        <v>411</v>
      </c>
      <c r="B79" s="4" t="s">
        <v>413</v>
      </c>
      <c r="C79" s="4" t="str">
        <f ca="1">IFERROR(__xludf.DUMMYFUNCTION("IFERROR(GOOGLETRANSLATE(B79,""en"",""ja""),)"),"申し訳ありません（丁寧な表現）")</f>
        <v>申し訳ありません（丁寧な表現）</v>
      </c>
      <c r="D79" s="4" t="str">
        <f ca="1">IFERROR(__xludf.DUMMYFUNCTION("IFERROR(GOOGLETRANSLATE(B79,""en"",""zh-TW""),)"),"對不起（禮貌用語）")</f>
        <v>對不起（禮貌用語）</v>
      </c>
      <c r="E79" s="4" t="str">
        <f ca="1">IFERROR(__xludf.DUMMYFUNCTION("IFERROR(GOOGLETRANSLATE(B79,""en"",""zh-CN""),)"),"对不起（礼貌用语）")</f>
        <v>对不起（礼貌用语）</v>
      </c>
    </row>
    <row r="80" spans="1:5" ht="18">
      <c r="A80" s="5" t="s">
        <v>420</v>
      </c>
      <c r="B80" s="4" t="str">
        <f ca="1">IFERROR(__xludf.DUMMYFUNCTION("IFERROR(GOOGLETRANSLATE(A80,""ko"",""en""),)"),"Thank you")</f>
        <v>Thank you</v>
      </c>
      <c r="C80" s="4" t="str">
        <f ca="1">IFERROR(__xludf.DUMMYFUNCTION("IFERROR(GOOGLETRANSLATE(B80,""en"",""ja""),)"),"ありがとう")</f>
        <v>ありがとう</v>
      </c>
      <c r="D80" s="4" t="str">
        <f ca="1">IFERROR(__xludf.DUMMYFUNCTION("IFERROR(GOOGLETRANSLATE(B80,""en"",""zh-TW""),)"),"謝謝")</f>
        <v>謝謝</v>
      </c>
      <c r="E80" s="4" t="str">
        <f ca="1">IFERROR(__xludf.DUMMYFUNCTION("IFERROR(GOOGLETRANSLATE(B80,""en"",""zh-CN""),)"),"谢谢")</f>
        <v>谢谢</v>
      </c>
    </row>
    <row r="81" spans="1:5" ht="18">
      <c r="A81" s="2" t="s">
        <v>429</v>
      </c>
      <c r="B81" s="4" t="s">
        <v>430</v>
      </c>
      <c r="C81" s="4" t="str">
        <f ca="1">IFERROR(__xludf.DUMMYFUNCTION("IFERROR(GOOGLETRANSLATE(B81,""en"",""ja""),)"),"ありがとうございます（丁寧な表現）")</f>
        <v>ありがとうございます（丁寧な表現）</v>
      </c>
      <c r="D81" s="4" t="str">
        <f ca="1">IFERROR(__xludf.DUMMYFUNCTION("IFERROR(GOOGLETRANSLATE(B81,""en"",""zh-TW""),)"),"謝謝（禮貌用語）")</f>
        <v>謝謝（禮貌用語）</v>
      </c>
      <c r="E81" s="4" t="str">
        <f ca="1">IFERROR(__xludf.DUMMYFUNCTION("IFERROR(GOOGLETRANSLATE(B81,""en"",""zh-CN""),)"),"谢谢（礼貌用语）")</f>
        <v>谢谢（礼貌用语）</v>
      </c>
    </row>
    <row r="82" spans="1:5" ht="18">
      <c r="A82" s="3" t="s">
        <v>435</v>
      </c>
      <c r="B82" s="4" t="str">
        <f ca="1">IFERROR(__xludf.DUMMYFUNCTION("IFERROR(GOOGLETRANSLATE(A82,""ko"",""en""),)"),"look")</f>
        <v>look</v>
      </c>
      <c r="C82" s="4" t="str">
        <f ca="1">IFERROR(__xludf.DUMMYFUNCTION("IFERROR(GOOGLETRANSLATE(B82,""en"",""ja""),)"),"見て")</f>
        <v>見て</v>
      </c>
      <c r="D82" s="4" t="str">
        <f ca="1">IFERROR(__xludf.DUMMYFUNCTION("IFERROR(GOOGLETRANSLATE(B82,""en"",""zh-TW""),)"),"看")</f>
        <v>看</v>
      </c>
      <c r="E82" s="4" t="str">
        <f ca="1">IFERROR(__xludf.DUMMYFUNCTION("IFERROR(GOOGLETRANSLATE(B82,""en"",""zh-CN""),)"),"看")</f>
        <v>看</v>
      </c>
    </row>
    <row r="83" spans="1:5" ht="18">
      <c r="A83" s="3" t="s">
        <v>442</v>
      </c>
      <c r="B83" s="4" t="str">
        <f ca="1">IFERROR(__xludf.DUMMYFUNCTION("IFERROR(GOOGLETRANSLATE(A83,""ko"",""en""),)"),"Look at the book")</f>
        <v>Look at the book</v>
      </c>
      <c r="C83" s="4" t="str">
        <f ca="1">IFERROR(__xludf.DUMMYFUNCTION("IFERROR(GOOGLETRANSLATE(B83,""en"",""ja""),)"),"本を見てください")</f>
        <v>本を見てください</v>
      </c>
      <c r="D83" s="4" t="str">
        <f ca="1">IFERROR(__xludf.DUMMYFUNCTION("IFERROR(GOOGLETRANSLATE(B83,""en"",""zh-TW""),)"),"看看這本書")</f>
        <v>看看這本書</v>
      </c>
      <c r="E83" s="4" t="str">
        <f ca="1">IFERROR(__xludf.DUMMYFUNCTION("IFERROR(GOOGLETRANSLATE(B83,""en"",""zh-CN""),)"),"看看这本书")</f>
        <v>看看这本书</v>
      </c>
    </row>
    <row r="84" spans="1:5" ht="18">
      <c r="A84" s="5" t="s">
        <v>446</v>
      </c>
      <c r="B84" s="4" t="str">
        <f ca="1">IFERROR(__xludf.DUMMYFUNCTION("IFERROR(GOOGLETRANSLATE(A84,""ko"",""en""),)"),"Listen")</f>
        <v>Listen</v>
      </c>
      <c r="C84" s="4" t="str">
        <f ca="1">IFERROR(__xludf.DUMMYFUNCTION("IFERROR(GOOGLETRANSLATE(B84,""en"",""ja""),)"),"聞く")</f>
        <v>聞く</v>
      </c>
      <c r="D84" s="4" t="str">
        <f ca="1">IFERROR(__xludf.DUMMYFUNCTION("IFERROR(GOOGLETRANSLATE(B84,""en"",""zh-TW""),)"),"聽")</f>
        <v>聽</v>
      </c>
      <c r="E84" s="4" t="str">
        <f ca="1">IFERROR(__xludf.DUMMYFUNCTION("IFERROR(GOOGLETRANSLATE(B84,""en"",""zh-CN""),)"),"听")</f>
        <v>听</v>
      </c>
    </row>
    <row r="85" spans="1:5" ht="18">
      <c r="A85" s="5" t="s">
        <v>452</v>
      </c>
      <c r="B85" s="4" t="str">
        <f ca="1">IFERROR(__xludf.DUMMYFUNCTION("IFERROR(GOOGLETRANSLATE(A85,""ko"",""en""),)"),"Repeat after me.")</f>
        <v>Repeat after me.</v>
      </c>
      <c r="C85" s="4" t="str">
        <f ca="1">IFERROR(__xludf.DUMMYFUNCTION("IFERROR(GOOGLETRANSLATE(B85,""en"",""ja""),)"),"私の後に続いてください。")</f>
        <v>私の後に続いてください。</v>
      </c>
      <c r="D85" s="4" t="str">
        <f ca="1">IFERROR(__xludf.DUMMYFUNCTION("IFERROR(GOOGLETRANSLATE(B85,""en"",""zh-TW""),)"),"請跟我重複。")</f>
        <v>請跟我重複。</v>
      </c>
      <c r="E85" s="4" t="str">
        <f ca="1">IFERROR(__xludf.DUMMYFUNCTION("IFERROR(GOOGLETRANSLATE(B85,""en"",""zh-CN""),)"),"请跟我重复。")</f>
        <v>请跟我重复。</v>
      </c>
    </row>
    <row r="86" spans="1:5" ht="18">
      <c r="A86" s="5" t="s">
        <v>458</v>
      </c>
      <c r="B86" s="4" t="str">
        <f ca="1">IFERROR(__xludf.DUMMYFUNCTION("IFERROR(GOOGLETRANSLATE(A86,""ko"",""en""),)"),"Please read")</f>
        <v>Please read</v>
      </c>
      <c r="C86" s="4" t="str">
        <f ca="1">IFERROR(__xludf.DUMMYFUNCTION("IFERROR(GOOGLETRANSLATE(B86,""en"",""ja""),)"),"お読みください")</f>
        <v>お読みください</v>
      </c>
      <c r="D86" s="4" t="str">
        <f ca="1">IFERROR(__xludf.DUMMYFUNCTION("IFERROR(GOOGLETRANSLATE(B86,""en"",""zh-TW""),)"),"請閱讀")</f>
        <v>請閱讀</v>
      </c>
      <c r="E86" s="4" t="str">
        <f ca="1">IFERROR(__xludf.DUMMYFUNCTION("IFERROR(GOOGLETRANSLATE(B86,""en"",""zh-CN""),)"),"请阅读")</f>
        <v>请阅读</v>
      </c>
    </row>
    <row r="87" spans="1:5" ht="18">
      <c r="A87" s="3" t="s">
        <v>463</v>
      </c>
      <c r="B87" s="4" t="s">
        <v>464</v>
      </c>
      <c r="C87" s="4" t="str">
        <f ca="1">IFERROR(__xludf.DUMMYFUNCTION("IFERROR(GOOGLETRANSLATE(B87,""en"",""ja""),)"),"書く")</f>
        <v>書く</v>
      </c>
      <c r="D87" s="4" t="str">
        <f ca="1">IFERROR(__xludf.DUMMYFUNCTION("IFERROR(GOOGLETRANSLATE(B87,""en"",""zh-TW""),)"),"寫")</f>
        <v>寫</v>
      </c>
      <c r="E87" s="4" t="str">
        <f ca="1">IFERROR(__xludf.DUMMYFUNCTION("IFERROR(GOOGLETRANSLATE(B87,""en"",""zh-CN""),)"),"写")</f>
        <v>写</v>
      </c>
    </row>
    <row r="88" spans="1:5" ht="18">
      <c r="A88" s="3" t="s">
        <v>472</v>
      </c>
      <c r="B88" s="4" t="str">
        <f ca="1">IFERROR(__xludf.DUMMYFUNCTION("IFERROR(GOOGLETRANSLATE(A88,""ko"",""en""),)"),"Please write your name")</f>
        <v>Please write your name</v>
      </c>
      <c r="C88" s="4" t="str">
        <f ca="1">IFERROR(__xludf.DUMMYFUNCTION("IFERROR(GOOGLETRANSLATE(B88,""en"",""ja""),)"),"お名前をご記入ください")</f>
        <v>お名前をご記入ください</v>
      </c>
      <c r="D88" s="4" t="str">
        <f ca="1">IFERROR(__xludf.DUMMYFUNCTION("IFERROR(GOOGLETRANSLATE(B88,""en"",""zh-TW""),)"),"請寫下你的名字")</f>
        <v>請寫下你的名字</v>
      </c>
      <c r="E88" s="4" t="str">
        <f ca="1">IFERROR(__xludf.DUMMYFUNCTION("IFERROR(GOOGLETRANSLATE(B88,""en"",""zh-CN""),)"),"请写下你的名字")</f>
        <v>请写下你的名字</v>
      </c>
    </row>
    <row r="89" spans="1:5" ht="18">
      <c r="A89" s="5" t="s">
        <v>478</v>
      </c>
      <c r="B89" s="4" t="str">
        <f ca="1">IFERROR(__xludf.DUMMYFUNCTION("IFERROR(GOOGLETRANSLATE(A89,""ko"",""en""),)"),"Open the book")</f>
        <v>Open the book</v>
      </c>
      <c r="C89" s="4" t="str">
        <f ca="1">IFERROR(__xludf.DUMMYFUNCTION("IFERROR(GOOGLETRANSLATE(B89,""en"",""ja""),)"),"本を開く")</f>
        <v>本を開く</v>
      </c>
      <c r="D89" s="4" t="str">
        <f ca="1">IFERROR(__xludf.DUMMYFUNCTION("IFERROR(GOOGLETRANSLATE(B89,""en"",""zh-TW""),)"),"打開書")</f>
        <v>打開書</v>
      </c>
      <c r="E89" s="4" t="str">
        <f ca="1">IFERROR(__xludf.DUMMYFUNCTION("IFERROR(GOOGLETRANSLATE(B89,""en"",""zh-CN""),)"),"打开书")</f>
        <v>打开书</v>
      </c>
    </row>
    <row r="90" spans="1:5" ht="18">
      <c r="A90" s="3" t="s">
        <v>481</v>
      </c>
      <c r="B90" s="4" t="str">
        <f ca="1">IFERROR(__xludf.DUMMYFUNCTION("IFERROR(GOOGLETRANSLATE(A90,""ko"",""en""),)"),"Do you have any questions?")</f>
        <v>Do you have any questions?</v>
      </c>
      <c r="C90" s="4" t="str">
        <f ca="1">IFERROR(__xludf.DUMMYFUNCTION("IFERROR(GOOGLETRANSLATE(B90,""en"",""ja""),)"),"何か質問はありますか？")</f>
        <v>何か質問はありますか？</v>
      </c>
      <c r="D90" s="4" t="str">
        <f ca="1">IFERROR(__xludf.DUMMYFUNCTION("IFERROR(GOOGLETRANSLATE(B90,""en"",""zh-TW""),)"),"您有什麼問題嗎？")</f>
        <v>您有什麼問題嗎？</v>
      </c>
      <c r="E90" s="4" t="str">
        <f ca="1">IFERROR(__xludf.DUMMYFUNCTION("IFERROR(GOOGLETRANSLATE(B90,""en"",""zh-CN""),)"),"您有什么问题吗？")</f>
        <v>您有什么问题吗？</v>
      </c>
    </row>
    <row r="91" spans="1:5" ht="18">
      <c r="A91" s="3" t="s">
        <v>484</v>
      </c>
      <c r="B91" s="4" t="str">
        <f ca="1">IFERROR(__xludf.DUMMYFUNCTION("IFERROR(GOOGLETRANSLATE(A91,""ko"",""en""),)"),"Yes, I have it.")</f>
        <v>Yes, I have it.</v>
      </c>
      <c r="C91" s="4" t="str">
        <f ca="1">IFERROR(__xludf.DUMMYFUNCTION("IFERROR(GOOGLETRANSLATE(B91,""en"",""ja""),)"),"はい、持っています。")</f>
        <v>はい、持っています。</v>
      </c>
      <c r="D91" s="4" t="str">
        <f ca="1">IFERROR(__xludf.DUMMYFUNCTION("IFERROR(GOOGLETRANSLATE(B91,""en"",""zh-TW""),)"),"是的，我有。")</f>
        <v>是的，我有。</v>
      </c>
      <c r="E91" s="4" t="str">
        <f ca="1">IFERROR(__xludf.DUMMYFUNCTION("IFERROR(GOOGLETRANSLATE(B91,""en"",""zh-CN""),)"),"是的，我有。")</f>
        <v>是的，我有。</v>
      </c>
    </row>
    <row r="92" spans="1:5" ht="18">
      <c r="A92" s="3" t="s">
        <v>488</v>
      </c>
      <c r="B92" s="4" t="s">
        <v>491</v>
      </c>
      <c r="C92" s="4" t="str">
        <f ca="1">IFERROR(__xludf.DUMMYFUNCTION("IFERROR(GOOGLETRANSLATE(B92,""en"",""ja""),)"),"質問に答える")</f>
        <v>質問に答える</v>
      </c>
      <c r="D92" s="4" t="str">
        <f ca="1">IFERROR(__xludf.DUMMYFUNCTION("IFERROR(GOOGLETRANSLATE(B92,""en"",""zh-TW""),)"),"回答這個問題")</f>
        <v>回答這個問題</v>
      </c>
      <c r="E92" s="4" t="str">
        <f ca="1">IFERROR(__xludf.DUMMYFUNCTION("IFERROR(GOOGLETRANSLATE(B92,""en"",""zh-CN""),)"),"回答这个问题")</f>
        <v>回答这个问题</v>
      </c>
    </row>
    <row r="93" spans="1:5" ht="18">
      <c r="A93" s="5" t="s">
        <v>495</v>
      </c>
      <c r="B93" s="4" t="str">
        <f ca="1">IFERROR(__xludf.DUMMYFUNCTION("IFERROR(GOOGLETRANSLATE(A93,""ko"",""en""),)"),"all right")</f>
        <v>all right</v>
      </c>
      <c r="C93" s="4" t="str">
        <f ca="1">IFERROR(__xludf.DUMMYFUNCTION("IFERROR(GOOGLETRANSLATE(B93,""en"",""ja""),)"),"よし")</f>
        <v>よし</v>
      </c>
      <c r="D93" s="4" t="str">
        <f ca="1">IFERROR(__xludf.DUMMYFUNCTION("IFERROR(GOOGLETRANSLATE(B93,""en"",""zh-TW""),)"),"好的")</f>
        <v>好的</v>
      </c>
      <c r="E93" s="4" t="str">
        <f ca="1">IFERROR(__xludf.DUMMYFUNCTION("IFERROR(GOOGLETRANSLATE(B93,""en"",""zh-CN""),)"),"好的")</f>
        <v>好的</v>
      </c>
    </row>
    <row r="94" spans="1:5" ht="18">
      <c r="A94" s="5" t="s">
        <v>500</v>
      </c>
      <c r="B94" s="4" t="str">
        <f ca="1">IFERROR(__xludf.DUMMYFUNCTION("IFERROR(GOOGLETRANSLATE(A94,""ko"",""en""),)"),"I don't know")</f>
        <v>I don't know</v>
      </c>
      <c r="C94" s="4" t="str">
        <f ca="1">IFERROR(__xludf.DUMMYFUNCTION("IFERROR(GOOGLETRANSLATE(B94,""en"",""ja""),)"),"わからない")</f>
        <v>わからない</v>
      </c>
      <c r="D94" s="4" t="str">
        <f ca="1">IFERROR(__xludf.DUMMYFUNCTION("IFERROR(GOOGLETRANSLATE(B94,""en"",""zh-TW""),)"),"我不知道")</f>
        <v>我不知道</v>
      </c>
      <c r="E94" s="4" t="str">
        <f ca="1">IFERROR(__xludf.DUMMYFUNCTION("IFERROR(GOOGLETRANSLATE(B94,""en"",""zh-CN""),)"),"我不知道")</f>
        <v>我不知道</v>
      </c>
    </row>
    <row r="95" spans="1:5" ht="18">
      <c r="A95" s="3" t="s">
        <v>503</v>
      </c>
      <c r="B95" s="4" t="str">
        <f ca="1">IFERROR(__xludf.DUMMYFUNCTION("IFERROR(GOOGLETRANSLATE(A95,""ko"",""en""),)"),"yes")</f>
        <v>yes</v>
      </c>
      <c r="C95" s="4" t="str">
        <f ca="1">IFERROR(__xludf.DUMMYFUNCTION("IFERROR(GOOGLETRANSLATE(B95,""en"",""ja""),)"),"はい")</f>
        <v>はい</v>
      </c>
      <c r="D95" s="4" t="str">
        <f ca="1">IFERROR(__xludf.DUMMYFUNCTION("IFERROR(GOOGLETRANSLATE(B95,""en"",""zh-TW""),)"),"是的")</f>
        <v>是的</v>
      </c>
      <c r="E95" s="4" t="str">
        <f ca="1">IFERROR(__xludf.DUMMYFUNCTION("IFERROR(GOOGLETRANSLATE(B95,""en"",""zh-CN""),)"),"是的")</f>
        <v>是的</v>
      </c>
    </row>
    <row r="96" spans="1:5" ht="18">
      <c r="A96" s="3" t="s">
        <v>508</v>
      </c>
      <c r="B96" s="4" t="str">
        <f ca="1">IFERROR(__xludf.DUMMYFUNCTION("IFERROR(GOOGLETRANSLATE(A96,""ko"",""en""),)"),"no")</f>
        <v>no</v>
      </c>
      <c r="C96" s="4" t="str">
        <f ca="1">IFERROR(__xludf.DUMMYFUNCTION("IFERROR(GOOGLETRANSLATE(B96,""en"",""ja""),)"),"いいえ")</f>
        <v>いいえ</v>
      </c>
      <c r="D96" s="4" t="str">
        <f ca="1">IFERROR(__xludf.DUMMYFUNCTION("IFERROR(GOOGLETRANSLATE(B96,""en"",""zh-TW""),)"),"不")</f>
        <v>不</v>
      </c>
      <c r="E96" s="4" t="str">
        <f ca="1">IFERROR(__xludf.DUMMYFUNCTION("IFERROR(GOOGLETRANSLATE(B96,""en"",""zh-CN""),)"),"不")</f>
        <v>不</v>
      </c>
    </row>
    <row r="97" spans="1:5" ht="18">
      <c r="A97" s="3" t="s">
        <v>512</v>
      </c>
      <c r="B97" s="4" t="str">
        <f ca="1">IFERROR(__xludf.DUMMYFUNCTION("IFERROR(GOOGLETRANSLATE(A97,""ko"",""en""),)"),"vocabulary")</f>
        <v>vocabulary</v>
      </c>
      <c r="C97" s="4" t="str">
        <f ca="1">IFERROR(__xludf.DUMMYFUNCTION("IFERROR(GOOGLETRANSLATE(B97,""en"",""ja""),)"),"語彙")</f>
        <v>語彙</v>
      </c>
      <c r="D97" s="4" t="str">
        <f ca="1">IFERROR(__xludf.DUMMYFUNCTION("IFERROR(GOOGLETRANSLATE(B97,""en"",""zh-TW""),)"),"詞彙")</f>
        <v>詞彙</v>
      </c>
      <c r="E97" s="4" t="str">
        <f ca="1">IFERROR(__xludf.DUMMYFUNCTION("IFERROR(GOOGLETRANSLATE(B97,""en"",""zh-CN""),)"),"词汇")</f>
        <v>词汇</v>
      </c>
    </row>
    <row r="98" spans="1:5" ht="18">
      <c r="A98" s="3" t="s">
        <v>516</v>
      </c>
      <c r="B98" s="4" t="str">
        <f ca="1">IFERROR(__xludf.DUMMYFUNCTION("IFERROR(GOOGLETRANSLATE(A98,""ko"",""en""),)"),"job")</f>
        <v>job</v>
      </c>
      <c r="C98" s="4" t="str">
        <f ca="1">IFERROR(__xludf.DUMMYFUNCTION("IFERROR(GOOGLETRANSLATE(B98,""en"",""ja""),)"),"仕事")</f>
        <v>仕事</v>
      </c>
      <c r="D98" s="4" t="str">
        <f ca="1">IFERROR(__xludf.DUMMYFUNCTION("IFERROR(GOOGLETRANSLATE(B98,""en"",""zh-TW""),)"),"工作")</f>
        <v>工作</v>
      </c>
      <c r="E98" s="4" t="str">
        <f ca="1">IFERROR(__xludf.DUMMYFUNCTION("IFERROR(GOOGLETRANSLATE(B98,""en"",""zh-CN""),)"),"工作")</f>
        <v>工作</v>
      </c>
    </row>
    <row r="99" spans="1:5" ht="18">
      <c r="A99" s="5" t="s">
        <v>520</v>
      </c>
      <c r="B99" s="4" t="str">
        <f ca="1">IFERROR(__xludf.DUMMYFUNCTION("IFERROR(GOOGLETRANSLATE(A99,""ko"",""en""),)"),"expression")</f>
        <v>expression</v>
      </c>
      <c r="C99" s="4" t="str">
        <f ca="1">IFERROR(__xludf.DUMMYFUNCTION("IFERROR(GOOGLETRANSLATE(B99,""en"",""ja""),)"),"表現")</f>
        <v>表現</v>
      </c>
      <c r="D99" s="4" t="str">
        <f ca="1">IFERROR(__xludf.DUMMYFUNCTION("IFERROR(GOOGLETRANSLATE(B99,""en"",""zh-TW""),)"),"表達")</f>
        <v>表達</v>
      </c>
      <c r="E99" s="4" t="str">
        <f ca="1">IFERROR(__xludf.DUMMYFUNCTION("IFERROR(GOOGLETRANSLATE(B99,""en"",""zh-CN""),)"),"表达")</f>
        <v>表达</v>
      </c>
    </row>
    <row r="100" spans="1:5" ht="18">
      <c r="A100" s="5" t="s">
        <v>524</v>
      </c>
      <c r="B100" s="4" t="str">
        <f ca="1">IFERROR(__xludf.DUMMYFUNCTION("IFERROR(GOOGLETRANSLATE(A100,""ko"",""en""),)"),"grammar")</f>
        <v>grammar</v>
      </c>
      <c r="C100" s="4" t="str">
        <f ca="1">IFERROR(__xludf.DUMMYFUNCTION("IFERROR(GOOGLETRANSLATE(B100,""en"",""ja""),)"),"文法")</f>
        <v>文法</v>
      </c>
      <c r="D100" s="4" t="str">
        <f ca="1">IFERROR(__xludf.DUMMYFUNCTION("IFERROR(GOOGLETRANSLATE(B100,""en"",""zh-TW""),)"),"文法")</f>
        <v>文法</v>
      </c>
      <c r="E100" s="4" t="str">
        <f ca="1">IFERROR(__xludf.DUMMYFUNCTION("IFERROR(GOOGLETRANSLATE(B100,""en"",""zh-CN""),)"),"语法")</f>
        <v>语法</v>
      </c>
    </row>
    <row r="101" spans="1:5" ht="18">
      <c r="A101" s="5" t="s">
        <v>528</v>
      </c>
      <c r="B101" s="4" t="str">
        <f ca="1">IFERROR(__xludf.DUMMYFUNCTION("IFERROR(GOOGLETRANSLATE(A101,""ko"",""en""),)"),"where are you from?")</f>
        <v>where are you from?</v>
      </c>
      <c r="C101" s="4" t="str">
        <f ca="1">IFERROR(__xludf.DUMMYFUNCTION("IFERROR(GOOGLETRANSLATE(B101,""en"",""ja""),)"),"どこの出身ですか？")</f>
        <v>どこの出身ですか？</v>
      </c>
      <c r="D101" s="4" t="str">
        <f ca="1">IFERROR(__xludf.DUMMYFUNCTION("IFERROR(GOOGLETRANSLATE(B101,""en"",""zh-TW""),)"),"你從哪裡來？")</f>
        <v>你從哪裡來？</v>
      </c>
      <c r="E101" s="4" t="str">
        <f ca="1">IFERROR(__xludf.DUMMYFUNCTION("IFERROR(GOOGLETRANSLATE(B101,""en"",""zh-CN""),)"),"你从哪来？")</f>
        <v>你从哪来？</v>
      </c>
    </row>
    <row r="102" spans="1:5" ht="18">
      <c r="A102" s="3" t="s">
        <v>532</v>
      </c>
      <c r="B102" s="4" t="str">
        <f ca="1">IFERROR(__xludf.DUMMYFUNCTION("IFERROR(GOOGLETRANSLATE(A102,""ko"",""en""),)"),"Korean people")</f>
        <v>Korean people</v>
      </c>
      <c r="C102" s="4" t="str">
        <f ca="1">IFERROR(__xludf.DUMMYFUNCTION("IFERROR(GOOGLETRANSLATE(B102,""en"",""ja""),)"),"韓国の人々")</f>
        <v>韓国の人々</v>
      </c>
      <c r="D102" s="4" t="str">
        <f ca="1">IFERROR(__xludf.DUMMYFUNCTION("IFERROR(GOOGLETRANSLATE(B102,""en"",""zh-TW""),)"),"韓國人")</f>
        <v>韓國人</v>
      </c>
      <c r="E102" s="4" t="str">
        <f ca="1">IFERROR(__xludf.DUMMYFUNCTION("IFERROR(GOOGLETRANSLATE(B102,""en"",""zh-CN""),)"),"韩国人")</f>
        <v>韩国人</v>
      </c>
    </row>
    <row r="103" spans="1:5" ht="18">
      <c r="A103" s="3" t="s">
        <v>537</v>
      </c>
      <c r="B103" s="4" t="str">
        <f ca="1">IFERROR(__xludf.DUMMYFUNCTION("IFERROR(GOOGLETRANSLATE(A103,""ko"",""en""),)"),"Canadian")</f>
        <v>Canadian</v>
      </c>
      <c r="C103" s="4" t="str">
        <f ca="1">IFERROR(__xludf.DUMMYFUNCTION("IFERROR(GOOGLETRANSLATE(B103,""en"",""ja""),)"),"カナダ人")</f>
        <v>カナダ人</v>
      </c>
      <c r="D103" s="4" t="str">
        <f ca="1">IFERROR(__xludf.DUMMYFUNCTION("IFERROR(GOOGLETRANSLATE(B103,""en"",""zh-TW""),)"),"加拿大")</f>
        <v>加拿大</v>
      </c>
      <c r="E103" s="4" t="str">
        <f ca="1">IFERROR(__xludf.DUMMYFUNCTION("IFERROR(GOOGLETRANSLATE(B103,""en"",""zh-CN""),)"),"加拿大")</f>
        <v>加拿大</v>
      </c>
    </row>
    <row r="104" spans="1:5" ht="18">
      <c r="A104" s="3" t="s">
        <v>542</v>
      </c>
      <c r="B104" s="4" t="str">
        <f ca="1">IFERROR(__xludf.DUMMYFUNCTION("IFERROR(GOOGLETRANSLATE(A104,""ko"",""en""),)"),"Vietnamese")</f>
        <v>Vietnamese</v>
      </c>
      <c r="C104" s="4" t="str">
        <f ca="1">IFERROR(__xludf.DUMMYFUNCTION("IFERROR(GOOGLETRANSLATE(B104,""en"",""ja""),)"),"ベトナム語")</f>
        <v>ベトナム語</v>
      </c>
      <c r="D104" s="4" t="str">
        <f ca="1">IFERROR(__xludf.DUMMYFUNCTION("IFERROR(GOOGLETRANSLATE(B104,""en"",""zh-TW""),)"),"越南語")</f>
        <v>越南語</v>
      </c>
      <c r="E104" s="4" t="str">
        <f ca="1">IFERROR(__xludf.DUMMYFUNCTION("IFERROR(GOOGLETRANSLATE(B104,""en"",""zh-CN""),)"),"越南语")</f>
        <v>越南语</v>
      </c>
    </row>
    <row r="105" spans="1:5" ht="18">
      <c r="A105" s="3" t="s">
        <v>545</v>
      </c>
      <c r="B105" s="4" t="str">
        <f ca="1">IFERROR(__xludf.DUMMYFUNCTION("IFERROR(GOOGLETRANSLATE(A105,""ko"",""en""),)"),"American")</f>
        <v>American</v>
      </c>
      <c r="C105" s="4" t="str">
        <f ca="1">IFERROR(__xludf.DUMMYFUNCTION("IFERROR(GOOGLETRANSLATE(B105,""en"",""ja""),)"),"アメリカ人")</f>
        <v>アメリカ人</v>
      </c>
      <c r="D105" s="4" t="str">
        <f ca="1">IFERROR(__xludf.DUMMYFUNCTION("IFERROR(GOOGLETRANSLATE(B105,""en"",""zh-TW""),)"),"美國人")</f>
        <v>美國人</v>
      </c>
      <c r="E105" s="4" t="str">
        <f ca="1">IFERROR(__xludf.DUMMYFUNCTION("IFERROR(GOOGLETRANSLATE(B105,""en"",""zh-CN""),)"),"美国人")</f>
        <v>美国人</v>
      </c>
    </row>
    <row r="106" spans="1:5" ht="18">
      <c r="A106" s="5" t="s">
        <v>551</v>
      </c>
      <c r="B106" s="4" t="str">
        <f ca="1">IFERROR(__xludf.DUMMYFUNCTION("IFERROR(GOOGLETRANSLATE(A106,""ko"",""en""),)"),"French people")</f>
        <v>French people</v>
      </c>
      <c r="C106" s="4" t="str">
        <f ca="1">IFERROR(__xludf.DUMMYFUNCTION("IFERROR(GOOGLETRANSLATE(B106,""en"",""ja""),)"),"フランス人")</f>
        <v>フランス人</v>
      </c>
      <c r="D106" s="4" t="str">
        <f ca="1">IFERROR(__xludf.DUMMYFUNCTION("IFERROR(GOOGLETRANSLATE(B106,""en"",""zh-TW""),)"),"法國人")</f>
        <v>法國人</v>
      </c>
      <c r="E106" s="4" t="str">
        <f ca="1">IFERROR(__xludf.DUMMYFUNCTION("IFERROR(GOOGLETRANSLATE(B106,""en"",""zh-CN""),)"),"法国人")</f>
        <v>法国人</v>
      </c>
    </row>
    <row r="107" spans="1:5" ht="18">
      <c r="A107" s="5" t="s">
        <v>555</v>
      </c>
      <c r="B107" s="4" t="str">
        <f ca="1">IFERROR(__xludf.DUMMYFUNCTION("IFERROR(GOOGLETRANSLATE(A107,""ko"",""en""),)"),"Thai people")</f>
        <v>Thai people</v>
      </c>
      <c r="C107" s="4" t="str">
        <f ca="1">IFERROR(__xludf.DUMMYFUNCTION("IFERROR(GOOGLETRANSLATE(B107,""en"",""ja""),)"),"タイの人々")</f>
        <v>タイの人々</v>
      </c>
      <c r="D107" s="4" t="str">
        <f ca="1">IFERROR(__xludf.DUMMYFUNCTION("IFERROR(GOOGLETRANSLATE(B107,""en"",""zh-TW""),)"),"泰國人")</f>
        <v>泰國人</v>
      </c>
      <c r="E107" s="4" t="str">
        <f ca="1">IFERROR(__xludf.DUMMYFUNCTION("IFERROR(GOOGLETRANSLATE(B107,""en"",""zh-CN""),)"),"泰国人")</f>
        <v>泰国人</v>
      </c>
    </row>
    <row r="108" spans="1:5" ht="18">
      <c r="A108" s="3" t="s">
        <v>558</v>
      </c>
      <c r="B108" s="4" t="str">
        <f ca="1">IFERROR(__xludf.DUMMYFUNCTION("IFERROR(GOOGLETRANSLATE(A108,""ko"",""en""),)"),"Indonesian people")</f>
        <v>Indonesian people</v>
      </c>
      <c r="C108" s="4" t="str">
        <f ca="1">IFERROR(__xludf.DUMMYFUNCTION("IFERROR(GOOGLETRANSLATE(B108,""en"",""ja""),)"),"インドネシアの人々")</f>
        <v>インドネシアの人々</v>
      </c>
      <c r="D108" s="4" t="str">
        <f ca="1">IFERROR(__xludf.DUMMYFUNCTION("IFERROR(GOOGLETRANSLATE(B108,""en"",""zh-TW""),)"),"印尼人民")</f>
        <v>印尼人民</v>
      </c>
      <c r="E108" s="4" t="str">
        <f ca="1">IFERROR(__xludf.DUMMYFUNCTION("IFERROR(GOOGLETRANSLATE(B108,""en"",""zh-CN""),)"),"印尼人民")</f>
        <v>印尼人民</v>
      </c>
    </row>
    <row r="109" spans="1:5" ht="18">
      <c r="A109" s="3" t="s">
        <v>563</v>
      </c>
      <c r="B109" s="4" t="str">
        <f ca="1">IFERROR(__xludf.DUMMYFUNCTION("IFERROR(GOOGLETRANSLATE(A109,""ko"",""en""),)"),"Chinese people")</f>
        <v>Chinese people</v>
      </c>
      <c r="C109" s="4" t="str">
        <f ca="1">IFERROR(__xludf.DUMMYFUNCTION("IFERROR(GOOGLETRANSLATE(B109,""en"",""ja""),)"),"中国の人々")</f>
        <v>中国の人々</v>
      </c>
      <c r="D109" s="4" t="str">
        <f ca="1">IFERROR(__xludf.DUMMYFUNCTION("IFERROR(GOOGLETRANSLATE(B109,""en"",""zh-TW""),)"),"中國人")</f>
        <v>中國人</v>
      </c>
      <c r="E109" s="4" t="str">
        <f ca="1">IFERROR(__xludf.DUMMYFUNCTION("IFERROR(GOOGLETRANSLATE(B109,""en"",""zh-CN""),)"),"中国人")</f>
        <v>中国人</v>
      </c>
    </row>
    <row r="110" spans="1:5" ht="18">
      <c r="A110" s="3" t="s">
        <v>567</v>
      </c>
      <c r="B110" s="4" t="str">
        <f ca="1">IFERROR(__xludf.DUMMYFUNCTION("IFERROR(GOOGLETRANSLATE(A110,""ko"",""en""),)"),"Japanese people")</f>
        <v>Japanese people</v>
      </c>
      <c r="C110" s="4" t="str">
        <f ca="1">IFERROR(__xludf.DUMMYFUNCTION("IFERROR(GOOGLETRANSLATE(B110,""en"",""ja""),)"),"日本人")</f>
        <v>日本人</v>
      </c>
      <c r="D110" s="4" t="str">
        <f ca="1">IFERROR(__xludf.DUMMYFUNCTION("IFERROR(GOOGLETRANSLATE(B110,""en"",""zh-TW""),)"),"日本人")</f>
        <v>日本人</v>
      </c>
      <c r="E110" s="4" t="str">
        <f ca="1">IFERROR(__xludf.DUMMYFUNCTION("IFERROR(GOOGLETRANSLATE(B110,""en"",""zh-CN""),)"),"日本人")</f>
        <v>日本人</v>
      </c>
    </row>
    <row r="111" spans="1:5" ht="18">
      <c r="A111" s="3" t="s">
        <v>571</v>
      </c>
      <c r="B111" s="4" t="str">
        <f ca="1">IFERROR(__xludf.DUMMYFUNCTION("IFERROR(GOOGLETRANSLATE(A111,""ko"",""en""),)"),"Muscovite")</f>
        <v>Muscovite</v>
      </c>
      <c r="C111" s="4" t="str">
        <f ca="1">IFERROR(__xludf.DUMMYFUNCTION("IFERROR(GOOGLETRANSLATE(B111,""en"",""ja""),)"),"白雲母")</f>
        <v>白雲母</v>
      </c>
      <c r="D111" s="4" t="str">
        <f ca="1">IFERROR(__xludf.DUMMYFUNCTION("IFERROR(GOOGLETRANSLATE(B111,""en"",""zh-TW""),)"),"白雲母")</f>
        <v>白雲母</v>
      </c>
      <c r="E111" s="4" t="str">
        <f ca="1">IFERROR(__xludf.DUMMYFUNCTION("IFERROR(GOOGLETRANSLATE(B111,""en"",""zh-CN""),)"),"白云母")</f>
        <v>白云母</v>
      </c>
    </row>
    <row r="112" spans="1:5" ht="18">
      <c r="A112" s="3" t="s">
        <v>576</v>
      </c>
      <c r="B112" s="4" t="str">
        <f ca="1">IFERROR(__xludf.DUMMYFUNCTION("IFERROR(GOOGLETRANSLATE(A112,""ko"",""en""),)"),"Kenyan people")</f>
        <v>Kenyan people</v>
      </c>
      <c r="C112" s="4" t="str">
        <f ca="1">IFERROR(__xludf.DUMMYFUNCTION("IFERROR(GOOGLETRANSLATE(B112,""en"",""ja""),)"),"ケニアの人々")</f>
        <v>ケニアの人々</v>
      </c>
      <c r="D112" s="4" t="str">
        <f ca="1">IFERROR(__xludf.DUMMYFUNCTION("IFERROR(GOOGLETRANSLATE(B112,""en"",""zh-TW""),)"),"肯亞人民")</f>
        <v>肯亞人民</v>
      </c>
      <c r="E112" s="4" t="str">
        <f ca="1">IFERROR(__xludf.DUMMYFUNCTION("IFERROR(GOOGLETRANSLATE(B112,""en"",""zh-CN""),)"),"肯尼亚人民")</f>
        <v>肯尼亚人民</v>
      </c>
    </row>
    <row r="113" spans="1:5" ht="18">
      <c r="A113" s="2" t="s">
        <v>581</v>
      </c>
      <c r="B113" s="4" t="str">
        <f ca="1">IFERROR(__xludf.DUMMYFUNCTION("IFERROR(GOOGLETRANSLATE(A113,""ko"",""en""),)"),"Australian")</f>
        <v>Australian</v>
      </c>
      <c r="C113" s="4" t="str">
        <f ca="1">IFERROR(__xludf.DUMMYFUNCTION("IFERROR(GOOGLETRANSLATE(B113,""en"",""ja""),)"),"オーストラリア")</f>
        <v>オーストラリア</v>
      </c>
      <c r="D113" s="4" t="str">
        <f ca="1">IFERROR(__xludf.DUMMYFUNCTION("IFERROR(GOOGLETRANSLATE(B113,""en"",""zh-TW""),)"),"澳洲")</f>
        <v>澳洲</v>
      </c>
      <c r="E113" s="4" t="str">
        <f ca="1">IFERROR(__xludf.DUMMYFUNCTION("IFERROR(GOOGLETRANSLATE(B113,""en"",""zh-CN""),)"),"澳大利亚")</f>
        <v>澳大利亚</v>
      </c>
    </row>
    <row r="114" spans="1:5" ht="18">
      <c r="A114" s="3" t="s">
        <v>586</v>
      </c>
      <c r="B114" s="4" t="str">
        <f ca="1">IFERROR(__xludf.DUMMYFUNCTION("IFERROR(GOOGLETRANSLATE(A114,""ko"",""en""),)"),"Malaysian people")</f>
        <v>Malaysian people</v>
      </c>
      <c r="C114" s="4" t="str">
        <f ca="1">IFERROR(__xludf.DUMMYFUNCTION("IFERROR(GOOGLETRANSLATE(B114,""en"",""ja""),)"),"マレーシアの人々")</f>
        <v>マレーシアの人々</v>
      </c>
      <c r="D114" s="4" t="str">
        <f ca="1">IFERROR(__xludf.DUMMYFUNCTION("IFERROR(GOOGLETRANSLATE(B114,""en"",""zh-TW""),)"),"馬來西亞人民")</f>
        <v>馬來西亞人民</v>
      </c>
      <c r="E114" s="4" t="str">
        <f ca="1">IFERROR(__xludf.DUMMYFUNCTION("IFERROR(GOOGLETRANSLATE(B114,""en"",""zh-CN""),)"),"马来西亚人民")</f>
        <v>马来西亚人民</v>
      </c>
    </row>
    <row r="115" spans="1:5" ht="18">
      <c r="A115" s="3" t="s">
        <v>590</v>
      </c>
      <c r="B115" s="4" t="str">
        <f ca="1">IFERROR(__xludf.DUMMYFUNCTION("IFERROR(GOOGLETRANSLATE(A115,""ko"",""en""),)"),"What is your job?")</f>
        <v>What is your job?</v>
      </c>
      <c r="C115" s="4" t="str">
        <f ca="1">IFERROR(__xludf.DUMMYFUNCTION("IFERROR(GOOGLETRANSLATE(B115,""en"",""ja""),)"),"あなたの仕事は何ですか？")</f>
        <v>あなたの仕事は何ですか？</v>
      </c>
      <c r="D115" s="4" t="str">
        <f ca="1">IFERROR(__xludf.DUMMYFUNCTION("IFERROR(GOOGLETRANSLATE(B115,""en"",""zh-TW""),)"),"你做什麼工作？")</f>
        <v>你做什麼工作？</v>
      </c>
      <c r="E115" s="4" t="str">
        <f ca="1">IFERROR(__xludf.DUMMYFUNCTION("IFERROR(GOOGLETRANSLATE(B115,""en"",""zh-CN""),)"),"你做什么工作？")</f>
        <v>你做什么工作？</v>
      </c>
    </row>
    <row r="116" spans="1:5" ht="18">
      <c r="A116" s="2" t="s">
        <v>594</v>
      </c>
      <c r="B116" s="4" t="str">
        <f ca="1">IFERROR(__xludf.DUMMYFUNCTION("IFERROR(GOOGLETRANSLATE(A116,""ko"",""en""),)"),"what's your name?")</f>
        <v>what's your name?</v>
      </c>
      <c r="C116" s="4" t="str">
        <f ca="1">IFERROR(__xludf.DUMMYFUNCTION("IFERROR(GOOGLETRANSLATE(B116,""en"",""ja""),)"),"あなたの名前は何ですか？")</f>
        <v>あなたの名前は何ですか？</v>
      </c>
      <c r="D116" s="4" t="str">
        <f ca="1">IFERROR(__xludf.DUMMYFUNCTION("IFERROR(GOOGLETRANSLATE(B116,""en"",""zh-TW""),)"),"你叫什麼名字？")</f>
        <v>你叫什麼名字？</v>
      </c>
      <c r="E116" s="4" t="str">
        <f ca="1">IFERROR(__xludf.DUMMYFUNCTION("IFERROR(GOOGLETRANSLATE(B116,""en"",""zh-CN""),)"),"你叫什么名字？")</f>
        <v>你叫什么名字？</v>
      </c>
    </row>
    <row r="117" spans="1:5" ht="18">
      <c r="A117" s="2" t="s">
        <v>600</v>
      </c>
      <c r="B117" s="4" t="str">
        <f ca="1">IFERROR(__xludf.DUMMYFUNCTION("IFERROR(GOOGLETRANSLATE(A117,""ko"",""en""),)"),"What is it?")</f>
        <v>What is it?</v>
      </c>
      <c r="C117" s="4" t="str">
        <f ca="1">IFERROR(__xludf.DUMMYFUNCTION("IFERROR(GOOGLETRANSLATE(B117,""en"",""ja""),)"),"それは何ですか？")</f>
        <v>それは何ですか？</v>
      </c>
      <c r="D117" s="4" t="str">
        <f ca="1">IFERROR(__xludf.DUMMYFUNCTION("IFERROR(GOOGLETRANSLATE(B117,""en"",""zh-TW""),)"),"那是什麼？")</f>
        <v>那是什麼？</v>
      </c>
      <c r="E117" s="4" t="str">
        <f ca="1">IFERROR(__xludf.DUMMYFUNCTION("IFERROR(GOOGLETRANSLATE(B117,""en"",""zh-CN""),)"),"那是什么？")</f>
        <v>那是什么？</v>
      </c>
    </row>
    <row r="118" spans="1:5" ht="18">
      <c r="A118" s="3" t="s">
        <v>608</v>
      </c>
      <c r="B118" s="4" t="str">
        <f ca="1">IFERROR(__xludf.DUMMYFUNCTION("IFERROR(GOOGLETRANSLATE(A118,""ko"",""en""),)"),"employee")</f>
        <v>employee</v>
      </c>
      <c r="C118" s="4" t="str">
        <f ca="1">IFERROR(__xludf.DUMMYFUNCTION("IFERROR(GOOGLETRANSLATE(B118,""en"",""ja""),)"),"従業員")</f>
        <v>従業員</v>
      </c>
      <c r="D118" s="4" t="str">
        <f ca="1">IFERROR(__xludf.DUMMYFUNCTION("IFERROR(GOOGLETRANSLATE(B118,""en"",""zh-TW""),)"),"員工")</f>
        <v>員工</v>
      </c>
      <c r="E118" s="4" t="str">
        <f ca="1">IFERROR(__xludf.DUMMYFUNCTION("IFERROR(GOOGLETRANSLATE(B118,""en"",""zh-CN""),)"),"员工")</f>
        <v>员工</v>
      </c>
    </row>
    <row r="119" spans="1:5" ht="18">
      <c r="A119" s="3" t="s">
        <v>614</v>
      </c>
      <c r="B119" s="4" t="s">
        <v>615</v>
      </c>
      <c r="C119" s="4" t="str">
        <f ca="1">IFERROR(__xludf.DUMMYFUNCTION("IFERROR(GOOGLETRANSLATE(B119,""en"",""ja""),)"),"大学生")</f>
        <v>大学生</v>
      </c>
      <c r="D119" s="4" t="str">
        <f ca="1">IFERROR(__xludf.DUMMYFUNCTION("IFERROR(GOOGLETRANSLATE(B119,""en"",""zh-TW""),)"),"大學生")</f>
        <v>大學生</v>
      </c>
      <c r="E119" s="4" t="str">
        <f ca="1">IFERROR(__xludf.DUMMYFUNCTION("IFERROR(GOOGLETRANSLATE(B119,""en"",""zh-CN""),)"),"大学生")</f>
        <v>大学生</v>
      </c>
    </row>
    <row r="120" spans="1:5" ht="18">
      <c r="A120" s="3" t="s">
        <v>77</v>
      </c>
      <c r="B120" s="4" t="str">
        <f ca="1">IFERROR(__xludf.DUMMYFUNCTION("IFERROR(GOOGLETRANSLATE(A120,""ko"",""en""),)"),"nurse")</f>
        <v>nurse</v>
      </c>
      <c r="C120" s="4" t="str">
        <f ca="1">IFERROR(__xludf.DUMMYFUNCTION("IFERROR(GOOGLETRANSLATE(B120,""en"",""ja""),)"),"看護師")</f>
        <v>看護師</v>
      </c>
      <c r="D120" s="4" t="str">
        <f ca="1">IFERROR(__xludf.DUMMYFUNCTION("IFERROR(GOOGLETRANSLATE(B120,""en"",""zh-TW""),)"),"護士")</f>
        <v>護士</v>
      </c>
      <c r="E120" s="4" t="str">
        <f ca="1">IFERROR(__xludf.DUMMYFUNCTION("IFERROR(GOOGLETRANSLATE(B120,""en"",""zh-CN""),)"),"护士")</f>
        <v>护士</v>
      </c>
    </row>
    <row r="121" spans="1:5" ht="18">
      <c r="A121" s="3" t="s">
        <v>622</v>
      </c>
      <c r="B121" s="4" t="str">
        <f ca="1">IFERROR(__xludf.DUMMYFUNCTION("IFERROR(GOOGLETRANSLATE(A121,""ko"",""en""),)"),"doctor")</f>
        <v>doctor</v>
      </c>
      <c r="C121" s="4" t="str">
        <f ca="1">IFERROR(__xludf.DUMMYFUNCTION("IFERROR(GOOGLETRANSLATE(B121,""en"",""ja""),)"),"医者")</f>
        <v>医者</v>
      </c>
      <c r="D121" s="4" t="str">
        <f ca="1">IFERROR(__xludf.DUMMYFUNCTION("IFERROR(GOOGLETRANSLATE(B121,""en"",""zh-TW""),)"),"醫生")</f>
        <v>醫生</v>
      </c>
      <c r="E121" s="4" t="str">
        <f ca="1">IFERROR(__xludf.DUMMYFUNCTION("IFERROR(GOOGLETRANSLATE(B121,""en"",""zh-CN""),)"),"医生")</f>
        <v>医生</v>
      </c>
    </row>
    <row r="122" spans="1:5" ht="18">
      <c r="A122" s="3" t="s">
        <v>626</v>
      </c>
      <c r="B122" s="4" t="str">
        <f ca="1">IFERROR(__xludf.DUMMYFUNCTION("IFERROR(GOOGLETRANSLATE(A122,""ko"",""en""),)"),"police")</f>
        <v>police</v>
      </c>
      <c r="C122" s="4" t="str">
        <f ca="1">IFERROR(__xludf.DUMMYFUNCTION("IFERROR(GOOGLETRANSLATE(B122,""en"",""ja""),)"),"警察")</f>
        <v>警察</v>
      </c>
      <c r="D122" s="4" t="str">
        <f ca="1">IFERROR(__xludf.DUMMYFUNCTION("IFERROR(GOOGLETRANSLATE(B122,""en"",""zh-TW""),)"),"警察")</f>
        <v>警察</v>
      </c>
      <c r="E122" s="4" t="str">
        <f ca="1">IFERROR(__xludf.DUMMYFUNCTION("IFERROR(GOOGLETRANSLATE(B122,""en"",""zh-CN""),)"),"警察")</f>
        <v>警察</v>
      </c>
    </row>
    <row r="123" spans="1:5" ht="18">
      <c r="A123" s="3" t="s">
        <v>631</v>
      </c>
      <c r="B123" s="4" t="str">
        <f ca="1">IFERROR(__xludf.DUMMYFUNCTION("IFERROR(GOOGLETRANSLATE(A123,""ko"",""en""),)"),"teacher")</f>
        <v>teacher</v>
      </c>
      <c r="C123" s="4" t="str">
        <f ca="1">IFERROR(__xludf.DUMMYFUNCTION("IFERROR(GOOGLETRANSLATE(B123,""en"",""ja""),)"),"教師")</f>
        <v>教師</v>
      </c>
      <c r="D123" s="4" t="str">
        <f ca="1">IFERROR(__xludf.DUMMYFUNCTION("IFERROR(GOOGLETRANSLATE(B123,""en"",""zh-TW""),)"),"老師")</f>
        <v>老師</v>
      </c>
      <c r="E123" s="4" t="str">
        <f ca="1">IFERROR(__xludf.DUMMYFUNCTION("IFERROR(GOOGLETRANSLATE(B123,""en"",""zh-CN""),)"),"老师")</f>
        <v>老师</v>
      </c>
    </row>
    <row r="124" spans="1:5" ht="18">
      <c r="A124" s="3" t="s">
        <v>636</v>
      </c>
      <c r="B124" s="4" t="str">
        <f ca="1">IFERROR(__xludf.DUMMYFUNCTION("IFERROR(GOOGLETRANSLATE(A124,""ko"",""en""),)"),"singer")</f>
        <v>singer</v>
      </c>
      <c r="C124" s="4" t="str">
        <f ca="1">IFERROR(__xludf.DUMMYFUNCTION("IFERROR(GOOGLETRANSLATE(B124,""en"",""ja""),)"),"歌手")</f>
        <v>歌手</v>
      </c>
      <c r="D124" s="4" t="str">
        <f ca="1">IFERROR(__xludf.DUMMYFUNCTION("IFERROR(GOOGLETRANSLATE(B124,""en"",""zh-TW""),)"),"歌手")</f>
        <v>歌手</v>
      </c>
      <c r="E124" s="4" t="str">
        <f ca="1">IFERROR(__xludf.DUMMYFUNCTION("IFERROR(GOOGLETRANSLATE(B124,""en"",""zh-CN""),)"),"歌手")</f>
        <v>歌手</v>
      </c>
    </row>
    <row r="125" spans="1:5" ht="18">
      <c r="A125" s="3" t="s">
        <v>642</v>
      </c>
      <c r="B125" s="4" t="str">
        <f ca="1">IFERROR(__xludf.DUMMYFUNCTION("IFERROR(GOOGLETRANSLATE(A125,""ko"",""en""),)"),"chef")</f>
        <v>chef</v>
      </c>
      <c r="C125" s="4" t="str">
        <f ca="1">IFERROR(__xludf.DUMMYFUNCTION("IFERROR(GOOGLETRANSLATE(B125,""en"",""ja""),)"),"シェフ")</f>
        <v>シェフ</v>
      </c>
      <c r="D125" s="4" t="str">
        <f ca="1">IFERROR(__xludf.DUMMYFUNCTION("IFERROR(GOOGLETRANSLATE(B125,""en"",""zh-TW""),)"),"廚師")</f>
        <v>廚師</v>
      </c>
      <c r="E125" s="4" t="str">
        <f ca="1">IFERROR(__xludf.DUMMYFUNCTION("IFERROR(GOOGLETRANSLATE(B125,""en"",""zh-CN""),)"),"厨师")</f>
        <v>厨师</v>
      </c>
    </row>
    <row r="126" spans="1:5" ht="18">
      <c r="A126" s="3" t="s">
        <v>648</v>
      </c>
      <c r="B126" s="4" t="str">
        <f ca="1">IFERROR(__xludf.DUMMYFUNCTION("IFERROR(GOOGLETRANSLATE(A126,""ko"",""en""),)"),"korea")</f>
        <v>korea</v>
      </c>
      <c r="C126" s="4" t="str">
        <f ca="1">IFERROR(__xludf.DUMMYFUNCTION("IFERROR(GOOGLETRANSLATE(B126,""en"",""ja""),)"),"韓国")</f>
        <v>韓国</v>
      </c>
      <c r="D126" s="4" t="str">
        <f ca="1">IFERROR(__xludf.DUMMYFUNCTION("IFERROR(GOOGLETRANSLATE(B126,""en"",""zh-TW""),)"),"韓國")</f>
        <v>韓國</v>
      </c>
      <c r="E126" s="4" t="str">
        <f ca="1">IFERROR(__xludf.DUMMYFUNCTION("IFERROR(GOOGLETRANSLATE(B126,""en"",""zh-CN""),)"),"韩国")</f>
        <v>韩国</v>
      </c>
    </row>
    <row r="127" spans="1:5" ht="18">
      <c r="A127" s="3" t="s">
        <v>652</v>
      </c>
      <c r="B127" s="4" t="str">
        <f ca="1">IFERROR(__xludf.DUMMYFUNCTION("IFERROR(GOOGLETRANSLATE(A127,""ko"",""en""),)"),"Eiffel Tower")</f>
        <v>Eiffel Tower</v>
      </c>
      <c r="C127" s="4" t="str">
        <f ca="1">IFERROR(__xludf.DUMMYFUNCTION("IFERROR(GOOGLETRANSLATE(B127,""en"",""ja""),)"),"エッフェル塔")</f>
        <v>エッフェル塔</v>
      </c>
      <c r="D127" s="4" t="str">
        <f ca="1">IFERROR(__xludf.DUMMYFUNCTION("IFERROR(GOOGLETRANSLATE(B127,""en"",""zh-TW""),)"),"艾菲爾鐵塔")</f>
        <v>艾菲爾鐵塔</v>
      </c>
      <c r="E127" s="4" t="str">
        <f ca="1">IFERROR(__xludf.DUMMYFUNCTION("IFERROR(GOOGLETRANSLATE(B127,""en"",""zh-CN""),)"),"埃菲尔铁塔")</f>
        <v>埃菲尔铁塔</v>
      </c>
    </row>
    <row r="128" spans="1:5" ht="18">
      <c r="A128" s="3" t="s">
        <v>659</v>
      </c>
      <c r="B128" s="4" t="str">
        <f ca="1">IFERROR(__xludf.DUMMYFUNCTION("IFERROR(GOOGLETRANSLATE(A128,""ko"",""en""),)"),"Are you a student?")</f>
        <v>Are you a student?</v>
      </c>
      <c r="C128" s="4" t="str">
        <f ca="1">IFERROR(__xludf.DUMMYFUNCTION("IFERROR(GOOGLETRANSLATE(B128,""en"",""ja""),)"),"あなたは学生ですか？")</f>
        <v>あなたは学生ですか？</v>
      </c>
      <c r="D128" s="4" t="str">
        <f ca="1">IFERROR(__xludf.DUMMYFUNCTION("IFERROR(GOOGLETRANSLATE(B128,""en"",""zh-TW""),)"),"你是學生嗎？")</f>
        <v>你是學生嗎？</v>
      </c>
      <c r="E128" s="4" t="str">
        <f ca="1">IFERROR(__xludf.DUMMYFUNCTION("IFERROR(GOOGLETRANSLATE(B128,""en"",""zh-CN""),)"),"你是学生吗？")</f>
        <v>你是学生吗？</v>
      </c>
    </row>
    <row r="129" spans="1:5" ht="18">
      <c r="A129" s="3" t="s">
        <v>664</v>
      </c>
      <c r="B129" s="4" t="str">
        <f ca="1">IFERROR(__xludf.DUMMYFUNCTION("IFERROR(GOOGLETRANSLATE(A129,""ko"",""en""),)"),"Yes, I am a student.")</f>
        <v>Yes, I am a student.</v>
      </c>
      <c r="C129" s="4" t="str">
        <f ca="1">IFERROR(__xludf.DUMMYFUNCTION("IFERROR(GOOGLETRANSLATE(B129,""en"",""ja""),)"),"はい、私は学生です。")</f>
        <v>はい、私は学生です。</v>
      </c>
      <c r="D129" s="4" t="str">
        <f ca="1">IFERROR(__xludf.DUMMYFUNCTION("IFERROR(GOOGLETRANSLATE(B129,""en"",""zh-TW""),)"),"是的，我是一名學生。")</f>
        <v>是的，我是一名學生。</v>
      </c>
      <c r="E129" s="4" t="str">
        <f ca="1">IFERROR(__xludf.DUMMYFUNCTION("IFERROR(GOOGLETRANSLATE(B129,""en"",""zh-CN""),)"),"是的，我是一名学生。")</f>
        <v>是的，我是一名学生。</v>
      </c>
    </row>
    <row r="130" spans="1:5" ht="18">
      <c r="A130" s="3" t="s">
        <v>670</v>
      </c>
      <c r="B130" s="4" t="str">
        <f ca="1">IFERROR(__xludf.DUMMYFUNCTION("IFERROR(GOOGLETRANSLATE(A130,""ko"",""en""),)"),"Are you Korean?")</f>
        <v>Are you Korean?</v>
      </c>
      <c r="C130" s="4" t="str">
        <f ca="1">IFERROR(__xludf.DUMMYFUNCTION("IFERROR(GOOGLETRANSLATE(B130,""en"",""ja""),)"),"あなたは韓国人ですか？")</f>
        <v>あなたは韓国人ですか？</v>
      </c>
      <c r="D130" s="4" t="str">
        <f ca="1">IFERROR(__xludf.DUMMYFUNCTION("IFERROR(GOOGLETRANSLATE(B130,""en"",""zh-TW""),)"),"你是韓國人嗎？")</f>
        <v>你是韓國人嗎？</v>
      </c>
      <c r="E130" s="4" t="str">
        <f ca="1">IFERROR(__xludf.DUMMYFUNCTION("IFERROR(GOOGLETRANSLATE(B130,""en"",""zh-CN""),)"),"你是韩国人吗？")</f>
        <v>你是韩国人吗？</v>
      </c>
    </row>
    <row r="131" spans="1:5" ht="18">
      <c r="A131" s="3" t="s">
        <v>675</v>
      </c>
      <c r="B131" s="4" t="str">
        <f ca="1">IFERROR(__xludf.DUMMYFUNCTION("IFERROR(GOOGLETRANSLATE(A131,""ko"",""en""),)"),"No, I am Vietnamese.")</f>
        <v>No, I am Vietnamese.</v>
      </c>
      <c r="C131" s="4" t="str">
        <f ca="1">IFERROR(__xludf.DUMMYFUNCTION("IFERROR(GOOGLETRANSLATE(B131,""en"",""ja""),)"),"いいえ、私はベトナム人です。")</f>
        <v>いいえ、私はベトナム人です。</v>
      </c>
      <c r="D131" s="4" t="str">
        <f ca="1">IFERROR(__xludf.DUMMYFUNCTION("IFERROR(GOOGLETRANSLATE(B131,""en"",""zh-TW""),)"),"不，我是越南人。")</f>
        <v>不，我是越南人。</v>
      </c>
      <c r="E131" s="4" t="str">
        <f ca="1">IFERROR(__xludf.DUMMYFUNCTION("IFERROR(GOOGLETRANSLATE(B131,""en"",""zh-CN""),)"),"不，我是越南人。")</f>
        <v>不，我是越南人。</v>
      </c>
    </row>
    <row r="132" spans="1:5" ht="18">
      <c r="A132" s="3" t="s">
        <v>681</v>
      </c>
      <c r="B132" s="4" t="str">
        <f ca="1">IFERROR(__xludf.DUMMYFUNCTION("IFERROR(GOOGLETRANSLATE(A132,""ko"",""en""),)"),"Are you a teacher?")</f>
        <v>Are you a teacher?</v>
      </c>
      <c r="C132" s="4" t="str">
        <f ca="1">IFERROR(__xludf.DUMMYFUNCTION("IFERROR(GOOGLETRANSLATE(B132,""en"",""ja""),)"),"あなたは教師ですか？")</f>
        <v>あなたは教師ですか？</v>
      </c>
      <c r="D132" s="4" t="str">
        <f ca="1">IFERROR(__xludf.DUMMYFUNCTION("IFERROR(GOOGLETRANSLATE(B132,""en"",""zh-TW""),)"),"您是老師嗎？")</f>
        <v>您是老師嗎？</v>
      </c>
      <c r="E132" s="4" t="str">
        <f ca="1">IFERROR(__xludf.DUMMYFUNCTION("IFERROR(GOOGLETRANSLATE(B132,""en"",""zh-CN""),)"),"您是老师吗？")</f>
        <v>您是老师吗？</v>
      </c>
    </row>
    <row r="133" spans="1:5" ht="18">
      <c r="A133" s="3" t="s">
        <v>686</v>
      </c>
      <c r="B133" s="4" t="str">
        <f ca="1">IFERROR(__xludf.DUMMYFUNCTION("IFERROR(GOOGLETRANSLATE(A133,""ko"",""en""),)"),"No, I'm a chef.")</f>
        <v>No, I'm a chef.</v>
      </c>
      <c r="C133" s="4" t="str">
        <f ca="1">IFERROR(__xludf.DUMMYFUNCTION("IFERROR(GOOGLETRANSLATE(B133,""en"",""ja""),)"),"いいえ、私はシェフです。")</f>
        <v>いいえ、私はシェフです。</v>
      </c>
      <c r="D133" s="4" t="str">
        <f ca="1">IFERROR(__xludf.DUMMYFUNCTION("IFERROR(GOOGLETRANSLATE(B133,""en"",""zh-TW""),)"),"不，我是廚師。")</f>
        <v>不，我是廚師。</v>
      </c>
      <c r="E133" s="4" t="str">
        <f ca="1">IFERROR(__xludf.DUMMYFUNCTION("IFERROR(GOOGLETRANSLATE(B133,""en"",""zh-CN""),)"),"不，我是一名厨师。")</f>
        <v>不，我是一名厨师。</v>
      </c>
    </row>
    <row r="134" spans="1:5" ht="18">
      <c r="A134" s="3" t="s">
        <v>694</v>
      </c>
      <c r="B134" s="4" t="str">
        <f ca="1">IFERROR(__xludf.DUMMYFUNCTION("IFERROR(GOOGLETRANSLATE(A134,""ko"",""en""),)"),"Are you American?")</f>
        <v>Are you American?</v>
      </c>
      <c r="C134" s="4" t="str">
        <f ca="1">IFERROR(__xludf.DUMMYFUNCTION("IFERROR(GOOGLETRANSLATE(B134,""en"",""ja""),)"),"あなたはアメリカ人ですか？")</f>
        <v>あなたはアメリカ人ですか？</v>
      </c>
      <c r="D134" s="4" t="str">
        <f ca="1">IFERROR(__xludf.DUMMYFUNCTION("IFERROR(GOOGLETRANSLATE(B134,""en"",""zh-TW""),)"),"你是美國人嗎？")</f>
        <v>你是美國人嗎？</v>
      </c>
      <c r="E134" s="4" t="str">
        <f ca="1">IFERROR(__xludf.DUMMYFUNCTION("IFERROR(GOOGLETRANSLATE(B134,""en"",""zh-CN""),)"),"你是美国人吗？")</f>
        <v>你是美国人吗？</v>
      </c>
    </row>
    <row r="135" spans="1:5" ht="18">
      <c r="A135" s="3" t="s">
        <v>701</v>
      </c>
      <c r="B135" s="4" t="s">
        <v>702</v>
      </c>
      <c r="C135" s="4" t="str">
        <f ca="1">IFERROR(__xludf.DUMMYFUNCTION("IFERROR(GOOGLETRANSLATE(B135,""en"",""ja""),)"),"いいえ、私は中国人です。")</f>
        <v>いいえ、私は中国人です。</v>
      </c>
      <c r="D135" s="4" t="str">
        <f ca="1">IFERROR(__xludf.DUMMYFUNCTION("IFERROR(GOOGLETRANSLATE(B135,""en"",""zh-TW""),)"),"不，我是中國人。")</f>
        <v>不，我是中國人。</v>
      </c>
      <c r="E135" s="4" t="str">
        <f ca="1">IFERROR(__xludf.DUMMYFUNCTION("IFERROR(GOOGLETRANSLATE(B135,""en"",""zh-CN""),)"),"不，我是中国人。")</f>
        <v>不，我是中国人。</v>
      </c>
    </row>
    <row r="136" spans="1:5" ht="18">
      <c r="A136" s="3" t="s">
        <v>709</v>
      </c>
      <c r="B136" s="4" t="str">
        <f ca="1">IFERROR(__xludf.DUMMYFUNCTION("IFERROR(GOOGLETRANSLATE(A136,""ko"",""en""),)"),"Are you a doctor?")</f>
        <v>Are you a doctor?</v>
      </c>
      <c r="C136" s="4" t="str">
        <f ca="1">IFERROR(__xludf.DUMMYFUNCTION("IFERROR(GOOGLETRANSLATE(B136,""en"",""ja""),)"),"あなたは医師ですか？")</f>
        <v>あなたは医師ですか？</v>
      </c>
      <c r="D136" s="4" t="str">
        <f ca="1">IFERROR(__xludf.DUMMYFUNCTION("IFERROR(GOOGLETRANSLATE(B136,""en"",""zh-TW""),)"),"您是醫生嗎？")</f>
        <v>您是醫生嗎？</v>
      </c>
      <c r="E136" s="4" t="str">
        <f ca="1">IFERROR(__xludf.DUMMYFUNCTION("IFERROR(GOOGLETRANSLATE(B136,""en"",""zh-CN""),)"),"您是医生吗？")</f>
        <v>您是医生吗？</v>
      </c>
    </row>
    <row r="137" spans="1:5" ht="18">
      <c r="A137" s="3" t="s">
        <v>715</v>
      </c>
      <c r="B137" s="4" t="str">
        <f ca="1">IFERROR(__xludf.DUMMYFUNCTION("IFERROR(GOOGLETRANSLATE(A137,""ko"",""en""),)"),"No, I'm an office worker.")</f>
        <v>No, I'm an office worker.</v>
      </c>
      <c r="C137" s="4" t="str">
        <f ca="1">IFERROR(__xludf.DUMMYFUNCTION("IFERROR(GOOGLETRANSLATE(B137,""en"",""ja""),)"),"いいえ、私は会社員です。")</f>
        <v>いいえ、私は会社員です。</v>
      </c>
      <c r="D137" s="4" t="str">
        <f ca="1">IFERROR(__xludf.DUMMYFUNCTION("IFERROR(GOOGLETRANSLATE(B137,""en"",""zh-TW""),)"),"不，我是上班族。")</f>
        <v>不，我是上班族。</v>
      </c>
      <c r="E137" s="4" t="str">
        <f ca="1">IFERROR(__xludf.DUMMYFUNCTION("IFERROR(GOOGLETRANSLATE(B137,""en"",""zh-CN""),)"),"不，我是一名上班族。")</f>
        <v>不，我是一名上班族。</v>
      </c>
    </row>
    <row r="138" spans="1:5" ht="18">
      <c r="A138" s="5" t="s">
        <v>722</v>
      </c>
      <c r="B138" s="4" t="str">
        <f ca="1">IFERROR(__xludf.DUMMYFUNCTION("IFERROR(GOOGLETRANSLATE(A138,""ko"",""en""),)"),"nationality")</f>
        <v>nationality</v>
      </c>
      <c r="C138" s="4" t="str">
        <f ca="1">IFERROR(__xludf.DUMMYFUNCTION("IFERROR(GOOGLETRANSLATE(B138,""en"",""ja""),)"),"国籍")</f>
        <v>国籍</v>
      </c>
      <c r="D138" s="4" t="str">
        <f ca="1">IFERROR(__xludf.DUMMYFUNCTION("IFERROR(GOOGLETRANSLATE(B138,""en"",""zh-TW""),)"),"國籍")</f>
        <v>國籍</v>
      </c>
      <c r="E138" s="4" t="str">
        <f ca="1">IFERROR(__xludf.DUMMYFUNCTION("IFERROR(GOOGLETRANSLATE(B138,""en"",""zh-CN""),)"),"国籍")</f>
        <v>国籍</v>
      </c>
    </row>
    <row r="139" spans="1:5" ht="18">
      <c r="A139" s="5" t="s">
        <v>727</v>
      </c>
      <c r="B139" s="4" t="str">
        <f ca="1">IFERROR(__xludf.DUMMYFUNCTION("IFERROR(GOOGLETRANSLATE(A139,""ko"",""en""),)"),"Listen to the following and try it.")</f>
        <v>Listen to the following and try it.</v>
      </c>
      <c r="C139" s="4" t="str">
        <f ca="1">IFERROR(__xludf.DUMMYFUNCTION("IFERROR(GOOGLETRANSLATE(B139,""en"",""ja""),)"),"以下の音声を聞いて、試してみてください。")</f>
        <v>以下の音声を聞いて、試してみてください。</v>
      </c>
      <c r="D139" s="4" t="str">
        <f ca="1">IFERROR(__xludf.DUMMYFUNCTION("IFERROR(GOOGLETRANSLATE(B139,""en"",""zh-TW""),)"),"請聽以下內容並嘗試。")</f>
        <v>請聽以下內容並嘗試。</v>
      </c>
      <c r="E139" s="4" t="str">
        <f ca="1">IFERROR(__xludf.DUMMYFUNCTION("IFERROR(GOOGLETRANSLATE(B139,""en"",""zh-CN""),)"),"请听以下内容并尝试一下。")</f>
        <v>请听以下内容并尝试一下。</v>
      </c>
    </row>
    <row r="140" spans="1:5" ht="18">
      <c r="A140" s="3" t="s">
        <v>735</v>
      </c>
      <c r="B140" s="4" t="str">
        <f ca="1">IFERROR(__xludf.DUMMYFUNCTION("IFERROR(GOOGLETRANSLATE(A140,""ko"",""en""),)"),"Yes, I'm a singer.")</f>
        <v>Yes, I'm a singer.</v>
      </c>
      <c r="C140" s="4" t="str">
        <f ca="1">IFERROR(__xludf.DUMMYFUNCTION("IFERROR(GOOGLETRANSLATE(B140,""en"",""ja""),)"),"はい、私は歌手です。")</f>
        <v>はい、私は歌手です。</v>
      </c>
      <c r="D140" s="4" t="str">
        <f ca="1">IFERROR(__xludf.DUMMYFUNCTION("IFERROR(GOOGLETRANSLATE(B140,""en"",""zh-TW""),)"),"是的，我是一名歌手。")</f>
        <v>是的，我是一名歌手。</v>
      </c>
      <c r="E140" s="4" t="str">
        <f ca="1">IFERROR(__xludf.DUMMYFUNCTION("IFERROR(GOOGLETRANSLATE(B140,""en"",""zh-CN""),)"),"是的，我是一名歌手。")</f>
        <v>是的，我是一名歌手。</v>
      </c>
    </row>
    <row r="141" spans="1:5" ht="18">
      <c r="A141" s="5" t="s">
        <v>740</v>
      </c>
      <c r="B141" s="4" t="str">
        <f ca="1">IFERROR(__xludf.DUMMYFUNCTION("IFERROR(GOOGLETRANSLATE(A141,""ko"",""en""),)"),"any")</f>
        <v>any</v>
      </c>
      <c r="C141" s="4" t="str">
        <f ca="1">IFERROR(__xludf.DUMMYFUNCTION("IFERROR(GOOGLETRANSLATE(B141,""en"",""ja""),)"),"どれでも")</f>
        <v>どれでも</v>
      </c>
      <c r="D141" s="4" t="str">
        <f ca="1">IFERROR(__xludf.DUMMYFUNCTION("IFERROR(GOOGLETRANSLATE(B141,""en"",""zh-TW""),)"),"任何")</f>
        <v>任何</v>
      </c>
      <c r="E141" s="4" t="str">
        <f ca="1">IFERROR(__xludf.DUMMYFUNCTION("IFERROR(GOOGLETRANSLATE(B141,""en"",""zh-CN""),)"),"任何")</f>
        <v>任何</v>
      </c>
    </row>
    <row r="142" spans="1:5" ht="18">
      <c r="A142" s="3" t="s">
        <v>746</v>
      </c>
      <c r="B142" s="4" t="str">
        <f ca="1">IFERROR(__xludf.DUMMYFUNCTION("IFERROR(GOOGLETRANSLATE(A142,""ko"",""en""),)"),"I am")</f>
        <v>I am</v>
      </c>
      <c r="C142" s="4" t="str">
        <f ca="1">IFERROR(__xludf.DUMMYFUNCTION("IFERROR(GOOGLETRANSLATE(B142,""en"",""ja""),)"),"私は")</f>
        <v>私は</v>
      </c>
      <c r="D142" s="4" t="str">
        <f ca="1">IFERROR(__xludf.DUMMYFUNCTION("IFERROR(GOOGLETRANSLATE(B142,""en"",""zh-TW""),)"),"我是")</f>
        <v>我是</v>
      </c>
      <c r="E142" s="4" t="str">
        <f ca="1">IFERROR(__xludf.DUMMYFUNCTION("IFERROR(GOOGLETRANSLATE(B142,""en"",""zh-CN""),)"),"我是")</f>
        <v>我是</v>
      </c>
    </row>
    <row r="143" spans="1:5" ht="18">
      <c r="A143" s="3" t="s">
        <v>751</v>
      </c>
      <c r="B143" s="4" t="str">
        <f ca="1">IFERROR(__xludf.DUMMYFUNCTION("IFERROR(GOOGLETRANSLATE(A143,""ko"",""en""),)"),"Are you a singer?")</f>
        <v>Are you a singer?</v>
      </c>
      <c r="C143" s="4" t="str">
        <f ca="1">IFERROR(__xludf.DUMMYFUNCTION("IFERROR(GOOGLETRANSLATE(B143,""en"",""ja""),)"),"あなたは歌手ですか？")</f>
        <v>あなたは歌手ですか？</v>
      </c>
      <c r="D143" s="4" t="str">
        <f ca="1">IFERROR(__xludf.DUMMYFUNCTION("IFERROR(GOOGLETRANSLATE(B143,""en"",""zh-TW""),)"),"你是歌手嗎？")</f>
        <v>你是歌手嗎？</v>
      </c>
      <c r="E143" s="4" t="str">
        <f ca="1">IFERROR(__xludf.DUMMYFUNCTION("IFERROR(GOOGLETRANSLATE(B143,""en"",""zh-CN""),)"),"你是歌手吗？")</f>
        <v>你是歌手吗？</v>
      </c>
    </row>
    <row r="144" spans="1:5" ht="18">
      <c r="A144" s="3" t="s">
        <v>735</v>
      </c>
      <c r="B144" s="4" t="str">
        <f ca="1">IFERROR(__xludf.DUMMYFUNCTION("IFERROR(GOOGLETRANSLATE(A144,""ko"",""en""),)"),"Yes, I'm a singer.")</f>
        <v>Yes, I'm a singer.</v>
      </c>
      <c r="C144" s="4" t="str">
        <f ca="1">IFERROR(__xludf.DUMMYFUNCTION("IFERROR(GOOGLETRANSLATE(B144,""en"",""ja""),)"),"はい、私は歌手です。")</f>
        <v>はい、私は歌手です。</v>
      </c>
      <c r="D144" s="4" t="str">
        <f ca="1">IFERROR(__xludf.DUMMYFUNCTION("IFERROR(GOOGLETRANSLATE(B144,""en"",""zh-TW""),)"),"是的，我是一名歌手。")</f>
        <v>是的，我是一名歌手。</v>
      </c>
      <c r="E144" s="4" t="str">
        <f ca="1">IFERROR(__xludf.DUMMYFUNCTION("IFERROR(GOOGLETRANSLATE(B144,""en"",""zh-CN""),)"),"是的，我是一名歌手。")</f>
        <v>是的，我是一名歌手。</v>
      </c>
    </row>
    <row r="145" spans="1:5" ht="18">
      <c r="A145" s="3" t="s">
        <v>758</v>
      </c>
      <c r="B145" s="4" t="str">
        <f ca="1">IFERROR(__xludf.DUMMYFUNCTION("IFERROR(GOOGLETRANSLATE(A145,""ko"",""en""),)"),"I'm your older sister.")</f>
        <v>I'm your older sister.</v>
      </c>
      <c r="C145" s="4" t="str">
        <f ca="1">IFERROR(__xludf.DUMMYFUNCTION("IFERROR(GOOGLETRANSLATE(B145,""en"",""ja""),)"),"私はあなたの姉です。")</f>
        <v>私はあなたの姉です。</v>
      </c>
      <c r="D145" s="4" t="str">
        <f ca="1">IFERROR(__xludf.DUMMYFUNCTION("IFERROR(GOOGLETRANSLATE(B145,""en"",""zh-TW""),)"),"我是你姐姐。")</f>
        <v>我是你姐姐。</v>
      </c>
      <c r="E145" s="4" t="str">
        <f ca="1">IFERROR(__xludf.DUMMYFUNCTION("IFERROR(GOOGLETRANSLATE(B145,""en"",""zh-CN""),)"),"我是你姐姐。")</f>
        <v>我是你姐姐。</v>
      </c>
    </row>
    <row r="146" spans="1:5" ht="18">
      <c r="A146" s="3" t="s">
        <v>762</v>
      </c>
      <c r="B146" s="4" t="str">
        <f ca="1">IFERROR(__xludf.DUMMYFUNCTION("IFERROR(GOOGLETRANSLATE(A146,""ko"",""en""),)"),"younger sibling")</f>
        <v>younger sibling</v>
      </c>
      <c r="C146" s="4" t="str">
        <f ca="1">IFERROR(__xludf.DUMMYFUNCTION("IFERROR(GOOGLETRANSLATE(B146,""en"",""ja""),)"),"弟")</f>
        <v>弟</v>
      </c>
      <c r="D146" s="4" t="str">
        <f ca="1">IFERROR(__xludf.DUMMYFUNCTION("IFERROR(GOOGLETRANSLATE(B146,""en"",""zh-TW""),)"),"弟弟妹妹")</f>
        <v>弟弟妹妹</v>
      </c>
      <c r="E146" s="4" t="str">
        <f ca="1">IFERROR(__xludf.DUMMYFUNCTION("IFERROR(GOOGLETRANSLATE(B146,""en"",""zh-CN""),)"),"弟弟妹妹")</f>
        <v>弟弟妹妹</v>
      </c>
    </row>
    <row r="147" spans="1:5" ht="18">
      <c r="A147" s="3" t="s">
        <v>770</v>
      </c>
      <c r="B147" s="4" t="str">
        <f ca="1">IFERROR(__xludf.DUMMYFUNCTION("IFERROR(GOOGLETRANSLATE(A147,""ko"",""en""),)"),"younger sister")</f>
        <v>younger sister</v>
      </c>
      <c r="C147" s="4" t="str">
        <f ca="1">IFERROR(__xludf.DUMMYFUNCTION("IFERROR(GOOGLETRANSLATE(B147,""en"",""ja""),)"),"妹")</f>
        <v>妹</v>
      </c>
      <c r="D147" s="4" t="str">
        <f ca="1">IFERROR(__xludf.DUMMYFUNCTION("IFERROR(GOOGLETRANSLATE(B147,""en"",""zh-TW""),)"),"妹妹")</f>
        <v>妹妹</v>
      </c>
      <c r="E147" s="4" t="str">
        <f ca="1">IFERROR(__xludf.DUMMYFUNCTION("IFERROR(GOOGLETRANSLATE(B147,""en"",""zh-CN""),)"),"妹妹")</f>
        <v>妹妹</v>
      </c>
    </row>
    <row r="148" spans="1:5" ht="18">
      <c r="A148" s="3" t="s">
        <v>777</v>
      </c>
      <c r="B148" s="4" t="str">
        <f ca="1">IFERROR(__xludf.DUMMYFUNCTION("IFERROR(GOOGLETRANSLATE(A148,""ko"",""en""),)"),"Is it a Hanbok?")</f>
        <v>Is it a Hanbok?</v>
      </c>
      <c r="C148" s="4" t="str">
        <f ca="1">IFERROR(__xludf.DUMMYFUNCTION("IFERROR(GOOGLETRANSLATE(B148,""en"",""ja""),)"),"それは韓服ですか？")</f>
        <v>それは韓服ですか？</v>
      </c>
      <c r="D148" s="4" t="str">
        <f ca="1">IFERROR(__xludf.DUMMYFUNCTION("IFERROR(GOOGLETRANSLATE(B148,""en"",""zh-TW""),)"),"這是韓服嗎？")</f>
        <v>這是韓服嗎？</v>
      </c>
      <c r="E148" s="4" t="str">
        <f ca="1">IFERROR(__xludf.DUMMYFUNCTION("IFERROR(GOOGLETRANSLATE(B148,""en"",""zh-CN""),)"),"这是韩服吗？")</f>
        <v>这是韩服吗？</v>
      </c>
    </row>
    <row r="149" spans="1:5" ht="18">
      <c r="A149" s="3" t="s">
        <v>780</v>
      </c>
      <c r="B149" s="4" t="str">
        <f ca="1">IFERROR(__xludf.DUMMYFUNCTION("IFERROR(GOOGLETRANSLATE(A149,""ko"",""en""),)"),"It's water.")</f>
        <v>It's water.</v>
      </c>
      <c r="C149" s="4" t="str">
        <f ca="1">IFERROR(__xludf.DUMMYFUNCTION("IFERROR(GOOGLETRANSLATE(B149,""en"",""ja""),)"),"それは水です。")</f>
        <v>それは水です。</v>
      </c>
      <c r="D149" s="4" t="str">
        <f ca="1">IFERROR(__xludf.DUMMYFUNCTION("IFERROR(GOOGLETRANSLATE(B149,""en"",""zh-TW""),)"),"那是水。")</f>
        <v>那是水。</v>
      </c>
      <c r="E149" s="4" t="str">
        <f ca="1">IFERROR(__xludf.DUMMYFUNCTION("IFERROR(GOOGLETRANSLATE(B149,""en"",""zh-CN""),)"),"那是水。")</f>
        <v>那是水。</v>
      </c>
    </row>
    <row r="150" spans="1:5" ht="18">
      <c r="A150" s="3" t="s">
        <v>785</v>
      </c>
      <c r="B150" s="4" t="str">
        <f ca="1">IFERROR(__xludf.DUMMYFUNCTION("IFERROR(GOOGLETRANSLATE(A150,""ko"",""en""),)"),"It's a desk.")</f>
        <v>It's a desk.</v>
      </c>
      <c r="C150" s="4" t="str">
        <f ca="1">IFERROR(__xludf.DUMMYFUNCTION("IFERROR(GOOGLETRANSLATE(B150,""en"",""ja""),)"),"これは机です。")</f>
        <v>これは机です。</v>
      </c>
      <c r="D150" s="4" t="str">
        <f ca="1">IFERROR(__xludf.DUMMYFUNCTION("IFERROR(GOOGLETRANSLATE(B150,""en"",""zh-TW""),)"),"這是一張桌子。")</f>
        <v>這是一張桌子。</v>
      </c>
      <c r="E150" s="4" t="str">
        <f ca="1">IFERROR(__xludf.DUMMYFUNCTION("IFERROR(GOOGLETRANSLATE(B150,""en"",""zh-CN""),)"),"这是一张桌子。")</f>
        <v>这是一张桌子。</v>
      </c>
    </row>
    <row r="151" spans="1:5" ht="18">
      <c r="A151" s="3" t="s">
        <v>788</v>
      </c>
      <c r="B151" s="4" t="str">
        <f ca="1">IFERROR(__xludf.DUMMYFUNCTION("IFERROR(GOOGLETRANSLATE(A151,""ko"",""en""),)"),"I am a teacher.")</f>
        <v>I am a teacher.</v>
      </c>
      <c r="C151" s="4" t="str">
        <f ca="1">IFERROR(__xludf.DUMMYFUNCTION("IFERROR(GOOGLETRANSLATE(B151,""en"",""ja""),)"),"私は教師です。")</f>
        <v>私は教師です。</v>
      </c>
      <c r="D151" s="4" t="str">
        <f ca="1">IFERROR(__xludf.DUMMYFUNCTION("IFERROR(GOOGLETRANSLATE(B151,""en"",""zh-TW""),)"),"我是老師。")</f>
        <v>我是老師。</v>
      </c>
      <c r="E151" s="4" t="str">
        <f ca="1">IFERROR(__xludf.DUMMYFUNCTION("IFERROR(GOOGLETRANSLATE(B151,""en"",""zh-CN""),)"),"我是老师。")</f>
        <v>我是老师。</v>
      </c>
    </row>
    <row r="152" spans="1:5" ht="18">
      <c r="A152" s="3" t="s">
        <v>793</v>
      </c>
      <c r="B152" s="4" t="str">
        <f ca="1">IFERROR(__xludf.DUMMYFUNCTION("IFERROR(GOOGLETRANSLATE(A152,""ko"",""en""),)"),"I am an office worker.")</f>
        <v>I am an office worker.</v>
      </c>
      <c r="C152" s="4" t="str">
        <f ca="1">IFERROR(__xludf.DUMMYFUNCTION("IFERROR(GOOGLETRANSLATE(B152,""en"",""ja""),)"),"私は会社員です。")</f>
        <v>私は会社員です。</v>
      </c>
      <c r="D152" s="4" t="str">
        <f ca="1">IFERROR(__xludf.DUMMYFUNCTION("IFERROR(GOOGLETRANSLATE(B152,""en"",""zh-TW""),)"),"我是一名辦公室職員。")</f>
        <v>我是一名辦公室職員。</v>
      </c>
      <c r="E152" s="4" t="str">
        <f ca="1">IFERROR(__xludf.DUMMYFUNCTION("IFERROR(GOOGLETRANSLATE(B152,""en"",""zh-CN""),)"),"我是一名办公室职员。")</f>
        <v>我是一名办公室职员。</v>
      </c>
    </row>
    <row r="153" spans="1:5" ht="18">
      <c r="A153" s="3" t="s">
        <v>796</v>
      </c>
      <c r="B153" s="4" t="s">
        <v>797</v>
      </c>
      <c r="C153" s="4" t="str">
        <f ca="1">IFERROR(__xludf.DUMMYFUNCTION("IFERROR(GOOGLETRANSLATE(B153,""en"",""ja""),)"),"それはリンゴです")</f>
        <v>それはリンゴです</v>
      </c>
      <c r="D153" s="4" t="str">
        <f ca="1">IFERROR(__xludf.DUMMYFUNCTION("IFERROR(GOOGLETRANSLATE(B153,""en"",""zh-TW""),)"),"這是蘋果")</f>
        <v>這是蘋果</v>
      </c>
      <c r="E153" s="4" t="str">
        <f ca="1">IFERROR(__xludf.DUMMYFUNCTION("IFERROR(GOOGLETRANSLATE(B153,""en"",""zh-CN""),)"),"这是个苹果")</f>
        <v>这是个苹果</v>
      </c>
    </row>
    <row r="154" spans="1:5" ht="18">
      <c r="A154" s="3" t="s">
        <v>800</v>
      </c>
      <c r="B154" s="4" t="str">
        <f ca="1">IFERROR(__xludf.DUMMYFUNCTION("IFERROR(GOOGLETRANSLATE(A154,""ko"",""en""),)"),"It's a chair.")</f>
        <v>It's a chair.</v>
      </c>
      <c r="C154" s="4" t="str">
        <f ca="1">IFERROR(__xludf.DUMMYFUNCTION("IFERROR(GOOGLETRANSLATE(B154,""en"",""ja""),)"),"それは椅子です。")</f>
        <v>それは椅子です。</v>
      </c>
      <c r="D154" s="4" t="str">
        <f ca="1">IFERROR(__xludf.DUMMYFUNCTION("IFERROR(GOOGLETRANSLATE(B154,""en"",""zh-TW""),)"),"這是一張椅子。")</f>
        <v>這是一張椅子。</v>
      </c>
      <c r="E154" s="4" t="str">
        <f ca="1">IFERROR(__xludf.DUMMYFUNCTION("IFERROR(GOOGLETRANSLATE(B154,""en"",""zh-CN""),)"),"这是一把椅子。")</f>
        <v>这是一把椅子。</v>
      </c>
    </row>
    <row r="155" spans="1:5" ht="18">
      <c r="A155" s="3" t="s">
        <v>804</v>
      </c>
      <c r="B155" s="4" t="str">
        <f ca="1">IFERROR(__xludf.DUMMYFUNCTION("IFERROR(GOOGLETRANSLATE(A155,""ko"",""en""),)"),"It's Anna.")</f>
        <v>It's Anna.</v>
      </c>
      <c r="C155" s="4" t="str">
        <f ca="1">IFERROR(__xludf.DUMMYFUNCTION("IFERROR(GOOGLETRANSLATE(B155,""en"",""ja""),)"),"アンナです。")</f>
        <v>アンナです。</v>
      </c>
      <c r="D155" s="4" t="str">
        <f ca="1">IFERROR(__xludf.DUMMYFUNCTION("IFERROR(GOOGLETRANSLATE(B155,""en"",""zh-TW""),)"),"是安娜。")</f>
        <v>是安娜。</v>
      </c>
      <c r="E155" s="4" t="str">
        <f ca="1">IFERROR(__xludf.DUMMYFUNCTION("IFERROR(GOOGLETRANSLATE(B155,""en"",""zh-CN""),)"),"是安娜。")</f>
        <v>是安娜。</v>
      </c>
    </row>
    <row r="156" spans="1:5" ht="18">
      <c r="A156" s="3" t="s">
        <v>594</v>
      </c>
      <c r="B156" s="4" t="str">
        <f ca="1">IFERROR(__xludf.DUMMYFUNCTION("IFERROR(GOOGLETRANSLATE(A156,""ko"",""en""),)"),"what's your name?")</f>
        <v>what's your name?</v>
      </c>
      <c r="C156" s="4" t="str">
        <f ca="1">IFERROR(__xludf.DUMMYFUNCTION("IFERROR(GOOGLETRANSLATE(B156,""en"",""ja""),)"),"あなたの名前は何ですか？")</f>
        <v>あなたの名前は何ですか？</v>
      </c>
      <c r="D156" s="4" t="str">
        <f ca="1">IFERROR(__xludf.DUMMYFUNCTION("IFERROR(GOOGLETRANSLATE(B156,""en"",""zh-TW""),)"),"你叫什麼名字？")</f>
        <v>你叫什麼名字？</v>
      </c>
      <c r="E156" s="4" t="str">
        <f ca="1">IFERROR(__xludf.DUMMYFUNCTION("IFERROR(GOOGLETRANSLATE(B156,""en"",""zh-CN""),)"),"你叫什么名字？")</f>
        <v>你叫什么名字？</v>
      </c>
    </row>
    <row r="157" spans="1:5" ht="18">
      <c r="A157" s="3" t="s">
        <v>810</v>
      </c>
      <c r="B157" s="4" t="str">
        <f ca="1">IFERROR(__xludf.DUMMYFUNCTION("IFERROR(GOOGLETRANSLATE(A157,""ko"",""en""),)"),"It's bread.")</f>
        <v>It's bread.</v>
      </c>
      <c r="C157" s="4" t="str">
        <f ca="1">IFERROR(__xludf.DUMMYFUNCTION("IFERROR(GOOGLETRANSLATE(B157,""en"",""ja""),)"),"それはパンです。")</f>
        <v>それはパンです。</v>
      </c>
      <c r="D157" s="4" t="str">
        <f ca="1">IFERROR(__xludf.DUMMYFUNCTION("IFERROR(GOOGLETRANSLATE(B157,""en"",""zh-TW""),)"),"是麵包。")</f>
        <v>是麵包。</v>
      </c>
      <c r="E157" s="4" t="str">
        <f ca="1">IFERROR(__xludf.DUMMYFUNCTION("IFERROR(GOOGLETRANSLATE(B157,""en"",""zh-CN""),)"),"是面包。")</f>
        <v>是面包。</v>
      </c>
    </row>
    <row r="158" spans="1:5" ht="18">
      <c r="A158" s="3" t="s">
        <v>813</v>
      </c>
      <c r="B158" s="4" t="str">
        <f ca="1">IFERROR(__xludf.DUMMYFUNCTION("IFERROR(GOOGLETRANSLATE(A158,""ko"",""en""),)"),"It's a book.")</f>
        <v>It's a book.</v>
      </c>
      <c r="C158" s="4" t="str">
        <f ca="1">IFERROR(__xludf.DUMMYFUNCTION("IFERROR(GOOGLETRANSLATE(B158,""en"",""ja""),)"),"それは本です。")</f>
        <v>それは本です。</v>
      </c>
      <c r="D158" s="4" t="str">
        <f ca="1">IFERROR(__xludf.DUMMYFUNCTION("IFERROR(GOOGLETRANSLATE(B158,""en"",""zh-TW""),)"),"這是一本書。")</f>
        <v>這是一本書。</v>
      </c>
      <c r="E158" s="4" t="str">
        <f ca="1">IFERROR(__xludf.DUMMYFUNCTION("IFERROR(GOOGLETRANSLATE(B158,""en"",""zh-CN""),)"),"这是一本书。")</f>
        <v>这是一本书。</v>
      </c>
    </row>
    <row r="159" spans="1:5" ht="18">
      <c r="A159" s="3" t="s">
        <v>816</v>
      </c>
      <c r="B159" s="4" t="str">
        <f ca="1">IFERROR(__xludf.DUMMYFUNCTION("IFERROR(GOOGLETRANSLATE(A159,""ko"",""en""),)"),"It's a tree.")</f>
        <v>It's a tree.</v>
      </c>
      <c r="C159" s="4" t="str">
        <f ca="1">IFERROR(__xludf.DUMMYFUNCTION("IFERROR(GOOGLETRANSLATE(B159,""en"",""ja""),)"),"それは木です。")</f>
        <v>それは木です。</v>
      </c>
      <c r="D159" s="4" t="str">
        <f ca="1">IFERROR(__xludf.DUMMYFUNCTION("IFERROR(GOOGLETRANSLATE(B159,""en"",""zh-TW""),)"),"這是一棵樹。")</f>
        <v>這是一棵樹。</v>
      </c>
      <c r="E159" s="4" t="str">
        <f ca="1">IFERROR(__xludf.DUMMYFUNCTION("IFERROR(GOOGLETRANSLATE(B159,""en"",""zh-CN""),)"),"这是一棵树。")</f>
        <v>这是一棵树。</v>
      </c>
    </row>
    <row r="160" spans="1:5" ht="18">
      <c r="A160" s="3" t="s">
        <v>820</v>
      </c>
      <c r="B160" s="4" t="str">
        <f ca="1">IFERROR(__xludf.DUMMYFUNCTION("IFERROR(GOOGLETRANSLATE(A160,""ko"",""en""),)"),"It's a grape.")</f>
        <v>It's a grape.</v>
      </c>
      <c r="C160" s="4" t="str">
        <f ca="1">IFERROR(__xludf.DUMMYFUNCTION("IFERROR(GOOGLETRANSLATE(B160,""en"",""ja""),)"),"それはブドウです。")</f>
        <v>それはブドウです。</v>
      </c>
      <c r="D160" s="4" t="str">
        <f ca="1">IFERROR(__xludf.DUMMYFUNCTION("IFERROR(GOOGLETRANSLATE(B160,""en"",""zh-TW""),)"),"這是一顆葡萄。")</f>
        <v>這是一顆葡萄。</v>
      </c>
      <c r="E160" s="4" t="str">
        <f ca="1">IFERROR(__xludf.DUMMYFUNCTION("IFERROR(GOOGLETRANSLATE(B160,""en"",""zh-CN""),)"),"这是一颗葡萄。")</f>
        <v>这是一颗葡萄。</v>
      </c>
    </row>
    <row r="161" spans="1:5" ht="18">
      <c r="A161" s="3" t="s">
        <v>824</v>
      </c>
      <c r="B161" s="4" t="str">
        <f ca="1">IFERROR(__xludf.DUMMYFUNCTION("IFERROR(GOOGLETRANSLATE(A161,""ko"",""en""),)"),"It's a shoe.")</f>
        <v>It's a shoe.</v>
      </c>
      <c r="C161" s="4" t="str">
        <f ca="1">IFERROR(__xludf.DUMMYFUNCTION("IFERROR(GOOGLETRANSLATE(B161,""en"",""ja""),)"),"それは靴です。")</f>
        <v>それは靴です。</v>
      </c>
      <c r="D161" s="4" t="str">
        <f ca="1">IFERROR(__xludf.DUMMYFUNCTION("IFERROR(GOOGLETRANSLATE(B161,""en"",""zh-TW""),)"),"這是一雙鞋。")</f>
        <v>這是一雙鞋。</v>
      </c>
      <c r="E161" s="4" t="str">
        <f ca="1">IFERROR(__xludf.DUMMYFUNCTION("IFERROR(GOOGLETRANSLATE(B161,""en"",""zh-CN""),)"),"这是一双鞋。")</f>
        <v>这是一双鞋。</v>
      </c>
    </row>
    <row r="162" spans="1:5" ht="18">
      <c r="A162" s="3" t="s">
        <v>785</v>
      </c>
      <c r="B162" s="4" t="str">
        <f ca="1">IFERROR(__xludf.DUMMYFUNCTION("IFERROR(GOOGLETRANSLATE(A162,""ko"",""en""),)"),"It's a desk.")</f>
        <v>It's a desk.</v>
      </c>
      <c r="C162" s="4" t="str">
        <f ca="1">IFERROR(__xludf.DUMMYFUNCTION("IFERROR(GOOGLETRANSLATE(B162,""en"",""ja""),)"),"これは机です。")</f>
        <v>これは机です。</v>
      </c>
      <c r="D162" s="4" t="str">
        <f ca="1">IFERROR(__xludf.DUMMYFUNCTION("IFERROR(GOOGLETRANSLATE(B162,""en"",""zh-TW""),)"),"這是一張桌子。")</f>
        <v>這是一張桌子。</v>
      </c>
      <c r="E162" s="4" t="str">
        <f ca="1">IFERROR(__xludf.DUMMYFUNCTION("IFERROR(GOOGLETRANSLATE(B162,""en"",""zh-CN""),)"),"这是一张桌子。")</f>
        <v>这是一张桌子。</v>
      </c>
    </row>
    <row r="163" spans="1:5" ht="18">
      <c r="A163" s="3" t="s">
        <v>829</v>
      </c>
      <c r="B163" s="4" t="str">
        <f ca="1">IFERROR(__xludf.DUMMYFUNCTION("IFERROR(GOOGLETRANSLATE(A163,""ko"",""en""),)"),"It's a snack.")</f>
        <v>It's a snack.</v>
      </c>
      <c r="C163" s="4" t="str">
        <f ca="1">IFERROR(__xludf.DUMMYFUNCTION("IFERROR(GOOGLETRANSLATE(B163,""en"",""ja""),)"),"これはおやつです。")</f>
        <v>これはおやつです。</v>
      </c>
      <c r="D163" s="4" t="str">
        <f ca="1">IFERROR(__xludf.DUMMYFUNCTION("IFERROR(GOOGLETRANSLATE(B163,""en"",""zh-TW""),)"),"這是一種零食。")</f>
        <v>這是一種零食。</v>
      </c>
      <c r="E163" s="4" t="str">
        <f ca="1">IFERROR(__xludf.DUMMYFUNCTION("IFERROR(GOOGLETRANSLATE(B163,""en"",""zh-CN""),)"),"这是一种零食。")</f>
        <v>这是一种零食。</v>
      </c>
    </row>
    <row r="164" spans="1:5" ht="18">
      <c r="A164" s="3" t="s">
        <v>833</v>
      </c>
      <c r="B164" s="4" t="str">
        <f ca="1">IFERROR(__xludf.DUMMYFUNCTION("IFERROR(GOOGLETRANSLATE(A164,""ko"",""en""),)"),"It's milk.")</f>
        <v>It's milk.</v>
      </c>
      <c r="C164" s="4" t="str">
        <f ca="1">IFERROR(__xludf.DUMMYFUNCTION("IFERROR(GOOGLETRANSLATE(B164,""en"",""ja""),)"),"それは牛乳です。")</f>
        <v>それは牛乳です。</v>
      </c>
      <c r="D164" s="4" t="str">
        <f ca="1">IFERROR(__xludf.DUMMYFUNCTION("IFERROR(GOOGLETRANSLATE(B164,""en"",""zh-TW""),)"),"那是牛奶。")</f>
        <v>那是牛奶。</v>
      </c>
      <c r="E164" s="4" t="str">
        <f ca="1">IFERROR(__xludf.DUMMYFUNCTION("IFERROR(GOOGLETRANSLATE(B164,""en"",""zh-CN""),)"),"那是牛奶。")</f>
        <v>那是牛奶。</v>
      </c>
    </row>
    <row r="165" spans="1:5" ht="18">
      <c r="A165" s="3" t="s">
        <v>838</v>
      </c>
      <c r="B165" s="4" t="str">
        <f ca="1">IFERROR(__xludf.DUMMYFUNCTION("IFERROR(GOOGLETRANSLATE(A165,""ko"",""en""),)"),"It's a notebook.")</f>
        <v>It's a notebook.</v>
      </c>
      <c r="C165" s="4" t="str">
        <f ca="1">IFERROR(__xludf.DUMMYFUNCTION("IFERROR(GOOGLETRANSLATE(B165,""en"",""ja""),)"),"これはノートです。")</f>
        <v>これはノートです。</v>
      </c>
      <c r="D165" s="4" t="str">
        <f ca="1">IFERROR(__xludf.DUMMYFUNCTION("IFERROR(GOOGLETRANSLATE(B165,""en"",""zh-TW""),)"),"這是一本筆記本。")</f>
        <v>這是一本筆記本。</v>
      </c>
      <c r="E165" s="4" t="str">
        <f ca="1">IFERROR(__xludf.DUMMYFUNCTION("IFERROR(GOOGLETRANSLATE(B165,""en"",""zh-CN""),)"),"这是一本笔记本。")</f>
        <v>这是一本笔记本。</v>
      </c>
    </row>
    <row r="166" spans="1:5" ht="18">
      <c r="A166" s="3" t="s">
        <v>843</v>
      </c>
      <c r="B166" s="4" t="str">
        <f ca="1">IFERROR(__xludf.DUMMYFUNCTION("IFERROR(GOOGLETRANSLATE(A166,""ko"",""en""),)"),"It's a car.")</f>
        <v>It's a car.</v>
      </c>
      <c r="C166" s="4" t="str">
        <f ca="1">IFERROR(__xludf.DUMMYFUNCTION("IFERROR(GOOGLETRANSLATE(B166,""en"",""ja""),)"),"それは車です。")</f>
        <v>それは車です。</v>
      </c>
      <c r="D166" s="4" t="str">
        <f ca="1">IFERROR(__xludf.DUMMYFUNCTION("IFERROR(GOOGLETRANSLATE(B166,""en"",""zh-TW""),)"),"這是一輛車。")</f>
        <v>這是一輛車。</v>
      </c>
      <c r="E166" s="4" t="str">
        <f ca="1">IFERROR(__xludf.DUMMYFUNCTION("IFERROR(GOOGLETRANSLATE(B166,""en"",""zh-CN""),)"),"这是一辆车。")</f>
        <v>这是一辆车。</v>
      </c>
    </row>
    <row r="167" spans="1:5" ht="18">
      <c r="A167" s="3" t="s">
        <v>846</v>
      </c>
      <c r="B167" s="4" t="str">
        <f ca="1">IFERROR(__xludf.DUMMYFUNCTION("IFERROR(GOOGLETRANSLATE(A167,""ko"",""en""),)"),"It's a bag.")</f>
        <v>It's a bag.</v>
      </c>
      <c r="C167" s="4" t="str">
        <f ca="1">IFERROR(__xludf.DUMMYFUNCTION("IFERROR(GOOGLETRANSLATE(B167,""en"",""ja""),)"),"それはバッグです。")</f>
        <v>それはバッグです。</v>
      </c>
      <c r="D167" s="4" t="str">
        <f ca="1">IFERROR(__xludf.DUMMYFUNCTION("IFERROR(GOOGLETRANSLATE(B167,""en"",""zh-TW""),)"),"這是一個包。")</f>
        <v>這是一個包。</v>
      </c>
      <c r="E167" s="4" t="str">
        <f ca="1">IFERROR(__xludf.DUMMYFUNCTION("IFERROR(GOOGLETRANSLATE(B167,""en"",""zh-CN""),)"),"这是一个包。")</f>
        <v>这是一个包。</v>
      </c>
    </row>
    <row r="168" spans="1:5" ht="18">
      <c r="A168" s="3" t="s">
        <v>788</v>
      </c>
      <c r="B168" s="4" t="str">
        <f ca="1">IFERROR(__xludf.DUMMYFUNCTION("IFERROR(GOOGLETRANSLATE(A168,""ko"",""en""),)"),"I am a teacher.")</f>
        <v>I am a teacher.</v>
      </c>
      <c r="C168" s="4" t="str">
        <f ca="1">IFERROR(__xludf.DUMMYFUNCTION("IFERROR(GOOGLETRANSLATE(B168,""en"",""ja""),)"),"私は教師です。")</f>
        <v>私は教師です。</v>
      </c>
      <c r="D168" s="4" t="str">
        <f ca="1">IFERROR(__xludf.DUMMYFUNCTION("IFERROR(GOOGLETRANSLATE(B168,""en"",""zh-TW""),)"),"我是老師。")</f>
        <v>我是老師。</v>
      </c>
      <c r="E168" s="4" t="str">
        <f ca="1">IFERROR(__xludf.DUMMYFUNCTION("IFERROR(GOOGLETRANSLATE(B168,""en"",""zh-CN""),)"),"我是老师。")</f>
        <v>我是老师。</v>
      </c>
    </row>
    <row r="169" spans="1:5" ht="18">
      <c r="A169" s="3" t="s">
        <v>853</v>
      </c>
      <c r="B169" s="4" t="s">
        <v>854</v>
      </c>
      <c r="C169" s="4" t="str">
        <f ca="1">IFERROR(__xludf.DUMMYFUNCTION("IFERROR(GOOGLETRANSLATE(B169,""en"",""ja""),)"),"彼は私の友達です")</f>
        <v>彼は私の友達です</v>
      </c>
      <c r="D169" s="4" t="str">
        <f ca="1">IFERROR(__xludf.DUMMYFUNCTION("IFERROR(GOOGLETRANSLATE(B169,""en"",""zh-TW""),)"),"他是我的朋友")</f>
        <v>他是我的朋友</v>
      </c>
      <c r="E169" s="4" t="str">
        <f ca="1">IFERROR(__xludf.DUMMYFUNCTION("IFERROR(GOOGLETRANSLATE(B169,""en"",""zh-CN""),)"),"他是我的朋友")</f>
        <v>他是我的朋友</v>
      </c>
    </row>
    <row r="170" spans="1:5" ht="18">
      <c r="A170" s="3" t="s">
        <v>857</v>
      </c>
      <c r="B170" s="4" t="str">
        <f ca="1">IFERROR(__xludf.DUMMYFUNCTION("IFERROR(GOOGLETRANSLATE(A170,""ko"",""en""),)"),"It's a hat.")</f>
        <v>It's a hat.</v>
      </c>
      <c r="C170" s="4" t="str">
        <f ca="1">IFERROR(__xludf.DUMMYFUNCTION("IFERROR(GOOGLETRANSLATE(B170,""en"",""ja""),)"),"それは帽子です。")</f>
        <v>それは帽子です。</v>
      </c>
      <c r="D170" s="4" t="str">
        <f ca="1">IFERROR(__xludf.DUMMYFUNCTION("IFERROR(GOOGLETRANSLATE(B170,""en"",""zh-TW""),)"),"這是一頂帽子。")</f>
        <v>這是一頂帽子。</v>
      </c>
      <c r="E170" s="4" t="str">
        <f ca="1">IFERROR(__xludf.DUMMYFUNCTION("IFERROR(GOOGLETRANSLATE(B170,""en"",""zh-CN""),)"),"这是一顶帽子。")</f>
        <v>这是一顶帽子。</v>
      </c>
    </row>
    <row r="171" spans="1:5" ht="18">
      <c r="A171" s="3" t="s">
        <v>860</v>
      </c>
      <c r="B171" s="4" t="s">
        <v>862</v>
      </c>
      <c r="C171" s="4" t="str">
        <f ca="1">IFERROR(__xludf.DUMMYFUNCTION("IFERROR(GOOGLETRANSLATE(B171,""en"",""ja""),)"),"私は韓国人です")</f>
        <v>私は韓国人です</v>
      </c>
      <c r="D171" s="4" t="str">
        <f ca="1">IFERROR(__xludf.DUMMYFUNCTION("IFERROR(GOOGLETRANSLATE(B171,""en"",""zh-TW""),)"),"我是韓國人")</f>
        <v>我是韓國人</v>
      </c>
      <c r="E171" s="4" t="str">
        <f ca="1">IFERROR(__xludf.DUMMYFUNCTION("IFERROR(GOOGLETRANSLATE(B171,""en"",""zh-CN""),)"),"我是韩国人")</f>
        <v>我是韩国人</v>
      </c>
    </row>
    <row r="172" spans="1:5" ht="18">
      <c r="A172" s="3" t="s">
        <v>866</v>
      </c>
      <c r="B172" s="4" t="str">
        <f ca="1">IFERROR(__xludf.DUMMYFUNCTION("IFERROR(GOOGLETRANSLATE(A172,""ko"",""en""),)"),"I")</f>
        <v>I</v>
      </c>
      <c r="C172" s="4" t="str">
        <f ca="1">IFERROR(__xludf.DUMMYFUNCTION("IFERROR(GOOGLETRANSLATE(B172,""en"",""ja""),)"),"私")</f>
        <v>私</v>
      </c>
      <c r="D172" s="4" t="str">
        <f ca="1">IFERROR(__xludf.DUMMYFUNCTION("IFERROR(GOOGLETRANSLATE(B172,""en"",""zh-TW""),)"),"我")</f>
        <v>我</v>
      </c>
      <c r="E172" s="4" t="str">
        <f ca="1">IFERROR(__xludf.DUMMYFUNCTION("IFERROR(GOOGLETRANSLATE(B172,""en"",""zh-CN""),)"),"我")</f>
        <v>我</v>
      </c>
    </row>
    <row r="173" spans="1:5" ht="18">
      <c r="A173" s="3" t="s">
        <v>872</v>
      </c>
      <c r="B173" s="4" t="str">
        <f ca="1">IFERROR(__xludf.DUMMYFUNCTION("IFERROR(GOOGLETRANSLATE(A173,""ko"",""en""),)"),"my")</f>
        <v>my</v>
      </c>
      <c r="C173" s="4" t="str">
        <f ca="1">IFERROR(__xludf.DUMMYFUNCTION("IFERROR(GOOGLETRANSLATE(B173,""en"",""ja""),)"),"私の")</f>
        <v>私の</v>
      </c>
      <c r="D173" s="4" t="str">
        <f ca="1">IFERROR(__xludf.DUMMYFUNCTION("IFERROR(GOOGLETRANSLATE(B173,""en"",""zh-TW""),)"),"我的")</f>
        <v>我的</v>
      </c>
      <c r="E173" s="4" t="str">
        <f ca="1">IFERROR(__xludf.DUMMYFUNCTION("IFERROR(GOOGLETRANSLATE(B173,""en"",""zh-CN""),)"),"我的")</f>
        <v>我的</v>
      </c>
    </row>
    <row r="174" spans="1:5" ht="18">
      <c r="A174" s="3" t="s">
        <v>875</v>
      </c>
      <c r="B174" s="4" t="str">
        <f ca="1">IFERROR(__xludf.DUMMYFUNCTION("IFERROR(GOOGLETRANSLATE(A174,""ko"",""en""),)"),"I'm Ellie.")</f>
        <v>I'm Ellie.</v>
      </c>
      <c r="C174" s="4" t="str">
        <f ca="1">IFERROR(__xludf.DUMMYFUNCTION("IFERROR(GOOGLETRANSLATE(B174,""en"",""ja""),)"),"私はエリーです。")</f>
        <v>私はエリーです。</v>
      </c>
      <c r="D174" s="4" t="str">
        <f ca="1">IFERROR(__xludf.DUMMYFUNCTION("IFERROR(GOOGLETRANSLATE(B174,""en"",""zh-TW""),)"),"我是艾莉。")</f>
        <v>我是艾莉。</v>
      </c>
      <c r="E174" s="4" t="str">
        <f ca="1">IFERROR(__xludf.DUMMYFUNCTION("IFERROR(GOOGLETRANSLATE(B174,""en"",""zh-CN""),)"),"我是艾莉。")</f>
        <v>我是艾莉。</v>
      </c>
    </row>
    <row r="175" spans="1:5" ht="18">
      <c r="A175" s="3" t="s">
        <v>879</v>
      </c>
      <c r="B175" s="4" t="str">
        <f ca="1">IFERROR(__xludf.DUMMYFUNCTION("IFERROR(GOOGLETRANSLATE(A175,""ko"",""en""),)"),"My name is Ellie.")</f>
        <v>My name is Ellie.</v>
      </c>
      <c r="C175" s="4" t="str">
        <f ca="1">IFERROR(__xludf.DUMMYFUNCTION("IFERROR(GOOGLETRANSLATE(B175,""en"",""ja""),)"),"私の名前はエリーです。")</f>
        <v>私の名前はエリーです。</v>
      </c>
      <c r="D175" s="4" t="str">
        <f ca="1">IFERROR(__xludf.DUMMYFUNCTION("IFERROR(GOOGLETRANSLATE(B175,""en"",""zh-TW""),)"),"我叫艾莉。")</f>
        <v>我叫艾莉。</v>
      </c>
      <c r="E175" s="4" t="str">
        <f ca="1">IFERROR(__xludf.DUMMYFUNCTION("IFERROR(GOOGLETRANSLATE(B175,""en"",""zh-CN""),)"),"我叫艾莉。")</f>
        <v>我叫艾莉。</v>
      </c>
    </row>
    <row r="176" spans="1:5" ht="18">
      <c r="A176" s="3" t="s">
        <v>883</v>
      </c>
      <c r="B176" s="4" t="str">
        <f ca="1">IFERROR(__xludf.DUMMYFUNCTION("IFERROR(GOOGLETRANSLATE(A176,""ko"",""en""),)"),"What is it?")</f>
        <v>What is it?</v>
      </c>
      <c r="C176" s="4" t="str">
        <f ca="1">IFERROR(__xludf.DUMMYFUNCTION("IFERROR(GOOGLETRANSLATE(B176,""en"",""ja""),)"),"それは何ですか？")</f>
        <v>それは何ですか？</v>
      </c>
      <c r="D176" s="4" t="str">
        <f ca="1">IFERROR(__xludf.DUMMYFUNCTION("IFERROR(GOOGLETRANSLATE(B176,""en"",""zh-TW""),)"),"那是什麼？")</f>
        <v>那是什麼？</v>
      </c>
      <c r="E176" s="4" t="str">
        <f ca="1">IFERROR(__xludf.DUMMYFUNCTION("IFERROR(GOOGLETRANSLATE(B176,""en"",""zh-CN""),)"),"那是什么？")</f>
        <v>那是什么？</v>
      </c>
    </row>
    <row r="177" spans="1:5" ht="18">
      <c r="A177" s="3" t="s">
        <v>886</v>
      </c>
      <c r="B177" s="4" t="str">
        <f ca="1">IFERROR(__xludf.DUMMYFUNCTION("IFERROR(GOOGLETRANSLATE(A177,""ko"",""en""),)"),"Who is it?")</f>
        <v>Who is it?</v>
      </c>
      <c r="C177" s="4" t="str">
        <f ca="1">IFERROR(__xludf.DUMMYFUNCTION("IFERROR(GOOGLETRANSLATE(B177,""en"",""ja""),)"),"誰だ？")</f>
        <v>誰だ？</v>
      </c>
      <c r="D177" s="4" t="str">
        <f ca="1">IFERROR(__xludf.DUMMYFUNCTION("IFERROR(GOOGLETRANSLATE(B177,""en"",""zh-TW""),)"),"是誰？")</f>
        <v>是誰？</v>
      </c>
      <c r="E177" s="4" t="str">
        <f ca="1">IFERROR(__xludf.DUMMYFUNCTION("IFERROR(GOOGLETRANSLATE(B177,""en"",""zh-CN""),)"),"是谁？")</f>
        <v>是谁？</v>
      </c>
    </row>
    <row r="178" spans="1:5" ht="18">
      <c r="A178" s="3" t="s">
        <v>770</v>
      </c>
      <c r="B178" s="4" t="str">
        <f ca="1">IFERROR(__xludf.DUMMYFUNCTION("IFERROR(GOOGLETRANSLATE(A178,""ko"",""en""),)"),"younger sister")</f>
        <v>younger sister</v>
      </c>
      <c r="C178" s="4" t="str">
        <f ca="1">IFERROR(__xludf.DUMMYFUNCTION("IFERROR(GOOGLETRANSLATE(B178,""en"",""ja""),)"),"妹")</f>
        <v>妹</v>
      </c>
      <c r="D178" s="4" t="str">
        <f ca="1">IFERROR(__xludf.DUMMYFUNCTION("IFERROR(GOOGLETRANSLATE(B178,""en"",""zh-TW""),)"),"妹妹")</f>
        <v>妹妹</v>
      </c>
      <c r="E178" s="4" t="str">
        <f ca="1">IFERROR(__xludf.DUMMYFUNCTION("IFERROR(GOOGLETRANSLATE(B178,""en"",""zh-CN""),)"),"妹妹")</f>
        <v>妹妹</v>
      </c>
    </row>
    <row r="179" spans="1:5" ht="18">
      <c r="A179" s="3" t="s">
        <v>892</v>
      </c>
      <c r="B179" s="4" t="str">
        <f ca="1">IFERROR(__xludf.DUMMYFUNCTION("IFERROR(GOOGLETRANSLATE(A179,""ko"",""en""),)"),"younger brother")</f>
        <v>younger brother</v>
      </c>
      <c r="C179" s="4" t="str">
        <f ca="1">IFERROR(__xludf.DUMMYFUNCTION("IFERROR(GOOGLETRANSLATE(B179,""en"",""ja""),)"),"弟")</f>
        <v>弟</v>
      </c>
      <c r="D179" s="4" t="str">
        <f ca="1">IFERROR(__xludf.DUMMYFUNCTION("IFERROR(GOOGLETRANSLATE(B179,""en"",""zh-TW""),)"),"弟弟")</f>
        <v>弟弟</v>
      </c>
      <c r="E179" s="4" t="str">
        <f ca="1">IFERROR(__xludf.DUMMYFUNCTION("IFERROR(GOOGLETRANSLATE(B179,""en"",""zh-CN""),)"),"弟弟")</f>
        <v>弟弟</v>
      </c>
    </row>
    <row r="180" spans="1:5" ht="18">
      <c r="A180" s="3" t="s">
        <v>896</v>
      </c>
      <c r="B180" s="4" t="str">
        <f ca="1">IFERROR(__xludf.DUMMYFUNCTION("IFERROR(GOOGLETRANSLATE(A180,""ko"",""en""),)"),"female")</f>
        <v>female</v>
      </c>
      <c r="C180" s="4" t="str">
        <f ca="1">IFERROR(__xludf.DUMMYFUNCTION("IFERROR(GOOGLETRANSLATE(B180,""en"",""ja""),)"),"女性")</f>
        <v>女性</v>
      </c>
      <c r="D180" s="4" t="str">
        <f ca="1">IFERROR(__xludf.DUMMYFUNCTION("IFERROR(GOOGLETRANSLATE(B180,""en"",""zh-TW""),)"),"女性")</f>
        <v>女性</v>
      </c>
      <c r="E180" s="4" t="str">
        <f ca="1">IFERROR(__xludf.DUMMYFUNCTION("IFERROR(GOOGLETRANSLATE(B180,""en"",""zh-CN""),)"),"女性")</f>
        <v>女性</v>
      </c>
    </row>
    <row r="181" spans="1:5" ht="18">
      <c r="A181" s="5" t="s">
        <v>899</v>
      </c>
      <c r="B181" s="4" t="str">
        <f ca="1">IFERROR(__xludf.DUMMYFUNCTION("IFERROR(GOOGLETRANSLATE(A181,""ko"",""en""),)"),"older sister")</f>
        <v>older sister</v>
      </c>
      <c r="C181" s="4" t="str">
        <f ca="1">IFERROR(__xludf.DUMMYFUNCTION("IFERROR(GOOGLETRANSLATE(B181,""en"",""ja""),)"),"姉")</f>
        <v>姉</v>
      </c>
      <c r="D181" s="4" t="str">
        <f ca="1">IFERROR(__xludf.DUMMYFUNCTION("IFERROR(GOOGLETRANSLATE(B181,""en"",""zh-TW""),)"),"姊姊")</f>
        <v>姊姊</v>
      </c>
      <c r="E181" s="4" t="str">
        <f ca="1">IFERROR(__xludf.DUMMYFUNCTION("IFERROR(GOOGLETRANSLATE(B181,""en"",""zh-CN""),)"),"姐姐")</f>
        <v>姐姐</v>
      </c>
    </row>
    <row r="182" spans="1:5" ht="18">
      <c r="A182" s="7" t="s">
        <v>902</v>
      </c>
      <c r="B182" s="4" t="s">
        <v>904</v>
      </c>
      <c r="C182" s="4" t="str">
        <f ca="1">IFERROR(__xludf.DUMMYFUNCTION("IFERROR(GOOGLETRANSLATE(B182,""en"",""ja""),)"),"年配の男性")</f>
        <v>年配の男性</v>
      </c>
      <c r="D182" s="4" t="str">
        <f ca="1">IFERROR(__xludf.DUMMYFUNCTION("IFERROR(GOOGLETRANSLATE(B182,""en"",""zh-TW""),)"),"年長的男性")</f>
        <v>年長的男性</v>
      </c>
      <c r="E182" s="4" t="str">
        <f ca="1">IFERROR(__xludf.DUMMYFUNCTION("IFERROR(GOOGLETRANSLATE(B182,""en"",""zh-CN""),)"),"年长的男性")</f>
        <v>年长的男性</v>
      </c>
    </row>
    <row r="183" spans="1:5" ht="18">
      <c r="A183" s="3" t="s">
        <v>906</v>
      </c>
      <c r="B183" s="4" t="str">
        <f ca="1">IFERROR(__xludf.DUMMYFUNCTION("IFERROR(GOOGLETRANSLATE(A183,""ko"",""en""),)"),"man")</f>
        <v>man</v>
      </c>
      <c r="C183" s="4" t="str">
        <f ca="1">IFERROR(__xludf.DUMMYFUNCTION("IFERROR(GOOGLETRANSLATE(B183,""en"",""ja""),)"),"男")</f>
        <v>男</v>
      </c>
      <c r="D183" s="4" t="str">
        <f ca="1">IFERROR(__xludf.DUMMYFUNCTION("IFERROR(GOOGLETRANSLATE(B183,""en"",""zh-TW""),)"),"男人")</f>
        <v>男人</v>
      </c>
      <c r="E183" s="4" t="str">
        <f ca="1">IFERROR(__xludf.DUMMYFUNCTION("IFERROR(GOOGLETRANSLATE(B183,""en"",""zh-CN""),)"),"男人")</f>
        <v>男人</v>
      </c>
    </row>
    <row r="184" spans="1:5" ht="18">
      <c r="A184" s="3" t="s">
        <v>909</v>
      </c>
      <c r="B184" s="4" t="str">
        <f ca="1">IFERROR(__xludf.DUMMYFUNCTION("IFERROR(GOOGLETRANSLATE(A184,""ko"",""en""),)"),"older sister")</f>
        <v>older sister</v>
      </c>
      <c r="C184" s="4" t="str">
        <f ca="1">IFERROR(__xludf.DUMMYFUNCTION("IFERROR(GOOGLETRANSLATE(B184,""en"",""ja""),)"),"姉")</f>
        <v>姉</v>
      </c>
      <c r="D184" s="4" t="str">
        <f ca="1">IFERROR(__xludf.DUMMYFUNCTION("IFERROR(GOOGLETRANSLATE(B184,""en"",""zh-TW""),)"),"姊姊")</f>
        <v>姊姊</v>
      </c>
      <c r="E184" s="4" t="str">
        <f ca="1">IFERROR(__xludf.DUMMYFUNCTION("IFERROR(GOOGLETRANSLATE(B184,""en"",""zh-CN""),)"),"姐姐")</f>
        <v>姐姐</v>
      </c>
    </row>
    <row r="185" spans="1:5" ht="18">
      <c r="A185" s="5" t="s">
        <v>914</v>
      </c>
      <c r="B185" s="4" t="s">
        <v>915</v>
      </c>
      <c r="C185" s="4" t="str">
        <f ca="1">IFERROR(__xludf.DUMMYFUNCTION("IFERROR(GOOGLETRANSLATE(B185,""en"",""ja""),)"),"兄")</f>
        <v>兄</v>
      </c>
      <c r="D185" s="4" t="str">
        <f ca="1">IFERROR(__xludf.DUMMYFUNCTION("IFERROR(GOOGLETRANSLATE(B185,""en"",""zh-TW""),)"),"哥哥")</f>
        <v>哥哥</v>
      </c>
      <c r="E185" s="4" t="str">
        <f ca="1">IFERROR(__xludf.DUMMYFUNCTION("IFERROR(GOOGLETRANSLATE(B185,""en"",""zh-CN""),)"),"哥哥")</f>
        <v>哥哥</v>
      </c>
    </row>
    <row r="186" spans="1:5" ht="18">
      <c r="A186" s="3" t="s">
        <v>920</v>
      </c>
      <c r="B186" s="4" t="str">
        <f ca="1">IFERROR(__xludf.DUMMYFUNCTION("IFERROR(GOOGLETRANSLATE(A186,""ko"",""en""),)"),"No, my father is a teacher.")</f>
        <v>No, my father is a teacher.</v>
      </c>
      <c r="C186" s="4" t="str">
        <f ca="1">IFERROR(__xludf.DUMMYFUNCTION("IFERROR(GOOGLETRANSLATE(B186,""en"",""ja""),)"),"いいえ、私の父は教師です。")</f>
        <v>いいえ、私の父は教師です。</v>
      </c>
      <c r="D186" s="4" t="str">
        <f ca="1">IFERROR(__xludf.DUMMYFUNCTION("IFERROR(GOOGLETRANSLATE(B186,""en"",""zh-TW""),)"),"不，我父親是位老師。")</f>
        <v>不，我父親是位老師。</v>
      </c>
      <c r="E186" s="4" t="str">
        <f ca="1">IFERROR(__xludf.DUMMYFUNCTION("IFERROR(GOOGLETRANSLATE(B186,""en"",""zh-CN""),)"),"不，我父亲是位老师。")</f>
        <v>不，我父亲是位老师。</v>
      </c>
    </row>
    <row r="187" spans="1:5" ht="18">
      <c r="A187" s="3" t="s">
        <v>879</v>
      </c>
      <c r="B187" s="4" t="str">
        <f ca="1">IFERROR(__xludf.DUMMYFUNCTION("IFERROR(GOOGLETRANSLATE(A187,""ko"",""en""),)"),"My name is Ellie.")</f>
        <v>My name is Ellie.</v>
      </c>
      <c r="C187" s="4" t="str">
        <f ca="1">IFERROR(__xludf.DUMMYFUNCTION("IFERROR(GOOGLETRANSLATE(B187,""en"",""ja""),)"),"私の名前はエリーです。")</f>
        <v>私の名前はエリーです。</v>
      </c>
      <c r="D187" s="4" t="str">
        <f ca="1">IFERROR(__xludf.DUMMYFUNCTION("IFERROR(GOOGLETRANSLATE(B187,""en"",""zh-TW""),)"),"我叫艾莉。")</f>
        <v>我叫艾莉。</v>
      </c>
      <c r="E187" s="4" t="str">
        <f ca="1">IFERROR(__xludf.DUMMYFUNCTION("IFERROR(GOOGLETRANSLATE(B187,""en"",""zh-CN""),)"),"我叫艾莉。")</f>
        <v>我叫艾莉。</v>
      </c>
    </row>
    <row r="188" spans="1:5" ht="18">
      <c r="A188" s="3" t="s">
        <v>928</v>
      </c>
      <c r="B188" s="4" t="s">
        <v>929</v>
      </c>
      <c r="C188" s="4" t="str">
        <f ca="1">IFERROR(__xludf.DUMMYFUNCTION("IFERROR(GOOGLETRANSLATE(B188,""en"",""ja""),)"),"はい、私は会社員です。")</f>
        <v>はい、私は会社員です。</v>
      </c>
      <c r="D188" s="4" t="str">
        <f ca="1">IFERROR(__xludf.DUMMYFUNCTION("IFERROR(GOOGLETRANSLATE(B188,""en"",""zh-TW""),)"),"是的，我是上班族。")</f>
        <v>是的，我是上班族。</v>
      </c>
      <c r="E188" s="4" t="str">
        <f ca="1">IFERROR(__xludf.DUMMYFUNCTION("IFERROR(GOOGLETRANSLATE(B188,""en"",""zh-CN""),)"),"是的，我是一名上班族。")</f>
        <v>是的，我是一名上班族。</v>
      </c>
    </row>
    <row r="189" spans="1:5" ht="18">
      <c r="A189" s="3" t="s">
        <v>934</v>
      </c>
      <c r="B189" s="4" t="str">
        <f ca="1">IFERROR(__xludf.DUMMYFUNCTION("IFERROR(GOOGLETRANSLATE(A189,""ko"",""en""),)"),"Yes, my younger sibling is a teacher.")</f>
        <v>Yes, my younger sibling is a teacher.</v>
      </c>
      <c r="C189" s="4" t="str">
        <f ca="1">IFERROR(__xludf.DUMMYFUNCTION("IFERROR(GOOGLETRANSLATE(B189,""en"",""ja""),)"),"はい、私の弟は教師です。")</f>
        <v>はい、私の弟は教師です。</v>
      </c>
      <c r="D189" s="4" t="str">
        <f ca="1">IFERROR(__xludf.DUMMYFUNCTION("IFERROR(GOOGLETRANSLATE(B189,""en"",""zh-TW""),)"),"是的，我的弟弟是老師。")</f>
        <v>是的，我的弟弟是老師。</v>
      </c>
      <c r="E189" s="4" t="str">
        <f ca="1">IFERROR(__xludf.DUMMYFUNCTION("IFERROR(GOOGLETRANSLATE(B189,""en"",""zh-CN""),)"),"是的，我的弟弟是老师。")</f>
        <v>是的，我的弟弟是老师。</v>
      </c>
    </row>
    <row r="190" spans="1:5" ht="18">
      <c r="A190" s="3" t="s">
        <v>938</v>
      </c>
      <c r="B190" s="4" t="str">
        <f ca="1">IFERROR(__xludf.DUMMYFUNCTION("IFERROR(GOOGLETRANSLATE(A190,""ko"",""en""),)"),"Yes, my mother is a doctor.")</f>
        <v>Yes, my mother is a doctor.</v>
      </c>
      <c r="C190" s="4" t="str">
        <f ca="1">IFERROR(__xludf.DUMMYFUNCTION("IFERROR(GOOGLETRANSLATE(B190,""en"",""ja""),)"),"はい、私の母は医者です。")</f>
        <v>はい、私の母は医者です。</v>
      </c>
      <c r="D190" s="4" t="str">
        <f ca="1">IFERROR(__xludf.DUMMYFUNCTION("IFERROR(GOOGLETRANSLATE(B190,""en"",""zh-TW""),)"),"是的，我母親是醫生。")</f>
        <v>是的，我母親是醫生。</v>
      </c>
      <c r="E190" s="4" t="str">
        <f ca="1">IFERROR(__xludf.DUMMYFUNCTION("IFERROR(GOOGLETRANSLATE(B190,""en"",""zh-CN""),)"),"是的，我母亲是医生。")</f>
        <v>是的，我母亲是医生。</v>
      </c>
    </row>
    <row r="191" spans="1:5" ht="18">
      <c r="A191" s="3" t="s">
        <v>944</v>
      </c>
      <c r="B191" s="4" t="str">
        <f ca="1">IFERROR(__xludf.DUMMYFUNCTION("IFERROR(GOOGLETRANSLATE(A191,""ko"",""en""),)"),"Yes, my brother is a singer.")</f>
        <v>Yes, my brother is a singer.</v>
      </c>
      <c r="C191" s="4" t="str">
        <f ca="1">IFERROR(__xludf.DUMMYFUNCTION("IFERROR(GOOGLETRANSLATE(B191,""en"",""ja""),)"),"はい、私の兄は歌手です。")</f>
        <v>はい、私の兄は歌手です。</v>
      </c>
      <c r="D191" s="4" t="str">
        <f ca="1">IFERROR(__xludf.DUMMYFUNCTION("IFERROR(GOOGLETRANSLATE(B191,""en"",""zh-TW""),)"),"是的，我哥哥是歌手。")</f>
        <v>是的，我哥哥是歌手。</v>
      </c>
      <c r="E191" s="4" t="str">
        <f ca="1">IFERROR(__xludf.DUMMYFUNCTION("IFERROR(GOOGLETRANSLATE(B191,""en"",""zh-CN""),)"),"是的，我哥哥是歌手。")</f>
        <v>是的，我哥哥是歌手。</v>
      </c>
    </row>
    <row r="192" spans="1:5" ht="18">
      <c r="A192" s="5" t="s">
        <v>949</v>
      </c>
      <c r="B192" s="4" t="str">
        <f ca="1">IFERROR(__xludf.DUMMYFUNCTION("IFERROR(GOOGLETRANSLATE(A192,""ko"",""en""),)"),"The bag is pretty.")</f>
        <v>The bag is pretty.</v>
      </c>
      <c r="C192" s="4" t="str">
        <f ca="1">IFERROR(__xludf.DUMMYFUNCTION("IFERROR(GOOGLETRANSLATE(B192,""en"",""ja""),)"),"そのバッグは可愛いですね。")</f>
        <v>そのバッグは可愛いですね。</v>
      </c>
      <c r="D192" s="4" t="str">
        <f ca="1">IFERROR(__xludf.DUMMYFUNCTION("IFERROR(GOOGLETRANSLATE(B192,""en"",""zh-TW""),)"),"這個包很漂亮。")</f>
        <v>這個包很漂亮。</v>
      </c>
      <c r="E192" s="4" t="str">
        <f ca="1">IFERROR(__xludf.DUMMYFUNCTION("IFERROR(GOOGLETRANSLATE(B192,""en"",""zh-CN""),)"),"这个包很漂亮。")</f>
        <v>这个包很漂亮。</v>
      </c>
    </row>
    <row r="193" spans="1:5" ht="18">
      <c r="A193" s="3" t="s">
        <v>953</v>
      </c>
      <c r="B193" s="4" t="str">
        <f ca="1">IFERROR(__xludf.DUMMYFUNCTION("IFERROR(GOOGLETRANSLATE(A193,""ko"",""en""),)"),"I am a singer.")</f>
        <v>I am a singer.</v>
      </c>
      <c r="C193" s="4" t="str">
        <f ca="1">IFERROR(__xludf.DUMMYFUNCTION("IFERROR(GOOGLETRANSLATE(B193,""en"",""ja""),)"),"私は歌手です。")</f>
        <v>私は歌手です。</v>
      </c>
      <c r="D193" s="4" t="str">
        <f ca="1">IFERROR(__xludf.DUMMYFUNCTION("IFERROR(GOOGLETRANSLATE(B193,""en"",""zh-TW""),)"),"我是一名歌手。")</f>
        <v>我是一名歌手。</v>
      </c>
      <c r="E193" s="4" t="str">
        <f ca="1">IFERROR(__xludf.DUMMYFUNCTION("IFERROR(GOOGLETRANSLATE(B193,""en"",""zh-CN""),)"),"我是一名歌手。")</f>
        <v>我是一名歌手。</v>
      </c>
    </row>
    <row r="194" spans="1:5" ht="18">
      <c r="A194" s="3" t="s">
        <v>958</v>
      </c>
      <c r="B194" s="4" t="str">
        <f ca="1">IFERROR(__xludf.DUMMYFUNCTION("IFERROR(GOOGLETRANSLATE(A194,""ko"",""en""),)"),"Anna is a woman.")</f>
        <v>Anna is a woman.</v>
      </c>
      <c r="C194" s="4" t="str">
        <f ca="1">IFERROR(__xludf.DUMMYFUNCTION("IFERROR(GOOGLETRANSLATE(B194,""en"",""ja""),)"),"アンナは女性です。")</f>
        <v>アンナは女性です。</v>
      </c>
      <c r="D194" s="4" t="str">
        <f ca="1">IFERROR(__xludf.DUMMYFUNCTION("IFERROR(GOOGLETRANSLATE(B194,""en"",""zh-TW""),)"),"安娜是位女士。")</f>
        <v>安娜是位女士。</v>
      </c>
      <c r="E194" s="4" t="str">
        <f ca="1">IFERROR(__xludf.DUMMYFUNCTION("IFERROR(GOOGLETRANSLATE(B194,""en"",""zh-CN""),)"),"安娜是位女士。")</f>
        <v>安娜是位女士。</v>
      </c>
    </row>
    <row r="195" spans="1:5" ht="18">
      <c r="A195" s="3" t="s">
        <v>961</v>
      </c>
      <c r="B195" s="4" t="str">
        <f ca="1">IFERROR(__xludf.DUMMYFUNCTION("IFERROR(GOOGLETRANSLATE(A195,""ko"",""en""),)"),"My friend is Korean.")</f>
        <v>My friend is Korean.</v>
      </c>
      <c r="C195" s="4" t="str">
        <f ca="1">IFERROR(__xludf.DUMMYFUNCTION("IFERROR(GOOGLETRANSLATE(B195,""en"",""ja""),)"),"私の友人は韓国人です。")</f>
        <v>私の友人は韓国人です。</v>
      </c>
      <c r="D195" s="4" t="str">
        <f ca="1">IFERROR(__xludf.DUMMYFUNCTION("IFERROR(GOOGLETRANSLATE(B195,""en"",""zh-TW""),)"),"我的朋友是韓國人。")</f>
        <v>我的朋友是韓國人。</v>
      </c>
      <c r="E195" s="4" t="str">
        <f ca="1">IFERROR(__xludf.DUMMYFUNCTION("IFERROR(GOOGLETRANSLATE(B195,""en"",""zh-CN""),)"),"我的朋友是韩国人。")</f>
        <v>我的朋友是韩国人。</v>
      </c>
    </row>
    <row r="196" spans="1:5" ht="18">
      <c r="A196" s="3" t="s">
        <v>964</v>
      </c>
      <c r="B196" s="4" t="str">
        <f ca="1">IFERROR(__xludf.DUMMYFUNCTION("IFERROR(GOOGLETRANSLATE(A196,""ko"",""en""),)"),"Yuna is a singer.")</f>
        <v>Yuna is a singer.</v>
      </c>
      <c r="C196" s="4" t="str">
        <f ca="1">IFERROR(__xludf.DUMMYFUNCTION("IFERROR(GOOGLETRANSLATE(B196,""en"",""ja""),)"),"ユナは歌手です。")</f>
        <v>ユナは歌手です。</v>
      </c>
      <c r="D196" s="4" t="str">
        <f ca="1">IFERROR(__xludf.DUMMYFUNCTION("IFERROR(GOOGLETRANSLATE(B196,""en"",""zh-TW""),)"),"Yuna是一位歌手。")</f>
        <v>Yuna是一位歌手。</v>
      </c>
      <c r="E196" s="4" t="str">
        <f ca="1">IFERROR(__xludf.DUMMYFUNCTION("IFERROR(GOOGLETRANSLATE(B196,""en"",""zh-CN""),)"),"Yuna是一位歌手。")</f>
        <v>Yuna是一位歌手。</v>
      </c>
    </row>
    <row r="197" spans="1:5" ht="18">
      <c r="A197" s="3" t="s">
        <v>968</v>
      </c>
      <c r="B197" s="4" t="str">
        <f ca="1">IFERROR(__xludf.DUMMYFUNCTION("IFERROR(GOOGLETRANSLATE(A197,""ko"",""en""),)"),"The teacher is Korean.")</f>
        <v>The teacher is Korean.</v>
      </c>
      <c r="C197" s="4" t="str">
        <f ca="1">IFERROR(__xludf.DUMMYFUNCTION("IFERROR(GOOGLETRANSLATE(B197,""en"",""ja""),)"),"先生は韓国人です。")</f>
        <v>先生は韓国人です。</v>
      </c>
      <c r="D197" s="4" t="str">
        <f ca="1">IFERROR(__xludf.DUMMYFUNCTION("IFERROR(GOOGLETRANSLATE(B197,""en"",""zh-TW""),)"),"老師是韓國人。")</f>
        <v>老師是韓國人。</v>
      </c>
      <c r="E197" s="4" t="str">
        <f ca="1">IFERROR(__xludf.DUMMYFUNCTION("IFERROR(GOOGLETRANSLATE(B197,""en"",""zh-CN""),)"),"老师是韩国人。")</f>
        <v>老师是韩国人。</v>
      </c>
    </row>
    <row r="198" spans="1:5" ht="18">
      <c r="A198" s="3" t="s">
        <v>971</v>
      </c>
      <c r="B198" s="4" t="str">
        <f ca="1">IFERROR(__xludf.DUMMYFUNCTION("IFERROR(GOOGLETRANSLATE(A198,""ko"",""en""),)"),"My older sister is a doctor.")</f>
        <v>My older sister is a doctor.</v>
      </c>
      <c r="C198" s="4" t="str">
        <f ca="1">IFERROR(__xludf.DUMMYFUNCTION("IFERROR(GOOGLETRANSLATE(B198,""en"",""ja""),)"),"私の姉は医者です。")</f>
        <v>私の姉は医者です。</v>
      </c>
      <c r="D198" s="4" t="str">
        <f ca="1">IFERROR(__xludf.DUMMYFUNCTION("IFERROR(GOOGLETRANSLATE(B198,""en"",""zh-TW""),)"),"我姐姐是醫生。")</f>
        <v>我姐姐是醫生。</v>
      </c>
      <c r="E198" s="4" t="str">
        <f ca="1">IFERROR(__xludf.DUMMYFUNCTION("IFERROR(GOOGLETRANSLATE(B198,""en"",""zh-CN""),)"),"我姐姐是医生。")</f>
        <v>我姐姐是医生。</v>
      </c>
    </row>
    <row r="199" spans="1:5" ht="18">
      <c r="A199" s="5" t="s">
        <v>975</v>
      </c>
      <c r="B199" s="4" t="str">
        <f ca="1">IFERROR(__xludf.DUMMYFUNCTION("IFERROR(GOOGLETRANSLATE(A199,""ko"",""en""),)"),"capital")</f>
        <v>capital</v>
      </c>
      <c r="C199" s="4" t="str">
        <f ca="1">IFERROR(__xludf.DUMMYFUNCTION("IFERROR(GOOGLETRANSLATE(B199,""en"",""ja""),)"),"資本")</f>
        <v>資本</v>
      </c>
      <c r="D199" s="4" t="str">
        <f ca="1">IFERROR(__xludf.DUMMYFUNCTION("IFERROR(GOOGLETRANSLATE(B199,""en"",""zh-TW""),)"),"首都")</f>
        <v>首都</v>
      </c>
      <c r="E199" s="4" t="str">
        <f ca="1">IFERROR(__xludf.DUMMYFUNCTION("IFERROR(GOOGLETRANSLATE(B199,""en"",""zh-CN""),)"),"首都")</f>
        <v>首都</v>
      </c>
    </row>
    <row r="200" spans="1:5" ht="18">
      <c r="A200" s="3" t="s">
        <v>979</v>
      </c>
      <c r="B200" s="4" t="str">
        <f ca="1">IFERROR(__xludf.DUMMYFUNCTION("IFERROR(GOOGLETRANSLATE(A200,""ko"",""en""),)"),"What is Seoul?")</f>
        <v>What is Seoul?</v>
      </c>
      <c r="C200" s="4" t="str">
        <f ca="1">IFERROR(__xludf.DUMMYFUNCTION("IFERROR(GOOGLETRANSLATE(B200,""en"",""ja""),)"),"ソウルとは何ですか？")</f>
        <v>ソウルとは何ですか？</v>
      </c>
      <c r="D200" s="4" t="str">
        <f ca="1">IFERROR(__xludf.DUMMYFUNCTION("IFERROR(GOOGLETRANSLATE(B200,""en"",""zh-TW""),)"),"首爾是什麼？")</f>
        <v>首爾是什麼？</v>
      </c>
      <c r="E200" s="4" t="str">
        <f ca="1">IFERROR(__xludf.DUMMYFUNCTION("IFERROR(GOOGLETRANSLATE(B200,""en"",""zh-CN""),)"),"首尔是什么？")</f>
        <v>首尔是什么？</v>
      </c>
    </row>
    <row r="201" spans="1:5" ht="18">
      <c r="A201" s="3" t="s">
        <v>983</v>
      </c>
      <c r="B201" s="4" t="str">
        <f ca="1">IFERROR(__xludf.DUMMYFUNCTION("IFERROR(GOOGLETRANSLATE(A201,""ko"",""en""),)"),"Seoul is the capital of Korea.")</f>
        <v>Seoul is the capital of Korea.</v>
      </c>
      <c r="C201" s="4" t="str">
        <f ca="1">IFERROR(__xludf.DUMMYFUNCTION("IFERROR(GOOGLETRANSLATE(B201,""en"",""ja""),)"),"ソウルは韓国の首都です。")</f>
        <v>ソウルは韓国の首都です。</v>
      </c>
      <c r="D201" s="4" t="str">
        <f ca="1">IFERROR(__xludf.DUMMYFUNCTION("IFERROR(GOOGLETRANSLATE(B201,""en"",""zh-TW""),)"),"首爾是韓國的首都。")</f>
        <v>首爾是韓國的首都。</v>
      </c>
      <c r="E201" s="4" t="str">
        <f ca="1">IFERROR(__xludf.DUMMYFUNCTION("IFERROR(GOOGLETRANSLATE(B201,""en"",""zh-CN""),)"),"首尔是韩国的首都。")</f>
        <v>首尔是韩国的首都。</v>
      </c>
    </row>
    <row r="202" spans="1:5" ht="18">
      <c r="A202" s="5" t="s">
        <v>987</v>
      </c>
      <c r="B202" s="4" t="str">
        <f ca="1">IFERROR(__xludf.DUMMYFUNCTION("IFERROR(GOOGLETRANSLATE(A202,""ko"",""en""),)"),"This food is delicious.")</f>
        <v>This food is delicious.</v>
      </c>
      <c r="C202" s="4" t="str">
        <f ca="1">IFERROR(__xludf.DUMMYFUNCTION("IFERROR(GOOGLETRANSLATE(B202,""en"",""ja""),)"),"この料理は美味しい。")</f>
        <v>この料理は美味しい。</v>
      </c>
      <c r="D202" s="4" t="str">
        <f ca="1">IFERROR(__xludf.DUMMYFUNCTION("IFERROR(GOOGLETRANSLATE(B202,""en"",""zh-TW""),)"),"這食物真好吃。")</f>
        <v>這食物真好吃。</v>
      </c>
      <c r="E202" s="4" t="str">
        <f ca="1">IFERROR(__xludf.DUMMYFUNCTION("IFERROR(GOOGLETRANSLATE(B202,""en"",""zh-CN""),)"),"这食物真好吃。")</f>
        <v>这食物真好吃。</v>
      </c>
    </row>
    <row r="203" spans="1:5" ht="18">
      <c r="A203" s="3" t="s">
        <v>990</v>
      </c>
      <c r="B203" s="4" t="str">
        <f ca="1">IFERROR(__xludf.DUMMYFUNCTION("IFERROR(GOOGLETRANSLATE(A203,""ko"",""en""),)"),"This person")</f>
        <v>This person</v>
      </c>
      <c r="C203" s="4" t="str">
        <f ca="1">IFERROR(__xludf.DUMMYFUNCTION("IFERROR(GOOGLETRANSLATE(B203,""en"",""ja""),)"),"この人")</f>
        <v>この人</v>
      </c>
      <c r="D203" s="4" t="str">
        <f ca="1">IFERROR(__xludf.DUMMYFUNCTION("IFERROR(GOOGLETRANSLATE(B203,""en"",""zh-TW""),)"),"這個人")</f>
        <v>這個人</v>
      </c>
      <c r="E203" s="4" t="str">
        <f ca="1">IFERROR(__xludf.DUMMYFUNCTION("IFERROR(GOOGLETRANSLATE(B203,""en"",""zh-CN""),)"),"这个人")</f>
        <v>这个人</v>
      </c>
    </row>
    <row r="204" spans="1:5" ht="18">
      <c r="A204" s="3" t="s">
        <v>994</v>
      </c>
      <c r="B204" s="4" t="str">
        <f ca="1">IFERROR(__xludf.DUMMYFUNCTION("IFERROR(GOOGLETRANSLATE(A204,""ko"",""en""),)"),"This friend")</f>
        <v>This friend</v>
      </c>
      <c r="C204" s="4" t="str">
        <f ca="1">IFERROR(__xludf.DUMMYFUNCTION("IFERROR(GOOGLETRANSLATE(B204,""en"",""ja""),)"),"この友人")</f>
        <v>この友人</v>
      </c>
      <c r="D204" s="4" t="str">
        <f ca="1">IFERROR(__xludf.DUMMYFUNCTION("IFERROR(GOOGLETRANSLATE(B204,""en"",""zh-TW""),)"),"這位朋友")</f>
        <v>這位朋友</v>
      </c>
      <c r="E204" s="4" t="str">
        <f ca="1">IFERROR(__xludf.DUMMYFUNCTION("IFERROR(GOOGLETRANSLATE(B204,""en"",""zh-CN""),)"),"这位朋友")</f>
        <v>这位朋友</v>
      </c>
    </row>
    <row r="205" spans="1:5" ht="18">
      <c r="A205" s="3" t="s">
        <v>997</v>
      </c>
      <c r="B205" s="4" t="s">
        <v>998</v>
      </c>
      <c r="C205" s="4" t="str">
        <f ca="1">IFERROR(__xludf.DUMMYFUNCTION("IFERROR(GOOGLETRANSLATE(B205,""en"",""ja""),)"),"ジュノは会社員です。")</f>
        <v>ジュノは会社員です。</v>
      </c>
      <c r="D205" s="4" t="str">
        <f ca="1">IFERROR(__xludf.DUMMYFUNCTION("IFERROR(GOOGLETRANSLATE(B205,""en"",""zh-TW""),)"),"朱諾是一名辦公室職員。")</f>
        <v>朱諾是一名辦公室職員。</v>
      </c>
      <c r="E205" s="4" t="str">
        <f ca="1">IFERROR(__xludf.DUMMYFUNCTION("IFERROR(GOOGLETRANSLATE(B205,""en"",""zh-CN""),)"),"朱诺是一名办公室职员。")</f>
        <v>朱诺是一名办公室职员。</v>
      </c>
    </row>
    <row r="206" spans="1:5" ht="18">
      <c r="A206" s="3" t="s">
        <v>1000</v>
      </c>
      <c r="B206" s="4" t="str">
        <f ca="1">IFERROR(__xludf.DUMMYFUNCTION("IFERROR(GOOGLETRANSLATE(A206,""ko"",""en""),)"),"My name is Marie.")</f>
        <v>My name is Marie.</v>
      </c>
      <c r="C206" s="4" t="str">
        <f ca="1">IFERROR(__xludf.DUMMYFUNCTION("IFERROR(GOOGLETRANSLATE(B206,""en"",""ja""),)"),"私の名前はマリーです。")</f>
        <v>私の名前はマリーです。</v>
      </c>
      <c r="D206" s="4" t="str">
        <f ca="1">IFERROR(__xludf.DUMMYFUNCTION("IFERROR(GOOGLETRANSLATE(B206,""en"",""zh-TW""),)"),"我的名字叫瑪麗。")</f>
        <v>我的名字叫瑪麗。</v>
      </c>
      <c r="E206" s="4" t="str">
        <f ca="1">IFERROR(__xludf.DUMMYFUNCTION("IFERROR(GOOGLETRANSLATE(B206,""en"",""zh-CN""),)"),"我的名字叫玛丽。")</f>
        <v>我的名字叫玛丽。</v>
      </c>
    </row>
    <row r="207" spans="1:5" ht="18">
      <c r="A207" s="3" t="s">
        <v>1002</v>
      </c>
      <c r="B207" s="4" t="str">
        <f ca="1">IFERROR(__xludf.DUMMYFUNCTION("IFERROR(GOOGLETRANSLATE(A207,""ko"",""en""),)"),"My friend is a chef.")</f>
        <v>My friend is a chef.</v>
      </c>
      <c r="C207" s="4" t="str">
        <f ca="1">IFERROR(__xludf.DUMMYFUNCTION("IFERROR(GOOGLETRANSLATE(B207,""en"",""ja""),)"),"私の友人はシェフです。")</f>
        <v>私の友人はシェフです。</v>
      </c>
      <c r="D207" s="4" t="str">
        <f ca="1">IFERROR(__xludf.DUMMYFUNCTION("IFERROR(GOOGLETRANSLATE(B207,""en"",""zh-TW""),)"),"我的朋友是一名廚師。")</f>
        <v>我的朋友是一名廚師。</v>
      </c>
      <c r="E207" s="4" t="str">
        <f ca="1">IFERROR(__xludf.DUMMYFUNCTION("IFERROR(GOOGLETRANSLATE(B207,""en"",""zh-CN""),)"),"我的朋友是一名厨师。")</f>
        <v>我的朋友是一名厨师。</v>
      </c>
    </row>
    <row r="208" spans="1:5" ht="18">
      <c r="A208" s="3" t="s">
        <v>1004</v>
      </c>
      <c r="B208" s="4" t="s">
        <v>1006</v>
      </c>
      <c r="C208" s="4" t="str">
        <f ca="1">IFERROR(__xludf.DUMMYFUNCTION("IFERROR(GOOGLETRANSLATE(B208,""en"",""ja""),)"),"私の弟は学生です。")</f>
        <v>私の弟は学生です。</v>
      </c>
      <c r="D208" s="4" t="str">
        <f ca="1">IFERROR(__xludf.DUMMYFUNCTION("IFERROR(GOOGLETRANSLATE(B208,""en"",""zh-TW""),)"),"我弟弟是一名學生。")</f>
        <v>我弟弟是一名學生。</v>
      </c>
      <c r="E208" s="4" t="str">
        <f ca="1">IFERROR(__xludf.DUMMYFUNCTION("IFERROR(GOOGLETRANSLATE(B208,""en"",""zh-CN""),)"),"我弟弟是一名学生。")</f>
        <v>我弟弟是一名学生。</v>
      </c>
    </row>
    <row r="209" spans="1:5" ht="18">
      <c r="A209" s="3" t="s">
        <v>1009</v>
      </c>
      <c r="B209" s="4" t="str">
        <f ca="1">IFERROR(__xludf.DUMMYFUNCTION("IFERROR(GOOGLETRANSLATE(A209,""ko"",""en""),)"),"This person is a singer.")</f>
        <v>This person is a singer.</v>
      </c>
      <c r="C209" s="4" t="str">
        <f ca="1">IFERROR(__xludf.DUMMYFUNCTION("IFERROR(GOOGLETRANSLATE(B209,""en"",""ja""),)"),"この人は歌手です。")</f>
        <v>この人は歌手です。</v>
      </c>
      <c r="D209" s="4" t="str">
        <f ca="1">IFERROR(__xludf.DUMMYFUNCTION("IFERROR(GOOGLETRANSLATE(B209,""en"",""zh-TW""),)"),"這個人是位歌手。")</f>
        <v>這個人是位歌手。</v>
      </c>
      <c r="E209" s="4" t="str">
        <f ca="1">IFERROR(__xludf.DUMMYFUNCTION("IFERROR(GOOGLETRANSLATE(B209,""en"",""zh-CN""),)"),"这个人是位歌手。")</f>
        <v>这个人是位歌手。</v>
      </c>
    </row>
    <row r="210" spans="1:5" ht="18">
      <c r="A210" s="3" t="s">
        <v>968</v>
      </c>
      <c r="B210" s="4" t="str">
        <f ca="1">IFERROR(__xludf.DUMMYFUNCTION("IFERROR(GOOGLETRANSLATE(A210,""ko"",""en""),)"),"The teacher is Korean.")</f>
        <v>The teacher is Korean.</v>
      </c>
      <c r="C210" s="4" t="str">
        <f ca="1">IFERROR(__xludf.DUMMYFUNCTION("IFERROR(GOOGLETRANSLATE(B210,""en"",""ja""),)"),"先生は韓国人です。")</f>
        <v>先生は韓国人です。</v>
      </c>
      <c r="D210" s="4" t="str">
        <f ca="1">IFERROR(__xludf.DUMMYFUNCTION("IFERROR(GOOGLETRANSLATE(B210,""en"",""zh-TW""),)"),"老師是韓國人。")</f>
        <v>老師是韓國人。</v>
      </c>
      <c r="E210" s="4" t="str">
        <f ca="1">IFERROR(__xludf.DUMMYFUNCTION("IFERROR(GOOGLETRANSLATE(B210,""en"",""zh-CN""),)"),"老师是韩国人。")</f>
        <v>老师是韩国人。</v>
      </c>
    </row>
    <row r="211" spans="1:5" ht="18">
      <c r="A211" s="3" t="s">
        <v>1014</v>
      </c>
      <c r="B211" s="4" t="s">
        <v>1015</v>
      </c>
      <c r="C211" s="4" t="str">
        <f ca="1">IFERROR(__xludf.DUMMYFUNCTION("IFERROR(GOOGLETRANSLATE(B211,""en"",""ja""),)"),"私は仕事がありません。")</f>
        <v>私は仕事がありません。</v>
      </c>
      <c r="D211" s="4" t="str">
        <f ca="1">IFERROR(__xludf.DUMMYFUNCTION("IFERROR(GOOGLETRANSLATE(B211,""en"",""zh-TW""),)"),"我沒有工作。")</f>
        <v>我沒有工作。</v>
      </c>
      <c r="E211" s="4" t="str">
        <f ca="1">IFERROR(__xludf.DUMMYFUNCTION("IFERROR(GOOGLETRANSLATE(B211,""en"",""zh-CN""),)"),"我没有工作。")</f>
        <v>我没有工作。</v>
      </c>
    </row>
    <row r="212" spans="1:5" ht="18">
      <c r="A212" s="3" t="s">
        <v>1019</v>
      </c>
      <c r="B212" s="4" t="str">
        <f ca="1">IFERROR(__xludf.DUMMYFUNCTION("IFERROR(GOOGLETRANSLATE(A212,""ko"",""en""),)"),"I am a university student.")</f>
        <v>I am a university student.</v>
      </c>
      <c r="C212" s="4" t="str">
        <f ca="1">IFERROR(__xludf.DUMMYFUNCTION("IFERROR(GOOGLETRANSLATE(B212,""en"",""ja""),)"),"私は大学生です。")</f>
        <v>私は大学生です。</v>
      </c>
      <c r="D212" s="4" t="str">
        <f ca="1">IFERROR(__xludf.DUMMYFUNCTION("IFERROR(GOOGLETRANSLATE(B212,""en"",""zh-TW""),)"),"我是一名大學生。")</f>
        <v>我是一名大學生。</v>
      </c>
      <c r="E212" s="4" t="str">
        <f ca="1">IFERROR(__xludf.DUMMYFUNCTION("IFERROR(GOOGLETRANSLATE(B212,""en"",""zh-CN""),)"),"我是一名大学生。")</f>
        <v>我是一名大学生。</v>
      </c>
    </row>
    <row r="213" spans="1:5" ht="18">
      <c r="A213" s="3" t="s">
        <v>1023</v>
      </c>
      <c r="B213" s="4" t="s">
        <v>1024</v>
      </c>
      <c r="C213" s="4" t="str">
        <f ca="1">IFERROR(__xludf.DUMMYFUNCTION("IFERROR(GOOGLETRANSLATE(B213,""en"",""ja""),)"),"私の弟は医者です。")</f>
        <v>私の弟は医者です。</v>
      </c>
      <c r="D213" s="4" t="str">
        <f ca="1">IFERROR(__xludf.DUMMYFUNCTION("IFERROR(GOOGLETRANSLATE(B213,""en"",""zh-TW""),)"),"我弟弟是醫生。")</f>
        <v>我弟弟是醫生。</v>
      </c>
      <c r="E213" s="4" t="str">
        <f ca="1">IFERROR(__xludf.DUMMYFUNCTION("IFERROR(GOOGLETRANSLATE(B213,""en"",""zh-CN""),)"),"我弟弟是医生。")</f>
        <v>我弟弟是医生。</v>
      </c>
    </row>
    <row r="214" spans="1:5" ht="18">
      <c r="A214" s="3" t="s">
        <v>1026</v>
      </c>
      <c r="B214" s="4" t="str">
        <f ca="1">IFERROR(__xludf.DUMMYFUNCTION("IFERROR(GOOGLETRANSLATE(A214,""ko"",""en""),)"),"Yujin is my friend.")</f>
        <v>Yujin is my friend.</v>
      </c>
      <c r="C214" s="4" t="str">
        <f ca="1">IFERROR(__xludf.DUMMYFUNCTION("IFERROR(GOOGLETRANSLATE(B214,""en"",""ja""),)"),"ユジンは私の友達です。")</f>
        <v>ユジンは私の友達です。</v>
      </c>
      <c r="D214" s="4" t="str">
        <f ca="1">IFERROR(__xludf.DUMMYFUNCTION("IFERROR(GOOGLETRANSLATE(B214,""en"",""zh-TW""),)"),"Yujin是我的朋友。")</f>
        <v>Yujin是我的朋友。</v>
      </c>
      <c r="E214" s="4" t="str">
        <f ca="1">IFERROR(__xludf.DUMMYFUNCTION("IFERROR(GOOGLETRANSLATE(B214,""en"",""zh-CN""),)"),"Yujin是我的朋友。")</f>
        <v>Yujin是我的朋友。</v>
      </c>
    </row>
    <row r="215" spans="1:5" ht="18">
      <c r="A215" s="3" t="s">
        <v>1030</v>
      </c>
      <c r="B215" s="4" t="str">
        <f ca="1">IFERROR(__xludf.DUMMYFUNCTION("IFERROR(GOOGLETRANSLATE(A215,""ko"",""en""),)"),"This person is a police officer.")</f>
        <v>This person is a police officer.</v>
      </c>
      <c r="C215" s="4" t="str">
        <f ca="1">IFERROR(__xludf.DUMMYFUNCTION("IFERROR(GOOGLETRANSLATE(B215,""en"",""ja""),)"),"この人物は警察官です。")</f>
        <v>この人物は警察官です。</v>
      </c>
      <c r="D215" s="4" t="str">
        <f ca="1">IFERROR(__xludf.DUMMYFUNCTION("IFERROR(GOOGLETRANSLATE(B215,""en"",""zh-TW""),)"),"這個人是警察。")</f>
        <v>這個人是警察。</v>
      </c>
      <c r="E215" s="4" t="str">
        <f ca="1">IFERROR(__xludf.DUMMYFUNCTION("IFERROR(GOOGLETRANSLATE(B215,""en"",""zh-CN""),)"),"这个人是警察。")</f>
        <v>这个人是警察。</v>
      </c>
    </row>
    <row r="216" spans="1:5" ht="18">
      <c r="A216" s="3" t="s">
        <v>1035</v>
      </c>
      <c r="B216" s="4" t="str">
        <f ca="1">IFERROR(__xludf.DUMMYFUNCTION("IFERROR(GOOGLETRANSLATE(A216,""ko"",""en""),)"),"Anna's job is a student.")</f>
        <v>Anna's job is a student.</v>
      </c>
      <c r="C216" s="4" t="str">
        <f ca="1">IFERROR(__xludf.DUMMYFUNCTION("IFERROR(GOOGLETRANSLATE(B216,""en"",""ja""),)"),"アンナの仕事は学生です。")</f>
        <v>アンナの仕事は学生です。</v>
      </c>
      <c r="D216" s="4" t="str">
        <f ca="1">IFERROR(__xludf.DUMMYFUNCTION("IFERROR(GOOGLETRANSLATE(B216,""en"",""zh-TW""),)"),"安娜的職業是學生。")</f>
        <v>安娜的職業是學生。</v>
      </c>
      <c r="E216" s="4" t="str">
        <f ca="1">IFERROR(__xludf.DUMMYFUNCTION("IFERROR(GOOGLETRANSLATE(B216,""en"",""zh-CN""),)"),"安娜的职业是学生。")</f>
        <v>安娜的职业是学生。</v>
      </c>
    </row>
    <row r="217" spans="1:5" ht="18">
      <c r="A217" s="3" t="s">
        <v>1039</v>
      </c>
      <c r="B217" s="4" t="str">
        <f ca="1">IFERROR(__xludf.DUMMYFUNCTION("IFERROR(GOOGLETRANSLATE(A217,""ko"",""en""),)"),"Juno's job is an office worker.")</f>
        <v>Juno's job is an office worker.</v>
      </c>
      <c r="C217" s="4" t="str">
        <f ca="1">IFERROR(__xludf.DUMMYFUNCTION("IFERROR(GOOGLETRANSLATE(B217,""en"",""ja""),)"),"ジュノの仕事は事務員です。")</f>
        <v>ジュノの仕事は事務員です。</v>
      </c>
      <c r="D217" s="4" t="str">
        <f ca="1">IFERROR(__xludf.DUMMYFUNCTION("IFERROR(GOOGLETRANSLATE(B217,""en"",""zh-TW""),)"),"朱諾的工作是辦公室職員。")</f>
        <v>朱諾的工作是辦公室職員。</v>
      </c>
      <c r="E217" s="4" t="str">
        <f ca="1">IFERROR(__xludf.DUMMYFUNCTION("IFERROR(GOOGLETRANSLATE(B217,""en"",""zh-CN""),)"),"朱诺的工作是办公室职员。")</f>
        <v>朱诺的工作是办公室职员。</v>
      </c>
    </row>
    <row r="218" spans="1:5" ht="18">
      <c r="A218" s="3" t="s">
        <v>1043</v>
      </c>
      <c r="B218" s="4" t="str">
        <f ca="1">IFERROR(__xludf.DUMMYFUNCTION("IFERROR(GOOGLETRANSLATE(A218,""ko"",""en""),)"),"Hello. I'm Seo Yuri. I'm a university student.")</f>
        <v>Hello. I'm Seo Yuri. I'm a university student.</v>
      </c>
      <c r="C218" s="4" t="str">
        <f ca="1">IFERROR(__xludf.DUMMYFUNCTION("IFERROR(GOOGLETRANSLATE(B218,""en"",""ja""),)"),"こんにちは。ソ・ユリです。大学生です。")</f>
        <v>こんにちは。ソ・ユリです。大学生です。</v>
      </c>
      <c r="D218" s="4" t="str">
        <f ca="1">IFERROR(__xludf.DUMMYFUNCTION("IFERROR(GOOGLETRANSLATE(B218,""en"",""zh-TW""),)"),"大家好，我是徐宥利，大學生。")</f>
        <v>大家好，我是徐宥利，大學生。</v>
      </c>
      <c r="E218" s="4" t="str">
        <f ca="1">IFERROR(__xludf.DUMMYFUNCTION("IFERROR(GOOGLETRANSLATE(B218,""en"",""zh-CN""),)"),"大家好，我是徐宥利，一名大学生。")</f>
        <v>大家好，我是徐宥利，一名大学生。</v>
      </c>
    </row>
    <row r="219" spans="1:5" ht="18">
      <c r="A219" s="3" t="s">
        <v>1047</v>
      </c>
      <c r="B219" s="4" t="s">
        <v>1048</v>
      </c>
      <c r="C219" s="4" t="str">
        <f ca="1">IFERROR(__xludf.DUMMYFUNCTION("IFERROR(GOOGLETRANSLATE(B219,""en"",""ja""),)"),"もしもし？私の名前はイ・サジュンです。医者です。")</f>
        <v>もしもし？私の名前はイ・サジュンです。医者です。</v>
      </c>
      <c r="D219" s="4" t="str">
        <f ca="1">IFERROR(__xludf.DUMMYFUNCTION("IFERROR(GOOGLETRANSLATE(B219,""en"",""zh-TW""),)"),"你好？我叫李思俊，是醫生。")</f>
        <v>你好？我叫李思俊，是醫生。</v>
      </c>
      <c r="E219" s="4" t="str">
        <f ca="1">IFERROR(__xludf.DUMMYFUNCTION("IFERROR(GOOGLETRANSLATE(B219,""en"",""zh-CN""),)"),"你好？我叫李思俊，是一名医生。")</f>
        <v>你好？我叫李思俊，是一名医生。</v>
      </c>
    </row>
    <row r="220" spans="1:5" ht="18">
      <c r="A220" s="3" t="s">
        <v>1052</v>
      </c>
      <c r="B220" s="4" t="str">
        <f ca="1">IFERROR(__xludf.DUMMYFUNCTION("IFERROR(GOOGLETRANSLATE(A220,""ko"",""en""),)"),"Hello. I'm Mari. I'm an office worker.")</f>
        <v>Hello. I'm Mari. I'm an office worker.</v>
      </c>
      <c r="C220" s="4" t="str">
        <f ca="1">IFERROR(__xludf.DUMMYFUNCTION("IFERROR(GOOGLETRANSLATE(B220,""en"",""ja""),)"),"こんにちは。マリです。会社員です。")</f>
        <v>こんにちは。マリです。会社員です。</v>
      </c>
      <c r="D220" s="4" t="str">
        <f ca="1">IFERROR(__xludf.DUMMYFUNCTION("IFERROR(GOOGLETRANSLATE(B220,""en"",""zh-TW""),)"),"你好，我是瑪麗，上班族。")</f>
        <v>你好，我是瑪麗，上班族。</v>
      </c>
      <c r="E220" s="4" t="str">
        <f ca="1">IFERROR(__xludf.DUMMYFUNCTION("IFERROR(GOOGLETRANSLATE(B220,""en"",""zh-CN""),)"),"你好，我是玛丽，一名上班族。")</f>
        <v>你好，我是玛丽，一名上班族。</v>
      </c>
    </row>
    <row r="221" spans="1:5" ht="18">
      <c r="A221" s="3" t="s">
        <v>1058</v>
      </c>
      <c r="B221" s="4" t="s">
        <v>1059</v>
      </c>
      <c r="C221" s="4" t="str">
        <f ca="1">IFERROR(__xludf.DUMMYFUNCTION("IFERROR(GOOGLETRANSLATE(B221,""en"",""ja""),)"),"もしもし？私の名前はパク・ジユンです。教師をしています。")</f>
        <v>もしもし？私の名前はパク・ジユンです。教師をしています。</v>
      </c>
      <c r="D221" s="4" t="str">
        <f ca="1">IFERROR(__xludf.DUMMYFUNCTION("IFERROR(GOOGLETRANSLATE(B221,""en"",""zh-TW""),)"),"你好？我叫朴智允，是一名教師。")</f>
        <v>你好？我叫朴智允，是一名教師。</v>
      </c>
      <c r="E221" s="4" t="str">
        <f ca="1">IFERROR(__xludf.DUMMYFUNCTION("IFERROR(GOOGLETRANSLATE(B221,""en"",""zh-CN""),)"),"你好？我叫朴智允，是一名教师。")</f>
        <v>你好？我叫朴智允，是一名教师。</v>
      </c>
    </row>
    <row r="222" spans="1:5" ht="18">
      <c r="A222" s="3" t="s">
        <v>1062</v>
      </c>
      <c r="B222" s="4" t="s">
        <v>1063</v>
      </c>
      <c r="C222" s="4" t="str">
        <f ca="1">IFERROR(__xludf.DUMMYFUNCTION("IFERROR(GOOGLETRANSLATE(B222,""en"",""ja""),)"),"もしもし？私の名前はキム・ジンウです。私は警察官です。")</f>
        <v>もしもし？私の名前はキム・ジンウです。私は警察官です。</v>
      </c>
      <c r="D222" s="4" t="str">
        <f ca="1">IFERROR(__xludf.DUMMYFUNCTION("IFERROR(GOOGLETRANSLATE(B222,""en"",""zh-TW""),)"),"你好？我叫金鎮宇，是一名警察。")</f>
        <v>你好？我叫金鎮宇，是一名警察。</v>
      </c>
      <c r="E222" s="4" t="str">
        <f ca="1">IFERROR(__xludf.DUMMYFUNCTION("IFERROR(GOOGLETRANSLATE(B222,""en"",""zh-CN""),)"),"你好？我叫金镇宇，是一名警察。")</f>
        <v>你好？我叫金镇宇，是一名警察。</v>
      </c>
    </row>
    <row r="223" spans="1:5" ht="18">
      <c r="A223" s="3" t="s">
        <v>1067</v>
      </c>
      <c r="B223" s="4" t="s">
        <v>1069</v>
      </c>
      <c r="C223" s="4" t="str">
        <f ca="1">IFERROR(__xludf.DUMMYFUNCTION("IFERROR(GOOGLETRANSLATE(B223,""en"",""ja""),)"),"こんにちは。私の名前はウェイです。私は料理人です。")</f>
        <v>こんにちは。私の名前はウェイです。私は料理人です。</v>
      </c>
      <c r="D223" s="4" t="str">
        <f ca="1">IFERROR(__xludf.DUMMYFUNCTION("IFERROR(GOOGLETRANSLATE(B223,""en"",""zh-TW""),)"),"你好，我叫魏，我是一名廚師。")</f>
        <v>你好，我叫魏，我是一名廚師。</v>
      </c>
      <c r="E223" s="4" t="str">
        <f ca="1">IFERROR(__xludf.DUMMYFUNCTION("IFERROR(GOOGLETRANSLATE(B223,""en"",""zh-CN""),)"),"你好，我叫魏，我是一名厨师。")</f>
        <v>你好，我叫魏，我是一名厨师。</v>
      </c>
    </row>
    <row r="224" spans="1:5" ht="18">
      <c r="A224" s="2" t="s">
        <v>1072</v>
      </c>
      <c r="B224" s="4" t="s">
        <v>1073</v>
      </c>
      <c r="C224" s="4" t="str">
        <f ca="1">IFERROR(__xludf.DUMMYFUNCTION("IFERROR(GOOGLETRANSLATE(B224,""en"",""ja""),)"),"もしもし？私の名前はディットマンです。会社員です。")</f>
        <v>もしもし？私の名前はディットマンです。会社員です。</v>
      </c>
      <c r="D224" s="4" t="str">
        <f ca="1">IFERROR(__xludf.DUMMYFUNCTION("IFERROR(GOOGLETRANSLATE(B224,""en"",""zh-TW""),)"),"你好？我叫迪特曼，是一名辦公室職員。")</f>
        <v>你好？我叫迪特曼，是一名辦公室職員。</v>
      </c>
      <c r="E224" s="4" t="str">
        <f ca="1">IFERROR(__xludf.DUMMYFUNCTION("IFERROR(GOOGLETRANSLATE(B224,""en"",""zh-CN""),)"),"你好？我叫迪特曼，是一名办公室职员。")</f>
        <v>你好？我叫迪特曼，是一名办公室职员。</v>
      </c>
    </row>
    <row r="225" spans="1:5" ht="18">
      <c r="A225" s="5" t="s">
        <v>1077</v>
      </c>
      <c r="B225" s="4" t="str">
        <f ca="1">IFERROR(__xludf.DUMMYFUNCTION("IFERROR(GOOGLETRANSLATE(A225,""ko"",""en""),)"),"scissors")</f>
        <v>scissors</v>
      </c>
      <c r="C225" s="4" t="str">
        <f ca="1">IFERROR(__xludf.DUMMYFUNCTION("IFERROR(GOOGLETRANSLATE(B225,""en"",""ja""),)"),"ハサミ")</f>
        <v>ハサミ</v>
      </c>
      <c r="D225" s="4" t="str">
        <f ca="1">IFERROR(__xludf.DUMMYFUNCTION("IFERROR(GOOGLETRANSLATE(B225,""en"",""zh-TW""),)"),"剪刀")</f>
        <v>剪刀</v>
      </c>
      <c r="E225" s="4" t="str">
        <f ca="1">IFERROR(__xludf.DUMMYFUNCTION("IFERROR(GOOGLETRANSLATE(B225,""en"",""zh-CN""),)"),"剪刀")</f>
        <v>剪刀</v>
      </c>
    </row>
    <row r="226" spans="1:5" ht="18">
      <c r="A226" s="3" t="s">
        <v>1081</v>
      </c>
      <c r="B226" s="4" t="str">
        <f ca="1">IFERROR(__xludf.DUMMYFUNCTION("IFERROR(GOOGLETRANSLATE(A226,""ko"",""en""),)"),"art gallery")</f>
        <v>art gallery</v>
      </c>
      <c r="C226" s="4" t="s">
        <v>1083</v>
      </c>
      <c r="D226" s="4" t="str">
        <f ca="1">IFERROR(__xludf.DUMMYFUNCTION("IFERROR(GOOGLETRANSLATE(B226,""en"",""zh-TW""),)"),"美術館")</f>
        <v>美術館</v>
      </c>
      <c r="E226" s="4" t="str">
        <f ca="1">IFERROR(__xludf.DUMMYFUNCTION("IFERROR(GOOGLETRANSLATE(B226,""en"",""zh-CN""),)"),"美术馆")</f>
        <v>美术馆</v>
      </c>
    </row>
    <row r="227" spans="1:5" ht="18">
      <c r="A227" s="3" t="s">
        <v>1086</v>
      </c>
      <c r="B227" s="4" t="str">
        <f ca="1">IFERROR(__xludf.DUMMYFUNCTION("IFERROR(GOOGLETRANSLATE(A227,""ko"",""en""),)"),"library")</f>
        <v>library</v>
      </c>
      <c r="C227" s="4" t="str">
        <f ca="1">IFERROR(__xludf.DUMMYFUNCTION("IFERROR(GOOGLETRANSLATE(B227,""en"",""ja""),)"),"図書館")</f>
        <v>図書館</v>
      </c>
      <c r="D227" s="4" t="str">
        <f ca="1">IFERROR(__xludf.DUMMYFUNCTION("IFERROR(GOOGLETRANSLATE(B227,""en"",""zh-TW""),)"),"圖書館")</f>
        <v>圖書館</v>
      </c>
      <c r="E227" s="4" t="str">
        <f ca="1">IFERROR(__xludf.DUMMYFUNCTION("IFERROR(GOOGLETRANSLATE(B227,""en"",""zh-CN""),)"),"图书馆")</f>
        <v>图书馆</v>
      </c>
    </row>
    <row r="228" spans="1:5" ht="18">
      <c r="A228" s="3" t="s">
        <v>1091</v>
      </c>
      <c r="B228" s="4" t="str">
        <f ca="1">IFERROR(__xludf.DUMMYFUNCTION("IFERROR(GOOGLETRANSLATE(A228,""ko"",""en""),)"),"bed")</f>
        <v>bed</v>
      </c>
      <c r="C228" s="4" t="str">
        <f ca="1">IFERROR(__xludf.DUMMYFUNCTION("IFERROR(GOOGLETRANSLATE(B228,""en"",""ja""),)"),"ベッド")</f>
        <v>ベッド</v>
      </c>
      <c r="D228" s="4" t="str">
        <f ca="1">IFERROR(__xludf.DUMMYFUNCTION("IFERROR(GOOGLETRANSLATE(B228,""en"",""zh-TW""),)"),"床")</f>
        <v>床</v>
      </c>
      <c r="E228" s="4" t="str">
        <f ca="1">IFERROR(__xludf.DUMMYFUNCTION("IFERROR(GOOGLETRANSLATE(B228,""en"",""zh-CN""),)"),"床")</f>
        <v>床</v>
      </c>
    </row>
    <row r="229" spans="1:5" ht="18">
      <c r="A229" s="3" t="s">
        <v>329</v>
      </c>
      <c r="B229" s="4" t="str">
        <f ca="1">IFERROR(__xludf.DUMMYFUNCTION("IFERROR(GOOGLETRANSLATE(A229,""ko"",""en""),)"),"movie")</f>
        <v>movie</v>
      </c>
      <c r="C229" s="4" t="str">
        <f ca="1">IFERROR(__xludf.DUMMYFUNCTION("IFERROR(GOOGLETRANSLATE(B229,""en"",""ja""),)"),"映画")</f>
        <v>映画</v>
      </c>
      <c r="D229" s="4" t="str">
        <f ca="1">IFERROR(__xludf.DUMMYFUNCTION("IFERROR(GOOGLETRANSLATE(B229,""en"",""zh-TW""),)"),"電影")</f>
        <v>電影</v>
      </c>
      <c r="E229" s="4" t="str">
        <f ca="1">IFERROR(__xludf.DUMMYFUNCTION("IFERROR(GOOGLETRANSLATE(B229,""en"",""zh-CN""),)"),"电影")</f>
        <v>电影</v>
      </c>
    </row>
    <row r="230" spans="1:5" ht="18">
      <c r="A230" s="5" t="s">
        <v>1096</v>
      </c>
      <c r="B230" s="4" t="str">
        <f ca="1">IFERROR(__xludf.DUMMYFUNCTION("IFERROR(GOOGLETRANSLATE(A230,""ko"",""en""),)"),"white")</f>
        <v>white</v>
      </c>
      <c r="C230" s="4" t="str">
        <f ca="1">IFERROR(__xludf.DUMMYFUNCTION("IFERROR(GOOGLETRANSLATE(B230,""en"",""ja""),)"),"白")</f>
        <v>白</v>
      </c>
      <c r="D230" s="4" t="str">
        <f ca="1">IFERROR(__xludf.DUMMYFUNCTION("IFERROR(GOOGLETRANSLATE(B230,""en"",""zh-TW""),)"),"白色的")</f>
        <v>白色的</v>
      </c>
      <c r="E230" s="4" t="str">
        <f ca="1">IFERROR(__xludf.DUMMYFUNCTION("IFERROR(GOOGLETRANSLATE(B230,""en"",""zh-CN""),)"),"白色的")</f>
        <v>白色的</v>
      </c>
    </row>
    <row r="231" spans="1:5" ht="18">
      <c r="A231" s="3" t="s">
        <v>1100</v>
      </c>
      <c r="B231" s="4" t="str">
        <f ca="1">IFERROR(__xludf.DUMMYFUNCTION("IFERROR(GOOGLETRANSLATE(A231,""ko"",""en""),)"),"travel destination")</f>
        <v>travel destination</v>
      </c>
      <c r="C231" s="4" t="str">
        <f ca="1">IFERROR(__xludf.DUMMYFUNCTION("IFERROR(GOOGLETRANSLATE(B231,""en"",""ja""),)"),"旅行先")</f>
        <v>旅行先</v>
      </c>
      <c r="D231" s="4" t="str">
        <f ca="1">IFERROR(__xludf.DUMMYFUNCTION("IFERROR(GOOGLETRANSLATE(B231,""en"",""zh-TW""),)"),"旅遊目的地")</f>
        <v>旅遊目的地</v>
      </c>
      <c r="E231" s="4" t="str">
        <f ca="1">IFERROR(__xludf.DUMMYFUNCTION("IFERROR(GOOGLETRANSLATE(B231,""en"",""zh-CN""),)"),"旅游目的地")</f>
        <v>旅游目的地</v>
      </c>
    </row>
    <row r="232" spans="1:5" ht="18">
      <c r="A232" s="3" t="s">
        <v>306</v>
      </c>
      <c r="B232" s="4" t="str">
        <f ca="1">IFERROR(__xludf.DUMMYFUNCTION("IFERROR(GOOGLETRANSLATE(A232,""ko"",""en""),)"),"company")</f>
        <v>company</v>
      </c>
      <c r="C232" s="4" t="str">
        <f ca="1">IFERROR(__xludf.DUMMYFUNCTION("IFERROR(GOOGLETRANSLATE(B232,""en"",""ja""),)"),"会社")</f>
        <v>会社</v>
      </c>
      <c r="D232" s="4" t="str">
        <f ca="1">IFERROR(__xludf.DUMMYFUNCTION("IFERROR(GOOGLETRANSLATE(B232,""en"",""zh-TW""),)"),"公司")</f>
        <v>公司</v>
      </c>
      <c r="E232" s="4" t="str">
        <f ca="1">IFERROR(__xludf.DUMMYFUNCTION("IFERROR(GOOGLETRANSLATE(B232,""en"",""zh-CN""),)"),"公司")</f>
        <v>公司</v>
      </c>
    </row>
    <row r="233" spans="1:5" ht="18">
      <c r="A233" s="3" t="s">
        <v>1108</v>
      </c>
      <c r="B233" s="4" t="str">
        <f ca="1">IFERROR(__xludf.DUMMYFUNCTION("IFERROR(GOOGLETRANSLATE(A233,""ko"",""en""),)"),"park")</f>
        <v>park</v>
      </c>
      <c r="C233" s="4" t="str">
        <f ca="1">IFERROR(__xludf.DUMMYFUNCTION("IFERROR(GOOGLETRANSLATE(B233,""en"",""ja""),)"),"公園")</f>
        <v>公園</v>
      </c>
      <c r="D233" s="4" t="str">
        <f ca="1">IFERROR(__xludf.DUMMYFUNCTION("IFERROR(GOOGLETRANSLATE(B233,""en"",""zh-TW""),)"),"公園")</f>
        <v>公園</v>
      </c>
      <c r="E233" s="4" t="str">
        <f ca="1">IFERROR(__xludf.DUMMYFUNCTION("IFERROR(GOOGLETRANSLATE(B233,""en"",""zh-CN""),)"),"公园")</f>
        <v>公园</v>
      </c>
    </row>
    <row r="234" spans="1:5" ht="18">
      <c r="A234" s="3" t="s">
        <v>1113</v>
      </c>
      <c r="B234" s="4" t="str">
        <f ca="1">IFERROR(__xludf.DUMMYFUNCTION("IFERROR(GOOGLETRANSLATE(A234,""ko"",""en""),)"),"everyday")</f>
        <v>everyday</v>
      </c>
      <c r="C234" s="4" t="str">
        <f ca="1">IFERROR(__xludf.DUMMYFUNCTION("IFERROR(GOOGLETRANSLATE(B234,""en"",""ja""),)"),"日常")</f>
        <v>日常</v>
      </c>
      <c r="D234" s="4" t="str">
        <f ca="1">IFERROR(__xludf.DUMMYFUNCTION("IFERROR(GOOGLETRANSLATE(B234,""en"",""zh-TW""),)"),"每天")</f>
        <v>每天</v>
      </c>
      <c r="E234" s="4" t="str">
        <f ca="1">IFERROR(__xludf.DUMMYFUNCTION("IFERROR(GOOGLETRANSLATE(B234,""en"",""zh-CN""),)"),"每天")</f>
        <v>每天</v>
      </c>
    </row>
    <row r="235" spans="1:5" ht="18">
      <c r="A235" s="3" t="s">
        <v>1118</v>
      </c>
      <c r="B235" s="4" t="str">
        <f ca="1">IFERROR(__xludf.DUMMYFUNCTION("IFERROR(GOOGLETRANSLATE(A235,""ko"",""en""),)"),"mister")</f>
        <v>mister</v>
      </c>
      <c r="C235" s="4" t="str">
        <f ca="1">IFERROR(__xludf.DUMMYFUNCTION("IFERROR(GOOGLETRANSLATE(B235,""en"",""ja""),)"),"ミスター")</f>
        <v>ミスター</v>
      </c>
      <c r="D235" s="4" t="str">
        <f ca="1">IFERROR(__xludf.DUMMYFUNCTION("IFERROR(GOOGLETRANSLATE(B235,""en"",""zh-TW""),)"),"先生")</f>
        <v>先生</v>
      </c>
      <c r="E235" s="4" t="str">
        <f ca="1">IFERROR(__xludf.DUMMYFUNCTION("IFERROR(GOOGLETRANSLATE(B235,""en"",""zh-CN""),)"),"先生")</f>
        <v>先生</v>
      </c>
    </row>
    <row r="236" spans="1:5" ht="18">
      <c r="A236" s="3" t="s">
        <v>1124</v>
      </c>
      <c r="B236" s="4" t="str">
        <f ca="1">IFERROR(__xludf.DUMMYFUNCTION("IFERROR(GOOGLETRANSLATE(A236,""ko"",""en""),)"),"auntie")</f>
        <v>auntie</v>
      </c>
      <c r="C236" s="4" t="str">
        <f ca="1">IFERROR(__xludf.DUMMYFUNCTION("IFERROR(GOOGLETRANSLATE(B236,""en"",""ja""),)"),"おばさん")</f>
        <v>おばさん</v>
      </c>
      <c r="D236" s="4" t="str">
        <f ca="1">IFERROR(__xludf.DUMMYFUNCTION("IFERROR(GOOGLETRANSLATE(B236,""en"",""zh-TW""),)"),"阿姨")</f>
        <v>阿姨</v>
      </c>
      <c r="E236" s="4" t="str">
        <f ca="1">IFERROR(__xludf.DUMMYFUNCTION("IFERROR(GOOGLETRANSLATE(B236,""en"",""zh-CN""),)"),"阿姨")</f>
        <v>阿姨</v>
      </c>
    </row>
    <row r="237" spans="1:5" ht="18">
      <c r="A237" s="3" t="s">
        <v>1128</v>
      </c>
      <c r="B237" s="4" t="str">
        <f ca="1">IFERROR(__xludf.DUMMYFUNCTION("IFERROR(GOOGLETRANSLATE(A237,""ko"",""en""),)"),"madam")</f>
        <v>madam</v>
      </c>
      <c r="C237" s="4" t="str">
        <f ca="1">IFERROR(__xludf.DUMMYFUNCTION("IFERROR(GOOGLETRANSLATE(B237,""en"",""ja""),)"),"マダム")</f>
        <v>マダム</v>
      </c>
      <c r="D237" s="4" t="str">
        <f ca="1">IFERROR(__xludf.DUMMYFUNCTION("IFERROR(GOOGLETRANSLATE(B237,""en"",""zh-TW""),)"),"女士")</f>
        <v>女士</v>
      </c>
      <c r="E237" s="4" t="str">
        <f ca="1">IFERROR(__xludf.DUMMYFUNCTION("IFERROR(GOOGLETRANSLATE(B237,""en"",""zh-CN""),)"),"女士")</f>
        <v>女士</v>
      </c>
    </row>
    <row r="238" spans="1:5" ht="18">
      <c r="A238" s="3" t="s">
        <v>1135</v>
      </c>
      <c r="B238" s="4" t="str">
        <f ca="1">IFERROR(__xludf.DUMMYFUNCTION("IFERROR(GOOGLETRANSLATE(A238,""ko"",""en""),)"),"mother")</f>
        <v>mother</v>
      </c>
      <c r="C238" s="4" t="str">
        <f ca="1">IFERROR(__xludf.DUMMYFUNCTION("IFERROR(GOOGLETRANSLATE(B238,""en"",""ja""),)"),"母親")</f>
        <v>母親</v>
      </c>
      <c r="D238" s="4" t="str">
        <f ca="1">IFERROR(__xludf.DUMMYFUNCTION("IFERROR(GOOGLETRANSLATE(B238,""en"",""zh-TW""),)"),"母親")</f>
        <v>母親</v>
      </c>
      <c r="E238" s="4" t="str">
        <f ca="1">IFERROR(__xludf.DUMMYFUNCTION("IFERROR(GOOGLETRANSLATE(B238,""en"",""zh-CN""),)"),"母亲")</f>
        <v>母亲</v>
      </c>
    </row>
    <row r="239" spans="1:5" ht="18">
      <c r="A239" s="3" t="s">
        <v>1139</v>
      </c>
      <c r="B239" s="4" t="str">
        <f ca="1">IFERROR(__xludf.DUMMYFUNCTION("IFERROR(GOOGLETRANSLATE(A239,""ko"",""en""),)"),"mom")</f>
        <v>mom</v>
      </c>
      <c r="C239" s="4" t="str">
        <f ca="1">IFERROR(__xludf.DUMMYFUNCTION("IFERROR(GOOGLETRANSLATE(B239,""en"",""ja""),)"),"お母さん")</f>
        <v>お母さん</v>
      </c>
      <c r="D239" s="4" t="str">
        <f ca="1">IFERROR(__xludf.DUMMYFUNCTION("IFERROR(GOOGLETRANSLATE(B239,""en"",""zh-TW""),)"),"媽媽")</f>
        <v>媽媽</v>
      </c>
      <c r="E239" s="4" t="str">
        <f ca="1">IFERROR(__xludf.DUMMYFUNCTION("IFERROR(GOOGLETRANSLATE(B239,""en"",""zh-CN""),)"),"妈妈")</f>
        <v>妈妈</v>
      </c>
    </row>
    <row r="240" spans="1:5" ht="18">
      <c r="A240" s="3" t="s">
        <v>899</v>
      </c>
      <c r="B240" s="4" t="str">
        <f ca="1">IFERROR(__xludf.DUMMYFUNCTION("IFERROR(GOOGLETRANSLATE(A240,""ko"",""en""),)"),"older sister")</f>
        <v>older sister</v>
      </c>
      <c r="C240" s="4" t="str">
        <f ca="1">IFERROR(__xludf.DUMMYFUNCTION("IFERROR(GOOGLETRANSLATE(B240,""en"",""ja""),)"),"姉")</f>
        <v>姉</v>
      </c>
      <c r="D240" s="4" t="str">
        <f ca="1">IFERROR(__xludf.DUMMYFUNCTION("IFERROR(GOOGLETRANSLATE(B240,""en"",""zh-TW""),)"),"姊姊")</f>
        <v>姊姊</v>
      </c>
      <c r="E240" s="4" t="str">
        <f ca="1">IFERROR(__xludf.DUMMYFUNCTION("IFERROR(GOOGLETRANSLATE(B240,""en"",""zh-CN""),)"),"姐姐")</f>
        <v>姐姐</v>
      </c>
    </row>
    <row r="241" spans="1:5" ht="18">
      <c r="A241" s="2" t="s">
        <v>902</v>
      </c>
      <c r="B241" s="4" t="s">
        <v>904</v>
      </c>
      <c r="C241" s="4" t="str">
        <f ca="1">IFERROR(__xludf.DUMMYFUNCTION("IFERROR(GOOGLETRANSLATE(B241,""en"",""ja""),)"),"年配の男性")</f>
        <v>年配の男性</v>
      </c>
      <c r="D241" s="4" t="str">
        <f ca="1">IFERROR(__xludf.DUMMYFUNCTION("IFERROR(GOOGLETRANSLATE(B241,""en"",""zh-TW""),)"),"年長的男性")</f>
        <v>年長的男性</v>
      </c>
      <c r="E241" s="4" t="str">
        <f ca="1">IFERROR(__xludf.DUMMYFUNCTION("IFERROR(GOOGLETRANSLATE(B241,""en"",""zh-CN""),)"),"年长的男性")</f>
        <v>年长的男性</v>
      </c>
    </row>
    <row r="242" spans="1:5" ht="18">
      <c r="A242" s="2" t="s">
        <v>1152</v>
      </c>
      <c r="B242" s="4" t="str">
        <f ca="1">IFERROR(__xludf.DUMMYFUNCTION("IFERROR(GOOGLETRANSLATE(A242,""ko"",""en""),)"),"It hurts")</f>
        <v>It hurts</v>
      </c>
      <c r="C242" s="4" t="str">
        <f ca="1">IFERROR(__xludf.DUMMYFUNCTION("IFERROR(GOOGLETRANSLATE(B242,""en"",""ja""),)"),"それは痛い")</f>
        <v>それは痛い</v>
      </c>
      <c r="D242" s="4" t="str">
        <f ca="1">IFERROR(__xludf.DUMMYFUNCTION("IFERROR(GOOGLETRANSLATE(B242,""en"",""zh-TW""),)"),"好痛")</f>
        <v>好痛</v>
      </c>
      <c r="E242" s="4" t="str">
        <f ca="1">IFERROR(__xludf.DUMMYFUNCTION("IFERROR(GOOGLETRANSLATE(B242,""en"",""zh-CN""),)"),"好痛")</f>
        <v>好痛</v>
      </c>
    </row>
    <row r="243" spans="1:5" ht="18">
      <c r="A243" s="3" t="s">
        <v>1156</v>
      </c>
      <c r="B243" s="4" t="s">
        <v>1157</v>
      </c>
      <c r="C243" s="4" t="str">
        <f ca="1">IFERROR(__xludf.DUMMYFUNCTION("IFERROR(GOOGLETRANSLATE(B243,""en"",""ja""),)"),"歯が痛い")</f>
        <v>歯が痛い</v>
      </c>
      <c r="D243" s="4" t="str">
        <f ca="1">IFERROR(__xludf.DUMMYFUNCTION("IFERROR(GOOGLETRANSLATE(B243,""en"",""zh-TW""),)"),"我牙疼。")</f>
        <v>我牙疼。</v>
      </c>
      <c r="E243" s="4" t="str">
        <f ca="1">IFERROR(__xludf.DUMMYFUNCTION("IFERROR(GOOGLETRANSLATE(B243,""en"",""zh-CN""),)"),"我牙疼。")</f>
        <v>我牙疼。</v>
      </c>
    </row>
    <row r="244" spans="1:5" ht="18">
      <c r="A244" s="3" t="s">
        <v>1159</v>
      </c>
      <c r="B244" s="4" t="str">
        <f ca="1">IFERROR(__xludf.DUMMYFUNCTION("IFERROR(GOOGLETRANSLATE(A244,""ko"",""en""),)"),"My head hurts.")</f>
        <v>My head hurts.</v>
      </c>
      <c r="C244" s="4" t="str">
        <f ca="1">IFERROR(__xludf.DUMMYFUNCTION("IFERROR(GOOGLETRANSLATE(B244,""en"",""ja""),)"),"頭が痛い。")</f>
        <v>頭が痛い。</v>
      </c>
      <c r="D244" s="4" t="str">
        <f ca="1">IFERROR(__xludf.DUMMYFUNCTION("IFERROR(GOOGLETRANSLATE(B244,""en"",""zh-TW""),)"),"我頭痛。")</f>
        <v>我頭痛。</v>
      </c>
      <c r="E244" s="4" t="str">
        <f ca="1">IFERROR(__xludf.DUMMYFUNCTION("IFERROR(GOOGLETRANSLATE(B244,""en"",""zh-CN""),)"),"我头疼。")</f>
        <v>我头疼。</v>
      </c>
    </row>
    <row r="245" spans="1:5" ht="18">
      <c r="A245" s="2" t="s">
        <v>1162</v>
      </c>
      <c r="B245" s="4" t="str">
        <f ca="1">IFERROR(__xludf.DUMMYFUNCTION("IFERROR(GOOGLETRANSLATE(A245,""ko"",""en""),)"),"honey")</f>
        <v>honey</v>
      </c>
      <c r="C245" s="4" t="str">
        <f ca="1">IFERROR(__xludf.DUMMYFUNCTION("IFERROR(GOOGLETRANSLATE(B245,""en"",""ja""),)"),"ハニー")</f>
        <v>ハニー</v>
      </c>
      <c r="D245" s="4" t="str">
        <f ca="1">IFERROR(__xludf.DUMMYFUNCTION("IFERROR(GOOGLETRANSLATE(B245,""en"",""zh-TW""),)"),"蜂蜜")</f>
        <v>蜂蜜</v>
      </c>
      <c r="E245" s="4" t="str">
        <f ca="1">IFERROR(__xludf.DUMMYFUNCTION("IFERROR(GOOGLETRANSLATE(B245,""en"",""zh-CN""),)"),"蜂蜜")</f>
        <v>蜂蜜</v>
      </c>
    </row>
    <row r="246" spans="1:5" ht="18">
      <c r="A246" s="5" t="s">
        <v>1164</v>
      </c>
      <c r="B246" s="4" t="str">
        <f ca="1">IFERROR(__xludf.DUMMYFUNCTION("IFERROR(GOOGLETRANSLATE(A246,""ko"",""en""),)"),"hello")</f>
        <v>hello</v>
      </c>
      <c r="C246" s="4" t="str">
        <f ca="1">IFERROR(__xludf.DUMMYFUNCTION("IFERROR(GOOGLETRANSLATE(B246,""en"",""ja""),)"),"こんにちは")</f>
        <v>こんにちは</v>
      </c>
      <c r="D246" s="4" t="str">
        <f ca="1">IFERROR(__xludf.DUMMYFUNCTION("IFERROR(GOOGLETRANSLATE(B246,""en"",""zh-TW""),)"),"你好")</f>
        <v>你好</v>
      </c>
      <c r="E246" s="4" t="str">
        <f ca="1">IFERROR(__xludf.DUMMYFUNCTION("IFERROR(GOOGLETRANSLATE(B246,""en"",""zh-CN""),)"),"你好")</f>
        <v>你好</v>
      </c>
    </row>
    <row r="247" spans="1:5" ht="18">
      <c r="A247" s="3" t="s">
        <v>770</v>
      </c>
      <c r="B247" s="4" t="str">
        <f ca="1">IFERROR(__xludf.DUMMYFUNCTION("IFERROR(GOOGLETRANSLATE(A247,""ko"",""en""),)"),"younger sister")</f>
        <v>younger sister</v>
      </c>
      <c r="C247" s="4" t="str">
        <f ca="1">IFERROR(__xludf.DUMMYFUNCTION("IFERROR(GOOGLETRANSLATE(B247,""en"",""ja""),)"),"妹")</f>
        <v>妹</v>
      </c>
      <c r="D247" s="4" t="str">
        <f ca="1">IFERROR(__xludf.DUMMYFUNCTION("IFERROR(GOOGLETRANSLATE(B247,""en"",""zh-TW""),)"),"妹妹")</f>
        <v>妹妹</v>
      </c>
      <c r="E247" s="4" t="str">
        <f ca="1">IFERROR(__xludf.DUMMYFUNCTION("IFERROR(GOOGLETRANSLATE(B247,""en"",""zh-CN""),)"),"妹妹")</f>
        <v>妹妹</v>
      </c>
    </row>
    <row r="248" spans="1:5" ht="18">
      <c r="A248" s="3" t="s">
        <v>1171</v>
      </c>
      <c r="B248" s="4" t="str">
        <f ca="1">IFERROR(__xludf.DUMMYFUNCTION("IFERROR(GOOGLETRANSLATE(A248,""ko"",""en""),)"),"Here you go")</f>
        <v>Here you go</v>
      </c>
      <c r="C248" s="4" t="str">
        <f ca="1">IFERROR(__xludf.DUMMYFUNCTION("IFERROR(GOOGLETRANSLATE(B248,""en"",""ja""),)"),"どうぞ")</f>
        <v>どうぞ</v>
      </c>
      <c r="D248" s="4" t="str">
        <f ca="1">IFERROR(__xludf.DUMMYFUNCTION("IFERROR(GOOGLETRANSLATE(B248,""en"",""zh-TW""),)"),"幹得好")</f>
        <v>幹得好</v>
      </c>
      <c r="E248" s="4" t="str">
        <f ca="1">IFERROR(__xludf.DUMMYFUNCTION("IFERROR(GOOGLETRANSLATE(B248,""en"",""zh-CN""),)"),"干得好")</f>
        <v>干得好</v>
      </c>
    </row>
    <row r="249" spans="1:5" ht="18">
      <c r="A249" s="3" t="s">
        <v>1177</v>
      </c>
      <c r="B249" s="4" t="str">
        <f ca="1">IFERROR(__xludf.DUMMYFUNCTION("IFERROR(GOOGLETRANSLATE(A249,""ko"",""en""),)"),"all")</f>
        <v>all</v>
      </c>
      <c r="C249" s="4" t="str">
        <f ca="1">IFERROR(__xludf.DUMMYFUNCTION("IFERROR(GOOGLETRANSLATE(B249,""en"",""ja""),)"),"全て")</f>
        <v>全て</v>
      </c>
      <c r="D249" s="4" t="str">
        <f ca="1">IFERROR(__xludf.DUMMYFUNCTION("IFERROR(GOOGLETRANSLATE(B249,""en"",""zh-TW""),)"),"全部")</f>
        <v>全部</v>
      </c>
      <c r="E249" s="4" t="str">
        <f ca="1">IFERROR(__xludf.DUMMYFUNCTION("IFERROR(GOOGLETRANSLATE(B249,""en"",""zh-CN""),)"),"全部")</f>
        <v>全部</v>
      </c>
    </row>
    <row r="250" spans="1:5" ht="18">
      <c r="A250" s="3" t="s">
        <v>1182</v>
      </c>
      <c r="B250" s="4" t="str">
        <f ca="1">IFERROR(__xludf.DUMMYFUNCTION("IFERROR(GOOGLETRANSLATE(A250,""ko"",""en""),)"),"Eat it all.")</f>
        <v>Eat it all.</v>
      </c>
      <c r="C250" s="4" t="str">
        <f ca="1">IFERROR(__xludf.DUMMYFUNCTION("IFERROR(GOOGLETRANSLATE(B250,""en"",""ja""),)"),"全部食べなさい。")</f>
        <v>全部食べなさい。</v>
      </c>
      <c r="D250" s="4" t="str">
        <f ca="1">IFERROR(__xludf.DUMMYFUNCTION("IFERROR(GOOGLETRANSLATE(B250,""en"",""zh-TW""),)"),"全部吃掉。")</f>
        <v>全部吃掉。</v>
      </c>
      <c r="E250" s="4" t="str">
        <f ca="1">IFERROR(__xludf.DUMMYFUNCTION("IFERROR(GOOGLETRANSLATE(B250,""en"",""zh-CN""),)"),"全部吃掉。")</f>
        <v>全部吃掉。</v>
      </c>
    </row>
    <row r="251" spans="1:5" ht="18">
      <c r="A251" s="2" t="s">
        <v>1185</v>
      </c>
      <c r="B251" s="4" t="str">
        <f ca="1">IFERROR(__xludf.DUMMYFUNCTION("IFERROR(GOOGLETRANSLATE(A251,""ko"",""en""),)"),"I'm done.")</f>
        <v>I'm done.</v>
      </c>
      <c r="C251" s="4" t="str">
        <f ca="1">IFERROR(__xludf.DUMMYFUNCTION("IFERROR(GOOGLETRANSLATE(B251,""en"",""ja""),)"),"私は終わった。")</f>
        <v>私は終わった。</v>
      </c>
      <c r="D251" s="4" t="str">
        <f ca="1">IFERROR(__xludf.DUMMYFUNCTION("IFERROR(GOOGLETRANSLATE(B251,""en"",""zh-TW""),)"),"我受夠了。")</f>
        <v>我受夠了。</v>
      </c>
      <c r="E251" s="4" t="str">
        <f ca="1">IFERROR(__xludf.DUMMYFUNCTION("IFERROR(GOOGLETRANSLATE(B251,""en"",""zh-CN""),)"),"我受够了。")</f>
        <v>我受够了。</v>
      </c>
    </row>
    <row r="252" spans="1:5" ht="18">
      <c r="A252" s="3" t="s">
        <v>1190</v>
      </c>
      <c r="B252" s="4" t="str">
        <f ca="1">IFERROR(__xludf.DUMMYFUNCTION("IFERROR(GOOGLETRANSLATE(A252,""ko"",""en""),)"),"...")</f>
        <v>...</v>
      </c>
      <c r="C252" s="4" t="str">
        <f ca="1">IFERROR(__xludf.DUMMYFUNCTION("IFERROR(GOOGLETRANSLATE(B252,""en"",""ja""),)"),"...")</f>
        <v>...</v>
      </c>
      <c r="D252" s="4" t="str">
        <f ca="1">IFERROR(__xludf.DUMMYFUNCTION("IFERROR(GOOGLETRANSLATE(B252,""en"",""zh-TW""),)"),"……")</f>
        <v>……</v>
      </c>
      <c r="E252" s="4" t="str">
        <f ca="1">IFERROR(__xludf.DUMMYFUNCTION("IFERROR(GOOGLETRANSLATE(B252,""en"",""zh-CN""),)"),"...")</f>
        <v>...</v>
      </c>
    </row>
    <row r="253" spans="1:5" ht="18">
      <c r="A253" s="5" t="s">
        <v>1192</v>
      </c>
      <c r="B253" s="4" t="str">
        <f ca="1">IFERROR(__xludf.DUMMYFUNCTION("IFERROR(GOOGLETRANSLATE(A253,""ko"",""en""),)"),"nice to meet you")</f>
        <v>nice to meet you</v>
      </c>
      <c r="C253" s="4" t="str">
        <f ca="1">IFERROR(__xludf.DUMMYFUNCTION("IFERROR(GOOGLETRANSLATE(B253,""en"",""ja""),)"),"はじめまして")</f>
        <v>はじめまして</v>
      </c>
      <c r="D253" s="4" t="str">
        <f ca="1">IFERROR(__xludf.DUMMYFUNCTION("IFERROR(GOOGLETRANSLATE(B253,""en"",""zh-TW""),)"),"很高興見到你")</f>
        <v>很高興見到你</v>
      </c>
      <c r="E253" s="4" t="str">
        <f ca="1">IFERROR(__xludf.DUMMYFUNCTION("IFERROR(GOOGLETRANSLATE(B253,""en"",""zh-CN""),)"),"很高兴见到你")</f>
        <v>很高兴见到你</v>
      </c>
    </row>
    <row r="254" spans="1:5" ht="18">
      <c r="A254" s="2" t="s">
        <v>1197</v>
      </c>
      <c r="B254" s="4" t="str">
        <f ca="1">IFERROR(__xludf.DUMMYFUNCTION("IFERROR(GOOGLETRANSLATE(A254,""ko"",""en""),)"),"Nice to meet you")</f>
        <v>Nice to meet you</v>
      </c>
      <c r="C254" s="4" t="str">
        <f ca="1">IFERROR(__xludf.DUMMYFUNCTION("IFERROR(GOOGLETRANSLATE(B254,""en"",""ja""),)"),"はじめまして")</f>
        <v>はじめまして</v>
      </c>
      <c r="D254" s="4" t="str">
        <f ca="1">IFERROR(__xludf.DUMMYFUNCTION("IFERROR(GOOGLETRANSLATE(B254,""en"",""zh-TW""),)"),"很高興見到你")</f>
        <v>很高興見到你</v>
      </c>
      <c r="E254" s="4" t="str">
        <f ca="1">IFERROR(__xludf.DUMMYFUNCTION("IFERROR(GOOGLETRANSLATE(B254,""en"",""zh-CN""),)"),"很高兴见到你")</f>
        <v>很高兴见到你</v>
      </c>
    </row>
    <row r="255" spans="1:5" ht="18">
      <c r="A255" s="3" t="s">
        <v>177</v>
      </c>
      <c r="B255" s="4" t="str">
        <f ca="1">IFERROR(__xludf.DUMMYFUNCTION("IFERROR(GOOGLETRANSLATE(A255,""ko"",""en""),)"),"ramen")</f>
        <v>ramen</v>
      </c>
      <c r="C255" s="4" t="str">
        <f ca="1">IFERROR(__xludf.DUMMYFUNCTION("IFERROR(GOOGLETRANSLATE(B255,""en"",""ja""),)"),"拉麺")</f>
        <v>拉麺</v>
      </c>
      <c r="D255" s="4" t="str">
        <f ca="1">IFERROR(__xludf.DUMMYFUNCTION("IFERROR(GOOGLETRANSLATE(B255,""en"",""zh-TW""),)"),"拉麵")</f>
        <v>拉麵</v>
      </c>
      <c r="E255" s="4" t="str">
        <f ca="1">IFERROR(__xludf.DUMMYFUNCTION("IFERROR(GOOGLETRANSLATE(B255,""en"",""zh-CN""),)"),"拉面")</f>
        <v>拉面</v>
      </c>
    </row>
    <row r="256" spans="1:5" ht="18">
      <c r="A256" s="5" t="s">
        <v>1205</v>
      </c>
      <c r="B256" s="4" t="str">
        <f ca="1">IFERROR(__xludf.DUMMYFUNCTION("IFERROR(GOOGLETRANSLATE(A256,""ko"",""en""),)"),"mild flavor")</f>
        <v>mild flavor</v>
      </c>
      <c r="C256" s="4" t="str">
        <f ca="1">IFERROR(__xludf.DUMMYFUNCTION("IFERROR(GOOGLETRANSLATE(B256,""en"",""ja""),)"),"マイルドな風味")</f>
        <v>マイルドな風味</v>
      </c>
      <c r="D256" s="4" t="str">
        <f ca="1">IFERROR(__xludf.DUMMYFUNCTION("IFERROR(GOOGLETRANSLATE(B256,""en"",""zh-TW""),)"),"口味清淡")</f>
        <v>口味清淡</v>
      </c>
      <c r="E256" s="4" t="str">
        <f ca="1">IFERROR(__xludf.DUMMYFUNCTION("IFERROR(GOOGLETRANSLATE(B256,""en"",""zh-CN""),)"),"口味清淡")</f>
        <v>口味清淡</v>
      </c>
    </row>
    <row r="257" spans="1:5" ht="18">
      <c r="A257" s="3" t="s">
        <v>17</v>
      </c>
      <c r="B257" s="4" t="str">
        <f ca="1">IFERROR(__xludf.DUMMYFUNCTION("IFERROR(GOOGLETRANSLATE(A257,""ko"",""en""),)"),"ocean")</f>
        <v>ocean</v>
      </c>
      <c r="C257" s="4" t="str">
        <f ca="1">IFERROR(__xludf.DUMMYFUNCTION("IFERROR(GOOGLETRANSLATE(B257,""en"",""ja""),)"),"海")</f>
        <v>海</v>
      </c>
      <c r="D257" s="4" t="str">
        <f ca="1">IFERROR(__xludf.DUMMYFUNCTION("IFERROR(GOOGLETRANSLATE(B257,""en"",""zh-TW""),)"),"海洋")</f>
        <v>海洋</v>
      </c>
      <c r="E257" s="4" t="str">
        <f ca="1">IFERROR(__xludf.DUMMYFUNCTION("IFERROR(GOOGLETRANSLATE(B257,""en"",""zh-CN""),)"),"海洋")</f>
        <v>海洋</v>
      </c>
    </row>
    <row r="258" spans="1:5" ht="18">
      <c r="A258" s="3" t="s">
        <v>1213</v>
      </c>
      <c r="B258" s="4" t="str">
        <f ca="1">IFERROR(__xludf.DUMMYFUNCTION("IFERROR(GOOGLETRANSLATE(A258,""ko"",""en""),)"),"Let's go to the sea")</f>
        <v>Let's go to the sea</v>
      </c>
      <c r="C258" s="4" t="str">
        <f ca="1">IFERROR(__xludf.DUMMYFUNCTION("IFERROR(GOOGLETRANSLATE(B258,""en"",""ja""),)"),"海へ行こう")</f>
        <v>海へ行こう</v>
      </c>
      <c r="D258" s="4" t="str">
        <f ca="1">IFERROR(__xludf.DUMMYFUNCTION("IFERROR(GOOGLETRANSLATE(B258,""en"",""zh-TW""),)"),"我們去海邊吧")</f>
        <v>我們去海邊吧</v>
      </c>
      <c r="E258" s="4" t="str">
        <f ca="1">IFERROR(__xludf.DUMMYFUNCTION("IFERROR(GOOGLETRANSLATE(B258,""en"",""zh-CN""),)"),"我们去海边吧")</f>
        <v>我们去海边吧</v>
      </c>
    </row>
    <row r="259" spans="1:5" ht="18">
      <c r="A259" s="3" t="s">
        <v>1217</v>
      </c>
      <c r="B259" s="4" t="str">
        <f ca="1">IFERROR(__xludf.DUMMYFUNCTION("IFERROR(GOOGLETRANSLATE(A259,""ko"",""en""),)"),"I go to school")</f>
        <v>I go to school</v>
      </c>
      <c r="C259" s="4" t="str">
        <f ca="1">IFERROR(__xludf.DUMMYFUNCTION("IFERROR(GOOGLETRANSLATE(B259,""en"",""ja""),)"),"私は学校に行きます")</f>
        <v>私は学校に行きます</v>
      </c>
      <c r="D259" s="4" t="str">
        <f ca="1">IFERROR(__xludf.DUMMYFUNCTION("IFERROR(GOOGLETRANSLATE(B259,""en"",""zh-TW""),)"),"我去上學")</f>
        <v>我去上學</v>
      </c>
      <c r="E259" s="4" t="str">
        <f ca="1">IFERROR(__xludf.DUMMYFUNCTION("IFERROR(GOOGLETRANSLATE(B259,""en"",""zh-CN""),)"),"我去上学")</f>
        <v>我去上学</v>
      </c>
    </row>
    <row r="260" spans="1:5" ht="18">
      <c r="A260" s="3" t="s">
        <v>1221</v>
      </c>
      <c r="B260" s="4" t="str">
        <f ca="1">IFERROR(__xludf.DUMMYFUNCTION("IFERROR(GOOGLETRANSLATE(A260,""ko"",""en""),)"),"I'm going to work.")</f>
        <v>I'm going to work.</v>
      </c>
      <c r="C260" s="4" t="str">
        <f ca="1">IFERROR(__xludf.DUMMYFUNCTION("IFERROR(GOOGLETRANSLATE(B260,""en"",""ja""),)"),"仕事に行きます。")</f>
        <v>仕事に行きます。</v>
      </c>
      <c r="D260" s="4" t="str">
        <f ca="1">IFERROR(__xludf.DUMMYFUNCTION("IFERROR(GOOGLETRANSLATE(B260,""en"",""zh-TW""),)"),"我要去上班了。")</f>
        <v>我要去上班了。</v>
      </c>
      <c r="E260" s="4" t="str">
        <f ca="1">IFERROR(__xludf.DUMMYFUNCTION("IFERROR(GOOGLETRANSLATE(B260,""en"",""zh-CN""),)"),"我要去上班了。")</f>
        <v>我要去上班了。</v>
      </c>
    </row>
    <row r="261" spans="1:5" ht="18">
      <c r="A261" s="5" t="s">
        <v>1226</v>
      </c>
      <c r="B261" s="4" t="str">
        <f ca="1">IFERROR(__xludf.DUMMYFUNCTION("IFERROR(GOOGLETRANSLATE(A261,""ko"",""en""),)"),"Please give me a flat white.")</f>
        <v>Please give me a flat white.</v>
      </c>
      <c r="C261" s="4" t="str">
        <f ca="1">IFERROR(__xludf.DUMMYFUNCTION("IFERROR(GOOGLETRANSLATE(B261,""en"",""ja""),)"),"フラットホワイトをお願いします。")</f>
        <v>フラットホワイトをお願いします。</v>
      </c>
      <c r="D261" s="4" t="str">
        <f ca="1">IFERROR(__xludf.DUMMYFUNCTION("IFERROR(GOOGLETRANSLATE(B261,""en"",""zh-TW""),)"),"請給我一杯澳白咖啡。")</f>
        <v>請給我一杯澳白咖啡。</v>
      </c>
      <c r="E261" s="4" t="str">
        <f ca="1">IFERROR(__xludf.DUMMYFUNCTION("IFERROR(GOOGLETRANSLATE(B261,""en"",""zh-CN""),)"),"请给我一杯澳白咖啡。")</f>
        <v>请给我一杯澳白咖啡。</v>
      </c>
    </row>
    <row r="262" spans="1:5" ht="18">
      <c r="A262" s="3" t="s">
        <v>1230</v>
      </c>
      <c r="B262" s="4" t="str">
        <f ca="1">IFERROR(__xludf.DUMMYFUNCTION("IFERROR(GOOGLETRANSLATE(A262,""ko"",""en""),)"),"Please give me a flat white.")</f>
        <v>Please give me a flat white.</v>
      </c>
      <c r="C262" s="4" t="str">
        <f ca="1">IFERROR(__xludf.DUMMYFUNCTION("IFERROR(GOOGLETRANSLATE(B262,""en"",""ja""),)"),"フラットホワイトをお願いします。")</f>
        <v>フラットホワイトをお願いします。</v>
      </c>
      <c r="D262" s="4" t="str">
        <f ca="1">IFERROR(__xludf.DUMMYFUNCTION("IFERROR(GOOGLETRANSLATE(B262,""en"",""zh-TW""),)"),"請給我一杯澳白咖啡。")</f>
        <v>請給我一杯澳白咖啡。</v>
      </c>
      <c r="E262" s="4" t="str">
        <f ca="1">IFERROR(__xludf.DUMMYFUNCTION("IFERROR(GOOGLETRANSLATE(B262,""en"",""zh-CN""),)"),"请给我一杯澳白咖啡。")</f>
        <v>请给我一杯澳白咖啡。</v>
      </c>
    </row>
    <row r="263" spans="1:5" ht="18">
      <c r="A263" s="5" t="s">
        <v>1233</v>
      </c>
      <c r="B263" s="4" t="str">
        <f ca="1">IFERROR(__xludf.DUMMYFUNCTION("IFERROR(GOOGLETRANSLATE(A263,""ko"",""en""),)"),"Repeat after me.")</f>
        <v>Repeat after me.</v>
      </c>
      <c r="C263" s="4" t="str">
        <f ca="1">IFERROR(__xludf.DUMMYFUNCTION("IFERROR(GOOGLETRANSLATE(B263,""en"",""ja""),)"),"私の後に続いてください。")</f>
        <v>私の後に続いてください。</v>
      </c>
      <c r="D263" s="4" t="str">
        <f ca="1">IFERROR(__xludf.DUMMYFUNCTION("IFERROR(GOOGLETRANSLATE(B263,""en"",""zh-TW""),)"),"請跟我重複。")</f>
        <v>請跟我重複。</v>
      </c>
      <c r="E263" s="4" t="str">
        <f ca="1">IFERROR(__xludf.DUMMYFUNCTION("IFERROR(GOOGLETRANSLATE(B263,""en"",""zh-CN""),)"),"请跟我重复。")</f>
        <v>请跟我重复。</v>
      </c>
    </row>
    <row r="264" spans="1:5" ht="18">
      <c r="A264" s="5" t="s">
        <v>1237</v>
      </c>
      <c r="B264" s="4" t="str">
        <f ca="1">IFERROR(__xludf.DUMMYFUNCTION("IFERROR(GOOGLETRANSLATE(A264,""ko"",""en""),)"),"kiss")</f>
        <v>kiss</v>
      </c>
      <c r="C264" s="4" t="str">
        <f ca="1">IFERROR(__xludf.DUMMYFUNCTION("IFERROR(GOOGLETRANSLATE(B264,""en"",""ja""),)"),"キス")</f>
        <v>キス</v>
      </c>
      <c r="D264" s="4" t="str">
        <f ca="1">IFERROR(__xludf.DUMMYFUNCTION("IFERROR(GOOGLETRANSLATE(B264,""en"",""zh-TW""),)"),"吻")</f>
        <v>吻</v>
      </c>
      <c r="E264" s="4" t="str">
        <f ca="1">IFERROR(__xludf.DUMMYFUNCTION("IFERROR(GOOGLETRANSLATE(B264,""en"",""zh-CN""),)"),"吻")</f>
        <v>吻</v>
      </c>
    </row>
    <row r="265" spans="1:5" ht="18">
      <c r="A265" s="3" t="s">
        <v>1240</v>
      </c>
      <c r="B265" s="4" t="str">
        <f ca="1">IFERROR(__xludf.DUMMYFUNCTION("IFERROR(GOOGLETRANSLATE(A265,""ko"",""en""),)"),"buy")</f>
        <v>buy</v>
      </c>
      <c r="C265" s="4" t="str">
        <f ca="1">IFERROR(__xludf.DUMMYFUNCTION("IFERROR(GOOGLETRANSLATE(B265,""en"",""ja""),)"),"買う")</f>
        <v>買う</v>
      </c>
      <c r="D265" s="4" t="str">
        <f ca="1">IFERROR(__xludf.DUMMYFUNCTION("IFERROR(GOOGLETRANSLATE(B265,""en"",""zh-TW""),)"),"買")</f>
        <v>買</v>
      </c>
      <c r="E265" s="4" t="str">
        <f ca="1">IFERROR(__xludf.DUMMYFUNCTION("IFERROR(GOOGLETRANSLATE(B265,""en"",""zh-CN""),)"),"买")</f>
        <v>买</v>
      </c>
    </row>
    <row r="266" spans="1:5" ht="18">
      <c r="A266" s="3" t="s">
        <v>1244</v>
      </c>
      <c r="B266" s="4" t="str">
        <f ca="1">IFERROR(__xludf.DUMMYFUNCTION("IFERROR(GOOGLETRANSLATE(A266,""ko"",""en""),)"),"It's cheap")</f>
        <v>It's cheap</v>
      </c>
      <c r="C266" s="4" t="str">
        <f ca="1">IFERROR(__xludf.DUMMYFUNCTION("IFERROR(GOOGLETRANSLATE(B266,""en"",""ja""),)"),"安い")</f>
        <v>安い</v>
      </c>
      <c r="D266" s="4" t="str">
        <f ca="1">IFERROR(__xludf.DUMMYFUNCTION("IFERROR(GOOGLETRANSLATE(B266,""en"",""zh-TW""),)"),"它很便宜。")</f>
        <v>它很便宜。</v>
      </c>
      <c r="E266" s="4" t="str">
        <f ca="1">IFERROR(__xludf.DUMMYFUNCTION("IFERROR(GOOGLETRANSLATE(B266,""en"",""zh-CN""),)"),"它很便宜。")</f>
        <v>它很便宜。</v>
      </c>
    </row>
    <row r="267" spans="1:5" ht="18">
      <c r="A267" s="3" t="s">
        <v>1248</v>
      </c>
      <c r="B267" s="4" t="str">
        <f ca="1">IFERROR(__xludf.DUMMYFUNCTION("IFERROR(GOOGLETRANSLATE(A267,""ko"",""en""),)"),"It's expensive")</f>
        <v>It's expensive</v>
      </c>
      <c r="C267" s="4" t="str">
        <f ca="1">IFERROR(__xludf.DUMMYFUNCTION("IFERROR(GOOGLETRANSLATE(B267,""en"",""ja""),)"),"高価です")</f>
        <v>高価です</v>
      </c>
      <c r="D267" s="4" t="str">
        <f ca="1">IFERROR(__xludf.DUMMYFUNCTION("IFERROR(GOOGLETRANSLATE(B267,""en"",""zh-TW""),)"),"它很貴。")</f>
        <v>它很貴。</v>
      </c>
      <c r="E267" s="4" t="str">
        <f ca="1">IFERROR(__xludf.DUMMYFUNCTION("IFERROR(GOOGLETRANSLATE(B267,""en"",""zh-CN""),)"),"它很贵。")</f>
        <v>它很贵。</v>
      </c>
    </row>
    <row r="268" spans="1:5" ht="18">
      <c r="A268" s="3" t="s">
        <v>1250</v>
      </c>
      <c r="B268" s="4" t="str">
        <f ca="1">IFERROR(__xludf.DUMMYFUNCTION("IFERROR(GOOGLETRANSLATE(A268,""ko"",""en""),)"),"I'm buying a bag")</f>
        <v>I'm buying a bag</v>
      </c>
      <c r="C268" s="4" t="str">
        <f ca="1">IFERROR(__xludf.DUMMYFUNCTION("IFERROR(GOOGLETRANSLATE(B268,""en"",""ja""),)"),"バッグを買います")</f>
        <v>バッグを買います</v>
      </c>
      <c r="D268" s="4" t="str">
        <f ca="1">IFERROR(__xludf.DUMMYFUNCTION("IFERROR(GOOGLETRANSLATE(B268,""en"",""zh-TW""),)"),"我要買個包")</f>
        <v>我要買個包</v>
      </c>
      <c r="E268" s="4" t="str">
        <f ca="1">IFERROR(__xludf.DUMMYFUNCTION("IFERROR(GOOGLETRANSLATE(B268,""en"",""zh-CN""),)"),"我要买个包")</f>
        <v>我要买个包</v>
      </c>
    </row>
    <row r="269" spans="1:5" ht="18">
      <c r="A269" s="3" t="s">
        <v>1255</v>
      </c>
      <c r="B269" s="4" t="str">
        <f ca="1">IFERROR(__xludf.DUMMYFUNCTION("IFERROR(GOOGLETRANSLATE(A269,""ko"",""en""),)"),"Hangang Park")</f>
        <v>Hangang Park</v>
      </c>
      <c r="C269" s="4" t="str">
        <f ca="1">IFERROR(__xludf.DUMMYFUNCTION("IFERROR(GOOGLETRANSLATE(B269,""en"",""ja""),)"),"漢江公園")</f>
        <v>漢江公園</v>
      </c>
      <c r="D269" s="4" t="str">
        <f ca="1">IFERROR(__xludf.DUMMYFUNCTION("IFERROR(GOOGLETRANSLATE(B269,""en"",""zh-TW""),)"),"漢江公園")</f>
        <v>漢江公園</v>
      </c>
      <c r="E269" s="4" t="str">
        <f ca="1">IFERROR(__xludf.DUMMYFUNCTION("IFERROR(GOOGLETRANSLATE(B269,""en"",""zh-CN""),)"),"汉江公园")</f>
        <v>汉江公园</v>
      </c>
    </row>
    <row r="270" spans="1:5" ht="18">
      <c r="A270" s="3" t="s">
        <v>1260</v>
      </c>
      <c r="B270" s="4" t="str">
        <f ca="1">IFERROR(__xludf.DUMMYFUNCTION("IFERROR(GOOGLETRANSLATE(A270,""ko"",""en""),)"),"I study Korean every day")</f>
        <v>I study Korean every day</v>
      </c>
      <c r="C270" s="4" t="str">
        <f ca="1">IFERROR(__xludf.DUMMYFUNCTION("IFERROR(GOOGLETRANSLATE(B270,""en"",""ja""),)"),"私は毎日韓国語を勉強しています")</f>
        <v>私は毎日韓国語を勉強しています</v>
      </c>
      <c r="D270" s="4" t="str">
        <f ca="1">IFERROR(__xludf.DUMMYFUNCTION("IFERROR(GOOGLETRANSLATE(B270,""en"",""zh-TW""),)"),"我每天都學習韓語")</f>
        <v>我每天都學習韓語</v>
      </c>
      <c r="E270" s="4" t="str">
        <f ca="1">IFERROR(__xludf.DUMMYFUNCTION("IFERROR(GOOGLETRANSLATE(B270,""en"",""zh-CN""),)"),"我每天都学习韩语")</f>
        <v>我每天都学习韩语</v>
      </c>
    </row>
    <row r="271" spans="1:5" ht="18">
      <c r="A271" s="3" t="s">
        <v>1263</v>
      </c>
      <c r="B271" s="4" t="str">
        <f ca="1">IFERROR(__xludf.DUMMYFUNCTION("IFERROR(GOOGLETRANSLATE(A271,""ko"",""en""),)"),"each week")</f>
        <v>each week</v>
      </c>
      <c r="C271" s="4" t="str">
        <f ca="1">IFERROR(__xludf.DUMMYFUNCTION("IFERROR(GOOGLETRANSLATE(B271,""en"",""ja""),)"),"毎週")</f>
        <v>毎週</v>
      </c>
      <c r="D271" s="4" t="str">
        <f ca="1">IFERROR(__xludf.DUMMYFUNCTION("IFERROR(GOOGLETRANSLATE(B271,""en"",""zh-TW""),)"),"每週")</f>
        <v>每週</v>
      </c>
      <c r="E271" s="4" t="str">
        <f ca="1">IFERROR(__xludf.DUMMYFUNCTION("IFERROR(GOOGLETRANSLATE(B271,""en"",""zh-CN""),)"),"每周")</f>
        <v>每周</v>
      </c>
    </row>
    <row r="272" spans="1:5" ht="18">
      <c r="A272" s="3" t="s">
        <v>1268</v>
      </c>
      <c r="B272" s="4" t="str">
        <f ca="1">IFERROR(__xludf.DUMMYFUNCTION("IFERROR(GOOGLETRANSLATE(A272,""ko"",""en""),)"),"Every month")</f>
        <v>Every month</v>
      </c>
      <c r="C272" s="4" t="str">
        <f ca="1">IFERROR(__xludf.DUMMYFUNCTION("IFERROR(GOOGLETRANSLATE(B272,""en"",""ja""),)"),"毎月")</f>
        <v>毎月</v>
      </c>
      <c r="D272" s="4" t="str">
        <f ca="1">IFERROR(__xludf.DUMMYFUNCTION("IFERROR(GOOGLETRANSLATE(B272,""en"",""zh-TW""),)"),"每個月")</f>
        <v>每個月</v>
      </c>
      <c r="E272" s="4" t="str">
        <f ca="1">IFERROR(__xludf.DUMMYFUNCTION("IFERROR(GOOGLETRANSLATE(B272,""en"",""zh-CN""),)"),"每个月")</f>
        <v>每个月</v>
      </c>
    </row>
    <row r="273" spans="1:5" ht="18">
      <c r="A273" s="3" t="s">
        <v>1274</v>
      </c>
      <c r="B273" s="4" t="str">
        <f ca="1">IFERROR(__xludf.DUMMYFUNCTION("IFERROR(GOOGLETRANSLATE(A273,""ko"",""en""),)"),"My job")</f>
        <v>My job</v>
      </c>
      <c r="C273" s="4" t="str">
        <f ca="1">IFERROR(__xludf.DUMMYFUNCTION("IFERROR(GOOGLETRANSLATE(B273,""en"",""ja""),)"),"私の仕事")</f>
        <v>私の仕事</v>
      </c>
      <c r="D273" s="4" t="str">
        <f ca="1">IFERROR(__xludf.DUMMYFUNCTION("IFERROR(GOOGLETRANSLATE(B273,""en"",""zh-TW""),)"),"我的工作")</f>
        <v>我的工作</v>
      </c>
      <c r="E273" s="4" t="str">
        <f ca="1">IFERROR(__xludf.DUMMYFUNCTION("IFERROR(GOOGLETRANSLATE(B273,""en"",""zh-CN""),)"),"我的工作")</f>
        <v>我的工作</v>
      </c>
    </row>
    <row r="274" spans="1:5" ht="18">
      <c r="A274" s="3" t="s">
        <v>1277</v>
      </c>
      <c r="B274" s="4" t="str">
        <f ca="1">IFERROR(__xludf.DUMMYFUNCTION("IFERROR(GOOGLETRANSLATE(A274,""ko"",""en""),)"),"My job is an office worker.")</f>
        <v>My job is an office worker.</v>
      </c>
      <c r="C274" s="4" t="str">
        <f ca="1">IFERROR(__xludf.DUMMYFUNCTION("IFERROR(GOOGLETRANSLATE(B274,""en"",""ja""),)"),"私の仕事は事務員です。")</f>
        <v>私の仕事は事務員です。</v>
      </c>
      <c r="D274" s="4" t="str">
        <f ca="1">IFERROR(__xludf.DUMMYFUNCTION("IFERROR(GOOGLETRANSLATE(B274,""en"",""zh-TW""),)"),"我的工作是辦公室職員。")</f>
        <v>我的工作是辦公室職員。</v>
      </c>
      <c r="E274" s="4" t="str">
        <f ca="1">IFERROR(__xludf.DUMMYFUNCTION("IFERROR(GOOGLETRANSLATE(B274,""en"",""zh-CN""),)"),"我的工作是办公室职员。")</f>
        <v>我的工作是办公室职员。</v>
      </c>
    </row>
    <row r="275" spans="1:5" ht="18">
      <c r="A275" s="3" t="s">
        <v>581</v>
      </c>
      <c r="B275" s="4" t="str">
        <f ca="1">IFERROR(__xludf.DUMMYFUNCTION("IFERROR(GOOGLETRANSLATE(A275,""ko"",""en""),)"),"Australian")</f>
        <v>Australian</v>
      </c>
      <c r="C275" s="4" t="str">
        <f ca="1">IFERROR(__xludf.DUMMYFUNCTION("IFERROR(GOOGLETRANSLATE(B275,""en"",""ja""),)"),"オーストラリア")</f>
        <v>オーストラリア</v>
      </c>
      <c r="D275" s="4" t="str">
        <f ca="1">IFERROR(__xludf.DUMMYFUNCTION("IFERROR(GOOGLETRANSLATE(B275,""en"",""zh-TW""),)"),"澳洲")</f>
        <v>澳洲</v>
      </c>
      <c r="E275" s="4" t="str">
        <f ca="1">IFERROR(__xludf.DUMMYFUNCTION("IFERROR(GOOGLETRANSLATE(B275,""en"",""zh-CN""),)"),"澳大利亚")</f>
        <v>澳大利亚</v>
      </c>
    </row>
    <row r="276" spans="1:5" ht="18">
      <c r="A276" s="3" t="s">
        <v>1285</v>
      </c>
      <c r="B276" s="4" t="str">
        <f ca="1">IFERROR(__xludf.DUMMYFUNCTION("IFERROR(GOOGLETRANSLATE(A276,""ko"",""en""),)"),"I am Australian.")</f>
        <v>I am Australian.</v>
      </c>
      <c r="C276" s="4" t="str">
        <f ca="1">IFERROR(__xludf.DUMMYFUNCTION("IFERROR(GOOGLETRANSLATE(B276,""en"",""ja""),)"),"私はオーストラリア人です。")</f>
        <v>私はオーストラリア人です。</v>
      </c>
      <c r="D276" s="4" t="str">
        <f ca="1">IFERROR(__xludf.DUMMYFUNCTION("IFERROR(GOOGLETRANSLATE(B276,""en"",""zh-TW""),)"),"我是澳洲人。")</f>
        <v>我是澳洲人。</v>
      </c>
      <c r="E276" s="4" t="str">
        <f ca="1">IFERROR(__xludf.DUMMYFUNCTION("IFERROR(GOOGLETRANSLATE(B276,""en"",""zh-CN""),)"),"我是澳大利亚人。")</f>
        <v>我是澳大利亚人。</v>
      </c>
    </row>
    <row r="277" spans="1:5" ht="18">
      <c r="A277" s="3" t="s">
        <v>528</v>
      </c>
      <c r="B277" s="4" t="str">
        <f ca="1">IFERROR(__xludf.DUMMYFUNCTION("IFERROR(GOOGLETRANSLATE(A277,""ko"",""en""),)"),"where are you from?")</f>
        <v>where are you from?</v>
      </c>
      <c r="C277" s="4" t="str">
        <f ca="1">IFERROR(__xludf.DUMMYFUNCTION("IFERROR(GOOGLETRANSLATE(B277,""en"",""ja""),)"),"どこの出身ですか？")</f>
        <v>どこの出身ですか？</v>
      </c>
      <c r="D277" s="4" t="str">
        <f ca="1">IFERROR(__xludf.DUMMYFUNCTION("IFERROR(GOOGLETRANSLATE(B277,""en"",""zh-TW""),)"),"你從哪裡來？")</f>
        <v>你從哪裡來？</v>
      </c>
      <c r="E277" s="4" t="str">
        <f ca="1">IFERROR(__xludf.DUMMYFUNCTION("IFERROR(GOOGLETRANSLATE(B277,""en"",""zh-CN""),)"),"你从哪来？")</f>
        <v>你从哪来？</v>
      </c>
    </row>
    <row r="278" spans="1:5" ht="18">
      <c r="A278" s="3" t="s">
        <v>77</v>
      </c>
      <c r="B278" s="4" t="str">
        <f ca="1">IFERROR(__xludf.DUMMYFUNCTION("IFERROR(GOOGLETRANSLATE(A278,""ko"",""en""),)"),"nurse")</f>
        <v>nurse</v>
      </c>
      <c r="C278" s="4" t="str">
        <f ca="1">IFERROR(__xludf.DUMMYFUNCTION("IFERROR(GOOGLETRANSLATE(B278,""en"",""ja""),)"),"看護師")</f>
        <v>看護師</v>
      </c>
      <c r="D278" s="4" t="str">
        <f ca="1">IFERROR(__xludf.DUMMYFUNCTION("IFERROR(GOOGLETRANSLATE(B278,""en"",""zh-TW""),)"),"護士")</f>
        <v>護士</v>
      </c>
      <c r="E278" s="4" t="str">
        <f ca="1">IFERROR(__xludf.DUMMYFUNCTION("IFERROR(GOOGLETRANSLATE(B278,""en"",""zh-CN""),)"),"护士")</f>
        <v>护士</v>
      </c>
    </row>
    <row r="279" spans="1:5" ht="18">
      <c r="A279" s="3" t="s">
        <v>287</v>
      </c>
      <c r="B279" s="4" t="s">
        <v>288</v>
      </c>
      <c r="C279" s="4" t="str">
        <f ca="1">IFERROR(__xludf.DUMMYFUNCTION("IFERROR(GOOGLETRANSLATE(B279,""en"",""ja""),)"),"韓国料理")</f>
        <v>韓国料理</v>
      </c>
      <c r="D279" s="4" t="str">
        <f ca="1">IFERROR(__xludf.DUMMYFUNCTION("IFERROR(GOOGLETRANSLATE(B279,""en"",""zh-TW""),)"),"韓國料理")</f>
        <v>韓國料理</v>
      </c>
      <c r="E279" s="4" t="str">
        <f ca="1">IFERROR(__xludf.DUMMYFUNCTION("IFERROR(GOOGLETRANSLATE(B279,""en"",""zh-CN""),)"),"韩国料理")</f>
        <v>韩国料理</v>
      </c>
    </row>
    <row r="280" spans="1:5" ht="18">
      <c r="A280" s="3" t="s">
        <v>1298</v>
      </c>
      <c r="B280" s="4" t="str">
        <f ca="1">IFERROR(__xludf.DUMMYFUNCTION("IFERROR(GOOGLETRANSLATE(A280,""ko"",""en""),)"),"Hanok")</f>
        <v>Hanok</v>
      </c>
      <c r="C280" s="4" t="str">
        <f ca="1">IFERROR(__xludf.DUMMYFUNCTION("IFERROR(GOOGLETRANSLATE(B280,""en"",""ja""),)"),"韓屋")</f>
        <v>韓屋</v>
      </c>
      <c r="D280" s="4" t="str">
        <f ca="1">IFERROR(__xludf.DUMMYFUNCTION("IFERROR(GOOGLETRANSLATE(B280,""en"",""zh-TW""),)"),"韓屋")</f>
        <v>韓屋</v>
      </c>
      <c r="E280" s="4" t="str">
        <f ca="1">IFERROR(__xludf.DUMMYFUNCTION("IFERROR(GOOGLETRANSLATE(B280,""en"",""zh-CN""),)"),"韩屋")</f>
        <v>韩屋</v>
      </c>
    </row>
    <row r="281" spans="1:5" ht="18">
      <c r="A281" s="5" t="s">
        <v>1302</v>
      </c>
      <c r="B281" s="4" t="str">
        <f ca="1">IFERROR(__xludf.DUMMYFUNCTION("IFERROR(GOOGLETRANSLATE(A281,""ko"",""en""),)"),"Please introduce yourself.")</f>
        <v>Please introduce yourself.</v>
      </c>
      <c r="C281" s="4" t="str">
        <f ca="1">IFERROR(__xludf.DUMMYFUNCTION("IFERROR(GOOGLETRANSLATE(B281,""en"",""ja""),)"),"自己紹介をお願いします。")</f>
        <v>自己紹介をお願いします。</v>
      </c>
      <c r="D281" s="4" t="str">
        <f ca="1">IFERROR(__xludf.DUMMYFUNCTION("IFERROR(GOOGLETRANSLATE(B281,""en"",""zh-TW""),)"),"請你自我介紹一下。")</f>
        <v>請你自我介紹一下。</v>
      </c>
      <c r="E281" s="4" t="str">
        <f ca="1">IFERROR(__xludf.DUMMYFUNCTION("IFERROR(GOOGLETRANSLATE(B281,""en"",""zh-CN""),)"),"请你自我介绍一下。")</f>
        <v>请你自我介绍一下。</v>
      </c>
    </row>
    <row r="282" spans="1:5" ht="18">
      <c r="A282" s="3" t="s">
        <v>665</v>
      </c>
      <c r="B282" s="4" t="str">
        <f ca="1">IFERROR(__xludf.DUMMYFUNCTION("IFERROR(GOOGLETRANSLATE(A282,""ko"",""en""),)"),"this")</f>
        <v>this</v>
      </c>
      <c r="C282" s="4" t="str">
        <f ca="1">IFERROR(__xludf.DUMMYFUNCTION("IFERROR(GOOGLETRANSLATE(B282,""en"",""ja""),)"),"これ")</f>
        <v>これ</v>
      </c>
      <c r="D282" s="4" t="str">
        <f ca="1">IFERROR(__xludf.DUMMYFUNCTION("IFERROR(GOOGLETRANSLATE(B282,""en"",""zh-TW""),)"),"這")</f>
        <v>這</v>
      </c>
      <c r="E282" s="4" t="str">
        <f ca="1">IFERROR(__xludf.DUMMYFUNCTION("IFERROR(GOOGLETRANSLATE(B282,""en"",""zh-CN""),)"),"这")</f>
        <v>这</v>
      </c>
    </row>
    <row r="283" spans="1:5" ht="18">
      <c r="A283" s="3" t="s">
        <v>1308</v>
      </c>
      <c r="B283" s="4" t="str">
        <f ca="1">IFERROR(__xludf.DUMMYFUNCTION("IFERROR(GOOGLETRANSLATE(A283,""ko"",""en""),)"),"that")</f>
        <v>that</v>
      </c>
      <c r="C283" s="4" t="str">
        <f ca="1">IFERROR(__xludf.DUMMYFUNCTION("IFERROR(GOOGLETRANSLATE(B283,""en"",""ja""),)"),"それ")</f>
        <v>それ</v>
      </c>
      <c r="D283" s="4" t="str">
        <f ca="1">IFERROR(__xludf.DUMMYFUNCTION("IFERROR(GOOGLETRANSLATE(B283,""en"",""zh-TW""),)"),"那")</f>
        <v>那</v>
      </c>
      <c r="E283" s="4" t="str">
        <f ca="1">IFERROR(__xludf.DUMMYFUNCTION("IFERROR(GOOGLETRANSLATE(B283,""en"",""zh-CN""),)"),"那")</f>
        <v>那</v>
      </c>
    </row>
    <row r="284" spans="1:5" ht="18">
      <c r="A284" s="3" t="s">
        <v>866</v>
      </c>
      <c r="B284" s="4" t="s">
        <v>1313</v>
      </c>
      <c r="C284" s="4" t="str">
        <f ca="1">IFERROR(__xludf.DUMMYFUNCTION("IFERROR(GOOGLETRANSLATE(B284,""en"",""ja""),)"),"（遠く離れた）")</f>
        <v>（遠く離れた）</v>
      </c>
      <c r="D284" s="4" t="str">
        <f ca="1">IFERROR(__xludf.DUMMYFUNCTION("IFERROR(GOOGLETRANSLATE(B284,""en"",""zh-TW""),)"),"（遙遠的地方）")</f>
        <v>（遙遠的地方）</v>
      </c>
      <c r="E284" s="4" t="str">
        <f ca="1">IFERROR(__xludf.DUMMYFUNCTION("IFERROR(GOOGLETRANSLATE(B284,""en"",""zh-CN""),)"),"（遥远的地方）")</f>
        <v>（遥远的地方）</v>
      </c>
    </row>
    <row r="285" spans="1:5" ht="18">
      <c r="A285" s="3" t="s">
        <v>1318</v>
      </c>
      <c r="B285" s="4" t="str">
        <f ca="1">IFERROR(__xludf.DUMMYFUNCTION("IFERROR(GOOGLETRANSLATE(A285,""ko"",""en""),)"),"What is your phone number?")</f>
        <v>What is your phone number?</v>
      </c>
      <c r="C285" s="4" t="str">
        <f ca="1">IFERROR(__xludf.DUMMYFUNCTION("IFERROR(GOOGLETRANSLATE(B285,""en"",""ja""),)"),"あなたの電話番号は何番ですか？")</f>
        <v>あなたの電話番号は何番ですか？</v>
      </c>
      <c r="D285" s="4" t="str">
        <f ca="1">IFERROR(__xludf.DUMMYFUNCTION("IFERROR(GOOGLETRANSLATE(B285,""en"",""zh-TW""),)"),"你的電話號碼是什麼？")</f>
        <v>你的電話號碼是什麼？</v>
      </c>
      <c r="E285" s="4" t="str">
        <f ca="1">IFERROR(__xludf.DUMMYFUNCTION("IFERROR(GOOGLETRANSLATE(B285,""en"",""zh-CN""),)"),"你的电话号码是什么？")</f>
        <v>你的电话号码是什么？</v>
      </c>
    </row>
    <row r="286" spans="1:5" ht="18">
      <c r="A286" s="2" t="s">
        <v>1322</v>
      </c>
      <c r="B286" s="4" t="str">
        <f ca="1">IFERROR(__xludf.DUMMYFUNCTION("IFERROR(GOOGLETRANSLATE(A286,""ko"",""en""),)"),"how much is this?")</f>
        <v>how much is this?</v>
      </c>
      <c r="C286" s="4" t="str">
        <f ca="1">IFERROR(__xludf.DUMMYFUNCTION("IFERROR(GOOGLETRANSLATE(B286,""en"",""ja""),)"),"これはいくらですか？")</f>
        <v>これはいくらですか？</v>
      </c>
      <c r="D286" s="4" t="str">
        <f ca="1">IFERROR(__xludf.DUMMYFUNCTION("IFERROR(GOOGLETRANSLATE(B286,""en"",""zh-TW""),)"),"這個多少錢？")</f>
        <v>這個多少錢？</v>
      </c>
      <c r="E286" s="4" t="str">
        <f ca="1">IFERROR(__xludf.DUMMYFUNCTION("IFERROR(GOOGLETRANSLATE(B286,""en"",""zh-CN""),)"),"这个多少钱？")</f>
        <v>这个多少钱？</v>
      </c>
    </row>
    <row r="287" spans="1:5" ht="18">
      <c r="A287" s="3" t="s">
        <v>1326</v>
      </c>
      <c r="B287" s="4" t="str">
        <f ca="1">IFERROR(__xludf.DUMMYFUNCTION("IFERROR(GOOGLETRANSLATE(A287,""ko"",""en""),)"),"5,000 won")</f>
        <v>5,000 won</v>
      </c>
      <c r="C287" s="4" t="str">
        <f ca="1">IFERROR(__xludf.DUMMYFUNCTION("IFERROR(GOOGLETRANSLATE(B287,""en"",""ja""),)"),"5,000ウォン")</f>
        <v>5,000ウォン</v>
      </c>
      <c r="D287" s="4" t="str">
        <f ca="1">IFERROR(__xludf.DUMMYFUNCTION("IFERROR(GOOGLETRANSLATE(B287,""en"",""zh-TW""),)"),"5000韓元")</f>
        <v>5000韓元</v>
      </c>
      <c r="E287" s="4" t="str">
        <f ca="1">IFERROR(__xludf.DUMMYFUNCTION("IFERROR(GOOGLETRANSLATE(B287,""en"",""zh-CN""),)"),"5000韩元")</f>
        <v>5000韩元</v>
      </c>
    </row>
    <row r="288" spans="1:5" ht="18">
      <c r="A288" s="3" t="s">
        <v>1332</v>
      </c>
      <c r="B288" s="4" t="str">
        <f ca="1">IFERROR(__xludf.DUMMYFUNCTION("IFERROR(GOOGLETRANSLATE(A288,""ko"",""en""),)"),"thirty thousand")</f>
        <v>thirty thousand</v>
      </c>
      <c r="C288" s="4" t="str">
        <f ca="1">IFERROR(__xludf.DUMMYFUNCTION("IFERROR(GOOGLETRANSLATE(B288,""en"",""ja""),)"),"3万")</f>
        <v>3万</v>
      </c>
      <c r="D288" s="4" t="str">
        <f ca="1">IFERROR(__xludf.DUMMYFUNCTION("IFERROR(GOOGLETRANSLATE(B288,""en"",""zh-TW""),)"),"三萬")</f>
        <v>三萬</v>
      </c>
      <c r="E288" s="4" t="str">
        <f ca="1">IFERROR(__xludf.DUMMYFUNCTION("IFERROR(GOOGLETRANSLATE(B288,""en"",""zh-CN""),)"),"三万")</f>
        <v>三万</v>
      </c>
    </row>
    <row r="289" spans="1:5" ht="18">
      <c r="A289" s="3" t="s">
        <v>1336</v>
      </c>
      <c r="B289" s="4" t="str">
        <f ca="1">IFERROR(__xludf.DUMMYFUNCTION("IFERROR(GOOGLETRANSLATE(A289,""ko"",""en""),)"),"100,000")</f>
        <v>100,000</v>
      </c>
      <c r="C289" s="4" t="str">
        <f ca="1">IFERROR(__xludf.DUMMYFUNCTION("IFERROR(GOOGLETRANSLATE(B289,""en"",""ja""),)"),"10万")</f>
        <v>10万</v>
      </c>
      <c r="D289" s="4" t="str">
        <f ca="1">IFERROR(__xludf.DUMMYFUNCTION("IFERROR(GOOGLETRANSLATE(B289,""en"",""zh-TW""),)"),"100,000")</f>
        <v>100,000</v>
      </c>
      <c r="E289" s="4" t="str">
        <f ca="1">IFERROR(__xludf.DUMMYFUNCTION("IFERROR(GOOGLETRANSLATE(B289,""en"",""zh-CN""),)"),"100,000")</f>
        <v>100,000</v>
      </c>
    </row>
    <row r="290" spans="1:5" ht="18">
      <c r="A290" s="3" t="s">
        <v>1342</v>
      </c>
      <c r="B290" s="4" t="str">
        <f ca="1">IFERROR(__xludf.DUMMYFUNCTION("IFERROR(GOOGLETRANSLATE(A290,""ko"",""en""),)"),"million")</f>
        <v>million</v>
      </c>
      <c r="C290" s="4" t="str">
        <f ca="1">IFERROR(__xludf.DUMMYFUNCTION("IFERROR(GOOGLETRANSLATE(B290,""en"",""ja""),)"),"百万")</f>
        <v>百万</v>
      </c>
      <c r="D290" s="4" t="str">
        <f ca="1">IFERROR(__xludf.DUMMYFUNCTION("IFERROR(GOOGLETRANSLATE(B290,""en"",""zh-TW""),)"),"百萬")</f>
        <v>百萬</v>
      </c>
      <c r="E290" s="4" t="str">
        <f ca="1">IFERROR(__xludf.DUMMYFUNCTION("IFERROR(GOOGLETRANSLATE(B290,""en"",""zh-CN""),)"),"百万")</f>
        <v>百万</v>
      </c>
    </row>
    <row r="291" spans="1:5" ht="18">
      <c r="A291" s="5" t="s">
        <v>1349</v>
      </c>
      <c r="B291" s="4" t="str">
        <f ca="1">IFERROR(__xludf.DUMMYFUNCTION("IFERROR(GOOGLETRANSLATE(A291,""ko"",""en""),)"),"zero")</f>
        <v>zero</v>
      </c>
      <c r="C291" s="4" t="str">
        <f ca="1">IFERROR(__xludf.DUMMYFUNCTION("IFERROR(GOOGLETRANSLATE(B291,""en"",""ja""),)"),"ゼロ")</f>
        <v>ゼロ</v>
      </c>
      <c r="D291" s="4" t="str">
        <f ca="1">IFERROR(__xludf.DUMMYFUNCTION("IFERROR(GOOGLETRANSLATE(B291,""en"",""zh-TW""),)"),"零")</f>
        <v>零</v>
      </c>
      <c r="E291" s="4" t="str">
        <f ca="1">IFERROR(__xludf.DUMMYFUNCTION("IFERROR(GOOGLETRANSLATE(B291,""en"",""zh-CN""),)"),"零")</f>
        <v>零</v>
      </c>
    </row>
    <row r="292" spans="1:5" ht="18">
      <c r="A292" s="3" t="s">
        <v>662</v>
      </c>
      <c r="B292" s="4" t="str">
        <f ca="1">IFERROR(__xludf.DUMMYFUNCTION("IFERROR(GOOGLETRANSLATE(A292,""ko"",""en""),)"),"hundred")</f>
        <v>hundred</v>
      </c>
      <c r="C292" s="4" t="str">
        <f ca="1">IFERROR(__xludf.DUMMYFUNCTION("IFERROR(GOOGLETRANSLATE(B292,""en"",""ja""),)"),"百")</f>
        <v>百</v>
      </c>
      <c r="D292" s="4" t="str">
        <f ca="1">IFERROR(__xludf.DUMMYFUNCTION("IFERROR(GOOGLETRANSLATE(B292,""en"",""zh-TW""),)"),"百")</f>
        <v>百</v>
      </c>
      <c r="E292" s="4" t="str">
        <f ca="1">IFERROR(__xludf.DUMMYFUNCTION("IFERROR(GOOGLETRANSLATE(B292,""en"",""zh-CN""),)"),"百")</f>
        <v>百</v>
      </c>
    </row>
    <row r="293" spans="1:5" ht="18">
      <c r="A293" s="3" t="s">
        <v>1362</v>
      </c>
      <c r="B293" s="4" t="s">
        <v>1363</v>
      </c>
      <c r="C293" s="4" t="str">
        <f ca="1">IFERROR(__xludf.DUMMYFUNCTION("IFERROR(GOOGLETRANSLATE(B293,""en"",""ja""),)"),"千")</f>
        <v>千</v>
      </c>
      <c r="D293" s="4" t="str">
        <f ca="1">IFERROR(__xludf.DUMMYFUNCTION("IFERROR(GOOGLETRANSLATE(B293,""en"",""zh-TW""),)"),"千")</f>
        <v>千</v>
      </c>
      <c r="E293" s="4" t="str">
        <f ca="1">IFERROR(__xludf.DUMMYFUNCTION("IFERROR(GOOGLETRANSLATE(B293,""en"",""zh-CN""),)"),"千")</f>
        <v>千</v>
      </c>
    </row>
    <row r="294" spans="1:5" ht="18">
      <c r="A294" s="3" t="s">
        <v>1369</v>
      </c>
      <c r="B294" s="4" t="s">
        <v>1370</v>
      </c>
      <c r="C294" s="4" t="str">
        <f ca="1">IFERROR(__xludf.DUMMYFUNCTION("IFERROR(GOOGLETRANSLATE(B294,""en"",""ja""),)"),"万")</f>
        <v>万</v>
      </c>
      <c r="D294" s="4" t="str">
        <f ca="1">IFERROR(__xludf.DUMMYFUNCTION("IFERROR(GOOGLETRANSLATE(B294,""en"",""zh-TW""),)"),"萬")</f>
        <v>萬</v>
      </c>
      <c r="E294" s="4" t="str">
        <f ca="1">IFERROR(__xludf.DUMMYFUNCTION("IFERROR(GOOGLETRANSLATE(B294,""en"",""zh-CN""),)"),"万")</f>
        <v>万</v>
      </c>
    </row>
    <row r="295" spans="1:5" ht="18">
      <c r="A295" s="3" t="s">
        <v>1336</v>
      </c>
      <c r="B295" s="4" t="str">
        <f ca="1">IFERROR(__xludf.DUMMYFUNCTION("IFERROR(GOOGLETRANSLATE(A295,""ko"",""en""),)"),"100,000")</f>
        <v>100,000</v>
      </c>
      <c r="C295" s="4" t="str">
        <f ca="1">IFERROR(__xludf.DUMMYFUNCTION("IFERROR(GOOGLETRANSLATE(B295,""en"",""ja""),)"),"10万")</f>
        <v>10万</v>
      </c>
      <c r="D295" s="4" t="str">
        <f ca="1">IFERROR(__xludf.DUMMYFUNCTION("IFERROR(GOOGLETRANSLATE(B295,""en"",""zh-TW""),)"),"100,000")</f>
        <v>100,000</v>
      </c>
      <c r="E295" s="4" t="str">
        <f ca="1">IFERROR(__xludf.DUMMYFUNCTION("IFERROR(GOOGLETRANSLATE(B295,""en"",""zh-CN""),)"),"100,000")</f>
        <v>100,000</v>
      </c>
    </row>
    <row r="296" spans="1:5" ht="18">
      <c r="A296" s="3" t="s">
        <v>1342</v>
      </c>
      <c r="B296" s="4" t="str">
        <f ca="1">IFERROR(__xludf.DUMMYFUNCTION("IFERROR(GOOGLETRANSLATE(A296,""ko"",""en""),)"),"million")</f>
        <v>million</v>
      </c>
      <c r="C296" s="4" t="str">
        <f ca="1">IFERROR(__xludf.DUMMYFUNCTION("IFERROR(GOOGLETRANSLATE(B296,""en"",""ja""),)"),"百万")</f>
        <v>百万</v>
      </c>
      <c r="D296" s="4" t="str">
        <f ca="1">IFERROR(__xludf.DUMMYFUNCTION("IFERROR(GOOGLETRANSLATE(B296,""en"",""zh-TW""),)"),"百萬")</f>
        <v>百萬</v>
      </c>
      <c r="E296" s="4" t="str">
        <f ca="1">IFERROR(__xludf.DUMMYFUNCTION("IFERROR(GOOGLETRANSLATE(B296,""en"",""zh-CN""),)"),"百万")</f>
        <v>百万</v>
      </c>
    </row>
    <row r="297" spans="1:5" ht="18">
      <c r="A297" s="3" t="s">
        <v>1382</v>
      </c>
      <c r="B297" s="4" t="str">
        <f ca="1">IFERROR(__xludf.DUMMYFUNCTION("IFERROR(GOOGLETRANSLATE(A297,""ko"",""en""),)"),"Ten million")</f>
        <v>Ten million</v>
      </c>
      <c r="C297" s="4" t="str">
        <f ca="1">IFERROR(__xludf.DUMMYFUNCTION("IFERROR(GOOGLETRANSLATE(B297,""en"",""ja""),)"),"1000万")</f>
        <v>1000万</v>
      </c>
      <c r="D297" s="4" t="str">
        <f ca="1">IFERROR(__xludf.DUMMYFUNCTION("IFERROR(GOOGLETRANSLATE(B297,""en"",""zh-TW""),)"),"千萬")</f>
        <v>千萬</v>
      </c>
      <c r="E297" s="4" t="str">
        <f ca="1">IFERROR(__xludf.DUMMYFUNCTION("IFERROR(GOOGLETRANSLATE(B297,""en"",""zh-CN""),)"),"千万")</f>
        <v>千万</v>
      </c>
    </row>
    <row r="298" spans="1:5" ht="18">
      <c r="A298" s="5" t="s">
        <v>1386</v>
      </c>
      <c r="B298" s="4" t="str">
        <f ca="1">IFERROR(__xludf.DUMMYFUNCTION("IFERROR(GOOGLETRANSLATE(A298,""ko"",""en""),)"),"100 million")</f>
        <v>100 million</v>
      </c>
      <c r="C298" s="4" t="str">
        <f ca="1">IFERROR(__xludf.DUMMYFUNCTION("IFERROR(GOOGLETRANSLATE(B298,""en"",""ja""),)"),"1億")</f>
        <v>1億</v>
      </c>
      <c r="D298" s="4" t="str">
        <f ca="1">IFERROR(__xludf.DUMMYFUNCTION("IFERROR(GOOGLETRANSLATE(B298,""en"",""zh-TW""),)"),"1億")</f>
        <v>1億</v>
      </c>
      <c r="E298" s="4" t="str">
        <f ca="1">IFERROR(__xludf.DUMMYFUNCTION("IFERROR(GOOGLETRANSLATE(B298,""en"",""zh-CN""),)"),"1亿")</f>
        <v>1亿</v>
      </c>
    </row>
    <row r="299" spans="1:5" ht="18">
      <c r="A299" s="3" t="s">
        <v>1389</v>
      </c>
      <c r="B299" s="4" t="str">
        <f ca="1">IFERROR(__xludf.DUMMYFUNCTION("IFERROR(GOOGLETRANSLATE(A299,""ko"",""en""),)"),"billion")</f>
        <v>billion</v>
      </c>
      <c r="C299" s="4" t="str">
        <f ca="1">IFERROR(__xludf.DUMMYFUNCTION("IFERROR(GOOGLETRANSLATE(B299,""en"",""ja""),)"),"十億")</f>
        <v>十億</v>
      </c>
      <c r="D299" s="4" t="str">
        <f ca="1">IFERROR(__xludf.DUMMYFUNCTION("IFERROR(GOOGLETRANSLATE(B299,""en"",""zh-TW""),)"),"十億")</f>
        <v>十億</v>
      </c>
      <c r="E299" s="4" t="str">
        <f ca="1">IFERROR(__xludf.DUMMYFUNCTION("IFERROR(GOOGLETRANSLATE(B299,""en"",""zh-CN""),)"),"十亿")</f>
        <v>十亿</v>
      </c>
    </row>
    <row r="300" spans="1:5" ht="18">
      <c r="A300" s="3" t="s">
        <v>1394</v>
      </c>
      <c r="B300" s="4" t="str">
        <f ca="1">IFERROR(__xludf.DUMMYFUNCTION("IFERROR(GOOGLETRANSLATE(A300,""ko"",""en""),)"),"10 billion")</f>
        <v>10 billion</v>
      </c>
      <c r="C300" s="4" t="str">
        <f ca="1">IFERROR(__xludf.DUMMYFUNCTION("IFERROR(GOOGLETRANSLATE(B300,""en"",""ja""),)"),"100億")</f>
        <v>100億</v>
      </c>
      <c r="D300" s="4" t="str">
        <f ca="1">IFERROR(__xludf.DUMMYFUNCTION("IFERROR(GOOGLETRANSLATE(B300,""en"",""zh-TW""),)"),"100億")</f>
        <v>100億</v>
      </c>
      <c r="E300" s="4" t="str">
        <f ca="1">IFERROR(__xludf.DUMMYFUNCTION("IFERROR(GOOGLETRANSLATE(B300,""en"",""zh-CN""),)"),"100亿")</f>
        <v>100亿</v>
      </c>
    </row>
    <row r="301" spans="1:5" ht="18">
      <c r="A301" s="3" t="s">
        <v>1400</v>
      </c>
      <c r="B301" s="4" t="str">
        <f ca="1">IFERROR(__xludf.DUMMYFUNCTION("IFERROR(GOOGLETRANSLATE(A301,""ko"",""en""),)"),"100 billion")</f>
        <v>100 billion</v>
      </c>
      <c r="C301" s="4" t="str">
        <f ca="1">IFERROR(__xludf.DUMMYFUNCTION("IFERROR(GOOGLETRANSLATE(B301,""en"",""ja""),)"),"1000億")</f>
        <v>1000億</v>
      </c>
      <c r="D301" s="4" t="str">
        <f ca="1">IFERROR(__xludf.DUMMYFUNCTION("IFERROR(GOOGLETRANSLATE(B301,""en"",""zh-TW""),)"),"1000億")</f>
        <v>1000億</v>
      </c>
      <c r="E301" s="4" t="str">
        <f ca="1">IFERROR(__xludf.DUMMYFUNCTION("IFERROR(GOOGLETRANSLATE(B301,""en"",""zh-CN""),)"),"1000亿")</f>
        <v>1000亿</v>
      </c>
    </row>
    <row r="302" spans="1:5" ht="18">
      <c r="A302" s="5" t="s">
        <v>1404</v>
      </c>
      <c r="B302" s="4" t="s">
        <v>1405</v>
      </c>
      <c r="C302" s="4" t="str">
        <f ca="1">IFERROR(__xludf.DUMMYFUNCTION("IFERROR(GOOGLETRANSLATE(B302,""en"",""ja""),)"),"十億")</f>
        <v>十億</v>
      </c>
      <c r="D302" s="4" t="str">
        <f ca="1">IFERROR(__xludf.DUMMYFUNCTION("IFERROR(GOOGLETRANSLATE(B302,""en"",""zh-TW""),)"),"十億")</f>
        <v>十億</v>
      </c>
      <c r="E302" s="4" t="str">
        <f ca="1">IFERROR(__xludf.DUMMYFUNCTION("IFERROR(GOOGLETRANSLATE(B302,""en"",""zh-CN""),)"),"十亿")</f>
        <v>十亿</v>
      </c>
    </row>
    <row r="303" spans="1:5" ht="18">
      <c r="A303" s="3" t="s">
        <v>1408</v>
      </c>
      <c r="B303" s="4" t="str">
        <f ca="1">IFERROR(__xludf.DUMMYFUNCTION("IFERROR(GOOGLETRANSLATE(A303,""ko"",""en""),)"),"Ten trillion")</f>
        <v>Ten trillion</v>
      </c>
      <c r="C303" s="4" t="str">
        <f ca="1">IFERROR(__xludf.DUMMYFUNCTION("IFERROR(GOOGLETRANSLATE(B303,""en"",""ja""),)"),"10兆")</f>
        <v>10兆</v>
      </c>
      <c r="D303" s="4" t="str">
        <f ca="1">IFERROR(__xludf.DUMMYFUNCTION("IFERROR(GOOGLETRANSLATE(B303,""en"",""zh-TW""),)"),"十兆")</f>
        <v>十兆</v>
      </c>
      <c r="E303" s="4" t="str">
        <f ca="1">IFERROR(__xludf.DUMMYFUNCTION("IFERROR(GOOGLETRANSLATE(B303,""en"",""zh-CN""),)"),"十万亿")</f>
        <v>十万亿</v>
      </c>
    </row>
    <row r="304" spans="1:5" ht="18">
      <c r="A304" s="3" t="s">
        <v>1416</v>
      </c>
      <c r="B304" s="4" t="str">
        <f ca="1">IFERROR(__xludf.DUMMYFUNCTION("IFERROR(GOOGLETRANSLATE(A304,""ko"",""en""),)"),"eighth floor")</f>
        <v>eighth floor</v>
      </c>
      <c r="C304" s="4" t="str">
        <f ca="1">IFERROR(__xludf.DUMMYFUNCTION("IFERROR(GOOGLETRANSLATE(B304,""en"",""ja""),)"),"8階")</f>
        <v>8階</v>
      </c>
      <c r="D304" s="4" t="str">
        <f ca="1">IFERROR(__xludf.DUMMYFUNCTION("IFERROR(GOOGLETRANSLATE(B304,""en"",""zh-TW""),)"),"八樓")</f>
        <v>八樓</v>
      </c>
      <c r="E304" s="4" t="str">
        <f ca="1">IFERROR(__xludf.DUMMYFUNCTION("IFERROR(GOOGLETRANSLATE(B304,""en"",""zh-CN""),)"),"八楼")</f>
        <v>八楼</v>
      </c>
    </row>
    <row r="305" spans="1:5" ht="18">
      <c r="A305" s="3" t="s">
        <v>1420</v>
      </c>
      <c r="B305" s="4" t="str">
        <f ca="1">IFERROR(__xludf.DUMMYFUNCTION("IFERROR(GOOGLETRANSLATE(A305,""ko"",""en""),)"),"ground floor")</f>
        <v>ground floor</v>
      </c>
      <c r="C305" s="4" t="str">
        <f ca="1">IFERROR(__xludf.DUMMYFUNCTION("IFERROR(GOOGLETRANSLATE(B305,""en"",""ja""),)"),"1階")</f>
        <v>1階</v>
      </c>
      <c r="D305" s="4" t="str">
        <f ca="1">IFERROR(__xludf.DUMMYFUNCTION("IFERROR(GOOGLETRANSLATE(B305,""en"",""zh-TW""),)"),"底層")</f>
        <v>底層</v>
      </c>
      <c r="E305" s="4" t="str">
        <f ca="1">IFERROR(__xludf.DUMMYFUNCTION("IFERROR(GOOGLETRANSLATE(B305,""en"",""zh-CN""),)"),"底层")</f>
        <v>底层</v>
      </c>
    </row>
    <row r="306" spans="1:5" ht="18">
      <c r="A306" s="5" t="s">
        <v>1426</v>
      </c>
      <c r="B306" s="4" t="str">
        <f ca="1">IFERROR(__xludf.DUMMYFUNCTION("IFERROR(GOOGLETRANSLATE(A306,""ko"",""en""),)"),"basement level")</f>
        <v>basement level</v>
      </c>
      <c r="C306" s="4" t="str">
        <f ca="1">IFERROR(__xludf.DUMMYFUNCTION("IFERROR(GOOGLETRANSLATE(B306,""en"",""ja""),)"),"地下階")</f>
        <v>地下階</v>
      </c>
      <c r="D306" s="4" t="str">
        <f ca="1">IFERROR(__xludf.DUMMYFUNCTION("IFERROR(GOOGLETRANSLATE(B306,""en"",""zh-TW""),)"),"地下室")</f>
        <v>地下室</v>
      </c>
      <c r="E306" s="4" t="str">
        <f ca="1">IFERROR(__xludf.DUMMYFUNCTION("IFERROR(GOOGLETRANSLATE(B306,""en"",""zh-CN""),)"),"地下室")</f>
        <v>地下室</v>
      </c>
    </row>
    <row r="307" spans="1:5" ht="18">
      <c r="A307" s="5" t="s">
        <v>1430</v>
      </c>
      <c r="B307" s="4" t="str">
        <f ca="1">IFERROR(__xludf.DUMMYFUNCTION("IFERROR(GOOGLETRANSLATE(A307,""ko"",""en""),)"),"subway")</f>
        <v>subway</v>
      </c>
      <c r="C307" s="4" t="str">
        <f ca="1">IFERROR(__xludf.DUMMYFUNCTION("IFERROR(GOOGLETRANSLATE(B307,""en"",""ja""),)"),"地下鉄")</f>
        <v>地下鉄</v>
      </c>
      <c r="D307" s="4" t="str">
        <f ca="1">IFERROR(__xludf.DUMMYFUNCTION("IFERROR(GOOGLETRANSLATE(B307,""en"",""zh-TW""),)"),"捷運")</f>
        <v>捷運</v>
      </c>
      <c r="E307" s="4" t="str">
        <f ca="1">IFERROR(__xludf.DUMMYFUNCTION("IFERROR(GOOGLETRANSLATE(B307,""en"",""zh-CN""),)"),"地铁")</f>
        <v>地铁</v>
      </c>
    </row>
    <row r="308" spans="1:5" ht="18">
      <c r="A308" s="5" t="s">
        <v>1434</v>
      </c>
      <c r="B308" s="4" t="str">
        <f ca="1">IFERROR(__xludf.DUMMYFUNCTION("IFERROR(GOOGLETRANSLATE(A308,""ko"",""en""),)"),"What is this? It's a calendar.")</f>
        <v>What is this? It's a calendar.</v>
      </c>
      <c r="C308" s="4" t="str">
        <f ca="1">IFERROR(__xludf.DUMMYFUNCTION("IFERROR(GOOGLETRANSLATE(B308,""en"",""ja""),)"),"これは何？カレンダーだよ。")</f>
        <v>これは何？カレンダーだよ。</v>
      </c>
      <c r="D308" s="4" t="str">
        <f ca="1">IFERROR(__xludf.DUMMYFUNCTION("IFERROR(GOOGLETRANSLATE(B308,""en"",""zh-TW""),)"),"這是什麼？這是日曆。")</f>
        <v>這是什麼？這是日曆。</v>
      </c>
      <c r="E308" s="4" t="str">
        <f ca="1">IFERROR(__xludf.DUMMYFUNCTION("IFERROR(GOOGLETRANSLATE(B308,""en"",""zh-CN""),)"),"这是什么？这是日历。")</f>
        <v>这是什么？这是日历。</v>
      </c>
    </row>
    <row r="309" spans="1:5" ht="18">
      <c r="A309" s="3" t="s">
        <v>1439</v>
      </c>
      <c r="B309" s="4" t="str">
        <f ca="1">IFERROR(__xludf.DUMMYFUNCTION("IFERROR(GOOGLETRANSLATE(A309,""ko"",""en""),)"),"January")</f>
        <v>January</v>
      </c>
      <c r="C309" s="4" t="str">
        <f ca="1">IFERROR(__xludf.DUMMYFUNCTION("IFERROR(GOOGLETRANSLATE(B309,""en"",""ja""),)"),"1月")</f>
        <v>1月</v>
      </c>
      <c r="D309" s="4" t="str">
        <f ca="1">IFERROR(__xludf.DUMMYFUNCTION("IFERROR(GOOGLETRANSLATE(B309,""en"",""zh-TW""),)"),"一月")</f>
        <v>一月</v>
      </c>
      <c r="E309" s="4" t="str">
        <f ca="1">IFERROR(__xludf.DUMMYFUNCTION("IFERROR(GOOGLETRANSLATE(B309,""en"",""zh-CN""),)"),"一月")</f>
        <v>一月</v>
      </c>
    </row>
    <row r="310" spans="1:5" ht="18">
      <c r="A310" s="3" t="s">
        <v>1443</v>
      </c>
      <c r="B310" s="4" t="s">
        <v>1444</v>
      </c>
      <c r="C310" s="4" t="str">
        <f ca="1">IFERROR(__xludf.DUMMYFUNCTION("IFERROR(GOOGLETRANSLATE(B310,""en"",""ja""),)"),"2月")</f>
        <v>2月</v>
      </c>
      <c r="D310" s="4" t="str">
        <f ca="1">IFERROR(__xludf.DUMMYFUNCTION("IFERROR(GOOGLETRANSLATE(B310,""en"",""zh-TW""),)"),"二月")</f>
        <v>二月</v>
      </c>
      <c r="E310" s="4" t="str">
        <f ca="1">IFERROR(__xludf.DUMMYFUNCTION("IFERROR(GOOGLETRANSLATE(B310,""en"",""zh-CN""),)"),"二月")</f>
        <v>二月</v>
      </c>
    </row>
    <row r="311" spans="1:5" ht="18">
      <c r="A311" s="3" t="s">
        <v>1447</v>
      </c>
      <c r="B311" s="4" t="str">
        <f ca="1">IFERROR(__xludf.DUMMYFUNCTION("IFERROR(GOOGLETRANSLATE(A311,""ko"",""en""),)"),"March")</f>
        <v>March</v>
      </c>
      <c r="C311" s="4" t="str">
        <f ca="1">IFERROR(__xludf.DUMMYFUNCTION("IFERROR(GOOGLETRANSLATE(B311,""en"",""ja""),)"),"行進")</f>
        <v>行進</v>
      </c>
      <c r="D311" s="4" t="str">
        <f ca="1">IFERROR(__xludf.DUMMYFUNCTION("IFERROR(GOOGLETRANSLATE(B311,""en"",""zh-TW""),)"),"行進")</f>
        <v>行進</v>
      </c>
      <c r="E311" s="4" t="str">
        <f ca="1">IFERROR(__xludf.DUMMYFUNCTION("IFERROR(GOOGLETRANSLATE(B311,""en"",""zh-CN""),)"),"行进")</f>
        <v>行进</v>
      </c>
    </row>
    <row r="312" spans="1:5" ht="18">
      <c r="A312" s="3" t="s">
        <v>1450</v>
      </c>
      <c r="B312" s="4" t="str">
        <f ca="1">IFERROR(__xludf.DUMMYFUNCTION("IFERROR(GOOGLETRANSLATE(A312,""ko"",""en""),)"),"April")</f>
        <v>April</v>
      </c>
      <c r="C312" s="4" t="str">
        <f ca="1">IFERROR(__xludf.DUMMYFUNCTION("IFERROR(GOOGLETRANSLATE(B312,""en"",""ja""),)"),"4月")</f>
        <v>4月</v>
      </c>
      <c r="D312" s="4" t="str">
        <f ca="1">IFERROR(__xludf.DUMMYFUNCTION("IFERROR(GOOGLETRANSLATE(B312,""en"",""zh-TW""),)"),"四月")</f>
        <v>四月</v>
      </c>
      <c r="E312" s="4" t="str">
        <f ca="1">IFERROR(__xludf.DUMMYFUNCTION("IFERROR(GOOGLETRANSLATE(B312,""en"",""zh-CN""),)"),"四月")</f>
        <v>四月</v>
      </c>
    </row>
    <row r="313" spans="1:5" ht="18">
      <c r="A313" s="3" t="s">
        <v>1454</v>
      </c>
      <c r="B313" s="4" t="str">
        <f ca="1">IFERROR(__xludf.DUMMYFUNCTION("IFERROR(GOOGLETRANSLATE(A313,""ko"",""en""),)"),"May")</f>
        <v>May</v>
      </c>
      <c r="C313" s="4" t="str">
        <f ca="1">IFERROR(__xludf.DUMMYFUNCTION("IFERROR(GOOGLETRANSLATE(B313,""en"",""ja""),)"),"5月")</f>
        <v>5月</v>
      </c>
      <c r="D313" s="4" t="str">
        <f ca="1">IFERROR(__xludf.DUMMYFUNCTION("IFERROR(GOOGLETRANSLATE(B313,""en"",""zh-TW""),)"),"可能")</f>
        <v>可能</v>
      </c>
      <c r="E313" s="4" t="str">
        <f ca="1">IFERROR(__xludf.DUMMYFUNCTION("IFERROR(GOOGLETRANSLATE(B313,""en"",""zh-CN""),)"),"可能")</f>
        <v>可能</v>
      </c>
    </row>
    <row r="314" spans="1:5" ht="18">
      <c r="A314" s="3" t="s">
        <v>1457</v>
      </c>
      <c r="B314" s="4" t="str">
        <f ca="1">IFERROR(__xludf.DUMMYFUNCTION("IFERROR(GOOGLETRANSLATE(A314,""ko"",""en""),)"),"June")</f>
        <v>June</v>
      </c>
      <c r="C314" s="4" t="str">
        <f ca="1">IFERROR(__xludf.DUMMYFUNCTION("IFERROR(GOOGLETRANSLATE(B314,""en"",""ja""),)"),"6月")</f>
        <v>6月</v>
      </c>
      <c r="D314" s="4" t="str">
        <f ca="1">IFERROR(__xludf.DUMMYFUNCTION("IFERROR(GOOGLETRANSLATE(B314,""en"",""zh-TW""),)"),"六月")</f>
        <v>六月</v>
      </c>
      <c r="E314" s="4" t="str">
        <f ca="1">IFERROR(__xludf.DUMMYFUNCTION("IFERROR(GOOGLETRANSLATE(B314,""en"",""zh-CN""),)"),"六月")</f>
        <v>六月</v>
      </c>
    </row>
    <row r="315" spans="1:5" ht="18">
      <c r="A315" s="3" t="s">
        <v>1462</v>
      </c>
      <c r="B315" s="4" t="str">
        <f ca="1">IFERROR(__xludf.DUMMYFUNCTION("IFERROR(GOOGLETRANSLATE(A315,""ko"",""en""),)"),"July")</f>
        <v>July</v>
      </c>
      <c r="C315" s="4" t="str">
        <f ca="1">IFERROR(__xludf.DUMMYFUNCTION("IFERROR(GOOGLETRANSLATE(B315,""en"",""ja""),)"),"7月")</f>
        <v>7月</v>
      </c>
      <c r="D315" s="4" t="str">
        <f ca="1">IFERROR(__xludf.DUMMYFUNCTION("IFERROR(GOOGLETRANSLATE(B315,""en"",""zh-TW""),)"),"七月")</f>
        <v>七月</v>
      </c>
      <c r="E315" s="4" t="str">
        <f ca="1">IFERROR(__xludf.DUMMYFUNCTION("IFERROR(GOOGLETRANSLATE(B315,""en"",""zh-CN""),)"),"七月")</f>
        <v>七月</v>
      </c>
    </row>
    <row r="316" spans="1:5" ht="18">
      <c r="A316" s="3" t="s">
        <v>1465</v>
      </c>
      <c r="B316" s="4" t="str">
        <f ca="1">IFERROR(__xludf.DUMMYFUNCTION("IFERROR(GOOGLETRANSLATE(A316,""ko"",""en""),)"),"August")</f>
        <v>August</v>
      </c>
      <c r="C316" s="4" t="str">
        <f ca="1">IFERROR(__xludf.DUMMYFUNCTION("IFERROR(GOOGLETRANSLATE(B316,""en"",""ja""),)"),"8月")</f>
        <v>8月</v>
      </c>
      <c r="D316" s="4" t="str">
        <f ca="1">IFERROR(__xludf.DUMMYFUNCTION("IFERROR(GOOGLETRANSLATE(B316,""en"",""zh-TW""),)"),"八月")</f>
        <v>八月</v>
      </c>
      <c r="E316" s="4" t="str">
        <f ca="1">IFERROR(__xludf.DUMMYFUNCTION("IFERROR(GOOGLETRANSLATE(B316,""en"",""zh-CN""),)"),"八月")</f>
        <v>八月</v>
      </c>
    </row>
    <row r="317" spans="1:5" ht="18">
      <c r="A317" s="3" t="s">
        <v>1469</v>
      </c>
      <c r="B317" s="4" t="str">
        <f ca="1">IFERROR(__xludf.DUMMYFUNCTION("IFERROR(GOOGLETRANSLATE(A317,""ko"",""en""),)"),"September")</f>
        <v>September</v>
      </c>
      <c r="C317" s="4" t="str">
        <f ca="1">IFERROR(__xludf.DUMMYFUNCTION("IFERROR(GOOGLETRANSLATE(B317,""en"",""ja""),)"),"9月")</f>
        <v>9月</v>
      </c>
      <c r="D317" s="4" t="str">
        <f ca="1">IFERROR(__xludf.DUMMYFUNCTION("IFERROR(GOOGLETRANSLATE(B317,""en"",""zh-TW""),)"),"九月")</f>
        <v>九月</v>
      </c>
      <c r="E317" s="4" t="str">
        <f ca="1">IFERROR(__xludf.DUMMYFUNCTION("IFERROR(GOOGLETRANSLATE(B317,""en"",""zh-CN""),)"),"九月")</f>
        <v>九月</v>
      </c>
    </row>
    <row r="318" spans="1:5" ht="18">
      <c r="A318" s="3" t="s">
        <v>1474</v>
      </c>
      <c r="B318" s="4" t="str">
        <f ca="1">IFERROR(__xludf.DUMMYFUNCTION("IFERROR(GOOGLETRANSLATE(A318,""ko"",""en""),)"),"October")</f>
        <v>October</v>
      </c>
      <c r="C318" s="4" t="str">
        <f ca="1">IFERROR(__xludf.DUMMYFUNCTION("IFERROR(GOOGLETRANSLATE(B318,""en"",""ja""),)"),"10月")</f>
        <v>10月</v>
      </c>
      <c r="D318" s="4" t="str">
        <f ca="1">IFERROR(__xludf.DUMMYFUNCTION("IFERROR(GOOGLETRANSLATE(B318,""en"",""zh-TW""),)"),"十月")</f>
        <v>十月</v>
      </c>
      <c r="E318" s="4" t="str">
        <f ca="1">IFERROR(__xludf.DUMMYFUNCTION("IFERROR(GOOGLETRANSLATE(B318,""en"",""zh-CN""),)"),"十月")</f>
        <v>十月</v>
      </c>
    </row>
    <row r="319" spans="1:5" ht="18">
      <c r="A319" s="3" t="s">
        <v>1478</v>
      </c>
      <c r="B319" s="4" t="str">
        <f ca="1">IFERROR(__xludf.DUMMYFUNCTION("IFERROR(GOOGLETRANSLATE(A319,""ko"",""en""),)"),"November")</f>
        <v>November</v>
      </c>
      <c r="C319" s="4" t="str">
        <f ca="1">IFERROR(__xludf.DUMMYFUNCTION("IFERROR(GOOGLETRANSLATE(B319,""en"",""ja""),)"),"11月")</f>
        <v>11月</v>
      </c>
      <c r="D319" s="4" t="str">
        <f ca="1">IFERROR(__xludf.DUMMYFUNCTION("IFERROR(GOOGLETRANSLATE(B319,""en"",""zh-TW""),)"),"十一月")</f>
        <v>十一月</v>
      </c>
      <c r="E319" s="4" t="str">
        <f ca="1">IFERROR(__xludf.DUMMYFUNCTION("IFERROR(GOOGLETRANSLATE(B319,""en"",""zh-CN""),)"),"十一月")</f>
        <v>十一月</v>
      </c>
    </row>
    <row r="320" spans="1:5" ht="18">
      <c r="A320" s="3" t="s">
        <v>1482</v>
      </c>
      <c r="B320" s="4" t="str">
        <f ca="1">IFERROR(__xludf.DUMMYFUNCTION("IFERROR(GOOGLETRANSLATE(A320,""ko"",""en""),)"),"December")</f>
        <v>December</v>
      </c>
      <c r="C320" s="4" t="str">
        <f ca="1">IFERROR(__xludf.DUMMYFUNCTION("IFERROR(GOOGLETRANSLATE(B320,""en"",""ja""),)"),"12月")</f>
        <v>12月</v>
      </c>
      <c r="D320" s="4" t="str">
        <f ca="1">IFERROR(__xludf.DUMMYFUNCTION("IFERROR(GOOGLETRANSLATE(B320,""en"",""zh-TW""),)"),"十二月")</f>
        <v>十二月</v>
      </c>
      <c r="E320" s="4" t="str">
        <f ca="1">IFERROR(__xludf.DUMMYFUNCTION("IFERROR(GOOGLETRANSLATE(B320,""en"",""zh-CN""),)"),"十二月")</f>
        <v>十二月</v>
      </c>
    </row>
    <row r="321" spans="1:5" ht="18">
      <c r="A321" s="5" t="s">
        <v>1485</v>
      </c>
      <c r="B321" s="4" t="str">
        <f ca="1">IFERROR(__xludf.DUMMYFUNCTION("IFERROR(GOOGLETRANSLATE(A321,""ko"",""en""),)"),"page thirty-five")</f>
        <v>page thirty-five</v>
      </c>
      <c r="C321" s="4" t="str">
        <f ca="1">IFERROR(__xludf.DUMMYFUNCTION("IFERROR(GOOGLETRANSLATE(B321,""en"",""ja""),)"),"35ページ")</f>
        <v>35ページ</v>
      </c>
      <c r="D321" s="4" t="str">
        <f ca="1">IFERROR(__xludf.DUMMYFUNCTION("IFERROR(GOOGLETRANSLATE(B321,""en"",""zh-TW""),)"),"第三十五頁")</f>
        <v>第三十五頁</v>
      </c>
      <c r="E321" s="4" t="str">
        <f ca="1">IFERROR(__xludf.DUMMYFUNCTION("IFERROR(GOOGLETRANSLATE(B321,""en"",""zh-CN""),)"),"第三十五页")</f>
        <v>第三十五页</v>
      </c>
    </row>
    <row r="322" spans="1:5" ht="18">
      <c r="A322" s="3" t="s">
        <v>1488</v>
      </c>
      <c r="B322" s="4" t="str">
        <f ca="1">IFERROR(__xludf.DUMMYFUNCTION("IFERROR(GOOGLETRANSLATE(A322,""ko"",""en""),)"),"It's a bus.")</f>
        <v>It's a bus.</v>
      </c>
      <c r="C322" s="4" t="str">
        <f ca="1">IFERROR(__xludf.DUMMYFUNCTION("IFERROR(GOOGLETRANSLATE(B322,""en"",""ja""),)"),"それはバスです。")</f>
        <v>それはバスです。</v>
      </c>
      <c r="D322" s="4" t="str">
        <f ca="1">IFERROR(__xludf.DUMMYFUNCTION("IFERROR(GOOGLETRANSLATE(B322,""en"",""zh-TW""),)"),"這是一輛公車。")</f>
        <v>這是一輛公車。</v>
      </c>
      <c r="E322" s="4" t="str">
        <f ca="1">IFERROR(__xludf.DUMMYFUNCTION("IFERROR(GOOGLETRANSLATE(B322,""en"",""zh-CN""),)"),"这是一辆公交车。")</f>
        <v>这是一辆公交车。</v>
      </c>
    </row>
    <row r="323" spans="1:5" ht="18">
      <c r="A323" s="3" t="s">
        <v>1490</v>
      </c>
      <c r="B323" s="4" t="str">
        <f ca="1">IFERROR(__xludf.DUMMYFUNCTION("IFERROR(GOOGLETRANSLATE(A323,""ko"",""en""),)"),"Three times")</f>
        <v>Three times</v>
      </c>
      <c r="C323" s="4" t="str">
        <f ca="1">IFERROR(__xludf.DUMMYFUNCTION("IFERROR(GOOGLETRANSLATE(B323,""en"",""ja""),)"),"3回")</f>
        <v>3回</v>
      </c>
      <c r="D323" s="4" t="str">
        <f ca="1">IFERROR(__xludf.DUMMYFUNCTION("IFERROR(GOOGLETRANSLATE(B323,""en"",""zh-TW""),)"),"三次")</f>
        <v>三次</v>
      </c>
      <c r="E323" s="4" t="str">
        <f ca="1">IFERROR(__xludf.DUMMYFUNCTION("IFERROR(GOOGLETRANSLATE(B323,""en"",""zh-CN""),)"),"三次")</f>
        <v>三次</v>
      </c>
    </row>
    <row r="324" spans="1:5" ht="18">
      <c r="A324" s="3" t="s">
        <v>1495</v>
      </c>
      <c r="B324" s="4" t="s">
        <v>1496</v>
      </c>
      <c r="C324" s="4" t="str">
        <f ca="1">IFERROR(__xludf.DUMMYFUNCTION("IFERROR(GOOGLETRANSLATE(B324,""en"",""ja""),)"),"202番")</f>
        <v>202番</v>
      </c>
      <c r="D324" s="4" t="str">
        <f ca="1">IFERROR(__xludf.DUMMYFUNCTION("IFERROR(GOOGLETRANSLATE(B324,""en"",""zh-TW""),)"),"第202號")</f>
        <v>第202號</v>
      </c>
      <c r="E324" s="4" t="str">
        <f ca="1">IFERROR(__xludf.DUMMYFUNCTION("IFERROR(GOOGLETRANSLATE(B324,""en"",""zh-CN""),)"),"第202号")</f>
        <v>第202号</v>
      </c>
    </row>
    <row r="325" spans="1:5" ht="18">
      <c r="A325" s="5" t="s">
        <v>1498</v>
      </c>
      <c r="B325" s="4" t="str">
        <f ca="1">IFERROR(__xludf.DUMMYFUNCTION("IFERROR(GOOGLETRANSLATE(A325,""ko"",""en""),)"),"It's a pen.")</f>
        <v>It's a pen.</v>
      </c>
      <c r="C325" s="4" t="str">
        <f ca="1">IFERROR(__xludf.DUMMYFUNCTION("IFERROR(GOOGLETRANSLATE(B325,""en"",""ja""),)"),"これはペンです。")</f>
        <v>これはペンです。</v>
      </c>
      <c r="D325" s="4" t="str">
        <f ca="1">IFERROR(__xludf.DUMMYFUNCTION("IFERROR(GOOGLETRANSLATE(B325,""en"",""zh-TW""),)"),"這是一支筆。")</f>
        <v>這是一支筆。</v>
      </c>
      <c r="E325" s="4" t="str">
        <f ca="1">IFERROR(__xludf.DUMMYFUNCTION("IFERROR(GOOGLETRANSLATE(B325,""en"",""zh-CN""),)"),"这是一支笔。")</f>
        <v>这是一支笔。</v>
      </c>
    </row>
    <row r="326" spans="1:5" ht="18">
      <c r="A326" s="3" t="s">
        <v>1500</v>
      </c>
      <c r="B326" s="4" t="str">
        <f ca="1">IFERROR(__xludf.DUMMYFUNCTION("IFERROR(GOOGLETRANSLATE(A326,""ko"",""en""),)"),"It's a ballpoint pen.")</f>
        <v>It's a ballpoint pen.</v>
      </c>
      <c r="C326" s="4" t="str">
        <f ca="1">IFERROR(__xludf.DUMMYFUNCTION("IFERROR(GOOGLETRANSLATE(B326,""en"",""ja""),)"),"これはボールペンです。")</f>
        <v>これはボールペンです。</v>
      </c>
      <c r="D326" s="4" t="str">
        <f ca="1">IFERROR(__xludf.DUMMYFUNCTION("IFERROR(GOOGLETRANSLATE(B326,""en"",""zh-TW""),)"),"這是一支原子筆。")</f>
        <v>這是一支原子筆。</v>
      </c>
      <c r="E326" s="4" t="str">
        <f ca="1">IFERROR(__xludf.DUMMYFUNCTION("IFERROR(GOOGLETRANSLATE(B326,""en"",""zh-CN""),)"),"这是一支圆珠笔。")</f>
        <v>这是一支圆珠笔。</v>
      </c>
    </row>
    <row r="327" spans="1:5" ht="18">
      <c r="A327" s="3" t="s">
        <v>1504</v>
      </c>
      <c r="B327" s="4" t="str">
        <f ca="1">IFERROR(__xludf.DUMMYFUNCTION("IFERROR(GOOGLETRANSLATE(A327,""ko"",""en""),)"),"What floor is it on?")</f>
        <v>What floor is it on?</v>
      </c>
      <c r="C327" s="4" t="str">
        <f ca="1">IFERROR(__xludf.DUMMYFUNCTION("IFERROR(GOOGLETRANSLATE(B327,""en"",""ja""),)"),"何階にありますか？")</f>
        <v>何階にありますか？</v>
      </c>
      <c r="D327" s="4" t="str">
        <f ca="1">IFERROR(__xludf.DUMMYFUNCTION("IFERROR(GOOGLETRANSLATE(B327,""en"",""zh-TW""),)"),"它在幾樓？")</f>
        <v>它在幾樓？</v>
      </c>
      <c r="E327" s="4" t="str">
        <f ca="1">IFERROR(__xludf.DUMMYFUNCTION("IFERROR(GOOGLETRANSLATE(B327,""en"",""zh-CN""),)"),"它在几楼？")</f>
        <v>它在几楼？</v>
      </c>
    </row>
    <row r="328" spans="1:5" ht="18">
      <c r="A328" s="3" t="s">
        <v>1506</v>
      </c>
      <c r="B328" s="4" t="str">
        <f ca="1">IFERROR(__xludf.DUMMYFUNCTION("IFERROR(GOOGLETRANSLATE(A328,""ko"",""en""),)"),"It's six stories.")</f>
        <v>It's six stories.</v>
      </c>
      <c r="C328" s="4" t="str">
        <f ca="1">IFERROR(__xludf.DUMMYFUNCTION("IFERROR(GOOGLETRANSLATE(B328,""en"",""ja""),)"),"6階建てです。")</f>
        <v>6階建てです。</v>
      </c>
      <c r="D328" s="4" t="str">
        <f ca="1">IFERROR(__xludf.DUMMYFUNCTION("IFERROR(GOOGLETRANSLATE(B328,""en"",""zh-TW""),)"),"它有六層樓。")</f>
        <v>它有六層樓。</v>
      </c>
      <c r="E328" s="4" t="str">
        <f ca="1">IFERROR(__xludf.DUMMYFUNCTION("IFERROR(GOOGLETRANSLATE(B328,""en"",""zh-CN""),)"),"它有六层楼。")</f>
        <v>它有六层楼。</v>
      </c>
    </row>
    <row r="329" spans="1:5" ht="18">
      <c r="A329" s="3" t="s">
        <v>1509</v>
      </c>
      <c r="B329" s="4" t="str">
        <f ca="1">IFERROR(__xludf.DUMMYFUNCTION("IFERROR(GOOGLETRANSLATE(A329,""ko"",""en""),)"),"It's three hundred and forty times.")</f>
        <v>It's three hundred and forty times.</v>
      </c>
      <c r="C329" s="4" t="str">
        <f ca="1">IFERROR(__xludf.DUMMYFUNCTION("IFERROR(GOOGLETRANSLATE(B329,""en"",""ja""),)"),"340倍です。")</f>
        <v>340倍です。</v>
      </c>
      <c r="D329" s="4" t="str">
        <f ca="1">IFERROR(__xludf.DUMMYFUNCTION("IFERROR(GOOGLETRANSLATE(B329,""en"",""zh-TW""),)"),"是三百四十次。")</f>
        <v>是三百四十次。</v>
      </c>
      <c r="E329" s="4" t="str">
        <f ca="1">IFERROR(__xludf.DUMMYFUNCTION("IFERROR(GOOGLETRANSLATE(B329,""en"",""zh-CN""),)"),"是三百四十次。")</f>
        <v>是三百四十次。</v>
      </c>
    </row>
    <row r="330" spans="1:5" ht="18">
      <c r="A330" s="3" t="s">
        <v>1512</v>
      </c>
      <c r="B330" s="4" t="str">
        <f ca="1">IFERROR(__xludf.DUMMYFUNCTION("IFERROR(GOOGLETRANSLATE(A330,""ko"",""en""),)"),"It's December.")</f>
        <v>It's December.</v>
      </c>
      <c r="C330" s="4" t="str">
        <f ca="1">IFERROR(__xludf.DUMMYFUNCTION("IFERROR(GOOGLETRANSLATE(B330,""en"",""ja""),)"),"12月です。")</f>
        <v>12月です。</v>
      </c>
      <c r="D330" s="4" t="str">
        <f ca="1">IFERROR(__xludf.DUMMYFUNCTION("IFERROR(GOOGLETRANSLATE(B330,""en"",""zh-TW""),)"),"現在是十二月。")</f>
        <v>現在是十二月。</v>
      </c>
      <c r="E330" s="4" t="str">
        <f ca="1">IFERROR(__xludf.DUMMYFUNCTION("IFERROR(GOOGLETRANSLATE(B330,""en"",""zh-CN""),)"),"现在是十二月。")</f>
        <v>现在是十二月。</v>
      </c>
    </row>
    <row r="331" spans="1:5" ht="18">
      <c r="A331" s="3" t="s">
        <v>1515</v>
      </c>
      <c r="B331" s="4" t="str">
        <f ca="1">IFERROR(__xludf.DUMMYFUNCTION("IFERROR(GOOGLETRANSLATE(A331,""ko"",""en""),)"),"It's 950 won.")</f>
        <v>It's 950 won.</v>
      </c>
      <c r="C331" s="4" t="str">
        <f ca="1">IFERROR(__xludf.DUMMYFUNCTION("IFERROR(GOOGLETRANSLATE(B331,""en"",""ja""),)"),"950ウォンです。")</f>
        <v>950ウォンです。</v>
      </c>
      <c r="D331" s="4" t="str">
        <f ca="1">IFERROR(__xludf.DUMMYFUNCTION("IFERROR(GOOGLETRANSLATE(B331,""en"",""zh-TW""),)"),"是950韓元。")</f>
        <v>是950韓元。</v>
      </c>
      <c r="E331" s="4" t="str">
        <f ca="1">IFERROR(__xludf.DUMMYFUNCTION("IFERROR(GOOGLETRANSLATE(B331,""en"",""zh-CN""),)"),"是950韩元。")</f>
        <v>是950韩元。</v>
      </c>
    </row>
    <row r="332" spans="1:5" ht="18">
      <c r="A332" s="3" t="s">
        <v>1519</v>
      </c>
      <c r="B332" s="4" t="str">
        <f ca="1">IFERROR(__xludf.DUMMYFUNCTION("IFERROR(GOOGLETRANSLATE(A332,""ko"",""en""),)"),"It is number 801.")</f>
        <v>It is number 801.</v>
      </c>
      <c r="C332" s="4" t="str">
        <f ca="1">IFERROR(__xludf.DUMMYFUNCTION("IFERROR(GOOGLETRANSLATE(B332,""en"",""ja""),)"),"801番です。")</f>
        <v>801番です。</v>
      </c>
      <c r="D332" s="4" t="str">
        <f ca="1">IFERROR(__xludf.DUMMYFUNCTION("IFERROR(GOOGLETRANSLATE(B332,""en"",""zh-TW""),)"),"它是第801號。")</f>
        <v>它是第801號。</v>
      </c>
      <c r="E332" s="4" t="str">
        <f ca="1">IFERROR(__xludf.DUMMYFUNCTION("IFERROR(GOOGLETRANSLATE(B332,""en"",""zh-CN""),)"),"它是第801号。")</f>
        <v>它是第801号。</v>
      </c>
    </row>
    <row r="333" spans="1:5" ht="18">
      <c r="A333" s="3" t="s">
        <v>1523</v>
      </c>
      <c r="B333" s="4" t="str">
        <f ca="1">IFERROR(__xludf.DUMMYFUNCTION("IFERROR(GOOGLETRANSLATE(A333,""ko"",""en""),)"),"twenty-five")</f>
        <v>twenty-five</v>
      </c>
      <c r="C333" s="4" t="str">
        <f ca="1">IFERROR(__xludf.DUMMYFUNCTION("IFERROR(GOOGLETRANSLATE(B333,""en"",""ja""),)"),"25")</f>
        <v>25</v>
      </c>
      <c r="D333" s="4" t="str">
        <f ca="1">IFERROR(__xludf.DUMMYFUNCTION("IFERROR(GOOGLETRANSLATE(B333,""en"",""zh-TW""),)"),"二十五")</f>
        <v>二十五</v>
      </c>
      <c r="E333" s="4" t="str">
        <f ca="1">IFERROR(__xludf.DUMMYFUNCTION("IFERROR(GOOGLETRANSLATE(B333,""en"",""zh-CN""),)"),"二十五")</f>
        <v>二十五</v>
      </c>
    </row>
    <row r="334" spans="1:5" ht="18">
      <c r="A334" s="3" t="s">
        <v>1526</v>
      </c>
      <c r="B334" s="4" t="str">
        <f ca="1">IFERROR(__xludf.DUMMYFUNCTION("IFERROR(GOOGLETRANSLATE(A334,""ko"",""en""),)"),"twelve")</f>
        <v>twelve</v>
      </c>
      <c r="C334" s="4" t="str">
        <f ca="1">IFERROR(__xludf.DUMMYFUNCTION("IFERROR(GOOGLETRANSLATE(B334,""en"",""ja""),)"),"12")</f>
        <v>12</v>
      </c>
      <c r="D334" s="4" t="str">
        <f ca="1">IFERROR(__xludf.DUMMYFUNCTION("IFERROR(GOOGLETRANSLATE(B334,""en"",""zh-TW""),)"),"十二")</f>
        <v>十二</v>
      </c>
      <c r="E334" s="4" t="str">
        <f ca="1">IFERROR(__xludf.DUMMYFUNCTION("IFERROR(GOOGLETRANSLATE(B334,""en"",""zh-CN""),)"),"十二")</f>
        <v>十二</v>
      </c>
    </row>
    <row r="335" spans="1:5" ht="18">
      <c r="A335" s="3" t="s">
        <v>1529</v>
      </c>
      <c r="B335" s="4" t="str">
        <f ca="1">IFERROR(__xludf.DUMMYFUNCTION("IFERROR(GOOGLETRANSLATE(A335,""ko"",""en""),)"),"thirty-nine")</f>
        <v>thirty-nine</v>
      </c>
      <c r="C335" s="4" t="str">
        <f ca="1">IFERROR(__xludf.DUMMYFUNCTION("IFERROR(GOOGLETRANSLATE(B335,""en"",""ja""),)"),"39")</f>
        <v>39</v>
      </c>
      <c r="D335" s="4" t="str">
        <f ca="1">IFERROR(__xludf.DUMMYFUNCTION("IFERROR(GOOGLETRANSLATE(B335,""en"",""zh-TW""),)"),"三十九")</f>
        <v>三十九</v>
      </c>
      <c r="E335" s="4" t="str">
        <f ca="1">IFERROR(__xludf.DUMMYFUNCTION("IFERROR(GOOGLETRANSLATE(B335,""en"",""zh-CN""),)"),"三十九")</f>
        <v>三十九</v>
      </c>
    </row>
    <row r="336" spans="1:5" ht="18">
      <c r="A336" s="3" t="s">
        <v>1532</v>
      </c>
      <c r="B336" s="4" t="str">
        <f ca="1">IFERROR(__xludf.DUMMYFUNCTION("IFERROR(GOOGLETRANSLATE(A336,""ko"",""en""),)"),"ninety-three")</f>
        <v>ninety-three</v>
      </c>
      <c r="C336" s="4" t="str">
        <f ca="1">IFERROR(__xludf.DUMMYFUNCTION("IFERROR(GOOGLETRANSLATE(B336,""en"",""ja""),)"),"93")</f>
        <v>93</v>
      </c>
      <c r="D336" s="4" t="str">
        <f ca="1">IFERROR(__xludf.DUMMYFUNCTION("IFERROR(GOOGLETRANSLATE(B336,""en"",""zh-TW""),)"),"九十三")</f>
        <v>九十三</v>
      </c>
      <c r="E336" s="4" t="str">
        <f ca="1">IFERROR(__xludf.DUMMYFUNCTION("IFERROR(GOOGLETRANSLATE(B336,""en"",""zh-CN""),)"),"九十三")</f>
        <v>九十三</v>
      </c>
    </row>
    <row r="337" spans="1:5" ht="18">
      <c r="A337" s="3" t="s">
        <v>1535</v>
      </c>
      <c r="B337" s="4" t="str">
        <f ca="1">IFERROR(__xludf.DUMMYFUNCTION("IFERROR(GOOGLETRANSLATE(A337,""ko"",""en""),)"),"fifty-eight")</f>
        <v>fifty-eight</v>
      </c>
      <c r="C337" s="4" t="str">
        <f ca="1">IFERROR(__xludf.DUMMYFUNCTION("IFERROR(GOOGLETRANSLATE(B337,""en"",""ja""),)"),"58")</f>
        <v>58</v>
      </c>
      <c r="D337" s="4" t="str">
        <f ca="1">IFERROR(__xludf.DUMMYFUNCTION("IFERROR(GOOGLETRANSLATE(B337,""en"",""zh-TW""),)"),"五十八")</f>
        <v>五十八</v>
      </c>
      <c r="E337" s="4" t="str">
        <f ca="1">IFERROR(__xludf.DUMMYFUNCTION("IFERROR(GOOGLETRANSLATE(B337,""en"",""zh-CN""),)"),"五十八")</f>
        <v>五十八</v>
      </c>
    </row>
    <row r="338" spans="1:5" ht="18">
      <c r="A338" s="3" t="s">
        <v>1539</v>
      </c>
      <c r="B338" s="4" t="str">
        <f ca="1">IFERROR(__xludf.DUMMYFUNCTION("IFERROR(GOOGLETRANSLATE(A338,""ko"",""en""),)"),"sixty-seven")</f>
        <v>sixty-seven</v>
      </c>
      <c r="C338" s="4" t="str">
        <f ca="1">IFERROR(__xludf.DUMMYFUNCTION("IFERROR(GOOGLETRANSLATE(B338,""en"",""ja""),)"),"67")</f>
        <v>67</v>
      </c>
      <c r="D338" s="4" t="str">
        <f ca="1">IFERROR(__xludf.DUMMYFUNCTION("IFERROR(GOOGLETRANSLATE(B338,""en"",""zh-TW""),)"),"六十七")</f>
        <v>六十七</v>
      </c>
      <c r="E338" s="4" t="str">
        <f ca="1">IFERROR(__xludf.DUMMYFUNCTION("IFERROR(GOOGLETRANSLATE(B338,""en"",""zh-CN""),)"),"六十七")</f>
        <v>六十七</v>
      </c>
    </row>
    <row r="339" spans="1:5" ht="18">
      <c r="A339" s="3" t="s">
        <v>1547</v>
      </c>
      <c r="B339" s="4" t="str">
        <f ca="1">IFERROR(__xludf.DUMMYFUNCTION("IFERROR(GOOGLETRANSLATE(A339,""ko"",""en""),)"),"One hundred and thirty")</f>
        <v>One hundred and thirty</v>
      </c>
      <c r="C339" s="4" t="str">
        <f ca="1">IFERROR(__xludf.DUMMYFUNCTION("IFERROR(GOOGLETRANSLATE(B339,""en"",""ja""),)"),"130")</f>
        <v>130</v>
      </c>
      <c r="D339" s="4" t="str">
        <f ca="1">IFERROR(__xludf.DUMMYFUNCTION("IFERROR(GOOGLETRANSLATE(B339,""en"",""zh-TW""),)"),"一百三十")</f>
        <v>一百三十</v>
      </c>
      <c r="E339" s="4" t="str">
        <f ca="1">IFERROR(__xludf.DUMMYFUNCTION("IFERROR(GOOGLETRANSLATE(B339,""en"",""zh-CN""),)"),"一百三十")</f>
        <v>一百三十</v>
      </c>
    </row>
    <row r="340" spans="1:5" ht="18">
      <c r="A340" s="3" t="s">
        <v>1552</v>
      </c>
      <c r="B340" s="4" t="str">
        <f ca="1">IFERROR(__xludf.DUMMYFUNCTION("IFERROR(GOOGLETRANSLATE(A340,""ko"",""en""),)"),"750")</f>
        <v>750</v>
      </c>
      <c r="C340" s="4" t="str">
        <f ca="1">IFERROR(__xludf.DUMMYFUNCTION("IFERROR(GOOGLETRANSLATE(B340,""en"",""ja""),)"),"750")</f>
        <v>750</v>
      </c>
      <c r="D340" s="4" t="str">
        <f ca="1">IFERROR(__xludf.DUMMYFUNCTION("IFERROR(GOOGLETRANSLATE(B340,""en"",""zh-TW""),)"),"750")</f>
        <v>750</v>
      </c>
      <c r="E340" s="4" t="str">
        <f ca="1">IFERROR(__xludf.DUMMYFUNCTION("IFERROR(GOOGLETRANSLATE(B340,""en"",""zh-CN""),)"),"750")</f>
        <v>750</v>
      </c>
    </row>
    <row r="341" spans="1:5" ht="18">
      <c r="A341" s="3" t="s">
        <v>594</v>
      </c>
      <c r="B341" s="4" t="str">
        <f ca="1">IFERROR(__xludf.DUMMYFUNCTION("IFERROR(GOOGLETRANSLATE(A341,""ko"",""en""),)"),"what's your name?")</f>
        <v>what's your name?</v>
      </c>
      <c r="C341" s="4" t="str">
        <f ca="1">IFERROR(__xludf.DUMMYFUNCTION("IFERROR(GOOGLETRANSLATE(B341,""en"",""ja""),)"),"あなたの名前は何ですか？")</f>
        <v>あなたの名前は何ですか？</v>
      </c>
      <c r="D341" s="4" t="str">
        <f ca="1">IFERROR(__xludf.DUMMYFUNCTION("IFERROR(GOOGLETRANSLATE(B341,""en"",""zh-TW""),)"),"你叫什麼名字？")</f>
        <v>你叫什麼名字？</v>
      </c>
      <c r="E341" s="4" t="str">
        <f ca="1">IFERROR(__xludf.DUMMYFUNCTION("IFERROR(GOOGLETRANSLATE(B341,""en"",""zh-CN""),)"),"你叫什么名字？")</f>
        <v>你叫什么名字？</v>
      </c>
    </row>
    <row r="342" spans="1:5" ht="18">
      <c r="A342" s="3" t="s">
        <v>1559</v>
      </c>
      <c r="B342" s="4" t="str">
        <f ca="1">IFERROR(__xludf.DUMMYFUNCTION("IFERROR(GOOGLETRANSLATE(A342,""ko"",""en""),)"),"It's Marie.")</f>
        <v>It's Marie.</v>
      </c>
      <c r="C342" s="4" t="str">
        <f ca="1">IFERROR(__xludf.DUMMYFUNCTION("IFERROR(GOOGLETRANSLATE(B342,""en"",""ja""),)"),"マリーです。")</f>
        <v>マリーです。</v>
      </c>
      <c r="D342" s="4" t="str">
        <f ca="1">IFERROR(__xludf.DUMMYFUNCTION("IFERROR(GOOGLETRANSLATE(B342,""en"",""zh-TW""),)"),"是瑪麗。")</f>
        <v>是瑪麗。</v>
      </c>
      <c r="E342" s="4" t="str">
        <f ca="1">IFERROR(__xludf.DUMMYFUNCTION("IFERROR(GOOGLETRANSLATE(B342,""en"",""zh-CN""),)"),"是玛丽。")</f>
        <v>是玛丽。</v>
      </c>
    </row>
    <row r="343" spans="1:5" ht="18">
      <c r="A343" s="3" t="s">
        <v>1318</v>
      </c>
      <c r="B343" s="4" t="str">
        <f ca="1">IFERROR(__xludf.DUMMYFUNCTION("IFERROR(GOOGLETRANSLATE(A343,""ko"",""en""),)"),"What is your phone number?")</f>
        <v>What is your phone number?</v>
      </c>
      <c r="C343" s="4" t="str">
        <f ca="1">IFERROR(__xludf.DUMMYFUNCTION("IFERROR(GOOGLETRANSLATE(B343,""en"",""ja""),)"),"あなたの電話番号は何番ですか？")</f>
        <v>あなたの電話番号は何番ですか？</v>
      </c>
      <c r="D343" s="4" t="str">
        <f ca="1">IFERROR(__xludf.DUMMYFUNCTION("IFERROR(GOOGLETRANSLATE(B343,""en"",""zh-TW""),)"),"你的電話號碼是什麼？")</f>
        <v>你的電話號碼是什麼？</v>
      </c>
      <c r="E343" s="4" t="str">
        <f ca="1">IFERROR(__xludf.DUMMYFUNCTION("IFERROR(GOOGLETRANSLATE(B343,""en"",""zh-CN""),)"),"你的电话号码是什么？")</f>
        <v>你的电话号码是什么？</v>
      </c>
    </row>
    <row r="344" spans="1:5" ht="18">
      <c r="A344" s="3" t="s">
        <v>1572</v>
      </c>
      <c r="B344" s="4" t="str">
        <f ca="1">IFERROR(__xludf.DUMMYFUNCTION("IFERROR(GOOGLETRANSLATE(A344,""ko"",""en""),)"),"I am a student.")</f>
        <v>I am a student.</v>
      </c>
      <c r="C344" s="4" t="str">
        <f ca="1">IFERROR(__xludf.DUMMYFUNCTION("IFERROR(GOOGLETRANSLATE(B344,""en"",""ja""),)"),"私は学生です。")</f>
        <v>私は学生です。</v>
      </c>
      <c r="D344" s="4" t="str">
        <f ca="1">IFERROR(__xludf.DUMMYFUNCTION("IFERROR(GOOGLETRANSLATE(B344,""en"",""zh-TW""),)"),"我是一名學生。")</f>
        <v>我是一名學生。</v>
      </c>
      <c r="E344" s="4" t="str">
        <f ca="1">IFERROR(__xludf.DUMMYFUNCTION("IFERROR(GOOGLETRANSLATE(B344,""en"",""zh-CN""),)"),"我是一名学生。")</f>
        <v>我是一名学生。</v>
      </c>
    </row>
    <row r="345" spans="1:5" ht="18">
      <c r="A345" s="3" t="s">
        <v>1575</v>
      </c>
      <c r="B345" s="4" t="str">
        <f ca="1">IFERROR(__xludf.DUMMYFUNCTION("IFERROR(GOOGLETRANSLATE(A345,""ko"",""en""),)"),"I am a student.")</f>
        <v>I am a student.</v>
      </c>
      <c r="C345" s="4" t="str">
        <f ca="1">IFERROR(__xludf.DUMMYFUNCTION("IFERROR(GOOGLETRANSLATE(B345,""en"",""ja""),)"),"私は学生です。")</f>
        <v>私は学生です。</v>
      </c>
      <c r="D345" s="4" t="str">
        <f ca="1">IFERROR(__xludf.DUMMYFUNCTION("IFERROR(GOOGLETRANSLATE(B345,""en"",""zh-TW""),)"),"我是一名學生。")</f>
        <v>我是一名學生。</v>
      </c>
      <c r="E345" s="4" t="str">
        <f ca="1">IFERROR(__xludf.DUMMYFUNCTION("IFERROR(GOOGLETRANSLATE(B345,""en"",""zh-CN""),)"),"我是一名学生。")</f>
        <v>我是一名学生。</v>
      </c>
    </row>
    <row r="346" spans="1:5" ht="18">
      <c r="A346" s="3" t="s">
        <v>1579</v>
      </c>
      <c r="B346" s="4" t="str">
        <f ca="1">IFERROR(__xludf.DUMMYFUNCTION("IFERROR(GOOGLETRANSLATE(A346,""ko"",""en""),)"),"I have a younger sister.")</f>
        <v>I have a younger sister.</v>
      </c>
      <c r="C346" s="4" t="str">
        <f ca="1">IFERROR(__xludf.DUMMYFUNCTION("IFERROR(GOOGLETRANSLATE(B346,""en"",""ja""),)"),"私には妹がいます。")</f>
        <v>私には妹がいます。</v>
      </c>
      <c r="D346" s="4" t="str">
        <f ca="1">IFERROR(__xludf.DUMMYFUNCTION("IFERROR(GOOGLETRANSLATE(B346,""en"",""zh-TW""),)"),"我有一個妹妹。")</f>
        <v>我有一個妹妹。</v>
      </c>
      <c r="E346" s="4" t="str">
        <f ca="1">IFERROR(__xludf.DUMMYFUNCTION("IFERROR(GOOGLETRANSLATE(B346,""en"",""zh-CN""),)"),"我有一个妹妹。")</f>
        <v>我有一个妹妹。</v>
      </c>
    </row>
    <row r="347" spans="1:5" ht="18">
      <c r="A347" s="3" t="s">
        <v>1585</v>
      </c>
      <c r="B347" s="4" t="str">
        <f ca="1">IFERROR(__xludf.DUMMYFUNCTION("IFERROR(GOOGLETRANSLATE(A347,""ko"",""en""),)"),"The restaurant is delicious.")</f>
        <v>The restaurant is delicious.</v>
      </c>
      <c r="C347" s="4" t="str">
        <f ca="1">IFERROR(__xludf.DUMMYFUNCTION("IFERROR(GOOGLETRANSLATE(B347,""en"",""ja""),)"),"そのレストランは美味しい。")</f>
        <v>そのレストランは美味しい。</v>
      </c>
      <c r="D347" s="4" t="str">
        <f ca="1">IFERROR(__xludf.DUMMYFUNCTION("IFERROR(GOOGLETRANSLATE(B347,""en"",""zh-TW""),)"),"這家餐廳的食物很美味。")</f>
        <v>這家餐廳的食物很美味。</v>
      </c>
      <c r="E347" s="4" t="str">
        <f ca="1">IFERROR(__xludf.DUMMYFUNCTION("IFERROR(GOOGLETRANSLATE(B347,""en"",""zh-CN""),)"),"这家餐厅的食物很美味。")</f>
        <v>这家餐厅的食物很美味。</v>
      </c>
    </row>
    <row r="348" spans="1:5" ht="18">
      <c r="A348" s="3" t="s">
        <v>1589</v>
      </c>
      <c r="B348" s="4" t="str">
        <f ca="1">IFERROR(__xludf.DUMMYFUNCTION("IFERROR(GOOGLETRANSLATE(A348,""ko"",""en""),)"),"I have a friend.")</f>
        <v>I have a friend.</v>
      </c>
      <c r="C348" s="4" t="str">
        <f ca="1">IFERROR(__xludf.DUMMYFUNCTION("IFERROR(GOOGLETRANSLATE(B348,""en"",""ja""),)"),"私には友達がいる。")</f>
        <v>私には友達がいる。</v>
      </c>
      <c r="D348" s="4" t="str">
        <f ca="1">IFERROR(__xludf.DUMMYFUNCTION("IFERROR(GOOGLETRANSLATE(B348,""en"",""zh-TW""),)"),"我有個朋友。")</f>
        <v>我有個朋友。</v>
      </c>
      <c r="E348" s="4" t="str">
        <f ca="1">IFERROR(__xludf.DUMMYFUNCTION("IFERROR(GOOGLETRANSLATE(B348,""en"",""zh-CN""),)"),"我有个朋友。")</f>
        <v>我有个朋友。</v>
      </c>
    </row>
    <row r="349" spans="1:5" ht="18">
      <c r="A349" s="3" t="s">
        <v>1593</v>
      </c>
      <c r="B349" s="4" t="str">
        <f ca="1">IFERROR(__xludf.DUMMYFUNCTION("IFERROR(GOOGLETRANSLATE(A349,""ko"",""en""),)"),"Anna is Australian.")</f>
        <v>Anna is Australian.</v>
      </c>
      <c r="C349" s="4" t="str">
        <f ca="1">IFERROR(__xludf.DUMMYFUNCTION("IFERROR(GOOGLETRANSLATE(B349,""en"",""ja""),)"),"アンナはオーストラリア人です。")</f>
        <v>アンナはオーストラリア人です。</v>
      </c>
      <c r="D349" s="4" t="str">
        <f ca="1">IFERROR(__xludf.DUMMYFUNCTION("IFERROR(GOOGLETRANSLATE(B349,""en"",""zh-TW""),)"),"安娜是澳洲人。")</f>
        <v>安娜是澳洲人。</v>
      </c>
      <c r="E349" s="4" t="str">
        <f ca="1">IFERROR(__xludf.DUMMYFUNCTION("IFERROR(GOOGLETRANSLATE(B349,""en"",""zh-CN""),)"),"安娜是澳大利亚人。")</f>
        <v>安娜是澳大利亚人。</v>
      </c>
    </row>
    <row r="350" spans="1:5" ht="18">
      <c r="A350" s="3" t="s">
        <v>1598</v>
      </c>
      <c r="B350" s="4" t="str">
        <f ca="1">IFERROR(__xludf.DUMMYFUNCTION("IFERROR(GOOGLETRANSLATE(A350,""ko"",""en""),)"),"classroom")</f>
        <v>classroom</v>
      </c>
      <c r="C350" s="4" t="str">
        <f ca="1">IFERROR(__xludf.DUMMYFUNCTION("IFERROR(GOOGLETRANSLATE(B350,""en"",""ja""),)"),"教室")</f>
        <v>教室</v>
      </c>
      <c r="D350" s="4" t="str">
        <f ca="1">IFERROR(__xludf.DUMMYFUNCTION("IFERROR(GOOGLETRANSLATE(B350,""en"",""zh-TW""),)"),"課堂")</f>
        <v>課堂</v>
      </c>
      <c r="E350" s="4" t="str">
        <f ca="1">IFERROR(__xludf.DUMMYFUNCTION("IFERROR(GOOGLETRANSLATE(B350,""en"",""zh-CN""),)"),"课堂")</f>
        <v>课堂</v>
      </c>
    </row>
    <row r="351" spans="1:5" ht="18">
      <c r="A351" s="3" t="s">
        <v>1603</v>
      </c>
      <c r="B351" s="4" t="str">
        <f ca="1">IFERROR(__xludf.DUMMYFUNCTION("IFERROR(GOOGLETRANSLATE(A351,""ko"",""en""),)"),"What is the classroom number?")</f>
        <v>What is the classroom number?</v>
      </c>
      <c r="C351" s="4" t="str">
        <f ca="1">IFERROR(__xludf.DUMMYFUNCTION("IFERROR(GOOGLETRANSLATE(B351,""en"",""ja""),)"),"教室番号は何番ですか？")</f>
        <v>教室番号は何番ですか？</v>
      </c>
      <c r="D351" s="4" t="str">
        <f ca="1">IFERROR(__xludf.DUMMYFUNCTION("IFERROR(GOOGLETRANSLATE(B351,""en"",""zh-TW""),)"),"教室號碼是多少？")</f>
        <v>教室號碼是多少？</v>
      </c>
      <c r="E351" s="4" t="str">
        <f ca="1">IFERROR(__xludf.DUMMYFUNCTION("IFERROR(GOOGLETRANSLATE(B351,""en"",""zh-CN""),)"),"教室号码是多少？")</f>
        <v>教室号码是多少？</v>
      </c>
    </row>
    <row r="352" spans="1:5" ht="18">
      <c r="A352" s="3" t="s">
        <v>1606</v>
      </c>
      <c r="B352" s="4" t="str">
        <f ca="1">IFERROR(__xludf.DUMMYFUNCTION("IFERROR(GOOGLETRANSLATE(A352,""ko"",""en""),)"),"here")</f>
        <v>here</v>
      </c>
      <c r="C352" s="4" t="str">
        <f ca="1">IFERROR(__xludf.DUMMYFUNCTION("IFERROR(GOOGLETRANSLATE(B352,""en"",""ja""),)"),"ここ")</f>
        <v>ここ</v>
      </c>
      <c r="D352" s="4" t="str">
        <f ca="1">IFERROR(__xludf.DUMMYFUNCTION("IFERROR(GOOGLETRANSLATE(B352,""en"",""zh-TW""),)"),"這裡")</f>
        <v>這裡</v>
      </c>
      <c r="E352" s="4" t="str">
        <f ca="1">IFERROR(__xludf.DUMMYFUNCTION("IFERROR(GOOGLETRANSLATE(B352,""en"",""zh-CN""),)"),"这里")</f>
        <v>这里</v>
      </c>
    </row>
    <row r="353" spans="1:5" ht="18">
      <c r="A353" s="3" t="s">
        <v>1608</v>
      </c>
      <c r="B353" s="4" t="str">
        <f ca="1">IFERROR(__xludf.DUMMYFUNCTION("IFERROR(GOOGLETRANSLATE(A353,""ko"",""en""),)"),"This is Sejong Institute.")</f>
        <v>This is Sejong Institute.</v>
      </c>
      <c r="C353" s="4" t="str">
        <f ca="1">IFERROR(__xludf.DUMMYFUNCTION("IFERROR(GOOGLETRANSLATE(B353,""en"",""ja""),)"),"こちらは世宗学院です。")</f>
        <v>こちらは世宗学院です。</v>
      </c>
      <c r="D353" s="4" t="str">
        <f ca="1">IFERROR(__xludf.DUMMYFUNCTION("IFERROR(GOOGLETRANSLATE(B353,""en"",""zh-TW""),)"),"這裡是世宗研究所。")</f>
        <v>這裡是世宗研究所。</v>
      </c>
      <c r="E353" s="4" t="str">
        <f ca="1">IFERROR(__xludf.DUMMYFUNCTION("IFERROR(GOOGLETRANSLATE(B353,""en"",""zh-CN""),)"),"这里是世宗研究所。")</f>
        <v>这里是世宗研究所。</v>
      </c>
    </row>
    <row r="354" spans="1:5" ht="18">
      <c r="A354" s="3" t="s">
        <v>1613</v>
      </c>
      <c r="B354" s="4" t="str">
        <f ca="1">IFERROR(__xludf.DUMMYFUNCTION("IFERROR(GOOGLETRANSLATE(A354,""ko"",""en""),)"),"The 5th floor is a movie theater.")</f>
        <v>The 5th floor is a movie theater.</v>
      </c>
      <c r="C354" s="4" t="str">
        <f ca="1">IFERROR(__xludf.DUMMYFUNCTION("IFERROR(GOOGLETRANSLATE(B354,""en"",""ja""),)"),"5階は映画館です。")</f>
        <v>5階は映画館です。</v>
      </c>
      <c r="D354" s="4" t="str">
        <f ca="1">IFERROR(__xludf.DUMMYFUNCTION("IFERROR(GOOGLETRANSLATE(B354,""en"",""zh-TW""),)"),"五樓是電影院。")</f>
        <v>五樓是電影院。</v>
      </c>
      <c r="E354" s="4" t="str">
        <f ca="1">IFERROR(__xludf.DUMMYFUNCTION("IFERROR(GOOGLETRANSLATE(B354,""en"",""zh-CN""),)"),"五楼是电影院。")</f>
        <v>五楼是电影院。</v>
      </c>
    </row>
    <row r="355" spans="1:5" ht="18">
      <c r="A355" s="3" t="s">
        <v>1618</v>
      </c>
      <c r="B355" s="4" t="str">
        <f ca="1">IFERROR(__xludf.DUMMYFUNCTION("IFERROR(GOOGLETRANSLATE(A355,""ko"",""en""),)"),"Mr. Wei is a chef.")</f>
        <v>Mr. Wei is a chef.</v>
      </c>
      <c r="C355" s="4" t="str">
        <f ca="1">IFERROR(__xludf.DUMMYFUNCTION("IFERROR(GOOGLETRANSLATE(B355,""en"",""ja""),)"),"魏氏は料理人です。")</f>
        <v>魏氏は料理人です。</v>
      </c>
      <c r="D355" s="4" t="str">
        <f ca="1">IFERROR(__xludf.DUMMYFUNCTION("IFERROR(GOOGLETRANSLATE(B355,""en"",""zh-TW""),)"),"魏先生是一位廚師。")</f>
        <v>魏先生是一位廚師。</v>
      </c>
      <c r="E355" s="4" t="str">
        <f ca="1">IFERROR(__xludf.DUMMYFUNCTION("IFERROR(GOOGLETRANSLATE(B355,""en"",""zh-CN""),)"),"魏先生是一位厨师。")</f>
        <v>魏先生是一位厨师。</v>
      </c>
    </row>
    <row r="356" spans="1:5" ht="18">
      <c r="A356" s="3" t="s">
        <v>1622</v>
      </c>
      <c r="B356" s="4" t="str">
        <f ca="1">IFERROR(__xludf.DUMMYFUNCTION("IFERROR(GOOGLETRANSLATE(A356,""ko"",""en""),)"),"This is Anna.")</f>
        <v>This is Anna.</v>
      </c>
      <c r="C356" s="4" t="str">
        <f ca="1">IFERROR(__xludf.DUMMYFUNCTION("IFERROR(GOOGLETRANSLATE(B356,""en"",""ja""),)"),"こちらはアンナです。")</f>
        <v>こちらはアンナです。</v>
      </c>
      <c r="D356" s="4" t="str">
        <f ca="1">IFERROR(__xludf.DUMMYFUNCTION("IFERROR(GOOGLETRANSLATE(B356,""en"",""zh-TW""),)"),"這是安娜。")</f>
        <v>這是安娜。</v>
      </c>
      <c r="E356" s="4" t="str">
        <f ca="1">IFERROR(__xludf.DUMMYFUNCTION("IFERROR(GOOGLETRANSLATE(B356,""en"",""zh-CN""),)"),"这是安娜。")</f>
        <v>这是安娜。</v>
      </c>
    </row>
    <row r="357" spans="1:5" ht="18">
      <c r="A357" s="3" t="s">
        <v>1626</v>
      </c>
      <c r="B357" s="4" t="str">
        <f ca="1">IFERROR(__xludf.DUMMYFUNCTION("IFERROR(GOOGLETRANSLATE(A357,""ko"",""en""),)"),"Ms. Su-ji is my friend.")</f>
        <v>Ms. Su-ji is my friend.</v>
      </c>
      <c r="C357" s="4" t="str">
        <f ca="1">IFERROR(__xludf.DUMMYFUNCTION("IFERROR(GOOGLETRANSLATE(B357,""en"",""ja""),)"),"スジさんは私の友達です。")</f>
        <v>スジさんは私の友達です。</v>
      </c>
      <c r="D357" s="4" t="str">
        <f ca="1">IFERROR(__xludf.DUMMYFUNCTION("IFERROR(GOOGLETRANSLATE(B357,""en"",""zh-TW""),)"),"蘇吉女士是我的朋友。")</f>
        <v>蘇吉女士是我的朋友。</v>
      </c>
      <c r="E357" s="4" t="str">
        <f ca="1">IFERROR(__xludf.DUMMYFUNCTION("IFERROR(GOOGLETRANSLATE(B357,""en"",""zh-CN""),)"),"苏吉女士是我的朋友。")</f>
        <v>苏吉女士是我的朋友。</v>
      </c>
    </row>
    <row r="358" spans="1:5" ht="18">
      <c r="A358" s="3" t="s">
        <v>1629</v>
      </c>
      <c r="B358" s="4" t="str">
        <f ca="1">IFERROR(__xludf.DUMMYFUNCTION("IFERROR(GOOGLETRANSLATE(A358,""ko"",""en""),)"),"That person is Juno's older brother.")</f>
        <v>That person is Juno's older brother.</v>
      </c>
      <c r="C358" s="4" t="str">
        <f ca="1">IFERROR(__xludf.DUMMYFUNCTION("IFERROR(GOOGLETRANSLATE(B358,""en"",""ja""),)"),"その人物はジュノの兄です。")</f>
        <v>その人物はジュノの兄です。</v>
      </c>
      <c r="D358" s="4" t="str">
        <f ca="1">IFERROR(__xludf.DUMMYFUNCTION("IFERROR(GOOGLETRANSLATE(B358,""en"",""zh-TW""),)"),"那個人是朱諾的哥哥。")</f>
        <v>那個人是朱諾的哥哥。</v>
      </c>
      <c r="E358" s="4" t="str">
        <f ca="1">IFERROR(__xludf.DUMMYFUNCTION("IFERROR(GOOGLETRANSLATE(B358,""en"",""zh-CN""),)"),"那个人是朱诺的哥哥。")</f>
        <v>那个人是朱诺的哥哥。</v>
      </c>
    </row>
    <row r="359" spans="1:5" ht="18">
      <c r="A359" s="3" t="s">
        <v>1633</v>
      </c>
      <c r="B359" s="4" t="str">
        <f ca="1">IFERROR(__xludf.DUMMYFUNCTION("IFERROR(GOOGLETRANSLATE(A359,""ko"",""en""),)"),"I like apples. I don't like oranges.")</f>
        <v>I like apples. I don't like oranges.</v>
      </c>
      <c r="C359" s="4" t="str">
        <f ca="1">IFERROR(__xludf.DUMMYFUNCTION("IFERROR(GOOGLETRANSLATE(B359,""en"",""ja""),)"),"私はリンゴが好きです。オレンジは好きではありません。")</f>
        <v>私はリンゴが好きです。オレンジは好きではありません。</v>
      </c>
      <c r="D359" s="4" t="str">
        <f ca="1">IFERROR(__xludf.DUMMYFUNCTION("IFERROR(GOOGLETRANSLATE(B359,""en"",""zh-TW""),)"),"我喜歡蘋果，我不喜歡橘子。")</f>
        <v>我喜歡蘋果，我不喜歡橘子。</v>
      </c>
      <c r="E359" s="4" t="str">
        <f ca="1">IFERROR(__xludf.DUMMYFUNCTION("IFERROR(GOOGLETRANSLATE(B359,""en"",""zh-CN""),)"),"我喜欢苹果，我不喜欢橙子。")</f>
        <v>我喜欢苹果，我不喜欢橙子。</v>
      </c>
    </row>
    <row r="360" spans="1:5" ht="18">
      <c r="A360" s="3" t="s">
        <v>1638</v>
      </c>
      <c r="B360" s="4" t="str">
        <f ca="1">IFERROR(__xludf.DUMMYFUNCTION("IFERROR(GOOGLETRANSLATE(A360,""ko"",""en""),)"),"Who is Marie's friend?")</f>
        <v>Who is Marie's friend?</v>
      </c>
      <c r="C360" s="4" t="str">
        <f ca="1">IFERROR(__xludf.DUMMYFUNCTION("IFERROR(GOOGLETRANSLATE(B360,""en"",""ja""),)"),"マリーの友達は誰ですか？")</f>
        <v>マリーの友達は誰ですか？</v>
      </c>
      <c r="D360" s="4" t="str">
        <f ca="1">IFERROR(__xludf.DUMMYFUNCTION("IFERROR(GOOGLETRANSLATE(B360,""en"",""zh-TW""),)"),"瑪麗的朋友是誰？")</f>
        <v>瑪麗的朋友是誰？</v>
      </c>
      <c r="E360" s="4" t="str">
        <f ca="1">IFERROR(__xludf.DUMMYFUNCTION("IFERROR(GOOGLETRANSLATE(B360,""en"",""zh-CN""),)"),"玛丽的朋友是谁？")</f>
        <v>玛丽的朋友是谁？</v>
      </c>
    </row>
    <row r="361" spans="1:5" ht="18">
      <c r="A361" s="3" t="s">
        <v>1643</v>
      </c>
      <c r="B361" s="4" t="str">
        <f ca="1">IFERROR(__xludf.DUMMYFUNCTION("IFERROR(GOOGLETRANSLATE(A361,""ko"",""en""),)"),"I am Marie's friend.")</f>
        <v>I am Marie's friend.</v>
      </c>
      <c r="C361" s="4" t="str">
        <f ca="1">IFERROR(__xludf.DUMMYFUNCTION("IFERROR(GOOGLETRANSLATE(B361,""en"",""ja""),)"),"私はマリーの友達です。")</f>
        <v>私はマリーの友達です。</v>
      </c>
      <c r="D361" s="4" t="str">
        <f ca="1">IFERROR(__xludf.DUMMYFUNCTION("IFERROR(GOOGLETRANSLATE(B361,""en"",""zh-TW""),)"),"我是瑪麗的朋友。")</f>
        <v>我是瑪麗的朋友。</v>
      </c>
      <c r="E361" s="4" t="str">
        <f ca="1">IFERROR(__xludf.DUMMYFUNCTION("IFERROR(GOOGLETRANSLATE(B361,""en"",""zh-CN""),)"),"我是玛丽的朋友。")</f>
        <v>我是玛丽的朋友。</v>
      </c>
    </row>
    <row r="362" spans="1:5" ht="18">
      <c r="A362" s="3" t="s">
        <v>1490</v>
      </c>
      <c r="B362" s="4" t="str">
        <f ca="1">IFERROR(__xludf.DUMMYFUNCTION("IFERROR(GOOGLETRANSLATE(A362,""ko"",""en""),)"),"Three times")</f>
        <v>Three times</v>
      </c>
      <c r="C362" s="4" t="str">
        <f ca="1">IFERROR(__xludf.DUMMYFUNCTION("IFERROR(GOOGLETRANSLATE(B362,""en"",""ja""),)"),"3回")</f>
        <v>3回</v>
      </c>
      <c r="D362" s="4" t="str">
        <f ca="1">IFERROR(__xludf.DUMMYFUNCTION("IFERROR(GOOGLETRANSLATE(B362,""en"",""zh-TW""),)"),"三次")</f>
        <v>三次</v>
      </c>
      <c r="E362" s="4" t="str">
        <f ca="1">IFERROR(__xludf.DUMMYFUNCTION("IFERROR(GOOGLETRANSLATE(B362,""en"",""zh-CN""),)"),"三次")</f>
        <v>三次</v>
      </c>
    </row>
    <row r="363" spans="1:5" ht="18">
      <c r="A363" s="3" t="s">
        <v>1322</v>
      </c>
      <c r="B363" s="4" t="str">
        <f ca="1">IFERROR(__xludf.DUMMYFUNCTION("IFERROR(GOOGLETRANSLATE(A363,""ko"",""en""),)"),"how much is this?")</f>
        <v>how much is this?</v>
      </c>
      <c r="C363" s="4" t="str">
        <f ca="1">IFERROR(__xludf.DUMMYFUNCTION("IFERROR(GOOGLETRANSLATE(B363,""en"",""ja""),)"),"これはいくらですか？")</f>
        <v>これはいくらですか？</v>
      </c>
      <c r="D363" s="4" t="str">
        <f ca="1">IFERROR(__xludf.DUMMYFUNCTION("IFERROR(GOOGLETRANSLATE(B363,""en"",""zh-TW""),)"),"這個多少錢？")</f>
        <v>這個多少錢？</v>
      </c>
      <c r="E363" s="4" t="str">
        <f ca="1">IFERROR(__xludf.DUMMYFUNCTION("IFERROR(GOOGLETRANSLATE(B363,""en"",""zh-CN""),)"),"这个多少钱？")</f>
        <v>这个多少钱？</v>
      </c>
    </row>
    <row r="364" spans="1:5" ht="18">
      <c r="A364" s="3" t="s">
        <v>1659</v>
      </c>
      <c r="B364" s="4" t="str">
        <f ca="1">IFERROR(__xludf.DUMMYFUNCTION("IFERROR(GOOGLETRANSLATE(A364,""ko"",""en""),)"),"What is there?")</f>
        <v>What is there?</v>
      </c>
      <c r="C364" s="4" t="str">
        <f ca="1">IFERROR(__xludf.DUMMYFUNCTION("IFERROR(GOOGLETRANSLATE(B364,""en"",""ja""),)"),"そこには何があるのですか？")</f>
        <v>そこには何があるのですか？</v>
      </c>
      <c r="D364" s="4" t="str">
        <f ca="1">IFERROR(__xludf.DUMMYFUNCTION("IFERROR(GOOGLETRANSLATE(B364,""en"",""zh-TW""),)"),"那裡有什麼？")</f>
        <v>那裡有什麼？</v>
      </c>
      <c r="E364" s="4" t="str">
        <f ca="1">IFERROR(__xludf.DUMMYFUNCTION("IFERROR(GOOGLETRANSLATE(B364,""en"",""zh-CN""),)"),"那里有什么？")</f>
        <v>那里有什么？</v>
      </c>
    </row>
    <row r="365" spans="1:5" ht="18">
      <c r="A365" s="3" t="s">
        <v>1664</v>
      </c>
      <c r="B365" s="4" t="str">
        <f ca="1">IFERROR(__xludf.DUMMYFUNCTION("IFERROR(GOOGLETRANSLATE(A365,""ko"",""en""),)"),"There is a chair.")</f>
        <v>There is a chair.</v>
      </c>
      <c r="C365" s="4" t="str">
        <f ca="1">IFERROR(__xludf.DUMMYFUNCTION("IFERROR(GOOGLETRANSLATE(B365,""en"",""ja""),)"),"椅子があります。")</f>
        <v>椅子があります。</v>
      </c>
      <c r="D365" s="4" t="str">
        <f ca="1">IFERROR(__xludf.DUMMYFUNCTION("IFERROR(GOOGLETRANSLATE(B365,""en"",""zh-TW""),)"),"那裡有一張椅子。")</f>
        <v>那裡有一張椅子。</v>
      </c>
      <c r="E365" s="4" t="str">
        <f ca="1">IFERROR(__xludf.DUMMYFUNCTION("IFERROR(GOOGLETRANSLATE(B365,""en"",""zh-CN""),)"),"那里有一把椅子。")</f>
        <v>那里有一把椅子。</v>
      </c>
    </row>
    <row r="366" spans="1:5" ht="18">
      <c r="A366" s="5" t="s">
        <v>1668</v>
      </c>
      <c r="B366" s="4" t="str">
        <f ca="1">IFERROR(__xludf.DUMMYFUNCTION("IFERROR(GOOGLETRANSLATE(A366,""ko"",""en""),)"),"It's a dining table.")</f>
        <v>It's a dining table.</v>
      </c>
      <c r="C366" s="4" t="str">
        <f ca="1">IFERROR(__xludf.DUMMYFUNCTION("IFERROR(GOOGLETRANSLATE(B366,""en"",""ja""),)"),"これはダイニングテーブルです。")</f>
        <v>これはダイニングテーブルです。</v>
      </c>
      <c r="D366" s="4" t="str">
        <f ca="1">IFERROR(__xludf.DUMMYFUNCTION("IFERROR(GOOGLETRANSLATE(B366,""en"",""zh-TW""),)"),"這是一張餐桌。")</f>
        <v>這是一張餐桌。</v>
      </c>
      <c r="E366" s="4" t="str">
        <f ca="1">IFERROR(__xludf.DUMMYFUNCTION("IFERROR(GOOGLETRANSLATE(B366,""en"",""zh-CN""),)"),"这是一张餐桌。")</f>
        <v>这是一张餐桌。</v>
      </c>
    </row>
    <row r="367" spans="1:5" ht="18">
      <c r="A367" s="3" t="s">
        <v>1673</v>
      </c>
      <c r="B367" s="4" t="str">
        <f ca="1">IFERROR(__xludf.DUMMYFUNCTION("IFERROR(GOOGLETRANSLATE(A367,""ko"",""en""),)"),"Is it water?")</f>
        <v>Is it water?</v>
      </c>
      <c r="C367" s="4" t="str">
        <f ca="1">IFERROR(__xludf.DUMMYFUNCTION("IFERROR(GOOGLETRANSLATE(B367,""en"",""ja""),)"),"それは水ですか？")</f>
        <v>それは水ですか？</v>
      </c>
      <c r="D367" s="4" t="str">
        <f ca="1">IFERROR(__xludf.DUMMYFUNCTION("IFERROR(GOOGLETRANSLATE(B367,""en"",""zh-TW""),)"),"這是水嗎？")</f>
        <v>這是水嗎？</v>
      </c>
      <c r="E367" s="4" t="str">
        <f ca="1">IFERROR(__xludf.DUMMYFUNCTION("IFERROR(GOOGLETRANSLATE(B367,""en"",""zh-CN""),)"),"这是水吗？")</f>
        <v>这是水吗？</v>
      </c>
    </row>
    <row r="368" spans="1:5" ht="18">
      <c r="A368" s="3" t="s">
        <v>1678</v>
      </c>
      <c r="B368" s="4" t="str">
        <f ca="1">IFERROR(__xludf.DUMMYFUNCTION("IFERROR(GOOGLETRANSLATE(A368,""ko"",""en""),)"),"No, it's not water. It's juice.")</f>
        <v>No, it's not water. It's juice.</v>
      </c>
      <c r="C368" s="4" t="str">
        <f ca="1">IFERROR(__xludf.DUMMYFUNCTION("IFERROR(GOOGLETRANSLATE(B368,""en"",""ja""),)"),"いいえ、水ではありません。ジュースです。")</f>
        <v>いいえ、水ではありません。ジュースです。</v>
      </c>
      <c r="D368" s="4" t="str">
        <f ca="1">IFERROR(__xludf.DUMMYFUNCTION("IFERROR(GOOGLETRANSLATE(B368,""en"",""zh-TW""),)"),"不，這不是水，這是果汁。")</f>
        <v>不，這不是水，這是果汁。</v>
      </c>
      <c r="E368" s="4" t="str">
        <f ca="1">IFERROR(__xludf.DUMMYFUNCTION("IFERROR(GOOGLETRANSLATE(B368,""en"",""zh-CN""),)"),"不，这不是水，这是果汁。")</f>
        <v>不，这不是水，这是果汁。</v>
      </c>
    </row>
    <row r="369" spans="1:5" ht="18">
      <c r="A369" s="3" t="s">
        <v>1683</v>
      </c>
      <c r="B369" s="4" t="str">
        <f ca="1">IFERROR(__xludf.DUMMYFUNCTION("IFERROR(GOOGLETRANSLATE(A369,""ko"",""en""),)"),"orange juice")</f>
        <v>orange juice</v>
      </c>
      <c r="C369" s="4" t="str">
        <f ca="1">IFERROR(__xludf.DUMMYFUNCTION("IFERROR(GOOGLETRANSLATE(B369,""en"",""ja""),)"),"オレンジジュース")</f>
        <v>オレンジジュース</v>
      </c>
      <c r="D369" s="4" t="str">
        <f ca="1">IFERROR(__xludf.DUMMYFUNCTION("IFERROR(GOOGLETRANSLATE(B369,""en"",""zh-TW""),)"),"柳橙汁")</f>
        <v>柳橙汁</v>
      </c>
      <c r="E369" s="4" t="str">
        <f ca="1">IFERROR(__xludf.DUMMYFUNCTION("IFERROR(GOOGLETRANSLATE(B369,""en"",""zh-CN""),)"),"橙汁")</f>
        <v>橙汁</v>
      </c>
    </row>
    <row r="370" spans="1:5" ht="18">
      <c r="A370" s="3" t="s">
        <v>1689</v>
      </c>
      <c r="B370" s="4" t="str">
        <f ca="1">IFERROR(__xludf.DUMMYFUNCTION("IFERROR(GOOGLETRANSLATE(A370,""ko"",""en""),)"),"Apple juice")</f>
        <v>Apple juice</v>
      </c>
      <c r="C370" s="4" t="str">
        <f ca="1">IFERROR(__xludf.DUMMYFUNCTION("IFERROR(GOOGLETRANSLATE(B370,""en"",""ja""),)"),"リンゴジュース")</f>
        <v>リンゴジュース</v>
      </c>
      <c r="D370" s="4" t="str">
        <f ca="1">IFERROR(__xludf.DUMMYFUNCTION("IFERROR(GOOGLETRANSLATE(B370,""en"",""zh-TW""),)"),"蘋果汁")</f>
        <v>蘋果汁</v>
      </c>
      <c r="E370" s="4" t="str">
        <f ca="1">IFERROR(__xludf.DUMMYFUNCTION("IFERROR(GOOGLETRANSLATE(B370,""en"",""zh-CN""),)"),"苹果汁")</f>
        <v>苹果汁</v>
      </c>
    </row>
    <row r="371" spans="1:5" ht="18">
      <c r="A371" s="3" t="s">
        <v>1694</v>
      </c>
      <c r="B371" s="4" t="str">
        <f ca="1">IFERROR(__xludf.DUMMYFUNCTION("IFERROR(GOOGLETRANSLATE(A371,""ko"",""en""),)"),"grape juice")</f>
        <v>grape juice</v>
      </c>
      <c r="C371" s="4" t="str">
        <f ca="1">IFERROR(__xludf.DUMMYFUNCTION("IFERROR(GOOGLETRANSLATE(B371,""en"",""ja""),)"),"ぶどうジュース")</f>
        <v>ぶどうジュース</v>
      </c>
      <c r="D371" s="4" t="str">
        <f ca="1">IFERROR(__xludf.DUMMYFUNCTION("IFERROR(GOOGLETRANSLATE(B371,""en"",""zh-TW""),)"),"葡萄汁")</f>
        <v>葡萄汁</v>
      </c>
      <c r="E371" s="4" t="str">
        <f ca="1">IFERROR(__xludf.DUMMYFUNCTION("IFERROR(GOOGLETRANSLATE(B371,""en"",""zh-CN""),)"),"葡萄汁")</f>
        <v>葡萄汁</v>
      </c>
    </row>
    <row r="372" spans="1:5" ht="18">
      <c r="A372" s="3" t="s">
        <v>1697</v>
      </c>
      <c r="B372" s="4" t="str">
        <f ca="1">IFERROR(__xludf.DUMMYFUNCTION("IFERROR(GOOGLETRANSLATE(A372,""ko"",""en""),)"),"Watermelon juice")</f>
        <v>Watermelon juice</v>
      </c>
      <c r="C372" s="4" t="str">
        <f ca="1">IFERROR(__xludf.DUMMYFUNCTION("IFERROR(GOOGLETRANSLATE(B372,""en"",""ja""),)"),"スイカジュース")</f>
        <v>スイカジュース</v>
      </c>
      <c r="D372" s="4" t="str">
        <f ca="1">IFERROR(__xludf.DUMMYFUNCTION("IFERROR(GOOGLETRANSLATE(B372,""en"",""zh-TW""),)"),"西瓜汁")</f>
        <v>西瓜汁</v>
      </c>
      <c r="E372" s="4" t="str">
        <f ca="1">IFERROR(__xludf.DUMMYFUNCTION("IFERROR(GOOGLETRANSLATE(B372,""en"",""zh-CN""),)"),"西瓜汁")</f>
        <v>西瓜汁</v>
      </c>
    </row>
    <row r="373" spans="1:5" ht="18">
      <c r="A373" s="3" t="s">
        <v>1702</v>
      </c>
      <c r="B373" s="4" t="str">
        <f ca="1">IFERROR(__xludf.DUMMYFUNCTION("IFERROR(GOOGLETRANSLATE(A373,""ko"",""en""),)"),"fruit juice")</f>
        <v>fruit juice</v>
      </c>
      <c r="C373" s="4" t="str">
        <f ca="1">IFERROR(__xludf.DUMMYFUNCTION("IFERROR(GOOGLETRANSLATE(B373,""en"",""ja""),)"),"果汁")</f>
        <v>果汁</v>
      </c>
      <c r="D373" s="4" t="str">
        <f ca="1">IFERROR(__xludf.DUMMYFUNCTION("IFERROR(GOOGLETRANSLATE(B373,""en"",""zh-TW""),)"),"果汁")</f>
        <v>果汁</v>
      </c>
      <c r="E373" s="4" t="str">
        <f ca="1">IFERROR(__xludf.DUMMYFUNCTION("IFERROR(GOOGLETRANSLATE(B373,""en"",""zh-CN""),)"),"果汁")</f>
        <v>果汁</v>
      </c>
    </row>
    <row r="374" spans="1:5" ht="18">
      <c r="A374" s="5" t="s">
        <v>1706</v>
      </c>
      <c r="B374" s="4" t="str">
        <f ca="1">IFERROR(__xludf.DUMMYFUNCTION("IFERROR(GOOGLETRANSLATE(A374,""ko"",""en""),)"),"Vegetable juice")</f>
        <v>Vegetable juice</v>
      </c>
      <c r="C374" s="4" t="str">
        <f ca="1">IFERROR(__xludf.DUMMYFUNCTION("IFERROR(GOOGLETRANSLATE(B374,""en"",""ja""),)"),"野菜ジュース")</f>
        <v>野菜ジュース</v>
      </c>
      <c r="D374" s="4" t="str">
        <f ca="1">IFERROR(__xludf.DUMMYFUNCTION("IFERROR(GOOGLETRANSLATE(B374,""en"",""zh-TW""),)"),"蔬菜汁")</f>
        <v>蔬菜汁</v>
      </c>
      <c r="E374" s="4" t="str">
        <f ca="1">IFERROR(__xludf.DUMMYFUNCTION("IFERROR(GOOGLETRANSLATE(B374,""en"",""zh-CN""),)"),"蔬菜汁")</f>
        <v>蔬菜汁</v>
      </c>
    </row>
    <row r="375" spans="1:5" ht="18">
      <c r="A375" s="3" t="s">
        <v>681</v>
      </c>
      <c r="B375" s="4" t="str">
        <f ca="1">IFERROR(__xludf.DUMMYFUNCTION("IFERROR(GOOGLETRANSLATE(A375,""ko"",""en""),)"),"Are you a teacher?")</f>
        <v>Are you a teacher?</v>
      </c>
      <c r="C375" s="4" t="str">
        <f ca="1">IFERROR(__xludf.DUMMYFUNCTION("IFERROR(GOOGLETRANSLATE(B375,""en"",""ja""),)"),"あなたは教師ですか？")</f>
        <v>あなたは教師ですか？</v>
      </c>
      <c r="D375" s="4" t="str">
        <f ca="1">IFERROR(__xludf.DUMMYFUNCTION("IFERROR(GOOGLETRANSLATE(B375,""en"",""zh-TW""),)"),"您是老師嗎？")</f>
        <v>您是老師嗎？</v>
      </c>
      <c r="E375" s="4" t="str">
        <f ca="1">IFERROR(__xludf.DUMMYFUNCTION("IFERROR(GOOGLETRANSLATE(B375,""en"",""zh-CN""),)"),"您是老师吗？")</f>
        <v>您是老师吗？</v>
      </c>
    </row>
    <row r="376" spans="1:5" ht="18">
      <c r="A376" s="3" t="s">
        <v>1713</v>
      </c>
      <c r="B376" s="4" t="str">
        <f ca="1">IFERROR(__xludf.DUMMYFUNCTION("IFERROR(GOOGLETRANSLATE(A376,""ko"",""en""),)"),"No, I'm not a teacher. I'm a student.")</f>
        <v>No, I'm not a teacher. I'm a student.</v>
      </c>
      <c r="C376" s="4" t="str">
        <f ca="1">IFERROR(__xludf.DUMMYFUNCTION("IFERROR(GOOGLETRANSLATE(B376,""en"",""ja""),)"),"いいえ、私は教師ではありません。学生です。")</f>
        <v>いいえ、私は教師ではありません。学生です。</v>
      </c>
      <c r="D376" s="4" t="str">
        <f ca="1">IFERROR(__xludf.DUMMYFUNCTION("IFERROR(GOOGLETRANSLATE(B376,""en"",""zh-TW""),)"),"不，我不是老師，我是學生。")</f>
        <v>不，我不是老師，我是學生。</v>
      </c>
      <c r="E376" s="4" t="str">
        <f ca="1">IFERROR(__xludf.DUMMYFUNCTION("IFERROR(GOOGLETRANSLATE(B376,""en"",""zh-CN""),)"),"不，我不是老师，我是学生。")</f>
        <v>不，我不是老师，我是学生。</v>
      </c>
    </row>
    <row r="377" spans="1:5" ht="18">
      <c r="A377" s="3" t="s">
        <v>1717</v>
      </c>
      <c r="B377" s="4" t="str">
        <f ca="1">IFERROR(__xludf.DUMMYFUNCTION("IFERROR(GOOGLETRANSLATE(A377,""ko"",""en""),)"),"Is it a computer?")</f>
        <v>Is it a computer?</v>
      </c>
      <c r="C377" s="4" t="str">
        <f ca="1">IFERROR(__xludf.DUMMYFUNCTION("IFERROR(GOOGLETRANSLATE(B377,""en"",""ja""),)"),"それはコンピューターですか？")</f>
        <v>それはコンピューターですか？</v>
      </c>
      <c r="D377" s="4" t="str">
        <f ca="1">IFERROR(__xludf.DUMMYFUNCTION("IFERROR(GOOGLETRANSLATE(B377,""en"",""zh-TW""),)"),"它是電腦嗎？")</f>
        <v>它是電腦嗎？</v>
      </c>
      <c r="E377" s="4" t="str">
        <f ca="1">IFERROR(__xludf.DUMMYFUNCTION("IFERROR(GOOGLETRANSLATE(B377,""en"",""zh-CN""),)"),"它是电脑吗？")</f>
        <v>它是电脑吗？</v>
      </c>
    </row>
    <row r="378" spans="1:5" ht="18">
      <c r="A378" s="3" t="s">
        <v>1720</v>
      </c>
      <c r="B378" s="4" t="str">
        <f ca="1">IFERROR(__xludf.DUMMYFUNCTION("IFERROR(GOOGLETRANSLATE(A378,""ko"",""en""),)"),"No, it's not a computer. It's a television.")</f>
        <v>No, it's not a computer. It's a television.</v>
      </c>
      <c r="C378" s="4" t="str">
        <f ca="1">IFERROR(__xludf.DUMMYFUNCTION("IFERROR(GOOGLETRANSLATE(B378,""en"",""ja""),)"),"いいえ、コンピューターではありません。テレビです。")</f>
        <v>いいえ、コンピューターではありません。テレビです。</v>
      </c>
      <c r="D378" s="4" t="str">
        <f ca="1">IFERROR(__xludf.DUMMYFUNCTION("IFERROR(GOOGLETRANSLATE(B378,""en"",""zh-TW""),)"),"不，它不是電腦，它是電視機。")</f>
        <v>不，它不是電腦，它是電視機。</v>
      </c>
      <c r="E378" s="4" t="str">
        <f ca="1">IFERROR(__xludf.DUMMYFUNCTION("IFERROR(GOOGLETRANSLATE(B378,""en"",""zh-CN""),)"),"不，它不是电脑，它是电视机。")</f>
        <v>不，它不是电脑，它是电视机。</v>
      </c>
    </row>
    <row r="379" spans="1:5" ht="18">
      <c r="A379" s="3" t="s">
        <v>1726</v>
      </c>
      <c r="B379" s="4" t="str">
        <f ca="1">IFERROR(__xludf.DUMMYFUNCTION("IFERROR(GOOGLETRANSLATE(A379,""ko"",""en""),)"),"Is the movie theater on the 8th floor?")</f>
        <v>Is the movie theater on the 8th floor?</v>
      </c>
      <c r="C379" s="4" t="str">
        <f ca="1">IFERROR(__xludf.DUMMYFUNCTION("IFERROR(GOOGLETRANSLATE(B379,""en"",""ja""),)"),"映画館は8階にありますか？")</f>
        <v>映画館は8階にありますか？</v>
      </c>
      <c r="D379" s="4" t="str">
        <f ca="1">IFERROR(__xludf.DUMMYFUNCTION("IFERROR(GOOGLETRANSLATE(B379,""en"",""zh-TW""),)"),"電影院在8樓嗎？")</f>
        <v>電影院在8樓嗎？</v>
      </c>
      <c r="E379" s="4" t="str">
        <f ca="1">IFERROR(__xludf.DUMMYFUNCTION("IFERROR(GOOGLETRANSLATE(B379,""en"",""zh-CN""),)"),"电影院在8楼吗？")</f>
        <v>电影院在8楼吗？</v>
      </c>
    </row>
    <row r="380" spans="1:5" ht="18">
      <c r="A380" s="3" t="s">
        <v>1732</v>
      </c>
      <c r="B380" s="4" t="str">
        <f ca="1">IFERROR(__xludf.DUMMYFUNCTION("IFERROR(GOOGLETRANSLATE(A380,""ko"",""en""),)"),"No, it's not the 8th floor. It's the 7th floor.")</f>
        <v>No, it's not the 8th floor. It's the 7th floor.</v>
      </c>
      <c r="C380" s="4" t="str">
        <f ca="1">IFERROR(__xludf.DUMMYFUNCTION("IFERROR(GOOGLETRANSLATE(B380,""en"",""ja""),)"),"いいえ、8階ではありません。7階です。")</f>
        <v>いいえ、8階ではありません。7階です。</v>
      </c>
      <c r="D380" s="4" t="str">
        <f ca="1">IFERROR(__xludf.DUMMYFUNCTION("IFERROR(GOOGLETRANSLATE(B380,""en"",""zh-TW""),)"),"不，不是8樓，是7樓。")</f>
        <v>不，不是8樓，是7樓。</v>
      </c>
      <c r="E380" s="4" t="str">
        <f ca="1">IFERROR(__xludf.DUMMYFUNCTION("IFERROR(GOOGLETRANSLATE(B380,""en"",""zh-CN""),)"),"不，不是8楼，是7楼。")</f>
        <v>不，不是8楼，是7楼。</v>
      </c>
    </row>
    <row r="381" spans="1:5" ht="18">
      <c r="A381" s="3" t="s">
        <v>1736</v>
      </c>
      <c r="B381" s="4" t="str">
        <f ca="1">IFERROR(__xludf.DUMMYFUNCTION("IFERROR(GOOGLETRANSLATE(A381,""ko"",""en""),)"),"Is he Mari's boyfriend?")</f>
        <v>Is he Mari's boyfriend?</v>
      </c>
      <c r="C381" s="4" t="str">
        <f ca="1">IFERROR(__xludf.DUMMYFUNCTION("IFERROR(GOOGLETRANSLATE(B381,""en"",""ja""),)"),"彼はマリの彼氏ですか？")</f>
        <v>彼はマリの彼氏ですか？</v>
      </c>
      <c r="D381" s="4" t="str">
        <f ca="1">IFERROR(__xludf.DUMMYFUNCTION("IFERROR(GOOGLETRANSLATE(B381,""en"",""zh-TW""),)"),"他是瑪莉的男朋友嗎？")</f>
        <v>他是瑪莉的男朋友嗎？</v>
      </c>
      <c r="E381" s="4" t="str">
        <f ca="1">IFERROR(__xludf.DUMMYFUNCTION("IFERROR(GOOGLETRANSLATE(B381,""en"",""zh-CN""),)"),"他是玛丽的男朋友吗？")</f>
        <v>他是玛丽的男朋友吗？</v>
      </c>
    </row>
    <row r="382" spans="1:5" ht="18">
      <c r="A382" s="3" t="s">
        <v>1741</v>
      </c>
      <c r="B382" s="4" t="str">
        <f ca="1">IFERROR(__xludf.DUMMYFUNCTION("IFERROR(GOOGLETRANSLATE(A382,""ko"",""en""),)"),"No, he's not my boyfriend. He's my younger brother.")</f>
        <v>No, he's not my boyfriend. He's my younger brother.</v>
      </c>
      <c r="C382" s="4" t="str">
        <f ca="1">IFERROR(__xludf.DUMMYFUNCTION("IFERROR(GOOGLETRANSLATE(B382,""en"",""ja""),)"),"いいえ、彼は私の彼氏ではありません。私の弟です。")</f>
        <v>いいえ、彼は私の彼氏ではありません。私の弟です。</v>
      </c>
      <c r="D382" s="4" t="str">
        <f ca="1">IFERROR(__xludf.DUMMYFUNCTION("IFERROR(GOOGLETRANSLATE(B382,""en"",""zh-TW""),)"),"不，他不是我男朋友，他是我弟弟。")</f>
        <v>不，他不是我男朋友，他是我弟弟。</v>
      </c>
      <c r="E382" s="4" t="str">
        <f ca="1">IFERROR(__xludf.DUMMYFUNCTION("IFERROR(GOOGLETRANSLATE(B382,""en"",""zh-CN""),)"),"不，他不是我男朋友，他是我弟弟。")</f>
        <v>不，他不是我男朋友，他是我弟弟。</v>
      </c>
    </row>
    <row r="383" spans="1:5" ht="18">
      <c r="A383" s="5" t="s">
        <v>404</v>
      </c>
      <c r="B383" s="4" t="str">
        <f ca="1">IFERROR(__xludf.DUMMYFUNCTION("IFERROR(GOOGLETRANSLATE(A383,""ko"",""en""),)"),"lover")</f>
        <v>lover</v>
      </c>
      <c r="C383" s="4" t="str">
        <f ca="1">IFERROR(__xludf.DUMMYFUNCTION("IFERROR(GOOGLETRANSLATE(B383,""en"",""ja""),)"),"愛人")</f>
        <v>愛人</v>
      </c>
      <c r="D383" s="4" t="str">
        <f ca="1">IFERROR(__xludf.DUMMYFUNCTION("IFERROR(GOOGLETRANSLATE(B383,""en"",""zh-TW""),)"),"情人")</f>
        <v>情人</v>
      </c>
      <c r="E383" s="4" t="str">
        <f ca="1">IFERROR(__xludf.DUMMYFUNCTION("IFERROR(GOOGLETRANSLATE(B383,""en"",""zh-CN""),)"),"情人")</f>
        <v>情人</v>
      </c>
    </row>
    <row r="384" spans="1:5" ht="18">
      <c r="A384" s="3" t="s">
        <v>1750</v>
      </c>
      <c r="B384" s="4" t="str">
        <f ca="1">IFERROR(__xludf.DUMMYFUNCTION("IFERROR(GOOGLETRANSLATE(A384,""ko"",""en""),)"),"korean")</f>
        <v>korean</v>
      </c>
      <c r="C384" s="4" t="str">
        <f ca="1">IFERROR(__xludf.DUMMYFUNCTION("IFERROR(GOOGLETRANSLATE(B384,""en"",""ja""),)"),"韓国語")</f>
        <v>韓国語</v>
      </c>
      <c r="D384" s="4" t="str">
        <f ca="1">IFERROR(__xludf.DUMMYFUNCTION("IFERROR(GOOGLETRANSLATE(B384,""en"",""zh-TW""),)"),"韓國人")</f>
        <v>韓國人</v>
      </c>
      <c r="E384" s="4" t="str">
        <f ca="1">IFERROR(__xludf.DUMMYFUNCTION("IFERROR(GOOGLETRANSLATE(B384,""en"",""zh-CN""),)"),"韩国人")</f>
        <v>韩国人</v>
      </c>
    </row>
    <row r="385" spans="1:5" ht="18">
      <c r="A385" s="5" t="s">
        <v>1755</v>
      </c>
      <c r="B385" s="4" t="str">
        <f ca="1">IFERROR(__xludf.DUMMYFUNCTION("IFERROR(GOOGLETRANSLATE(A385,""ko"",""en""),)"),"We're just friends.")</f>
        <v>We're just friends.</v>
      </c>
      <c r="C385" s="4" t="str">
        <f ca="1">IFERROR(__xludf.DUMMYFUNCTION("IFERROR(GOOGLETRANSLATE(B385,""en"",""ja""),)"),"私たちはただの友達です。")</f>
        <v>私たちはただの友達です。</v>
      </c>
      <c r="D385" s="4" t="str">
        <f ca="1">IFERROR(__xludf.DUMMYFUNCTION("IFERROR(GOOGLETRANSLATE(B385,""en"",""zh-TW""),)"),"我們只是朋友。")</f>
        <v>我們只是朋友。</v>
      </c>
      <c r="E385" s="4" t="str">
        <f ca="1">IFERROR(__xludf.DUMMYFUNCTION("IFERROR(GOOGLETRANSLATE(B385,""en"",""zh-CN""),)"),"我们只是朋友。")</f>
        <v>我们只是朋友。</v>
      </c>
    </row>
    <row r="386" spans="1:5" ht="18">
      <c r="A386" s="3" t="s">
        <v>1759</v>
      </c>
      <c r="B386" s="4" t="str">
        <f ca="1">IFERROR(__xludf.DUMMYFUNCTION("IFERROR(GOOGLETRANSLATE(A386,""ko"",""en""),)"),"Is the teacher a woman?")</f>
        <v>Is the teacher a woman?</v>
      </c>
      <c r="C386" s="4" t="str">
        <f ca="1">IFERROR(__xludf.DUMMYFUNCTION("IFERROR(GOOGLETRANSLATE(B386,""en"",""ja""),)"),"先生は女性ですか？")</f>
        <v>先生は女性ですか？</v>
      </c>
      <c r="D386" s="4" t="str">
        <f ca="1">IFERROR(__xludf.DUMMYFUNCTION("IFERROR(GOOGLETRANSLATE(B386,""en"",""zh-TW""),)"),"這位老師是女性嗎？")</f>
        <v>這位老師是女性嗎？</v>
      </c>
      <c r="E386" s="4" t="str">
        <f ca="1">IFERROR(__xludf.DUMMYFUNCTION("IFERROR(GOOGLETRANSLATE(B386,""en"",""zh-CN""),)"),"这位老师是女性吗？")</f>
        <v>这位老师是女性吗？</v>
      </c>
    </row>
    <row r="387" spans="1:5" ht="18">
      <c r="A387" s="3" t="s">
        <v>1764</v>
      </c>
      <c r="B387" s="4" t="str">
        <f ca="1">IFERROR(__xludf.DUMMYFUNCTION("IFERROR(GOOGLETRANSLATE(A387,""ko"",""en""),)"),"The teacher is not a woman. He is a man.")</f>
        <v>The teacher is not a woman. He is a man.</v>
      </c>
      <c r="C387" s="4" t="str">
        <f ca="1">IFERROR(__xludf.DUMMYFUNCTION("IFERROR(GOOGLETRANSLATE(B387,""en"",""ja""),)"),"その先生は女性ではありません。男性です。")</f>
        <v>その先生は女性ではありません。男性です。</v>
      </c>
      <c r="D387" s="4" t="str">
        <f ca="1">IFERROR(__xludf.DUMMYFUNCTION("IFERROR(GOOGLETRANSLATE(B387,""en"",""zh-TW""),)"),"這位老師不是女性，他是男性。")</f>
        <v>這位老師不是女性，他是男性。</v>
      </c>
      <c r="E387" s="4" t="str">
        <f ca="1">IFERROR(__xludf.DUMMYFUNCTION("IFERROR(GOOGLETRANSLATE(B387,""en"",""zh-CN""),)"),"这位老师不是女性，他是男性。")</f>
        <v>这位老师不是女性，他是男性。</v>
      </c>
    </row>
    <row r="388" spans="1:5" ht="18">
      <c r="A388" s="3" t="s">
        <v>1768</v>
      </c>
      <c r="B388" s="4" t="s">
        <v>1770</v>
      </c>
      <c r="C388" s="4" t="str">
        <f ca="1">IFERROR(__xludf.DUMMYFUNCTION("IFERROR(GOOGLETRANSLATE(B388,""en"",""ja""),)"),"ディットマン氏とは誰ですか？")</f>
        <v>ディットマン氏とは誰ですか？</v>
      </c>
      <c r="D388" s="4" t="str">
        <f ca="1">IFERROR(__xludf.DUMMYFUNCTION("IFERROR(GOOGLETRANSLATE(B388,""en"",""zh-TW""),)"),"迪特曼先生是誰？")</f>
        <v>迪特曼先生是誰？</v>
      </c>
      <c r="E388" s="4" t="str">
        <f ca="1">IFERROR(__xludf.DUMMYFUNCTION("IFERROR(GOOGLETRANSLATE(B388,""en"",""zh-CN""),)"),"迪特曼先生是谁？")</f>
        <v>迪特曼先生是谁？</v>
      </c>
    </row>
    <row r="389" spans="1:5" ht="18">
      <c r="A389" s="3" t="s">
        <v>1774</v>
      </c>
      <c r="B389" s="4" t="s">
        <v>1775</v>
      </c>
      <c r="C389" s="4" t="str">
        <f ca="1">IFERROR(__xludf.DUMMYFUNCTION("IFERROR(GOOGLETRANSLATE(B389,""en"",""ja""),)"),"私はディットマンです。")</f>
        <v>私はディットマンです。</v>
      </c>
      <c r="D389" s="4" t="str">
        <f ca="1">IFERROR(__xludf.DUMMYFUNCTION("IFERROR(GOOGLETRANSLATE(B389,""en"",""zh-TW""),)"),"我是迪特曼。")</f>
        <v>我是迪特曼。</v>
      </c>
      <c r="E389" s="4" t="str">
        <f ca="1">IFERROR(__xludf.DUMMYFUNCTION("IFERROR(GOOGLETRANSLATE(B389,""en"",""zh-CN""),)"),"我是迪特曼。")</f>
        <v>我是迪特曼。</v>
      </c>
    </row>
    <row r="390" spans="1:5" ht="18">
      <c r="A390" s="3" t="s">
        <v>1780</v>
      </c>
      <c r="B390" s="4" t="str">
        <f ca="1">IFERROR(__xludf.DUMMYFUNCTION("IFERROR(GOOGLETRANSLATE(A390,""ko"",""en""),)"),"Yujin is not Korean. She is American.")</f>
        <v>Yujin is not Korean. She is American.</v>
      </c>
      <c r="C390" s="4" t="str">
        <f ca="1">IFERROR(__xludf.DUMMYFUNCTION("IFERROR(GOOGLETRANSLATE(B390,""en"",""ja""),)"),"ユジンは韓国人ではありません。彼女はアメリカ人です。")</f>
        <v>ユジンは韓国人ではありません。彼女はアメリカ人です。</v>
      </c>
      <c r="D390" s="4" t="str">
        <f ca="1">IFERROR(__xludf.DUMMYFUNCTION("IFERROR(GOOGLETRANSLATE(B390,""en"",""zh-TW""),)"),"裕真不是韓國人，她是美國人。")</f>
        <v>裕真不是韓國人，她是美國人。</v>
      </c>
      <c r="E390" s="4" t="str">
        <f ca="1">IFERROR(__xludf.DUMMYFUNCTION("IFERROR(GOOGLETRANSLATE(B390,""en"",""zh-CN""),)"),"裕真不是韩国人，她是美国人。")</f>
        <v>裕真不是韩国人，她是美国人。</v>
      </c>
    </row>
    <row r="391" spans="1:5" ht="18">
      <c r="A391" s="3" t="s">
        <v>1783</v>
      </c>
      <c r="B391" s="4" t="str">
        <f ca="1">IFERROR(__xludf.DUMMYFUNCTION("IFERROR(GOOGLETRANSLATE(A391,""ko"",""en""),)"),"It's not a hat. It's a T-shirt.")</f>
        <v>It's not a hat. It's a T-shirt.</v>
      </c>
      <c r="C391" s="4" t="str">
        <f ca="1">IFERROR(__xludf.DUMMYFUNCTION("IFERROR(GOOGLETRANSLATE(B391,""en"",""ja""),)"),"それは帽子ではありません。Tシャツです。")</f>
        <v>それは帽子ではありません。Tシャツです。</v>
      </c>
      <c r="D391" s="4" t="str">
        <f ca="1">IFERROR(__xludf.DUMMYFUNCTION("IFERROR(GOOGLETRANSLATE(B391,""en"",""zh-TW""),)"),"這不是帽子，這是T卹。")</f>
        <v>這不是帽子，這是T卹。</v>
      </c>
      <c r="E391" s="4" t="str">
        <f ca="1">IFERROR(__xludf.DUMMYFUNCTION("IFERROR(GOOGLETRANSLATE(B391,""en"",""zh-CN""),)"),"这不是帽子，这是T恤。")</f>
        <v>这不是帽子，这是T恤。</v>
      </c>
    </row>
    <row r="392" spans="1:5" ht="18">
      <c r="A392" s="3" t="s">
        <v>1789</v>
      </c>
      <c r="B392" s="4" t="str">
        <f ca="1">IFERROR(__xludf.DUMMYFUNCTION("IFERROR(GOOGLETRANSLATE(A392,""ko"",""en""),)"),"shoes")</f>
        <v>shoes</v>
      </c>
      <c r="C392" s="4" t="str">
        <f ca="1">IFERROR(__xludf.DUMMYFUNCTION("IFERROR(GOOGLETRANSLATE(B392,""en"",""ja""),)"),"靴")</f>
        <v>靴</v>
      </c>
      <c r="D392" s="4" t="str">
        <f ca="1">IFERROR(__xludf.DUMMYFUNCTION("IFERROR(GOOGLETRANSLATE(B392,""en"",""zh-TW""),)"),"鞋")</f>
        <v>鞋</v>
      </c>
      <c r="E392" s="4" t="str">
        <f ca="1">IFERROR(__xludf.DUMMYFUNCTION("IFERROR(GOOGLETRANSLATE(B392,""en"",""zh-CN""),)"),"鞋")</f>
        <v>鞋</v>
      </c>
    </row>
    <row r="393" spans="1:5" ht="18">
      <c r="A393" s="5" t="s">
        <v>1458</v>
      </c>
      <c r="B393" s="4" t="str">
        <f ca="1">IFERROR(__xludf.DUMMYFUNCTION("IFERROR(GOOGLETRANSLATE(A393,""ko"",""en""),)"),"shoes")</f>
        <v>shoes</v>
      </c>
      <c r="C393" s="4" t="str">
        <f ca="1">IFERROR(__xludf.DUMMYFUNCTION("IFERROR(GOOGLETRANSLATE(B393,""en"",""ja""),)"),"靴")</f>
        <v>靴</v>
      </c>
      <c r="D393" s="4" t="str">
        <f ca="1">IFERROR(__xludf.DUMMYFUNCTION("IFERROR(GOOGLETRANSLATE(B393,""en"",""zh-TW""),)"),"鞋")</f>
        <v>鞋</v>
      </c>
      <c r="E393" s="4" t="str">
        <f ca="1">IFERROR(__xludf.DUMMYFUNCTION("IFERROR(GOOGLETRANSLATE(B393,""en"",""zh-CN""),)"),"鞋")</f>
        <v>鞋</v>
      </c>
    </row>
    <row r="394" spans="1:5" ht="18">
      <c r="A394" s="3" t="s">
        <v>49</v>
      </c>
      <c r="B394" s="4" t="str">
        <f ca="1">IFERROR(__xludf.DUMMYFUNCTION("IFERROR(GOOGLETRANSLATE(A394,""ko"",""en""),)"),"sneakers")</f>
        <v>sneakers</v>
      </c>
      <c r="C394" s="4" t="str">
        <f ca="1">IFERROR(__xludf.DUMMYFUNCTION("IFERROR(GOOGLETRANSLATE(B394,""en"",""ja""),)"),"スニーカー")</f>
        <v>スニーカー</v>
      </c>
      <c r="D394" s="4" t="str">
        <f ca="1">IFERROR(__xludf.DUMMYFUNCTION("IFERROR(GOOGLETRANSLATE(B394,""en"",""zh-TW""),)"),"運動鞋")</f>
        <v>運動鞋</v>
      </c>
      <c r="E394" s="4" t="str">
        <f ca="1">IFERROR(__xludf.DUMMYFUNCTION("IFERROR(GOOGLETRANSLATE(B394,""en"",""zh-CN""),)"),"运动鞋")</f>
        <v>运动鞋</v>
      </c>
    </row>
    <row r="395" spans="1:5" ht="18">
      <c r="A395" s="5" t="s">
        <v>1799</v>
      </c>
      <c r="B395" s="4" t="str">
        <f ca="1">IFERROR(__xludf.DUMMYFUNCTION("IFERROR(GOOGLETRANSLATE(A395,""ko"",""en""),)"),"hiking boots")</f>
        <v>hiking boots</v>
      </c>
      <c r="C395" s="4" t="str">
        <f ca="1">IFERROR(__xludf.DUMMYFUNCTION("IFERROR(GOOGLETRANSLATE(B395,""en"",""ja""),)"),"ハイキングブーツ")</f>
        <v>ハイキングブーツ</v>
      </c>
      <c r="D395" s="4" t="str">
        <f ca="1">IFERROR(__xludf.DUMMYFUNCTION("IFERROR(GOOGLETRANSLATE(B395,""en"",""zh-TW""),)"),"登山靴")</f>
        <v>登山靴</v>
      </c>
      <c r="E395" s="4" t="str">
        <f ca="1">IFERROR(__xludf.DUMMYFUNCTION("IFERROR(GOOGLETRANSLATE(B395,""en"",""zh-CN""),)"),"登山靴")</f>
        <v>登山靴</v>
      </c>
    </row>
    <row r="396" spans="1:5" ht="18">
      <c r="A396" s="3" t="s">
        <v>1803</v>
      </c>
      <c r="B396" s="4" t="str">
        <f ca="1">IFERROR(__xludf.DUMMYFUNCTION("IFERROR(GOOGLETRANSLATE(A396,""ko"",""en""),)"),"I am a soldier.")</f>
        <v>I am a soldier.</v>
      </c>
      <c r="C396" s="4" t="str">
        <f ca="1">IFERROR(__xludf.DUMMYFUNCTION("IFERROR(GOOGLETRANSLATE(B396,""en"",""ja""),)"),"私は兵士です。")</f>
        <v>私は兵士です。</v>
      </c>
      <c r="D396" s="4" t="str">
        <f ca="1">IFERROR(__xludf.DUMMYFUNCTION("IFERROR(GOOGLETRANSLATE(B396,""en"",""zh-TW""),)"),"我是一名士兵。")</f>
        <v>我是一名士兵。</v>
      </c>
      <c r="E396" s="4" t="str">
        <f ca="1">IFERROR(__xludf.DUMMYFUNCTION("IFERROR(GOOGLETRANSLATE(B396,""en"",""zh-CN""),)"),"我是一名士兵。")</f>
        <v>我是一名士兵。</v>
      </c>
    </row>
    <row r="397" spans="1:5" ht="18">
      <c r="A397" s="3" t="s">
        <v>1808</v>
      </c>
      <c r="B397" s="4" t="str">
        <f ca="1">IFERROR(__xludf.DUMMYFUNCTION("IFERROR(GOOGLETRANSLATE(A397,""ko"",""en""),)"),"No, I'm not a student. I'm an office worker.")</f>
        <v>No, I'm not a student. I'm an office worker.</v>
      </c>
      <c r="C397" s="4" t="str">
        <f ca="1">IFERROR(__xludf.DUMMYFUNCTION("IFERROR(GOOGLETRANSLATE(B397,""en"",""ja""),)"),"いいえ、私は学生ではありません。会社員です。")</f>
        <v>いいえ、私は学生ではありません。会社員です。</v>
      </c>
      <c r="D397" s="4" t="str">
        <f ca="1">IFERROR(__xludf.DUMMYFUNCTION("IFERROR(GOOGLETRANSLATE(B397,""en"",""zh-TW""),)"),"不，我不是學生，我是上班族。")</f>
        <v>不，我不是學生，我是上班族。</v>
      </c>
      <c r="E397" s="4" t="str">
        <f ca="1">IFERROR(__xludf.DUMMYFUNCTION("IFERROR(GOOGLETRANSLATE(B397,""en"",""zh-CN""),)"),"不，我不是学生，我是上班族。")</f>
        <v>不，我不是学生，我是上班族。</v>
      </c>
    </row>
    <row r="398" spans="1:5" ht="18">
      <c r="A398" s="3" t="s">
        <v>1812</v>
      </c>
      <c r="B398" s="4" t="str">
        <f ca="1">IFERROR(__xludf.DUMMYFUNCTION("IFERROR(GOOGLETRANSLATE(A398,""ko"",""en""),)"),"Is it clothes?")</f>
        <v>Is it clothes?</v>
      </c>
      <c r="C398" s="4" t="str">
        <f ca="1">IFERROR(__xludf.DUMMYFUNCTION("IFERROR(GOOGLETRANSLATE(B398,""en"",""ja""),)"),"それは服ですか？")</f>
        <v>それは服ですか？</v>
      </c>
      <c r="D398" s="4" t="str">
        <f ca="1">IFERROR(__xludf.DUMMYFUNCTION("IFERROR(GOOGLETRANSLATE(B398,""en"",""zh-TW""),)"),"是衣服嗎？")</f>
        <v>是衣服嗎？</v>
      </c>
      <c r="E398" s="4" t="str">
        <f ca="1">IFERROR(__xludf.DUMMYFUNCTION("IFERROR(GOOGLETRANSLATE(B398,""en"",""zh-CN""),)"),"是衣服吗？")</f>
        <v>是衣服吗？</v>
      </c>
    </row>
    <row r="399" spans="1:5" ht="18">
      <c r="A399" s="3" t="s">
        <v>1816</v>
      </c>
      <c r="B399" s="4" t="str">
        <f ca="1">IFERROR(__xludf.DUMMYFUNCTION("IFERROR(GOOGLETRANSLATE(A399,""ko"",""en""),)"),"No, it's not clothes. It's a hat.")</f>
        <v>No, it's not clothes. It's a hat.</v>
      </c>
      <c r="C399" s="4" t="str">
        <f ca="1">IFERROR(__xludf.DUMMYFUNCTION("IFERROR(GOOGLETRANSLATE(B399,""en"",""ja""),)"),"いいえ、服ではありません。帽子です。")</f>
        <v>いいえ、服ではありません。帽子です。</v>
      </c>
      <c r="D399" s="4" t="str">
        <f ca="1">IFERROR(__xludf.DUMMYFUNCTION("IFERROR(GOOGLETRANSLATE(B399,""en"",""zh-TW""),)"),"不，這不是衣服，這是帽子。")</f>
        <v>不，這不是衣服，這是帽子。</v>
      </c>
      <c r="E399" s="4" t="str">
        <f ca="1">IFERROR(__xludf.DUMMYFUNCTION("IFERROR(GOOGLETRANSLATE(B399,""en"",""zh-CN""),)"),"不，这不是衣服，这是帽子。")</f>
        <v>不，这不是衣服，这是帽子。</v>
      </c>
    </row>
    <row r="400" spans="1:5" ht="18">
      <c r="A400" s="3" t="s">
        <v>1821</v>
      </c>
      <c r="B400" s="4" t="str">
        <f ca="1">IFERROR(__xludf.DUMMYFUNCTION("IFERROR(GOOGLETRANSLATE(A400,""ko"",""en""),)"),"Is he your boyfriend?")</f>
        <v>Is he your boyfriend?</v>
      </c>
      <c r="C400" s="4" t="str">
        <f ca="1">IFERROR(__xludf.DUMMYFUNCTION("IFERROR(GOOGLETRANSLATE(B400,""en"",""ja""),)"),"彼はあなたの彼氏ですか？")</f>
        <v>彼はあなたの彼氏ですか？</v>
      </c>
      <c r="D400" s="4" t="str">
        <f ca="1">IFERROR(__xludf.DUMMYFUNCTION("IFERROR(GOOGLETRANSLATE(B400,""en"",""zh-TW""),)"),"他是你男友嗎？")</f>
        <v>他是你男友嗎？</v>
      </c>
      <c r="E400" s="4" t="str">
        <f ca="1">IFERROR(__xludf.DUMMYFUNCTION("IFERROR(GOOGLETRANSLATE(B400,""en"",""zh-CN""),)"),"他是你男朋友吗？")</f>
        <v>他是你男朋友吗？</v>
      </c>
    </row>
    <row r="401" spans="1:5" ht="18">
      <c r="A401" s="3" t="s">
        <v>1827</v>
      </c>
      <c r="B401" s="4" t="str">
        <f ca="1">IFERROR(__xludf.DUMMYFUNCTION("IFERROR(GOOGLETRANSLATE(A401,""ko"",""en""),)"),"No, he's not my boyfriend. He's my older brother.")</f>
        <v>No, he's not my boyfriend. He's my older brother.</v>
      </c>
      <c r="C401" s="4" t="str">
        <f ca="1">IFERROR(__xludf.DUMMYFUNCTION("IFERROR(GOOGLETRANSLATE(B401,""en"",""ja""),)"),"いいえ、彼は私の彼氏ではありません。私の兄です。")</f>
        <v>いいえ、彼は私の彼氏ではありません。私の兄です。</v>
      </c>
      <c r="D401" s="4" t="str">
        <f ca="1">IFERROR(__xludf.DUMMYFUNCTION("IFERROR(GOOGLETRANSLATE(B401,""en"",""zh-TW""),)"),"不，他不是我男朋友，他是我哥哥。")</f>
        <v>不，他不是我男朋友，他是我哥哥。</v>
      </c>
      <c r="E401" s="4" t="str">
        <f ca="1">IFERROR(__xludf.DUMMYFUNCTION("IFERROR(GOOGLETRANSLATE(B401,""en"",""zh-CN""),)"),"不，他不是我男朋友，他是我哥哥。")</f>
        <v>不，他不是我男朋友，他是我哥哥。</v>
      </c>
    </row>
    <row r="402" spans="1:5" ht="18">
      <c r="A402" s="3" t="s">
        <v>1829</v>
      </c>
      <c r="B402" s="4" t="str">
        <f ca="1">IFERROR(__xludf.DUMMYFUNCTION("IFERROR(GOOGLETRANSLATE(A402,""ko"",""en""),)"),"Is this a classroom?")</f>
        <v>Is this a classroom?</v>
      </c>
      <c r="C402" s="4" t="str">
        <f ca="1">IFERROR(__xludf.DUMMYFUNCTION("IFERROR(GOOGLETRANSLATE(B402,""en"",""ja""),)"),"ここは教室ですか？")</f>
        <v>ここは教室ですか？</v>
      </c>
      <c r="D402" s="4" t="str">
        <f ca="1">IFERROR(__xludf.DUMMYFUNCTION("IFERROR(GOOGLETRANSLATE(B402,""en"",""zh-TW""),)"),"這是教室嗎？")</f>
        <v>這是教室嗎？</v>
      </c>
      <c r="E402" s="4" t="str">
        <f ca="1">IFERROR(__xludf.DUMMYFUNCTION("IFERROR(GOOGLETRANSLATE(B402,""en"",""zh-CN""),)"),"这是教室吗？")</f>
        <v>这是教室吗？</v>
      </c>
    </row>
    <row r="403" spans="1:5" ht="18">
      <c r="A403" s="3" t="s">
        <v>1833</v>
      </c>
      <c r="B403" s="4" t="s">
        <v>1834</v>
      </c>
      <c r="C403" s="4" t="str">
        <f ca="1">IFERROR(__xludf.DUMMYFUNCTION("IFERROR(GOOGLETRANSLATE(B403,""en"",""ja""),)"),"いいえ。ここは教室ではありません。レストランです。")</f>
        <v>いいえ。ここは教室ではありません。レストランです。</v>
      </c>
      <c r="D403" s="4" t="str">
        <f ca="1">IFERROR(__xludf.DUMMYFUNCTION("IFERROR(GOOGLETRANSLATE(B403,""en"",""zh-TW""),)"),"不，這不是教室，這是餐廳。")</f>
        <v>不，這不是教室，這是餐廳。</v>
      </c>
      <c r="E403" s="4" t="str">
        <f ca="1">IFERROR(__xludf.DUMMYFUNCTION("IFERROR(GOOGLETRANSLATE(B403,""en"",""zh-CN""),)"),"不，这不是教室，这是餐厅。")</f>
        <v>不，这不是教室，这是餐厅。</v>
      </c>
    </row>
    <row r="404" spans="1:5" ht="18">
      <c r="A404" s="2" t="s">
        <v>1838</v>
      </c>
      <c r="B404" s="4" t="str">
        <f ca="1">IFERROR(__xludf.DUMMYFUNCTION("IFERROR(GOOGLETRANSLATE(A404,""ko"",""en""),)"),"that's right?")</f>
        <v>that's right?</v>
      </c>
      <c r="C404" s="4" t="str">
        <f ca="1">IFERROR(__xludf.DUMMYFUNCTION("IFERROR(GOOGLETRANSLATE(B404,""en"",""ja""),)"),"それは正しい？")</f>
        <v>それは正しい？</v>
      </c>
      <c r="D404" s="4" t="str">
        <f ca="1">IFERROR(__xludf.DUMMYFUNCTION("IFERROR(GOOGLETRANSLATE(B404,""en"",""zh-TW""),)"),"這是正確的？")</f>
        <v>這是正確的？</v>
      </c>
      <c r="E404" s="4" t="str">
        <f ca="1">IFERROR(__xludf.DUMMYFUNCTION("IFERROR(GOOGLETRANSLATE(B404,""en"",""zh-CN""),)"),"这是正确的？")</f>
        <v>这是正确的？</v>
      </c>
    </row>
    <row r="405" spans="1:5" ht="18">
      <c r="A405" s="3" t="s">
        <v>1842</v>
      </c>
      <c r="B405" s="4" t="str">
        <f ca="1">IFERROR(__xludf.DUMMYFUNCTION("IFERROR(GOOGLETRANSLATE(A405,""ko"",""en""),)"),"yes that's right.")</f>
        <v>yes that's right.</v>
      </c>
      <c r="C405" s="4" t="str">
        <f ca="1">IFERROR(__xludf.DUMMYFUNCTION("IFERROR(GOOGLETRANSLATE(B405,""en"",""ja""),)"),"はい、その通りです。")</f>
        <v>はい、その通りです。</v>
      </c>
      <c r="D405" s="4" t="str">
        <f ca="1">IFERROR(__xludf.DUMMYFUNCTION("IFERROR(GOOGLETRANSLATE(B405,""en"",""zh-TW""),)"),"是的，沒錯。")</f>
        <v>是的，沒錯。</v>
      </c>
      <c r="E405" s="4" t="str">
        <f ca="1">IFERROR(__xludf.DUMMYFUNCTION("IFERROR(GOOGLETRANSLATE(B405,""en"",""zh-CN""),)"),"是的，没错。")</f>
        <v>是的，没错。</v>
      </c>
    </row>
    <row r="406" spans="1:5" ht="18">
      <c r="A406" s="3" t="s">
        <v>1846</v>
      </c>
      <c r="B406" s="4" t="str">
        <f ca="1">IFERROR(__xludf.DUMMYFUNCTION("IFERROR(GOOGLETRANSLATE(A406,""ko"",""en""),)"),"What are the two of them talking about?")</f>
        <v>What are the two of them talking about?</v>
      </c>
      <c r="C406" s="4" t="str">
        <f ca="1">IFERROR(__xludf.DUMMYFUNCTION("IFERROR(GOOGLETRANSLATE(B406,""en"",""ja""),)"),"二人は何を話しているの？")</f>
        <v>二人は何を話しているの？</v>
      </c>
      <c r="D406" s="4" t="str">
        <f ca="1">IFERROR(__xludf.DUMMYFUNCTION("IFERROR(GOOGLETRANSLATE(B406,""en"",""zh-TW""),)"),"他們倆在聊什麼？")</f>
        <v>他們倆在聊什麼？</v>
      </c>
      <c r="E406" s="4" t="str">
        <f ca="1">IFERROR(__xludf.DUMMYFUNCTION("IFERROR(GOOGLETRANSLATE(B406,""en"",""zh-CN""),)"),"他们俩在聊什么？")</f>
        <v>他们俩在聊什么？</v>
      </c>
    </row>
    <row r="407" spans="1:5" ht="18">
      <c r="A407" s="3" t="s">
        <v>1851</v>
      </c>
      <c r="B407" s="4" t="str">
        <f ca="1">IFERROR(__xludf.DUMMYFUNCTION("IFERROR(GOOGLETRANSLATE(A407,""ko"",""en""),)"),"Anna's phone number")</f>
        <v>Anna's phone number</v>
      </c>
      <c r="C407" s="4" t="str">
        <f ca="1">IFERROR(__xludf.DUMMYFUNCTION("IFERROR(GOOGLETRANSLATE(B407,""en"",""ja""),)"),"アンナの電話番号")</f>
        <v>アンナの電話番号</v>
      </c>
      <c r="D407" s="4" t="str">
        <f ca="1">IFERROR(__xludf.DUMMYFUNCTION("IFERROR(GOOGLETRANSLATE(B407,""en"",""zh-TW""),)"),"安娜的電話號碼")</f>
        <v>安娜的電話號碼</v>
      </c>
      <c r="E407" s="4" t="str">
        <f ca="1">IFERROR(__xludf.DUMMYFUNCTION("IFERROR(GOOGLETRANSLATE(B407,""en"",""zh-CN""),)"),"安娜的电话号码")</f>
        <v>安娜的电话号码</v>
      </c>
    </row>
    <row r="408" spans="1:5" ht="18">
      <c r="A408" s="3" t="s">
        <v>1858</v>
      </c>
      <c r="B408" s="4" t="str">
        <f ca="1">IFERROR(__xludf.DUMMYFUNCTION("IFERROR(GOOGLETRANSLATE(A408,""ko"",""en""),)"),"I am a student.")</f>
        <v>I am a student.</v>
      </c>
      <c r="C408" s="4" t="str">
        <f ca="1">IFERROR(__xludf.DUMMYFUNCTION("IFERROR(GOOGLETRANSLATE(B408,""en"",""ja""),)"),"私は学生です。")</f>
        <v>私は学生です。</v>
      </c>
      <c r="D408" s="4" t="str">
        <f ca="1">IFERROR(__xludf.DUMMYFUNCTION("IFERROR(GOOGLETRANSLATE(B408,""en"",""zh-TW""),)"),"我是一名學生。")</f>
        <v>我是一名學生。</v>
      </c>
      <c r="E408" s="4" t="str">
        <f ca="1">IFERROR(__xludf.DUMMYFUNCTION("IFERROR(GOOGLETRANSLATE(B408,""en"",""zh-CN""),)"),"我是一名学生。")</f>
        <v>我是一名学生。</v>
      </c>
    </row>
    <row r="409" spans="1:5" ht="18">
      <c r="A409" s="3" t="s">
        <v>1862</v>
      </c>
      <c r="B409" s="4" t="str">
        <f ca="1">IFERROR(__xludf.DUMMYFUNCTION("IFERROR(GOOGLETRANSLATE(A409,""ko"",""en""),)"),"I am not a student.")</f>
        <v>I am not a student.</v>
      </c>
      <c r="C409" s="4" t="str">
        <f ca="1">IFERROR(__xludf.DUMMYFUNCTION("IFERROR(GOOGLETRANSLATE(B409,""en"",""ja""),)"),"私は学生ではありません。")</f>
        <v>私は学生ではありません。</v>
      </c>
      <c r="D409" s="4" t="str">
        <f ca="1">IFERROR(__xludf.DUMMYFUNCTION("IFERROR(GOOGLETRANSLATE(B409,""en"",""zh-TW""),)"),"我不是學生。")</f>
        <v>我不是學生。</v>
      </c>
      <c r="E409" s="4" t="str">
        <f ca="1">IFERROR(__xludf.DUMMYFUNCTION("IFERROR(GOOGLETRANSLATE(B409,""en"",""zh-CN""),)"),"我不是学生。")</f>
        <v>我不是学生。</v>
      </c>
    </row>
    <row r="410" spans="1:5" ht="18">
      <c r="A410" s="3" t="s">
        <v>1868</v>
      </c>
      <c r="B410" s="4" t="str">
        <f ca="1">IFERROR(__xludf.DUMMYFUNCTION("IFERROR(GOOGLETRANSLATE(A410,""ko"",""en""),)"),"I am a doctor.")</f>
        <v>I am a doctor.</v>
      </c>
      <c r="C410" s="4" t="str">
        <f ca="1">IFERROR(__xludf.DUMMYFUNCTION("IFERROR(GOOGLETRANSLATE(B410,""en"",""ja""),)"),"私は医者です。")</f>
        <v>私は医者です。</v>
      </c>
      <c r="D410" s="4" t="str">
        <f ca="1">IFERROR(__xludf.DUMMYFUNCTION("IFERROR(GOOGLETRANSLATE(B410,""en"",""zh-TW""),)"),"我是醫生。")</f>
        <v>我是醫生。</v>
      </c>
      <c r="E410" s="4" t="str">
        <f ca="1">IFERROR(__xludf.DUMMYFUNCTION("IFERROR(GOOGLETRANSLATE(B410,""en"",""zh-CN""),)"),"我是医生。")</f>
        <v>我是医生。</v>
      </c>
    </row>
    <row r="411" spans="1:5" ht="18">
      <c r="A411" s="3" t="s">
        <v>1875</v>
      </c>
      <c r="B411" s="4" t="str">
        <f ca="1">IFERROR(__xludf.DUMMYFUNCTION("IFERROR(GOOGLETRANSLATE(A411,""ko"",""en""),)"),"I am not a doctor.")</f>
        <v>I am not a doctor.</v>
      </c>
      <c r="C411" s="4" t="str">
        <f ca="1">IFERROR(__xludf.DUMMYFUNCTION("IFERROR(GOOGLETRANSLATE(B411,""en"",""ja""),)"),"私は医者ではありません。")</f>
        <v>私は医者ではありません。</v>
      </c>
      <c r="D411" s="4" t="str">
        <f ca="1">IFERROR(__xludf.DUMMYFUNCTION("IFERROR(GOOGLETRANSLATE(B411,""en"",""zh-TW""),)"),"我不是醫生。")</f>
        <v>我不是醫生。</v>
      </c>
      <c r="E411" s="4" t="str">
        <f ca="1">IFERROR(__xludf.DUMMYFUNCTION("IFERROR(GOOGLETRANSLATE(B411,""en"",""zh-CN""),)"),"我不是医生。")</f>
        <v>我不是医生。</v>
      </c>
    </row>
    <row r="412" spans="1:5" ht="18">
      <c r="A412" s="3" t="s">
        <v>1879</v>
      </c>
      <c r="B412" s="4" t="str">
        <f ca="1">IFERROR(__xludf.DUMMYFUNCTION("IFERROR(GOOGLETRANSLATE(A412,""ko"",""en""),)"),"Are you a student, Juno?")</f>
        <v>Are you a student, Juno?</v>
      </c>
      <c r="C412" s="4" t="str">
        <f ca="1">IFERROR(__xludf.DUMMYFUNCTION("IFERROR(GOOGLETRANSLATE(B412,""en"",""ja""),)"),"ジュノさん、あなたは学生ですか？")</f>
        <v>ジュノさん、あなたは学生ですか？</v>
      </c>
      <c r="D412" s="4" t="str">
        <f ca="1">IFERROR(__xludf.DUMMYFUNCTION("IFERROR(GOOGLETRANSLATE(B412,""en"",""zh-TW""),)"),"朱諾，你是學生嗎？")</f>
        <v>朱諾，你是學生嗎？</v>
      </c>
      <c r="E412" s="4" t="str">
        <f ca="1">IFERROR(__xludf.DUMMYFUNCTION("IFERROR(GOOGLETRANSLATE(B412,""en"",""zh-CN""),)"),"朱诺，你是学生吗？")</f>
        <v>朱诺，你是学生吗？</v>
      </c>
    </row>
    <row r="413" spans="1:5" ht="18">
      <c r="A413" s="3" t="s">
        <v>1808</v>
      </c>
      <c r="B413" s="4" t="str">
        <f ca="1">IFERROR(__xludf.DUMMYFUNCTION("IFERROR(GOOGLETRANSLATE(A413,""ko"",""en""),)"),"No, I'm not a student. I'm an office worker.")</f>
        <v>No, I'm not a student. I'm an office worker.</v>
      </c>
      <c r="C413" s="4" t="str">
        <f ca="1">IFERROR(__xludf.DUMMYFUNCTION("IFERROR(GOOGLETRANSLATE(B413,""en"",""ja""),)"),"いいえ、私は学生ではありません。会社員です。")</f>
        <v>いいえ、私は学生ではありません。会社員です。</v>
      </c>
      <c r="D413" s="4" t="str">
        <f ca="1">IFERROR(__xludf.DUMMYFUNCTION("IFERROR(GOOGLETRANSLATE(B413,""en"",""zh-TW""),)"),"不，我不是學生，我是上班族。")</f>
        <v>不，我不是學生，我是上班族。</v>
      </c>
      <c r="E413" s="4" t="str">
        <f ca="1">IFERROR(__xludf.DUMMYFUNCTION("IFERROR(GOOGLETRANSLATE(B413,""en"",""zh-CN""),)"),"不，我不是学生，我是上班族。")</f>
        <v>不，我不是学生，我是上班族。</v>
      </c>
    </row>
    <row r="414" spans="1:5" ht="18">
      <c r="A414" s="3" t="s">
        <v>1891</v>
      </c>
      <c r="B414" s="4" t="str">
        <f ca="1">IFERROR(__xludf.DUMMYFUNCTION("IFERROR(GOOGLETRANSLATE(A414,""ko"",""en""),)"),"Are you friends?")</f>
        <v>Are you friends?</v>
      </c>
      <c r="C414" s="4" t="str">
        <f ca="1">IFERROR(__xludf.DUMMYFUNCTION("IFERROR(GOOGLETRANSLATE(B414,""en"",""ja""),)"),"あなたたちは友達ですか？")</f>
        <v>あなたたちは友達ですか？</v>
      </c>
      <c r="D414" s="4" t="str">
        <f ca="1">IFERROR(__xludf.DUMMYFUNCTION("IFERROR(GOOGLETRANSLATE(B414,""en"",""zh-TW""),)"),"你們是朋友嗎？")</f>
        <v>你們是朋友嗎？</v>
      </c>
      <c r="E414" s="4" t="str">
        <f ca="1">IFERROR(__xludf.DUMMYFUNCTION("IFERROR(GOOGLETRANSLATE(B414,""en"",""zh-CN""),)"),"你们是朋友吗？")</f>
        <v>你们是朋友吗？</v>
      </c>
    </row>
    <row r="415" spans="1:5" ht="18">
      <c r="A415" s="3" t="s">
        <v>1896</v>
      </c>
      <c r="B415" s="4" t="str">
        <f ca="1">IFERROR(__xludf.DUMMYFUNCTION("IFERROR(GOOGLETRANSLATE(A415,""ko"",""en""),)"),"No, she's not a friend. She's my older sister.")</f>
        <v>No, she's not a friend. She's my older sister.</v>
      </c>
      <c r="C415" s="4" t="str">
        <f ca="1">IFERROR(__xludf.DUMMYFUNCTION("IFERROR(GOOGLETRANSLATE(B415,""en"",""ja""),)"),"いいえ、彼女は友達ではありません。私の姉です。")</f>
        <v>いいえ、彼女は友達ではありません。私の姉です。</v>
      </c>
      <c r="D415" s="4" t="str">
        <f ca="1">IFERROR(__xludf.DUMMYFUNCTION("IFERROR(GOOGLETRANSLATE(B415,""en"",""zh-TW""),)"),"不，她不是朋友。她是我姐姐。")</f>
        <v>不，她不是朋友。她是我姐姐。</v>
      </c>
      <c r="E415" s="4" t="str">
        <f ca="1">IFERROR(__xludf.DUMMYFUNCTION("IFERROR(GOOGLETRANSLATE(B415,""en"",""zh-CN""),)"),"不，她不是朋友。她是我姐姐。")</f>
        <v>不，她不是朋友。她是我姐姐。</v>
      </c>
    </row>
    <row r="416" spans="1:5" ht="18">
      <c r="A416" s="3" t="s">
        <v>1902</v>
      </c>
      <c r="B416" s="4" t="str">
        <f ca="1">IFERROR(__xludf.DUMMYFUNCTION("IFERROR(GOOGLETRANSLATE(A416,""ko"",""en""),)"),"Is it a chair?")</f>
        <v>Is it a chair?</v>
      </c>
      <c r="C416" s="4" t="str">
        <f ca="1">IFERROR(__xludf.DUMMYFUNCTION("IFERROR(GOOGLETRANSLATE(B416,""en"",""ja""),)"),"それは椅子ですか？")</f>
        <v>それは椅子ですか？</v>
      </c>
      <c r="D416" s="4" t="str">
        <f ca="1">IFERROR(__xludf.DUMMYFUNCTION("IFERROR(GOOGLETRANSLATE(B416,""en"",""zh-TW""),)"),"這是椅子嗎？")</f>
        <v>這是椅子嗎？</v>
      </c>
      <c r="E416" s="4" t="str">
        <f ca="1">IFERROR(__xludf.DUMMYFUNCTION("IFERROR(GOOGLETRANSLATE(B416,""en"",""zh-CN""),)"),"这是椅子吗？")</f>
        <v>这是椅子吗？</v>
      </c>
    </row>
    <row r="417" spans="1:5" ht="18">
      <c r="A417" s="3" t="s">
        <v>1905</v>
      </c>
      <c r="B417" s="4" t="str">
        <f ca="1">IFERROR(__xludf.DUMMYFUNCTION("IFERROR(GOOGLETRANSLATE(A417,""ko"",""en""),)"),"No, it's not a chair. It's a hat.")</f>
        <v>No, it's not a chair. It's a hat.</v>
      </c>
      <c r="C417" s="4" t="str">
        <f ca="1">IFERROR(__xludf.DUMMYFUNCTION("IFERROR(GOOGLETRANSLATE(B417,""en"",""ja""),)"),"いいえ、椅子ではありません。帽子です。")</f>
        <v>いいえ、椅子ではありません。帽子です。</v>
      </c>
      <c r="D417" s="4" t="str">
        <f ca="1">IFERROR(__xludf.DUMMYFUNCTION("IFERROR(GOOGLETRANSLATE(B417,""en"",""zh-TW""),)"),"不，這不是椅子，這是帽子。")</f>
        <v>不，這不是椅子，這是帽子。</v>
      </c>
      <c r="E417" s="4" t="str">
        <f ca="1">IFERROR(__xludf.DUMMYFUNCTION("IFERROR(GOOGLETRANSLATE(B417,""en"",""zh-CN""),)"),"不，这不是椅子，这是帽子。")</f>
        <v>不，这不是椅子，这是帽子。</v>
      </c>
    </row>
    <row r="418" spans="1:5" ht="18">
      <c r="A418" s="3" t="s">
        <v>1908</v>
      </c>
      <c r="B418" s="4" t="str">
        <f ca="1">IFERROR(__xludf.DUMMYFUNCTION("IFERROR(GOOGLETRANSLATE(A418,""ko"",""en""),)"),"Is it a ballpoint pen?")</f>
        <v>Is it a ballpoint pen?</v>
      </c>
      <c r="C418" s="4" t="str">
        <f ca="1">IFERROR(__xludf.DUMMYFUNCTION("IFERROR(GOOGLETRANSLATE(B418,""en"",""ja""),)"),"それはボールペンですか？")</f>
        <v>それはボールペンですか？</v>
      </c>
      <c r="D418" s="4" t="str">
        <f ca="1">IFERROR(__xludf.DUMMYFUNCTION("IFERROR(GOOGLETRANSLATE(B418,""en"",""zh-TW""),)"),"這是原子筆嗎？")</f>
        <v>這是原子筆嗎？</v>
      </c>
      <c r="E418" s="4" t="str">
        <f ca="1">IFERROR(__xludf.DUMMYFUNCTION("IFERROR(GOOGLETRANSLATE(B418,""en"",""zh-CN""),)"),"这是圆珠笔吗？")</f>
        <v>这是圆珠笔吗？</v>
      </c>
    </row>
    <row r="419" spans="1:5" ht="18">
      <c r="A419" s="3" t="s">
        <v>1915</v>
      </c>
      <c r="B419" s="4" t="str">
        <f ca="1">IFERROR(__xludf.DUMMYFUNCTION("IFERROR(GOOGLETRANSLATE(A419,""ko"",""en""),)"),"No, it's not a ballpoint pen. It's a cell phone.")</f>
        <v>No, it's not a ballpoint pen. It's a cell phone.</v>
      </c>
      <c r="C419" s="4" t="str">
        <f ca="1">IFERROR(__xludf.DUMMYFUNCTION("IFERROR(GOOGLETRANSLATE(B419,""en"",""ja""),)"),"いいえ、ボールペンではありません。携帯電話です。")</f>
        <v>いいえ、ボールペンではありません。携帯電話です。</v>
      </c>
      <c r="D419" s="4" t="str">
        <f ca="1">IFERROR(__xludf.DUMMYFUNCTION("IFERROR(GOOGLETRANSLATE(B419,""en"",""zh-TW""),)"),"不，這不是原子筆，這是手機。")</f>
        <v>不，這不是原子筆，這是手機。</v>
      </c>
      <c r="E419" s="4" t="str">
        <f ca="1">IFERROR(__xludf.DUMMYFUNCTION("IFERROR(GOOGLETRANSLATE(B419,""en"",""zh-CN""),)"),"不，这不是圆珠笔，这是手机。")</f>
        <v>不，这不是圆珠笔，这是手机。</v>
      </c>
    </row>
    <row r="420" spans="1:5" ht="18">
      <c r="A420" s="3" t="s">
        <v>1921</v>
      </c>
      <c r="B420" s="4" t="str">
        <f ca="1">IFERROR(__xludf.DUMMYFUNCTION("IFERROR(GOOGLETRANSLATE(A420,""ko"",""en""),)"),"It's not shoes.")</f>
        <v>It's not shoes.</v>
      </c>
      <c r="C420" s="4" t="str">
        <f ca="1">IFERROR(__xludf.DUMMYFUNCTION("IFERROR(GOOGLETRANSLATE(B420,""en"",""ja""),)"),"靴じゃないよ。")</f>
        <v>靴じゃないよ。</v>
      </c>
      <c r="D420" s="4" t="str">
        <f ca="1">IFERROR(__xludf.DUMMYFUNCTION("IFERROR(GOOGLETRANSLATE(B420,""en"",""zh-TW""),)"),"這不是鞋子。")</f>
        <v>這不是鞋子。</v>
      </c>
      <c r="E420" s="4" t="str">
        <f ca="1">IFERROR(__xludf.DUMMYFUNCTION("IFERROR(GOOGLETRANSLATE(B420,""en"",""zh-CN""),)"),"这不是鞋子。")</f>
        <v>这不是鞋子。</v>
      </c>
    </row>
    <row r="421" spans="1:5" ht="18">
      <c r="A421" s="3" t="s">
        <v>1926</v>
      </c>
      <c r="B421" s="4" t="str">
        <f ca="1">IFERROR(__xludf.DUMMYFUNCTION("IFERROR(GOOGLETRANSLATE(A421,""ko"",""en""),)"),"Lotte Department Store")</f>
        <v>Lotte Department Store</v>
      </c>
      <c r="C421" s="4" t="str">
        <f ca="1">IFERROR(__xludf.DUMMYFUNCTION("IFERROR(GOOGLETRANSLATE(B421,""en"",""ja""),)"),"ロッテ百貨店")</f>
        <v>ロッテ百貨店</v>
      </c>
      <c r="D421" s="4" t="str">
        <f ca="1">IFERROR(__xludf.DUMMYFUNCTION("IFERROR(GOOGLETRANSLATE(B421,""en"",""zh-TW""),)"),"樂天百貨公司")</f>
        <v>樂天百貨公司</v>
      </c>
      <c r="E421" s="4" t="str">
        <f ca="1">IFERROR(__xludf.DUMMYFUNCTION("IFERROR(GOOGLETRANSLATE(B421,""en"",""zh-CN""),)"),"乐天百货商店")</f>
        <v>乐天百货商店</v>
      </c>
    </row>
    <row r="422" spans="1:5" ht="18">
      <c r="A422" s="3" t="s">
        <v>1935</v>
      </c>
      <c r="B422" s="4" t="str">
        <f ca="1">IFERROR(__xludf.DUMMYFUNCTION("IFERROR(GOOGLETRANSLATE(A422,""ko"",""en""),)"),"Hyundai Department Store")</f>
        <v>Hyundai Department Store</v>
      </c>
      <c r="C422" s="4" t="str">
        <f ca="1">IFERROR(__xludf.DUMMYFUNCTION("IFERROR(GOOGLETRANSLATE(B422,""en"",""ja""),)"),"ヒュンダイ百貨店")</f>
        <v>ヒュンダイ百貨店</v>
      </c>
      <c r="D422" s="4" t="str">
        <f ca="1">IFERROR(__xludf.DUMMYFUNCTION("IFERROR(GOOGLETRANSLATE(B422,""en"",""zh-TW""),)"),"現代百貨公司")</f>
        <v>現代百貨公司</v>
      </c>
      <c r="E422" s="4" t="str">
        <f ca="1">IFERROR(__xludf.DUMMYFUNCTION("IFERROR(GOOGLETRANSLATE(B422,""en"",""zh-CN""),)"),"现代百货商店")</f>
        <v>现代百货商店</v>
      </c>
    </row>
    <row r="423" spans="1:5" ht="18">
      <c r="A423" s="3" t="s">
        <v>1940</v>
      </c>
      <c r="B423" s="4" t="str">
        <f ca="1">IFERROR(__xludf.DUMMYFUNCTION("IFERROR(GOOGLETRANSLATE(A423,""ko"",""en""),)"),"Shinsegae Department Store")</f>
        <v>Shinsegae Department Store</v>
      </c>
      <c r="C423" s="4" t="str">
        <f ca="1">IFERROR(__xludf.DUMMYFUNCTION("IFERROR(GOOGLETRANSLATE(B423,""en"",""ja""),)"),"新世界百貨店")</f>
        <v>新世界百貨店</v>
      </c>
      <c r="D423" s="4" t="str">
        <f ca="1">IFERROR(__xludf.DUMMYFUNCTION("IFERROR(GOOGLETRANSLATE(B423,""en"",""zh-TW""),)"),"新世界百貨公司")</f>
        <v>新世界百貨公司</v>
      </c>
      <c r="E423" s="4" t="str">
        <f ca="1">IFERROR(__xludf.DUMMYFUNCTION("IFERROR(GOOGLETRANSLATE(B423,""en"",""zh-CN""),)"),"新世界百货商店")</f>
        <v>新世界百货商店</v>
      </c>
    </row>
    <row r="424" spans="1:5" ht="18">
      <c r="A424" s="3" t="s">
        <v>1946</v>
      </c>
      <c r="B424" s="4" t="str">
        <f ca="1">IFERROR(__xludf.DUMMYFUNCTION("IFERROR(GOOGLETRANSLATE(A424,""ko"",""en""),)"),"Are you a Korean singer?")</f>
        <v>Are you a Korean singer?</v>
      </c>
      <c r="C424" s="4" t="str">
        <f ca="1">IFERROR(__xludf.DUMMYFUNCTION("IFERROR(GOOGLETRANSLATE(B424,""en"",""ja""),)"),"あなたは韓国の歌手ですか？")</f>
        <v>あなたは韓国の歌手ですか？</v>
      </c>
      <c r="D424" s="4" t="str">
        <f ca="1">IFERROR(__xludf.DUMMYFUNCTION("IFERROR(GOOGLETRANSLATE(B424,""en"",""zh-TW""),)"),"你是韓國歌手嗎？")</f>
        <v>你是韓國歌手嗎？</v>
      </c>
      <c r="E424" s="4" t="str">
        <f ca="1">IFERROR(__xludf.DUMMYFUNCTION("IFERROR(GOOGLETRANSLATE(B424,""en"",""zh-CN""),)"),"你是韩国歌手吗？")</f>
        <v>你是韩国歌手吗？</v>
      </c>
    </row>
    <row r="425" spans="1:5" ht="18">
      <c r="A425" s="3" t="s">
        <v>1952</v>
      </c>
      <c r="B425" s="4" t="str">
        <f ca="1">IFERROR(__xludf.DUMMYFUNCTION("IFERROR(GOOGLETRANSLATE(A425,""ko"",""en""),)"),"It's not a woman. It's a man.")</f>
        <v>It's not a woman. It's a man.</v>
      </c>
      <c r="C425" s="4" t="str">
        <f ca="1">IFERROR(__xludf.DUMMYFUNCTION("IFERROR(GOOGLETRANSLATE(B425,""en"",""ja""),)"),"女性ではありません。男性です。")</f>
        <v>女性ではありません。男性です。</v>
      </c>
      <c r="D425" s="4" t="str">
        <f ca="1">IFERROR(__xludf.DUMMYFUNCTION("IFERROR(GOOGLETRANSLATE(B425,""en"",""zh-TW""),)"),"不是女人，是男人。")</f>
        <v>不是女人，是男人。</v>
      </c>
      <c r="E425" s="4" t="str">
        <f ca="1">IFERROR(__xludf.DUMMYFUNCTION("IFERROR(GOOGLETRANSLATE(B425,""en"",""zh-CN""),)"),"不是女人，是男人。")</f>
        <v>不是女人，是男人。</v>
      </c>
    </row>
    <row r="426" spans="1:5" ht="18">
      <c r="A426" s="3" t="s">
        <v>1606</v>
      </c>
      <c r="B426" s="4" t="str">
        <f ca="1">IFERROR(__xludf.DUMMYFUNCTION("IFERROR(GOOGLETRANSLATE(A426,""ko"",""en""),)"),"here")</f>
        <v>here</v>
      </c>
      <c r="C426" s="4" t="str">
        <f ca="1">IFERROR(__xludf.DUMMYFUNCTION("IFERROR(GOOGLETRANSLATE(B426,""en"",""ja""),)"),"ここ")</f>
        <v>ここ</v>
      </c>
      <c r="D426" s="4" t="str">
        <f ca="1">IFERROR(__xludf.DUMMYFUNCTION("IFERROR(GOOGLETRANSLATE(B426,""en"",""zh-TW""),)"),"這裡")</f>
        <v>這裡</v>
      </c>
      <c r="E426" s="4" t="str">
        <f ca="1">IFERROR(__xludf.DUMMYFUNCTION("IFERROR(GOOGLETRANSLATE(B426,""en"",""zh-CN""),)"),"这里")</f>
        <v>这里</v>
      </c>
    </row>
    <row r="427" spans="1:5" ht="18">
      <c r="A427" s="3" t="s">
        <v>1961</v>
      </c>
      <c r="B427" s="4" t="str">
        <f ca="1">IFERROR(__xludf.DUMMYFUNCTION("IFERROR(GOOGLETRANSLATE(A427,""ko"",""en""),)"),"there")</f>
        <v>there</v>
      </c>
      <c r="C427" s="4" t="str">
        <f ca="1">IFERROR(__xludf.DUMMYFUNCTION("IFERROR(GOOGLETRANSLATE(B427,""en"",""ja""),)"),"そこには")</f>
        <v>そこには</v>
      </c>
      <c r="D427" s="4" t="str">
        <f ca="1">IFERROR(__xludf.DUMMYFUNCTION("IFERROR(GOOGLETRANSLATE(B427,""en"",""zh-TW""),)"),"那裡")</f>
        <v>那裡</v>
      </c>
      <c r="E427" s="4" t="str">
        <f ca="1">IFERROR(__xludf.DUMMYFUNCTION("IFERROR(GOOGLETRANSLATE(B427,""en"",""zh-CN""),)"),"那里")</f>
        <v>那里</v>
      </c>
    </row>
    <row r="428" spans="1:5" ht="18" customHeight="1">
      <c r="A428" s="3" t="s">
        <v>1968</v>
      </c>
      <c r="B428" s="4" t="s">
        <v>1969</v>
      </c>
      <c r="C428" s="4" t="str">
        <f ca="1">IFERROR(__xludf.DUMMYFUNCTION("IFERROR(GOOGLETRANSLATE(B428,""en"",""ja""),)"),"あちら／あの場所（どちらからも遠い）
")</f>
        <v xml:space="preserve">あちら／あの場所（どちらからも遠い）
</v>
      </c>
      <c r="D428" s="4" t="str">
        <f ca="1">IFERROR(__xludf.DUMMYFUNCTION("IFERROR(GOOGLETRANSLATE(B428,""en"",""zh-TW""),)"),"那邊/那個地方（離兩者都很遠）")</f>
        <v>那邊/那個地方（離兩者都很遠）</v>
      </c>
      <c r="E428" s="4" t="str">
        <f ca="1">IFERROR(__xludf.DUMMYFUNCTION("IFERROR(GOOGLETRANSLATE(B428,""en"",""zh-CN""),)"),"那边/那个地方（离两者都很远）
")</f>
        <v xml:space="preserve">那边/那个地方（离两者都很远）
</v>
      </c>
    </row>
    <row r="429" spans="1:5" ht="18">
      <c r="A429" s="3" t="s">
        <v>1975</v>
      </c>
      <c r="B429" s="4" t="s">
        <v>1976</v>
      </c>
      <c r="C429" s="4" t="str">
        <f ca="1">IFERROR(__xludf.DUMMYFUNCTION("IFERROR(GOOGLETRANSLATE(B429,""en"",""ja""),)"),"どこですか？")</f>
        <v>どこですか？</v>
      </c>
      <c r="D429" s="4" t="str">
        <f ca="1">IFERROR(__xludf.DUMMYFUNCTION("IFERROR(GOOGLETRANSLATE(B429,""en"",""zh-TW""),)"),"它在哪裡？")</f>
        <v>它在哪裡？</v>
      </c>
      <c r="E429" s="4" t="str">
        <f ca="1">IFERROR(__xludf.DUMMYFUNCTION("IFERROR(GOOGLETRANSLATE(B429,""en"",""zh-CN""),)"),"它在哪里？")</f>
        <v>它在哪里？</v>
      </c>
    </row>
    <row r="430" spans="1:5" ht="18">
      <c r="A430" s="3" t="s">
        <v>1982</v>
      </c>
      <c r="B430" s="4" t="str">
        <f ca="1">IFERROR(__xludf.DUMMYFUNCTION("IFERROR(GOOGLETRANSLATE(A430,""ko"",""en""),)"),"Korean cafe")</f>
        <v>Korean cafe</v>
      </c>
      <c r="C430" s="4" t="str">
        <f ca="1">IFERROR(__xludf.DUMMYFUNCTION("IFERROR(GOOGLETRANSLATE(B430,""en"",""ja""),)"),"韓国カフェ")</f>
        <v>韓国カフェ</v>
      </c>
      <c r="D430" s="4" t="str">
        <f ca="1">IFERROR(__xludf.DUMMYFUNCTION("IFERROR(GOOGLETRANSLATE(B430,""en"",""zh-TW""),)"),"韓國咖啡館")</f>
        <v>韓國咖啡館</v>
      </c>
      <c r="E430" s="4" t="str">
        <f ca="1">IFERROR(__xludf.DUMMYFUNCTION("IFERROR(GOOGLETRANSLATE(B430,""en"",""zh-CN""),)"),"韩国咖啡馆")</f>
        <v>韩国咖啡馆</v>
      </c>
    </row>
    <row r="431" spans="1:5" ht="18">
      <c r="A431" s="3" t="s">
        <v>1986</v>
      </c>
      <c r="B431" s="4" t="str">
        <f ca="1">IFERROR(__xludf.DUMMYFUNCTION("IFERROR(GOOGLETRANSLATE(A431,""ko"",""en""),)"),"what")</f>
        <v>what</v>
      </c>
      <c r="C431" s="4" t="str">
        <f ca="1">IFERROR(__xludf.DUMMYFUNCTION("IFERROR(GOOGLETRANSLATE(B431,""en"",""ja""),)"),"何")</f>
        <v>何</v>
      </c>
      <c r="D431" s="4" t="str">
        <f ca="1">IFERROR(__xludf.DUMMYFUNCTION("IFERROR(GOOGLETRANSLATE(B431,""en"",""zh-TW""),)"),"什麼")</f>
        <v>什麼</v>
      </c>
      <c r="E431" s="4" t="str">
        <f ca="1">IFERROR(__xludf.DUMMYFUNCTION("IFERROR(GOOGLETRANSLATE(B431,""en"",""zh-CN""),)"),"什么")</f>
        <v>什么</v>
      </c>
    </row>
    <row r="432" spans="1:5" ht="18">
      <c r="A432" s="3" t="s">
        <v>1991</v>
      </c>
      <c r="B432" s="4" t="str">
        <f ca="1">IFERROR(__xludf.DUMMYFUNCTION("IFERROR(GOOGLETRANSLATE(A432,""ko"",""en""),)"),"What is in the classroom?")</f>
        <v>What is in the classroom?</v>
      </c>
      <c r="C432" s="4" t="str">
        <f ca="1">IFERROR(__xludf.DUMMYFUNCTION("IFERROR(GOOGLETRANSLATE(B432,""en"",""ja""),)"),"教室には何がありますか？")</f>
        <v>教室には何がありますか？</v>
      </c>
      <c r="D432" s="4" t="str">
        <f ca="1">IFERROR(__xludf.DUMMYFUNCTION("IFERROR(GOOGLETRANSLATE(B432,""en"",""zh-TW""),)"),"教室裡有什麼？")</f>
        <v>教室裡有什麼？</v>
      </c>
      <c r="E432" s="4" t="str">
        <f ca="1">IFERROR(__xludf.DUMMYFUNCTION("IFERROR(GOOGLETRANSLATE(B432,""en"",""zh-CN""),)"),"教室里有什么？")</f>
        <v>教室里有什么？</v>
      </c>
    </row>
    <row r="433" spans="1:5" ht="18">
      <c r="A433" s="3" t="s">
        <v>1995</v>
      </c>
      <c r="B433" s="4" t="str">
        <f ca="1">IFERROR(__xludf.DUMMYFUNCTION("IFERROR(GOOGLETRANSLATE(A433,""ko"",""en""),)"),"pencil case")</f>
        <v>pencil case</v>
      </c>
      <c r="C433" s="4" t="str">
        <f ca="1">IFERROR(__xludf.DUMMYFUNCTION("IFERROR(GOOGLETRANSLATE(B433,""en"",""ja""),)"),"ペンケース")</f>
        <v>ペンケース</v>
      </c>
      <c r="D433" s="4" t="str">
        <f ca="1">IFERROR(__xludf.DUMMYFUNCTION("IFERROR(GOOGLETRANSLATE(B433,""en"",""zh-TW""),)"),"鉛筆盒")</f>
        <v>鉛筆盒</v>
      </c>
      <c r="E433" s="4" t="str">
        <f ca="1">IFERROR(__xludf.DUMMYFUNCTION("IFERROR(GOOGLETRANSLATE(B433,""en"",""zh-CN""),)"),"铅笔盒")</f>
        <v>铅笔盒</v>
      </c>
    </row>
    <row r="434" spans="1:5" ht="18">
      <c r="A434" s="5" t="s">
        <v>1998</v>
      </c>
      <c r="B434" s="4" t="str">
        <f ca="1">IFERROR(__xludf.DUMMYFUNCTION("IFERROR(GOOGLETRANSLATE(A434,""ko"",""en""),)"),"pencil")</f>
        <v>pencil</v>
      </c>
      <c r="C434" s="4" t="str">
        <f ca="1">IFERROR(__xludf.DUMMYFUNCTION("IFERROR(GOOGLETRANSLATE(B434,""en"",""ja""),)"),"鉛筆")</f>
        <v>鉛筆</v>
      </c>
      <c r="D434" s="4" t="str">
        <f ca="1">IFERROR(__xludf.DUMMYFUNCTION("IFERROR(GOOGLETRANSLATE(B434,""en"",""zh-TW""),)"),"鉛筆")</f>
        <v>鉛筆</v>
      </c>
      <c r="E434" s="4" t="str">
        <f ca="1">IFERROR(__xludf.DUMMYFUNCTION("IFERROR(GOOGLETRANSLATE(B434,""en"",""zh-CN""),)"),"铅笔")</f>
        <v>铅笔</v>
      </c>
    </row>
    <row r="435" spans="1:5" ht="18">
      <c r="A435" s="5" t="s">
        <v>2003</v>
      </c>
      <c r="B435" s="4" t="str">
        <f ca="1">IFERROR(__xludf.DUMMYFUNCTION("IFERROR(GOOGLETRANSLATE(A435,""ko"",""en""),)"),"eraser")</f>
        <v>eraser</v>
      </c>
      <c r="C435" s="4" t="str">
        <f ca="1">IFERROR(__xludf.DUMMYFUNCTION("IFERROR(GOOGLETRANSLATE(B435,""en"",""ja""),)"),"消しゴム")</f>
        <v>消しゴム</v>
      </c>
      <c r="D435" s="4" t="str">
        <f ca="1">IFERROR(__xludf.DUMMYFUNCTION("IFERROR(GOOGLETRANSLATE(B435,""en"",""zh-TW""),)"),"橡皮")</f>
        <v>橡皮</v>
      </c>
      <c r="E435" s="4" t="str">
        <f ca="1">IFERROR(__xludf.DUMMYFUNCTION("IFERROR(GOOGLETRANSLATE(B435,""en"",""zh-CN""),)"),"橡皮")</f>
        <v>橡皮</v>
      </c>
    </row>
    <row r="436" spans="1:5" ht="18">
      <c r="A436" s="3" t="s">
        <v>238</v>
      </c>
      <c r="B436" s="4" t="str">
        <f ca="1">IFERROR(__xludf.DUMMYFUNCTION("IFERROR(GOOGLETRANSLATE(A436,""ko"",""en""),)"),"clock")</f>
        <v>clock</v>
      </c>
      <c r="C436" s="4" t="str">
        <f ca="1">IFERROR(__xludf.DUMMYFUNCTION("IFERROR(GOOGLETRANSLATE(B436,""en"",""ja""),)"),"クロック")</f>
        <v>クロック</v>
      </c>
      <c r="D436" s="4" t="str">
        <f ca="1">IFERROR(__xludf.DUMMYFUNCTION("IFERROR(GOOGLETRANSLATE(B436,""en"",""zh-TW""),)"),"鐘")</f>
        <v>鐘</v>
      </c>
      <c r="E436" s="4" t="str">
        <f ca="1">IFERROR(__xludf.DUMMYFUNCTION("IFERROR(GOOGLETRANSLATE(B436,""en"",""zh-CN""),)"),"钟")</f>
        <v>钟</v>
      </c>
    </row>
    <row r="437" spans="1:5" ht="18">
      <c r="A437" s="3" t="s">
        <v>2014</v>
      </c>
      <c r="B437" s="4" t="str">
        <f ca="1">IFERROR(__xludf.DUMMYFUNCTION("IFERROR(GOOGLETRANSLATE(A437,""ko"",""en""),)"),"wristwatch")</f>
        <v>wristwatch</v>
      </c>
      <c r="C437" s="4" t="str">
        <f ca="1">IFERROR(__xludf.DUMMYFUNCTION("IFERROR(GOOGLETRANSLATE(B437,""en"",""ja""),)"),"腕時計")</f>
        <v>腕時計</v>
      </c>
      <c r="D437" s="4" t="str">
        <f ca="1">IFERROR(__xludf.DUMMYFUNCTION("IFERROR(GOOGLETRANSLATE(B437,""en"",""zh-TW""),)"),"手錶")</f>
        <v>手錶</v>
      </c>
      <c r="E437" s="4" t="str">
        <f ca="1">IFERROR(__xludf.DUMMYFUNCTION("IFERROR(GOOGLETRANSLATE(B437,""en"",""zh-CN""),)"),"手表")</f>
        <v>手表</v>
      </c>
    </row>
    <row r="438" spans="1:5" ht="18">
      <c r="A438" s="3" t="s">
        <v>695</v>
      </c>
      <c r="B438" s="4" t="str">
        <f ca="1">IFERROR(__xludf.DUMMYFUNCTION("IFERROR(GOOGLETRANSLATE(A438,""ko"",""en""),)"),"hand")</f>
        <v>hand</v>
      </c>
      <c r="C438" s="4" t="str">
        <f ca="1">IFERROR(__xludf.DUMMYFUNCTION("IFERROR(GOOGLETRANSLATE(B438,""en"",""ja""),)"),"手")</f>
        <v>手</v>
      </c>
      <c r="D438" s="4" t="str">
        <f ca="1">IFERROR(__xludf.DUMMYFUNCTION("IFERROR(GOOGLETRANSLATE(B438,""en"",""zh-TW""),)"),"手")</f>
        <v>手</v>
      </c>
      <c r="E438" s="4" t="str">
        <f ca="1">IFERROR(__xludf.DUMMYFUNCTION("IFERROR(GOOGLETRANSLATE(B438,""en"",""zh-CN""),)"),"手")</f>
        <v>手</v>
      </c>
    </row>
    <row r="439" spans="1:5" ht="18">
      <c r="A439" s="5" t="s">
        <v>685</v>
      </c>
      <c r="B439" s="4" t="str">
        <f ca="1">IFERROR(__xludf.DUMMYFUNCTION("IFERROR(GOOGLETRANSLATE(A439,""ko"",""en""),)"),"neck")</f>
        <v>neck</v>
      </c>
      <c r="C439" s="4" t="str">
        <f ca="1">IFERROR(__xludf.DUMMYFUNCTION("IFERROR(GOOGLETRANSLATE(B439,""en"",""ja""),)"),"ネック")</f>
        <v>ネック</v>
      </c>
      <c r="D439" s="4" t="str">
        <f ca="1">IFERROR(__xludf.DUMMYFUNCTION("IFERROR(GOOGLETRANSLATE(B439,""en"",""zh-TW""),)"),"脖子")</f>
        <v>脖子</v>
      </c>
      <c r="E439" s="4" t="str">
        <f ca="1">IFERROR(__xludf.DUMMYFUNCTION("IFERROR(GOOGLETRANSLATE(B439,""en"",""zh-CN""),)"),"脖子")</f>
        <v>脖子</v>
      </c>
    </row>
    <row r="440" spans="1:5" ht="18">
      <c r="A440" s="3" t="s">
        <v>2028</v>
      </c>
      <c r="B440" s="4" t="str">
        <f ca="1">IFERROR(__xludf.DUMMYFUNCTION("IFERROR(GOOGLETRANSLATE(A440,""ko"",""en""),)"),"blackboard")</f>
        <v>blackboard</v>
      </c>
      <c r="C440" s="4" t="str">
        <f ca="1">IFERROR(__xludf.DUMMYFUNCTION("IFERROR(GOOGLETRANSLATE(B440,""en"",""ja""),)"),"黒板")</f>
        <v>黒板</v>
      </c>
      <c r="D440" s="4" t="str">
        <f ca="1">IFERROR(__xludf.DUMMYFUNCTION("IFERROR(GOOGLETRANSLATE(B440,""en"",""zh-TW""),)"),"黑板")</f>
        <v>黑板</v>
      </c>
      <c r="E440" s="4" t="str">
        <f ca="1">IFERROR(__xludf.DUMMYFUNCTION("IFERROR(GOOGLETRANSLATE(B440,""en"",""zh-CN""),)"),"黑板")</f>
        <v>黑板</v>
      </c>
    </row>
    <row r="441" spans="1:5" ht="18">
      <c r="A441" s="3" t="s">
        <v>2034</v>
      </c>
      <c r="B441" s="4" t="str">
        <f ca="1">IFERROR(__xludf.DUMMYFUNCTION("IFERROR(GOOGLETRANSLATE(A441,""ko"",""en""),)"),"whiteboard")</f>
        <v>whiteboard</v>
      </c>
      <c r="C441" s="4" t="str">
        <f ca="1">IFERROR(__xludf.DUMMYFUNCTION("IFERROR(GOOGLETRANSLATE(B441,""en"",""ja""),)"),"ホワイトボード")</f>
        <v>ホワイトボード</v>
      </c>
      <c r="D441" s="4" t="str">
        <f ca="1">IFERROR(__xludf.DUMMYFUNCTION("IFERROR(GOOGLETRANSLATE(B441,""en"",""zh-TW""),)"),"白板")</f>
        <v>白板</v>
      </c>
      <c r="E441" s="4" t="str">
        <f ca="1">IFERROR(__xludf.DUMMYFUNCTION("IFERROR(GOOGLETRANSLATE(B441,""en"",""zh-CN""),)"),"白板")</f>
        <v>白板</v>
      </c>
    </row>
    <row r="442" spans="1:5" ht="18">
      <c r="A442" s="5" t="s">
        <v>2039</v>
      </c>
      <c r="B442" s="4" t="str">
        <f ca="1">IFERROR(__xludf.DUMMYFUNCTION("IFERROR(GOOGLETRANSLATE(A442,""ko"",""en""),)"),"tissue")</f>
        <v>tissue</v>
      </c>
      <c r="C442" s="4" t="str">
        <f ca="1">IFERROR(__xludf.DUMMYFUNCTION("IFERROR(GOOGLETRANSLATE(B442,""en"",""ja""),)"),"組織")</f>
        <v>組織</v>
      </c>
      <c r="D442" s="4" t="str">
        <f ca="1">IFERROR(__xludf.DUMMYFUNCTION("IFERROR(GOOGLETRANSLATE(B442,""en"",""zh-TW""),)"),"組織")</f>
        <v>組織</v>
      </c>
      <c r="E442" s="4" t="str">
        <f ca="1">IFERROR(__xludf.DUMMYFUNCTION("IFERROR(GOOGLETRANSLATE(B442,""en"",""zh-CN""),)"),"组织")</f>
        <v>组织</v>
      </c>
    </row>
    <row r="443" spans="1:5" ht="18">
      <c r="A443" s="5" t="s">
        <v>2046</v>
      </c>
      <c r="B443" s="4" t="str">
        <f ca="1">IFERROR(__xludf.DUMMYFUNCTION("IFERROR(GOOGLETRANSLATE(A443,""ko"",""en""),)"),"frame")</f>
        <v>frame</v>
      </c>
      <c r="C443" s="4" t="str">
        <f ca="1">IFERROR(__xludf.DUMMYFUNCTION("IFERROR(GOOGLETRANSLATE(B443,""en"",""ja""),)"),"フレーム")</f>
        <v>フレーム</v>
      </c>
      <c r="D443" s="4" t="str">
        <f ca="1">IFERROR(__xludf.DUMMYFUNCTION("IFERROR(GOOGLETRANSLATE(B443,""en"",""zh-TW""),)"),"框架")</f>
        <v>框架</v>
      </c>
      <c r="E443" s="4" t="str">
        <f ca="1">IFERROR(__xludf.DUMMYFUNCTION("IFERROR(GOOGLETRANSLATE(B443,""en"",""zh-CN""),)"),"框架")</f>
        <v>框架</v>
      </c>
    </row>
    <row r="444" spans="1:5" ht="18">
      <c r="A444" s="3" t="s">
        <v>2058</v>
      </c>
      <c r="B444" s="4" t="str">
        <f ca="1">IFERROR(__xludf.DUMMYFUNCTION("IFERROR(GOOGLETRANSLATE(A444,""ko"",""en""),)"),"door")</f>
        <v>door</v>
      </c>
      <c r="C444" s="4" t="str">
        <f ca="1">IFERROR(__xludf.DUMMYFUNCTION("IFERROR(GOOGLETRANSLATE(B444,""en"",""ja""),)"),"ドア")</f>
        <v>ドア</v>
      </c>
      <c r="D444" s="4" t="str">
        <f ca="1">IFERROR(__xludf.DUMMYFUNCTION("IFERROR(GOOGLETRANSLATE(B444,""en"",""zh-TW""),)"),"門")</f>
        <v>門</v>
      </c>
      <c r="E444" s="4" t="str">
        <f ca="1">IFERROR(__xludf.DUMMYFUNCTION("IFERROR(GOOGLETRANSLATE(B444,""en"",""zh-CN""),)"),"门")</f>
        <v>门</v>
      </c>
    </row>
    <row r="445" spans="1:5" ht="18">
      <c r="A445" s="3" t="s">
        <v>2066</v>
      </c>
      <c r="B445" s="4" t="str">
        <f ca="1">IFERROR(__xludf.DUMMYFUNCTION("IFERROR(GOOGLETRANSLATE(A445,""ko"",""en""),)"),"window")</f>
        <v>window</v>
      </c>
      <c r="C445" s="4" t="str">
        <f ca="1">IFERROR(__xludf.DUMMYFUNCTION("IFERROR(GOOGLETRANSLATE(B445,""en"",""ja""),)"),"ウィンドウ")</f>
        <v>ウィンドウ</v>
      </c>
      <c r="D445" s="4" t="str">
        <f ca="1">IFERROR(__xludf.DUMMYFUNCTION("IFERROR(GOOGLETRANSLATE(B445,""en"",""zh-TW""),)"),"窗戶")</f>
        <v>窗戶</v>
      </c>
      <c r="E445" s="4" t="str">
        <f ca="1">IFERROR(__xludf.DUMMYFUNCTION("IFERROR(GOOGLETRANSLATE(B445,""en"",""zh-CN""),)"),"窗户")</f>
        <v>窗户</v>
      </c>
    </row>
    <row r="446" spans="1:5" ht="18">
      <c r="A446" s="3" t="s">
        <v>2071</v>
      </c>
      <c r="B446" s="4" t="str">
        <f ca="1">IFERROR(__xludf.DUMMYFUNCTION("IFERROR(GOOGLETRANSLATE(A446,""ko"",""en""),)"),"bank")</f>
        <v>bank</v>
      </c>
      <c r="C446" s="4" t="str">
        <f ca="1">IFERROR(__xludf.DUMMYFUNCTION("IFERROR(GOOGLETRANSLATE(B446,""en"",""ja""),)"),"銀行")</f>
        <v>銀行</v>
      </c>
      <c r="D446" s="4" t="str">
        <f ca="1">IFERROR(__xludf.DUMMYFUNCTION("IFERROR(GOOGLETRANSLATE(B446,""en"",""zh-TW""),)"),"銀行")</f>
        <v>銀行</v>
      </c>
      <c r="E446" s="4" t="str">
        <f ca="1">IFERROR(__xludf.DUMMYFUNCTION("IFERROR(GOOGLETRANSLATE(B446,""en"",""zh-CN""),)"),"银行")</f>
        <v>银行</v>
      </c>
    </row>
    <row r="447" spans="1:5" ht="18">
      <c r="A447" s="5" t="s">
        <v>299</v>
      </c>
      <c r="B447" s="4" t="str">
        <f ca="1">IFERROR(__xludf.DUMMYFUNCTION("IFERROR(GOOGLETRANSLATE(A447,""ko"",""en""),)"),"refrigerator")</f>
        <v>refrigerator</v>
      </c>
      <c r="C447" s="4" t="str">
        <f ca="1">IFERROR(__xludf.DUMMYFUNCTION("IFERROR(GOOGLETRANSLATE(B447,""en"",""ja""),)"),"冷蔵庫")</f>
        <v>冷蔵庫</v>
      </c>
      <c r="D447" s="4" t="str">
        <f ca="1">IFERROR(__xludf.DUMMYFUNCTION("IFERROR(GOOGLETRANSLATE(B447,""en"",""zh-TW""),)"),"冰箱")</f>
        <v>冰箱</v>
      </c>
      <c r="E447" s="4" t="str">
        <f ca="1">IFERROR(__xludf.DUMMYFUNCTION("IFERROR(GOOGLETRANSLATE(B447,""en"",""zh-CN""),)"),"冰箱")</f>
        <v>冰箱</v>
      </c>
    </row>
    <row r="448" spans="1:5" ht="18">
      <c r="A448" s="3" t="s">
        <v>2077</v>
      </c>
      <c r="B448" s="4" t="str">
        <f ca="1">IFERROR(__xludf.DUMMYFUNCTION("IFERROR(GOOGLETRANSLATE(A448,""ko"",""en""),)"),"iPad")</f>
        <v>iPad</v>
      </c>
      <c r="C448" s="4" t="str">
        <f ca="1">IFERROR(__xludf.DUMMYFUNCTION("IFERROR(GOOGLETRANSLATE(B448,""en"",""ja""),)"),"iPad")</f>
        <v>iPad</v>
      </c>
      <c r="D448" s="4" t="str">
        <f ca="1">IFERROR(__xludf.DUMMYFUNCTION("IFERROR(GOOGLETRANSLATE(B448,""en"",""zh-TW""),)"),"iPad")</f>
        <v>iPad</v>
      </c>
      <c r="E448" s="4" t="str">
        <f ca="1">IFERROR(__xludf.DUMMYFUNCTION("IFERROR(GOOGLETRANSLATE(B448,""en"",""zh-CN""),)"),"iPad")</f>
        <v>iPad</v>
      </c>
    </row>
    <row r="449" spans="1:5" ht="18">
      <c r="A449" s="5" t="s">
        <v>2080</v>
      </c>
      <c r="B449" s="4" t="str">
        <f ca="1">IFERROR(__xludf.DUMMYFUNCTION("IFERROR(GOOGLETRANSLATE(A449,""ko"",""en""),)"),"tablet")</f>
        <v>tablet</v>
      </c>
      <c r="C449" s="4" t="str">
        <f ca="1">IFERROR(__xludf.DUMMYFUNCTION("IFERROR(GOOGLETRANSLATE(B449,""en"",""ja""),)"),"錠剤")</f>
        <v>錠剤</v>
      </c>
      <c r="D449" s="4" t="str">
        <f ca="1">IFERROR(__xludf.DUMMYFUNCTION("IFERROR(GOOGLETRANSLATE(B449,""en"",""zh-TW""),)"),"藥片")</f>
        <v>藥片</v>
      </c>
      <c r="E449" s="4" t="str">
        <f ca="1">IFERROR(__xludf.DUMMYFUNCTION("IFERROR(GOOGLETRANSLATE(B449,""en"",""zh-CN""),)"),"药片")</f>
        <v>药片</v>
      </c>
    </row>
    <row r="450" spans="1:5" ht="18">
      <c r="A450" s="3" t="s">
        <v>2046</v>
      </c>
      <c r="B450" s="4" t="str">
        <f ca="1">IFERROR(__xludf.DUMMYFUNCTION("IFERROR(GOOGLETRANSLATE(A450,""ko"",""en""),)"),"frame")</f>
        <v>frame</v>
      </c>
      <c r="C450" s="4" t="str">
        <f ca="1">IFERROR(__xludf.DUMMYFUNCTION("IFERROR(GOOGLETRANSLATE(B450,""en"",""ja""),)"),"フレーム")</f>
        <v>フレーム</v>
      </c>
      <c r="D450" s="4" t="str">
        <f ca="1">IFERROR(__xludf.DUMMYFUNCTION("IFERROR(GOOGLETRANSLATE(B450,""en"",""zh-TW""),)"),"框架")</f>
        <v>框架</v>
      </c>
      <c r="E450" s="4" t="str">
        <f ca="1">IFERROR(__xludf.DUMMYFUNCTION("IFERROR(GOOGLETRANSLATE(B450,""en"",""zh-CN""),)"),"框架")</f>
        <v>框架</v>
      </c>
    </row>
    <row r="451" spans="1:5" ht="18">
      <c r="A451" s="5" t="s">
        <v>1480</v>
      </c>
      <c r="B451" s="4" t="str">
        <f ca="1">IFERROR(__xludf.DUMMYFUNCTION("IFERROR(GOOGLETRANSLATE(A451,""ko"",""en""),)"),"calendar")</f>
        <v>calendar</v>
      </c>
      <c r="C451" s="4" t="str">
        <f ca="1">IFERROR(__xludf.DUMMYFUNCTION("IFERROR(GOOGLETRANSLATE(B451,""en"",""ja""),)"),"カレンダー")</f>
        <v>カレンダー</v>
      </c>
      <c r="D451" s="4" t="str">
        <f ca="1">IFERROR(__xludf.DUMMYFUNCTION("IFERROR(GOOGLETRANSLATE(B451,""en"",""zh-TW""),)"),"日曆")</f>
        <v>日曆</v>
      </c>
      <c r="E451" s="4" t="str">
        <f ca="1">IFERROR(__xludf.DUMMYFUNCTION("IFERROR(GOOGLETRANSLATE(B451,""en"",""zh-CN""),)"),"日历")</f>
        <v>日历</v>
      </c>
    </row>
    <row r="452" spans="1:5" ht="18">
      <c r="A452" s="5" t="s">
        <v>2090</v>
      </c>
      <c r="B452" s="4" t="str">
        <f ca="1">IFERROR(__xludf.DUMMYFUNCTION("IFERROR(GOOGLETRANSLATE(A452,""ko"",""en""),)"),"calculating machine")</f>
        <v>calculating machine</v>
      </c>
      <c r="C452" s="4" t="str">
        <f ca="1">IFERROR(__xludf.DUMMYFUNCTION("IFERROR(GOOGLETRANSLATE(B452,""en"",""ja""),)"),"計算機")</f>
        <v>計算機</v>
      </c>
      <c r="D452" s="4" t="str">
        <f ca="1">IFERROR(__xludf.DUMMYFUNCTION("IFERROR(GOOGLETRANSLATE(B452,""en"",""zh-TW""),)"),"電腦器")</f>
        <v>電腦器</v>
      </c>
      <c r="E452" s="4" t="str">
        <f ca="1">IFERROR(__xludf.DUMMYFUNCTION("IFERROR(GOOGLETRANSLATE(B452,""en"",""zh-CN""),)"),"计算机器")</f>
        <v>计算机器</v>
      </c>
    </row>
    <row r="453" spans="1:5" ht="18">
      <c r="A453" s="3" t="s">
        <v>2039</v>
      </c>
      <c r="B453" s="4" t="str">
        <f ca="1">IFERROR(__xludf.DUMMYFUNCTION("IFERROR(GOOGLETRANSLATE(A453,""ko"",""en""),)"),"tissue")</f>
        <v>tissue</v>
      </c>
      <c r="C453" s="4" t="str">
        <f ca="1">IFERROR(__xludf.DUMMYFUNCTION("IFERROR(GOOGLETRANSLATE(B453,""en"",""ja""),)"),"組織")</f>
        <v>組織</v>
      </c>
      <c r="D453" s="4" t="str">
        <f ca="1">IFERROR(__xludf.DUMMYFUNCTION("IFERROR(GOOGLETRANSLATE(B453,""en"",""zh-TW""),)"),"組織")</f>
        <v>組織</v>
      </c>
      <c r="E453" s="4" t="str">
        <f ca="1">IFERROR(__xludf.DUMMYFUNCTION("IFERROR(GOOGLETRANSLATE(B453,""en"",""zh-CN""),)"),"组织")</f>
        <v>组织</v>
      </c>
    </row>
    <row r="454" spans="1:5" ht="18">
      <c r="A454" s="5" t="s">
        <v>2097</v>
      </c>
      <c r="B454" s="4" t="str">
        <f ca="1">IFERROR(__xludf.DUMMYFUNCTION("IFERROR(GOOGLETRANSLATE(A454,""ko"",""en""),)"),"tissue box")</f>
        <v>tissue box</v>
      </c>
      <c r="C454" s="4" t="str">
        <f ca="1">IFERROR(__xludf.DUMMYFUNCTION("IFERROR(GOOGLETRANSLATE(B454,""en"",""ja""),)"),"ティッシュボックス")</f>
        <v>ティッシュボックス</v>
      </c>
      <c r="D454" s="4" t="str">
        <f ca="1">IFERROR(__xludf.DUMMYFUNCTION("IFERROR(GOOGLETRANSLATE(B454,""en"",""zh-TW""),)"),"紙巾盒")</f>
        <v>紙巾盒</v>
      </c>
      <c r="E454" s="4" t="str">
        <f ca="1">IFERROR(__xludf.DUMMYFUNCTION("IFERROR(GOOGLETRANSLATE(B454,""en"",""zh-CN""),)"),"纸巾盒")</f>
        <v>纸巾盒</v>
      </c>
    </row>
    <row r="455" spans="1:5" ht="18">
      <c r="A455" s="3" t="s">
        <v>1998</v>
      </c>
      <c r="B455" s="4" t="str">
        <f ca="1">IFERROR(__xludf.DUMMYFUNCTION("IFERROR(GOOGLETRANSLATE(A455,""ko"",""en""),)"),"pencil")</f>
        <v>pencil</v>
      </c>
      <c r="C455" s="4" t="str">
        <f ca="1">IFERROR(__xludf.DUMMYFUNCTION("IFERROR(GOOGLETRANSLATE(B455,""en"",""ja""),)"),"鉛筆")</f>
        <v>鉛筆</v>
      </c>
      <c r="D455" s="4" t="str">
        <f ca="1">IFERROR(__xludf.DUMMYFUNCTION("IFERROR(GOOGLETRANSLATE(B455,""en"",""zh-TW""),)"),"鉛筆")</f>
        <v>鉛筆</v>
      </c>
      <c r="E455" s="4" t="str">
        <f ca="1">IFERROR(__xludf.DUMMYFUNCTION("IFERROR(GOOGLETRANSLATE(B455,""en"",""zh-CN""),)"),"铅笔")</f>
        <v>铅笔</v>
      </c>
    </row>
    <row r="456" spans="1:5" ht="18">
      <c r="A456" s="3" t="s">
        <v>2105</v>
      </c>
      <c r="B456" s="4" t="str">
        <f ca="1">IFERROR(__xludf.DUMMYFUNCTION("IFERROR(GOOGLETRANSLATE(A456,""ko"",""en""),)"),"Where is it?")</f>
        <v>Where is it?</v>
      </c>
      <c r="C456" s="4" t="str">
        <f ca="1">IFERROR(__xludf.DUMMYFUNCTION("IFERROR(GOOGLETRANSLATE(B456,""en"",""ja""),)"),"どこですか？")</f>
        <v>どこですか？</v>
      </c>
      <c r="D456" s="4" t="str">
        <f ca="1">IFERROR(__xludf.DUMMYFUNCTION("IFERROR(GOOGLETRANSLATE(B456,""en"",""zh-TW""),)"),"它在哪裡？")</f>
        <v>它在哪裡？</v>
      </c>
      <c r="E456" s="4" t="str">
        <f ca="1">IFERROR(__xludf.DUMMYFUNCTION("IFERROR(GOOGLETRANSLATE(B456,""en"",""zh-CN""),)"),"它在哪里？")</f>
        <v>它在哪里？</v>
      </c>
    </row>
    <row r="457" spans="1:5" ht="18">
      <c r="A457" s="3" t="s">
        <v>2108</v>
      </c>
      <c r="B457" s="4" t="str">
        <f ca="1">IFERROR(__xludf.DUMMYFUNCTION("IFERROR(GOOGLETRANSLATE(A457,""ko"",""en""),)"),"In front of the chair")</f>
        <v>In front of the chair</v>
      </c>
      <c r="C457" s="4" t="str">
        <f ca="1">IFERROR(__xludf.DUMMYFUNCTION("IFERROR(GOOGLETRANSLATE(B457,""en"",""ja""),)"),"椅子の前に")</f>
        <v>椅子の前に</v>
      </c>
      <c r="D457" s="4" t="str">
        <f ca="1">IFERROR(__xludf.DUMMYFUNCTION("IFERROR(GOOGLETRANSLATE(B457,""en"",""zh-TW""),)"),"在椅子前面")</f>
        <v>在椅子前面</v>
      </c>
      <c r="E457" s="4" t="str">
        <f ca="1">IFERROR(__xludf.DUMMYFUNCTION("IFERROR(GOOGLETRANSLATE(B457,""en"",""zh-CN""),)"),"在椅子前面")</f>
        <v>在椅子前面</v>
      </c>
    </row>
    <row r="458" spans="1:5" ht="18">
      <c r="A458" s="3" t="s">
        <v>2112</v>
      </c>
      <c r="B458" s="4" t="str">
        <f ca="1">IFERROR(__xludf.DUMMYFUNCTION("IFERROR(GOOGLETRANSLATE(A458,""ko"",""en""),)"),"Behind the chair")</f>
        <v>Behind the chair</v>
      </c>
      <c r="C458" s="4" t="str">
        <f ca="1">IFERROR(__xludf.DUMMYFUNCTION("IFERROR(GOOGLETRANSLATE(B458,""en"",""ja""),)"),"椅子の後ろ")</f>
        <v>椅子の後ろ</v>
      </c>
      <c r="D458" s="4" t="str">
        <f ca="1">IFERROR(__xludf.DUMMYFUNCTION("IFERROR(GOOGLETRANSLATE(B458,""en"",""zh-TW""),)"),"椅子後面")</f>
        <v>椅子後面</v>
      </c>
      <c r="E458" s="4" t="str">
        <f ca="1">IFERROR(__xludf.DUMMYFUNCTION("IFERROR(GOOGLETRANSLATE(B458,""en"",""zh-CN""),)"),"椅子后面")</f>
        <v>椅子后面</v>
      </c>
    </row>
    <row r="459" spans="1:5" ht="18">
      <c r="A459" s="3" t="s">
        <v>2115</v>
      </c>
      <c r="B459" s="4" t="str">
        <f ca="1">IFERROR(__xludf.DUMMYFUNCTION("IFERROR(GOOGLETRANSLATE(A459,""ko"",""en""),)"),"On the chair")</f>
        <v>On the chair</v>
      </c>
      <c r="C459" s="4" t="str">
        <f ca="1">IFERROR(__xludf.DUMMYFUNCTION("IFERROR(GOOGLETRANSLATE(B459,""en"",""ja""),)"),"椅子の上で")</f>
        <v>椅子の上で</v>
      </c>
      <c r="D459" s="4" t="str">
        <f ca="1">IFERROR(__xludf.DUMMYFUNCTION("IFERROR(GOOGLETRANSLATE(B459,""en"",""zh-TW""),)"),"在椅子上")</f>
        <v>在椅子上</v>
      </c>
      <c r="E459" s="4" t="str">
        <f ca="1">IFERROR(__xludf.DUMMYFUNCTION("IFERROR(GOOGLETRANSLATE(B459,""en"",""zh-CN""),)"),"在椅子上")</f>
        <v>在椅子上</v>
      </c>
    </row>
    <row r="460" spans="1:5" ht="18">
      <c r="A460" s="3" t="s">
        <v>2120</v>
      </c>
      <c r="B460" s="4" t="str">
        <f ca="1">IFERROR(__xludf.DUMMYFUNCTION("IFERROR(GOOGLETRANSLATE(A460,""ko"",""en""),)"),"Under the chair")</f>
        <v>Under the chair</v>
      </c>
      <c r="C460" s="4" t="str">
        <f ca="1">IFERROR(__xludf.DUMMYFUNCTION("IFERROR(GOOGLETRANSLATE(B460,""en"",""ja""),)"),"椅子の下")</f>
        <v>椅子の下</v>
      </c>
      <c r="D460" s="4" t="str">
        <f ca="1">IFERROR(__xludf.DUMMYFUNCTION("IFERROR(GOOGLETRANSLATE(B460,""en"",""zh-TW""),)"),"椅子下面")</f>
        <v>椅子下面</v>
      </c>
      <c r="E460" s="4" t="str">
        <f ca="1">IFERROR(__xludf.DUMMYFUNCTION("IFERROR(GOOGLETRANSLATE(B460,""en"",""zh-CN""),)"),"椅子下面")</f>
        <v>椅子下面</v>
      </c>
    </row>
    <row r="461" spans="1:5" ht="18">
      <c r="A461" s="3" t="s">
        <v>2125</v>
      </c>
      <c r="B461" s="4" t="str">
        <f ca="1">IFERROR(__xludf.DUMMYFUNCTION("IFERROR(GOOGLETRANSLATE(A461,""ko"",""en""),)"),"Under the chair")</f>
        <v>Under the chair</v>
      </c>
      <c r="C461" s="4" t="str">
        <f ca="1">IFERROR(__xludf.DUMMYFUNCTION("IFERROR(GOOGLETRANSLATE(B461,""en"",""ja""),)"),"椅子の下")</f>
        <v>椅子の下</v>
      </c>
      <c r="D461" s="4" t="str">
        <f ca="1">IFERROR(__xludf.DUMMYFUNCTION("IFERROR(GOOGLETRANSLATE(B461,""en"",""zh-TW""),)"),"椅子下面")</f>
        <v>椅子下面</v>
      </c>
      <c r="E461" s="4" t="str">
        <f ca="1">IFERROR(__xludf.DUMMYFUNCTION("IFERROR(GOOGLETRANSLATE(B461,""en"",""zh-CN""),)"),"椅子下面")</f>
        <v>椅子下面</v>
      </c>
    </row>
    <row r="462" spans="1:5" ht="18">
      <c r="A462" s="3" t="s">
        <v>2131</v>
      </c>
      <c r="B462" s="4" t="str">
        <f ca="1">IFERROR(__xludf.DUMMYFUNCTION("IFERROR(GOOGLETRANSLATE(A462,""ko"",""en""),)"),"Next to the chair")</f>
        <v>Next to the chair</v>
      </c>
      <c r="C462" s="4" t="str">
        <f ca="1">IFERROR(__xludf.DUMMYFUNCTION("IFERROR(GOOGLETRANSLATE(B462,""en"",""ja""),)"),"椅子の隣")</f>
        <v>椅子の隣</v>
      </c>
      <c r="D462" s="4" t="str">
        <f ca="1">IFERROR(__xludf.DUMMYFUNCTION("IFERROR(GOOGLETRANSLATE(B462,""en"",""zh-TW""),)"),"椅子旁邊")</f>
        <v>椅子旁邊</v>
      </c>
      <c r="E462" s="4" t="str">
        <f ca="1">IFERROR(__xludf.DUMMYFUNCTION("IFERROR(GOOGLETRANSLATE(B462,""en"",""zh-CN""),)"),"椅子旁边")</f>
        <v>椅子旁边</v>
      </c>
    </row>
    <row r="463" spans="1:5" ht="18">
      <c r="A463" s="3" t="s">
        <v>2136</v>
      </c>
      <c r="B463" s="4" t="str">
        <f ca="1">IFERROR(__xludf.DUMMYFUNCTION("IFERROR(GOOGLETRANSLATE(A463,""ko"",""en""),)"),"Right side of the chair")</f>
        <v>Right side of the chair</v>
      </c>
      <c r="C463" s="4" t="str">
        <f ca="1">IFERROR(__xludf.DUMMYFUNCTION("IFERROR(GOOGLETRANSLATE(B463,""en"",""ja""),)"),"椅子の右側")</f>
        <v>椅子の右側</v>
      </c>
      <c r="D463" s="4" t="str">
        <f ca="1">IFERROR(__xludf.DUMMYFUNCTION("IFERROR(GOOGLETRANSLATE(B463,""en"",""zh-TW""),)"),"椅子的右側")</f>
        <v>椅子的右側</v>
      </c>
      <c r="E463" s="4" t="str">
        <f ca="1">IFERROR(__xludf.DUMMYFUNCTION("IFERROR(GOOGLETRANSLATE(B463,""en"",""zh-CN""),)"),"椅子的右侧")</f>
        <v>椅子的右侧</v>
      </c>
    </row>
    <row r="464" spans="1:5" ht="18">
      <c r="A464" s="3" t="s">
        <v>2142</v>
      </c>
      <c r="B464" s="4" t="str">
        <f ca="1">IFERROR(__xludf.DUMMYFUNCTION("IFERROR(GOOGLETRANSLATE(A464,""ko"",""en""),)"),"Left side of the chair")</f>
        <v>Left side of the chair</v>
      </c>
      <c r="C464" s="4" t="str">
        <f ca="1">IFERROR(__xludf.DUMMYFUNCTION("IFERROR(GOOGLETRANSLATE(B464,""en"",""ja""),)"),"椅子の左側")</f>
        <v>椅子の左側</v>
      </c>
      <c r="D464" s="4" t="str">
        <f ca="1">IFERROR(__xludf.DUMMYFUNCTION("IFERROR(GOOGLETRANSLATE(B464,""en"",""zh-TW""),)"),"椅子的左側")</f>
        <v>椅子的左側</v>
      </c>
      <c r="E464" s="4" t="str">
        <f ca="1">IFERROR(__xludf.DUMMYFUNCTION("IFERROR(GOOGLETRANSLATE(B464,""en"",""zh-CN""),)"),"椅子的左侧")</f>
        <v>椅子的左侧</v>
      </c>
    </row>
    <row r="465" spans="1:5" ht="18">
      <c r="A465" s="3" t="s">
        <v>2146</v>
      </c>
      <c r="B465" s="4" t="str">
        <f ca="1">IFERROR(__xludf.DUMMYFUNCTION("IFERROR(GOOGLETRANSLATE(A465,""ko"",""en""),)"),"Between the chairs")</f>
        <v>Between the chairs</v>
      </c>
      <c r="C465" s="4" t="str">
        <f ca="1">IFERROR(__xludf.DUMMYFUNCTION("IFERROR(GOOGLETRANSLATE(B465,""en"",""ja""),)"),"椅子と椅子の間")</f>
        <v>椅子と椅子の間</v>
      </c>
      <c r="D465" s="4" t="str">
        <f ca="1">IFERROR(__xludf.DUMMYFUNCTION("IFERROR(GOOGLETRANSLATE(B465,""en"",""zh-TW""),)"),"椅子之間")</f>
        <v>椅子之間</v>
      </c>
      <c r="E465" s="4" t="str">
        <f ca="1">IFERROR(__xludf.DUMMYFUNCTION("IFERROR(GOOGLETRANSLATE(B465,""en"",""zh-CN""),)"),"椅子之间")</f>
        <v>椅子之间</v>
      </c>
    </row>
    <row r="466" spans="1:5" ht="18">
      <c r="A466" s="3" t="s">
        <v>2150</v>
      </c>
      <c r="B466" s="4" t="s">
        <v>2151</v>
      </c>
      <c r="C466" s="4" t="str">
        <f ca="1">IFERROR(__xludf.DUMMYFUNCTION("IFERROR(GOOGLETRANSLATE(B466,""en"",""ja""),)"),"家の中")</f>
        <v>家の中</v>
      </c>
      <c r="D466" s="4" t="str">
        <f ca="1">IFERROR(__xludf.DUMMYFUNCTION("IFERROR(GOOGLETRANSLATE(B466,""en"",""zh-TW""),)"),"房子內部")</f>
        <v>房子內部</v>
      </c>
      <c r="E466" s="4" t="str">
        <f ca="1">IFERROR(__xludf.DUMMYFUNCTION("IFERROR(GOOGLETRANSLATE(B466,""en"",""zh-CN""),)"),"房子内部")</f>
        <v>房子内部</v>
      </c>
    </row>
    <row r="467" spans="1:5" ht="18">
      <c r="A467" s="3" t="s">
        <v>2155</v>
      </c>
      <c r="B467" s="4" t="str">
        <f ca="1">IFERROR(__xludf.DUMMYFUNCTION("IFERROR(GOOGLETRANSLATE(A467,""ko"",""en""),)"),"Outside the house")</f>
        <v>Outside the house</v>
      </c>
      <c r="C467" s="4" t="str">
        <f ca="1">IFERROR(__xludf.DUMMYFUNCTION("IFERROR(GOOGLETRANSLATE(B467,""en"",""ja""),)"),"家の外")</f>
        <v>家の外</v>
      </c>
      <c r="D467" s="4" t="str">
        <f ca="1">IFERROR(__xludf.DUMMYFUNCTION("IFERROR(GOOGLETRANSLATE(B467,""en"",""zh-TW""),)"),"房子外面")</f>
        <v>房子外面</v>
      </c>
      <c r="E467" s="4" t="str">
        <f ca="1">IFERROR(__xludf.DUMMYFUNCTION("IFERROR(GOOGLETRANSLATE(B467,""en"",""zh-CN""),)"),"房子外面")</f>
        <v>房子外面</v>
      </c>
    </row>
    <row r="468" spans="1:5" ht="18">
      <c r="A468" s="3" t="s">
        <v>2162</v>
      </c>
      <c r="B468" s="4" t="str">
        <f ca="1">IFERROR(__xludf.DUMMYFUNCTION("IFERROR(GOOGLETRANSLATE(A468,""ko"",""en""),)"),"The bag is in front of the chair.")</f>
        <v>The bag is in front of the chair.</v>
      </c>
      <c r="C468" s="4" t="str">
        <f ca="1">IFERROR(__xludf.DUMMYFUNCTION("IFERROR(GOOGLETRANSLATE(B468,""en"",""ja""),)"),"バッグは椅子の前にあります。")</f>
        <v>バッグは椅子の前にあります。</v>
      </c>
      <c r="D468" s="4" t="str">
        <f ca="1">IFERROR(__xludf.DUMMYFUNCTION("IFERROR(GOOGLETRANSLATE(B468,""en"",""zh-TW""),)"),"包在椅子前面。")</f>
        <v>包在椅子前面。</v>
      </c>
      <c r="E468" s="4" t="str">
        <f ca="1">IFERROR(__xludf.DUMMYFUNCTION("IFERROR(GOOGLETRANSLATE(B468,""en"",""zh-CN""),)"),"包在椅子前面。")</f>
        <v>包在椅子前面。</v>
      </c>
    </row>
    <row r="469" spans="1:5" ht="18">
      <c r="A469" s="3" t="s">
        <v>2169</v>
      </c>
      <c r="B469" s="4" t="str">
        <f ca="1">IFERROR(__xludf.DUMMYFUNCTION("IFERROR(GOOGLETRANSLATE(A469,""ko"",""en""),)"),"The bag is behind the chair.")</f>
        <v>The bag is behind the chair.</v>
      </c>
      <c r="C469" s="4" t="str">
        <f ca="1">IFERROR(__xludf.DUMMYFUNCTION("IFERROR(GOOGLETRANSLATE(B469,""en"",""ja""),)"),"バッグは椅子の後ろにあります。")</f>
        <v>バッグは椅子の後ろにあります。</v>
      </c>
      <c r="D469" s="4" t="str">
        <f ca="1">IFERROR(__xludf.DUMMYFUNCTION("IFERROR(GOOGLETRANSLATE(B469,""en"",""zh-TW""),)"),"包在椅子後面。")</f>
        <v>包在椅子後面。</v>
      </c>
      <c r="E469" s="4" t="str">
        <f ca="1">IFERROR(__xludf.DUMMYFUNCTION("IFERROR(GOOGLETRANSLATE(B469,""en"",""zh-CN""),)"),"包在椅子后面。")</f>
        <v>包在椅子后面。</v>
      </c>
    </row>
    <row r="470" spans="1:5" ht="18">
      <c r="A470" s="3" t="s">
        <v>2175</v>
      </c>
      <c r="B470" s="4" t="str">
        <f ca="1">IFERROR(__xludf.DUMMYFUNCTION("IFERROR(GOOGLETRANSLATE(A470,""ko"",""en""),)"),"The bag is on the chair.")</f>
        <v>The bag is on the chair.</v>
      </c>
      <c r="C470" s="4" t="str">
        <f ca="1">IFERROR(__xludf.DUMMYFUNCTION("IFERROR(GOOGLETRANSLATE(B470,""en"",""ja""),)"),"バッグは椅子の上にあります。")</f>
        <v>バッグは椅子の上にあります。</v>
      </c>
      <c r="D470" s="4" t="str">
        <f ca="1">IFERROR(__xludf.DUMMYFUNCTION("IFERROR(GOOGLETRANSLATE(B470,""en"",""zh-TW""),)"),"包在椅子上。")</f>
        <v>包在椅子上。</v>
      </c>
      <c r="E470" s="4" t="str">
        <f ca="1">IFERROR(__xludf.DUMMYFUNCTION("IFERROR(GOOGLETRANSLATE(B470,""en"",""zh-CN""),)"),"包在椅子上。")</f>
        <v>包在椅子上。</v>
      </c>
    </row>
    <row r="471" spans="1:5" ht="18">
      <c r="A471" s="3" t="s">
        <v>2181</v>
      </c>
      <c r="B471" s="4" t="str">
        <f ca="1">IFERROR(__xludf.DUMMYFUNCTION("IFERROR(GOOGLETRANSLATE(A471,""ko"",""en""),)"),"The bag is under the chair.")</f>
        <v>The bag is under the chair.</v>
      </c>
      <c r="C471" s="4" t="str">
        <f ca="1">IFERROR(__xludf.DUMMYFUNCTION("IFERROR(GOOGLETRANSLATE(B471,""en"",""ja""),)"),"バッグは椅子の下にあります。")</f>
        <v>バッグは椅子の下にあります。</v>
      </c>
      <c r="D471" s="4" t="str">
        <f ca="1">IFERROR(__xludf.DUMMYFUNCTION("IFERROR(GOOGLETRANSLATE(B471,""en"",""zh-TW""),)"),"包在椅子下面。")</f>
        <v>包在椅子下面。</v>
      </c>
      <c r="E471" s="4" t="str">
        <f ca="1">IFERROR(__xludf.DUMMYFUNCTION("IFERROR(GOOGLETRANSLATE(B471,""en"",""zh-CN""),)"),"包在椅子下面。")</f>
        <v>包在椅子下面。</v>
      </c>
    </row>
    <row r="472" spans="1:5" ht="18">
      <c r="A472" s="3" t="s">
        <v>2185</v>
      </c>
      <c r="B472" s="4" t="str">
        <f ca="1">IFERROR(__xludf.DUMMYFUNCTION("IFERROR(GOOGLETRANSLATE(A472,""ko"",""en""),)"),"The bag is on the left side of the chair.")</f>
        <v>The bag is on the left side of the chair.</v>
      </c>
      <c r="C472" s="4" t="str">
        <f ca="1">IFERROR(__xludf.DUMMYFUNCTION("IFERROR(GOOGLETRANSLATE(B472,""en"",""ja""),)"),"バッグは椅子の左側にあります。")</f>
        <v>バッグは椅子の左側にあります。</v>
      </c>
      <c r="D472" s="4" t="str">
        <f ca="1">IFERROR(__xludf.DUMMYFUNCTION("IFERROR(GOOGLETRANSLATE(B472,""en"",""zh-TW""),)"),"包在椅子左側。")</f>
        <v>包在椅子左側。</v>
      </c>
      <c r="E472" s="4" t="str">
        <f ca="1">IFERROR(__xludf.DUMMYFUNCTION("IFERROR(GOOGLETRANSLATE(B472,""en"",""zh-CN""),)"),"包在椅子左侧。")</f>
        <v>包在椅子左侧。</v>
      </c>
    </row>
    <row r="473" spans="1:5" ht="18">
      <c r="A473" s="3" t="s">
        <v>2189</v>
      </c>
      <c r="B473" s="4" t="str">
        <f ca="1">IFERROR(__xludf.DUMMYFUNCTION("IFERROR(GOOGLETRANSLATE(A473,""ko"",""en""),)"),"The man is inside the house.")</f>
        <v>The man is inside the house.</v>
      </c>
      <c r="C473" s="4" t="str">
        <f ca="1">IFERROR(__xludf.DUMMYFUNCTION("IFERROR(GOOGLETRANSLATE(B473,""en"",""ja""),)"),"男は家の中にいる。")</f>
        <v>男は家の中にいる。</v>
      </c>
      <c r="D473" s="4" t="str">
        <f ca="1">IFERROR(__xludf.DUMMYFUNCTION("IFERROR(GOOGLETRANSLATE(B473,""en"",""zh-TW""),)"),"那名男子在房子裡。")</f>
        <v>那名男子在房子裡。</v>
      </c>
      <c r="E473" s="4" t="str">
        <f ca="1">IFERROR(__xludf.DUMMYFUNCTION("IFERROR(GOOGLETRANSLATE(B473,""en"",""zh-CN""),)"),"那名男子在房子里。")</f>
        <v>那名男子在房子里。</v>
      </c>
    </row>
    <row r="474" spans="1:5" ht="18">
      <c r="A474" s="3" t="s">
        <v>2193</v>
      </c>
      <c r="B474" s="4" t="str">
        <f ca="1">IFERROR(__xludf.DUMMYFUNCTION("IFERROR(GOOGLETRANSLATE(A474,""ko"",""en""),)"),"The man is outside the house.")</f>
        <v>The man is outside the house.</v>
      </c>
      <c r="C474" s="4" t="str">
        <f ca="1">IFERROR(__xludf.DUMMYFUNCTION("IFERROR(GOOGLETRANSLATE(B474,""en"",""ja""),)"),"男は家の外にいる。")</f>
        <v>男は家の外にいる。</v>
      </c>
      <c r="D474" s="4" t="str">
        <f ca="1">IFERROR(__xludf.DUMMYFUNCTION("IFERROR(GOOGLETRANSLATE(B474,""en"",""zh-TW""),)"),"那名男子在房子外面。")</f>
        <v>那名男子在房子外面。</v>
      </c>
      <c r="E474" s="4" t="str">
        <f ca="1">IFERROR(__xludf.DUMMYFUNCTION("IFERROR(GOOGLETRANSLATE(B474,""en"",""zh-CN""),)"),"那名男子在房子外面。")</f>
        <v>那名男子在房子外面。</v>
      </c>
    </row>
    <row r="475" spans="1:5" ht="18">
      <c r="A475" s="3" t="s">
        <v>2199</v>
      </c>
      <c r="B475" s="4" t="str">
        <f ca="1">IFERROR(__xludf.DUMMYFUNCTION("IFERROR(GOOGLETRANSLATE(A475,""ko"",""en""),)"),"There is a man outside.")</f>
        <v>There is a man outside.</v>
      </c>
      <c r="C475" s="4" t="str">
        <f ca="1">IFERROR(__xludf.DUMMYFUNCTION("IFERROR(GOOGLETRANSLATE(B475,""en"",""ja""),)"),"外に男がいる。")</f>
        <v>外に男がいる。</v>
      </c>
      <c r="D475" s="4" t="str">
        <f ca="1">IFERROR(__xludf.DUMMYFUNCTION("IFERROR(GOOGLETRANSLATE(B475,""en"",""zh-TW""),)"),"外面有個男人。")</f>
        <v>外面有個男人。</v>
      </c>
      <c r="E475" s="4" t="str">
        <f ca="1">IFERROR(__xludf.DUMMYFUNCTION("IFERROR(GOOGLETRANSLATE(B475,""en"",""zh-CN""),)"),"外面有个男人。")</f>
        <v>外面有个男人。</v>
      </c>
    </row>
    <row r="476" spans="1:5" ht="18">
      <c r="A476" s="3" t="s">
        <v>2202</v>
      </c>
      <c r="B476" s="4" t="str">
        <f ca="1">IFERROR(__xludf.DUMMYFUNCTION("IFERROR(GOOGLETRANSLATE(A476,""ko"",""en""),)"),"The pencil case is on the desk.")</f>
        <v>The pencil case is on the desk.</v>
      </c>
      <c r="C476" s="4" t="str">
        <f ca="1">IFERROR(__xludf.DUMMYFUNCTION("IFERROR(GOOGLETRANSLATE(B476,""en"",""ja""),)"),"筆箱は机の上にある。")</f>
        <v>筆箱は机の上にある。</v>
      </c>
      <c r="D476" s="4" t="str">
        <f ca="1">IFERROR(__xludf.DUMMYFUNCTION("IFERROR(GOOGLETRANSLATE(B476,""en"",""zh-TW""),)"),"鉛筆盒在桌子上。")</f>
        <v>鉛筆盒在桌子上。</v>
      </c>
      <c r="E476" s="4" t="str">
        <f ca="1">IFERROR(__xludf.DUMMYFUNCTION("IFERROR(GOOGLETRANSLATE(B476,""en"",""zh-CN""),)"),"铅笔盒在桌子上。")</f>
        <v>铅笔盒在桌子上。</v>
      </c>
    </row>
    <row r="477" spans="1:5" ht="18">
      <c r="A477" s="3" t="s">
        <v>2205</v>
      </c>
      <c r="B477" s="4" t="str">
        <f ca="1">IFERROR(__xludf.DUMMYFUNCTION("IFERROR(GOOGLETRANSLATE(A477,""ko"",""en""),)"),"The book is in the bag.")</f>
        <v>The book is in the bag.</v>
      </c>
      <c r="C477" s="4" t="str">
        <f ca="1">IFERROR(__xludf.DUMMYFUNCTION("IFERROR(GOOGLETRANSLATE(B477,""en"",""ja""),)"),"本はバッグの中に入っています。")</f>
        <v>本はバッグの中に入っています。</v>
      </c>
      <c r="D477" s="4" t="str">
        <f ca="1">IFERROR(__xludf.DUMMYFUNCTION("IFERROR(GOOGLETRANSLATE(B477,""en"",""zh-TW""),)"),"書已經裝進袋子裡了。")</f>
        <v>書已經裝進袋子裡了。</v>
      </c>
      <c r="E477" s="4" t="str">
        <f ca="1">IFERROR(__xludf.DUMMYFUNCTION("IFERROR(GOOGLETRANSLATE(B477,""en"",""zh-CN""),)"),"书已经装进袋子里了。")</f>
        <v>书已经装进袋子里了。</v>
      </c>
    </row>
    <row r="478" spans="1:5" ht="18">
      <c r="A478" s="3" t="s">
        <v>2209</v>
      </c>
      <c r="B478" s="4" t="str">
        <f ca="1">IFERROR(__xludf.DUMMYFUNCTION("IFERROR(GOOGLETRANSLATE(A478,""ko"",""en""),)"),"Anna is on Eugene's left.")</f>
        <v>Anna is on Eugene's left.</v>
      </c>
      <c r="C478" s="4" t="str">
        <f ca="1">IFERROR(__xludf.DUMMYFUNCTION("IFERROR(GOOGLETRANSLATE(B478,""en"",""ja""),)"),"アンナはユージンの左側にいる。")</f>
        <v>アンナはユージンの左側にいる。</v>
      </c>
      <c r="D478" s="4" t="str">
        <f ca="1">IFERROR(__xludf.DUMMYFUNCTION("IFERROR(GOOGLETRANSLATE(B478,""en"",""zh-TW""),)"),"安娜在尤金的左邊。")</f>
        <v>安娜在尤金的左邊。</v>
      </c>
      <c r="E478" s="4" t="str">
        <f ca="1">IFERROR(__xludf.DUMMYFUNCTION("IFERROR(GOOGLETRANSLATE(B478,""en"",""zh-CN""),)"),"安娜在尤金的左边。")</f>
        <v>安娜在尤金的左边。</v>
      </c>
    </row>
    <row r="479" spans="1:5" ht="18">
      <c r="A479" s="3" t="s">
        <v>2211</v>
      </c>
      <c r="B479" s="4" t="str">
        <f ca="1">IFERROR(__xludf.DUMMYFUNCTION("IFERROR(GOOGLETRANSLATE(A479,""ko"",""en""),)"),"Juno is to the right of Eugene.")</f>
        <v>Juno is to the right of Eugene.</v>
      </c>
      <c r="C479" s="4" t="str">
        <f ca="1">IFERROR(__xludf.DUMMYFUNCTION("IFERROR(GOOGLETRANSLATE(B479,""en"",""ja""),)"),"ジュノーはユージーンの右隣にいる。")</f>
        <v>ジュノーはユージーンの右隣にいる。</v>
      </c>
      <c r="D479" s="4" t="str">
        <f ca="1">IFERROR(__xludf.DUMMYFUNCTION("IFERROR(GOOGLETRANSLATE(B479,""en"",""zh-TW""),)"),"朱諾在尤金的右邊。")</f>
        <v>朱諾在尤金的右邊。</v>
      </c>
      <c r="E479" s="4" t="str">
        <f ca="1">IFERROR(__xludf.DUMMYFUNCTION("IFERROR(GOOGLETRANSLATE(B479,""en"",""zh-CN""),)"),"朱诺在尤金的右边。")</f>
        <v>朱诺在尤金的右边。</v>
      </c>
    </row>
    <row r="480" spans="1:5" ht="18">
      <c r="A480" s="3" t="s">
        <v>2213</v>
      </c>
      <c r="B480" s="4" t="str">
        <f ca="1">IFERROR(__xludf.DUMMYFUNCTION("IFERROR(GOOGLETRANSLATE(A480,""ko"",""en""),)"),"Anna is between Eugene and the desk.")</f>
        <v>Anna is between Eugene and the desk.</v>
      </c>
      <c r="C480" s="4" t="str">
        <f ca="1">IFERROR(__xludf.DUMMYFUNCTION("IFERROR(GOOGLETRANSLATE(B480,""en"",""ja""),)"),"アンナはユージーンと机の間にいる。")</f>
        <v>アンナはユージーンと机の間にいる。</v>
      </c>
      <c r="D480" s="4" t="str">
        <f ca="1">IFERROR(__xludf.DUMMYFUNCTION("IFERROR(GOOGLETRANSLATE(B480,""en"",""zh-TW""),)"),"安娜站在尤金和桌子中間。")</f>
        <v>安娜站在尤金和桌子中間。</v>
      </c>
      <c r="E480" s="4" t="str">
        <f ca="1">IFERROR(__xludf.DUMMYFUNCTION("IFERROR(GOOGLETRANSLATE(B480,""en"",""zh-CN""),)"),"安娜站在尤金和桌子中间。")</f>
        <v>安娜站在尤金和桌子中间。</v>
      </c>
    </row>
    <row r="481" spans="1:5" ht="18">
      <c r="A481" s="3" t="s">
        <v>2216</v>
      </c>
      <c r="B481" s="4" t="str">
        <f ca="1">IFERROR(__xludf.DUMMYFUNCTION("IFERROR(GOOGLETRANSLATE(A481,""ko"",""en""),)"),"It's next to me.")</f>
        <v>It's next to me.</v>
      </c>
      <c r="C481" s="4" t="str">
        <f ca="1">IFERROR(__xludf.DUMMYFUNCTION("IFERROR(GOOGLETRANSLATE(B481,""en"",""ja""),)"),"それは私の隣にあります。")</f>
        <v>それは私の隣にあります。</v>
      </c>
      <c r="D481" s="4" t="str">
        <f ca="1">IFERROR(__xludf.DUMMYFUNCTION("IFERROR(GOOGLETRANSLATE(B481,""en"",""zh-TW""),)"),"它就在我旁邊。")</f>
        <v>它就在我旁邊。</v>
      </c>
      <c r="E481" s="4" t="str">
        <f ca="1">IFERROR(__xludf.DUMMYFUNCTION("IFERROR(GOOGLETRANSLATE(B481,""en"",""zh-CN""),)"),"它就在我旁边。")</f>
        <v>它就在我旁边。</v>
      </c>
    </row>
    <row r="482" spans="1:5" ht="18">
      <c r="A482" s="5" t="s">
        <v>2219</v>
      </c>
      <c r="B482" s="4" t="str">
        <f ca="1">IFERROR(__xludf.DUMMYFUNCTION("IFERROR(GOOGLETRANSLATE(A482,""ko"",""en""),)"),"It's on the floor.")</f>
        <v>It's on the floor.</v>
      </c>
      <c r="C482" s="4" t="str">
        <f ca="1">IFERROR(__xludf.DUMMYFUNCTION("IFERROR(GOOGLETRANSLATE(B482,""en"",""ja""),)"),"床に落ちています。")</f>
        <v>床に落ちています。</v>
      </c>
      <c r="D482" s="4" t="str">
        <f ca="1">IFERROR(__xludf.DUMMYFUNCTION("IFERROR(GOOGLETRANSLATE(B482,""en"",""zh-TW""),)"),"它在地板上。")</f>
        <v>它在地板上。</v>
      </c>
      <c r="E482" s="4" t="str">
        <f ca="1">IFERROR(__xludf.DUMMYFUNCTION("IFERROR(GOOGLETRANSLATE(B482,""en"",""zh-CN""),)"),"它在地板上。")</f>
        <v>它在地板上。</v>
      </c>
    </row>
    <row r="483" spans="1:5" ht="18">
      <c r="A483" s="3" t="s">
        <v>2222</v>
      </c>
      <c r="B483" s="4" t="str">
        <f ca="1">IFERROR(__xludf.DUMMYFUNCTION("IFERROR(GOOGLETRANSLATE(A483,""ko"",""en""),)"),"The bag is on the floor.")</f>
        <v>The bag is on the floor.</v>
      </c>
      <c r="C483" s="4" t="str">
        <f ca="1">IFERROR(__xludf.DUMMYFUNCTION("IFERROR(GOOGLETRANSLATE(B483,""en"",""ja""),)"),"バッグは床に落ちている。")</f>
        <v>バッグは床に落ちている。</v>
      </c>
      <c r="D483" s="4" t="str">
        <f ca="1">IFERROR(__xludf.DUMMYFUNCTION("IFERROR(GOOGLETRANSLATE(B483,""en"",""zh-TW""),)"),"包在地板上。")</f>
        <v>包在地板上。</v>
      </c>
      <c r="E483" s="4" t="str">
        <f ca="1">IFERROR(__xludf.DUMMYFUNCTION("IFERROR(GOOGLETRANSLATE(B483,""en"",""zh-CN""),)"),"包在地板上。")</f>
        <v>包在地板上。</v>
      </c>
    </row>
    <row r="484" spans="1:5" ht="18">
      <c r="A484" s="3" t="s">
        <v>2225</v>
      </c>
      <c r="B484" s="4" t="str">
        <f ca="1">IFERROR(__xludf.DUMMYFUNCTION("IFERROR(GOOGLETRANSLATE(A484,""ko"",""en""),)"),"Whose book is that?")</f>
        <v>Whose book is that?</v>
      </c>
      <c r="C484" s="4" t="str">
        <f ca="1">IFERROR(__xludf.DUMMYFUNCTION("IFERROR(GOOGLETRANSLATE(B484,""en"",""ja""),)"),"それは誰の本ですか？")</f>
        <v>それは誰の本ですか？</v>
      </c>
      <c r="D484" s="4" t="str">
        <f ca="1">IFERROR(__xludf.DUMMYFUNCTION("IFERROR(GOOGLETRANSLATE(B484,""en"",""zh-TW""),)"),"那是誰的書？")</f>
        <v>那是誰的書？</v>
      </c>
      <c r="E484" s="4" t="str">
        <f ca="1">IFERROR(__xludf.DUMMYFUNCTION("IFERROR(GOOGLETRANSLATE(B484,""en"",""zh-CN""),)"),"那是谁的书？")</f>
        <v>那是谁的书？</v>
      </c>
    </row>
    <row r="485" spans="1:5" ht="18">
      <c r="A485" s="3" t="s">
        <v>2228</v>
      </c>
      <c r="B485" s="4" t="str">
        <f ca="1">IFERROR(__xludf.DUMMYFUNCTION("IFERROR(GOOGLETRANSLATE(A485,""ko"",""en""),)"),"It's my book.")</f>
        <v>It's my book.</v>
      </c>
      <c r="C485" s="4" t="str">
        <f ca="1">IFERROR(__xludf.DUMMYFUNCTION("IFERROR(GOOGLETRANSLATE(B485,""en"",""ja""),)"),"これは私の本です。")</f>
        <v>これは私の本です。</v>
      </c>
      <c r="D485" s="4" t="str">
        <f ca="1">IFERROR(__xludf.DUMMYFUNCTION("IFERROR(GOOGLETRANSLATE(B485,""en"",""zh-TW""),)"),"這是我的書。")</f>
        <v>這是我的書。</v>
      </c>
      <c r="E485" s="4" t="str">
        <f ca="1">IFERROR(__xludf.DUMMYFUNCTION("IFERROR(GOOGLETRANSLATE(B485,""en"",""zh-CN""),)"),"这是我的书。")</f>
        <v>这是我的书。</v>
      </c>
    </row>
    <row r="486" spans="1:5" ht="18">
      <c r="A486" s="3" t="s">
        <v>2231</v>
      </c>
      <c r="B486" s="4" t="str">
        <f ca="1">IFERROR(__xludf.DUMMYFUNCTION("IFERROR(GOOGLETRANSLATE(A486,""ko"",""en""),)"),"Whose watch is this?")</f>
        <v>Whose watch is this?</v>
      </c>
      <c r="C486" s="4" t="str">
        <f ca="1">IFERROR(__xludf.DUMMYFUNCTION("IFERROR(GOOGLETRANSLATE(B486,""en"",""ja""),)"),"これは誰の時計ですか？")</f>
        <v>これは誰の時計ですか？</v>
      </c>
      <c r="D486" s="4" t="str">
        <f ca="1">IFERROR(__xludf.DUMMYFUNCTION("IFERROR(GOOGLETRANSLATE(B486,""en"",""zh-TW""),)"),"這是誰的手錶？")</f>
        <v>這是誰的手錶？</v>
      </c>
      <c r="E486" s="4" t="str">
        <f ca="1">IFERROR(__xludf.DUMMYFUNCTION("IFERROR(GOOGLETRANSLATE(B486,""en"",""zh-CN""),)"),"这是谁的手表？")</f>
        <v>这是谁的手表？</v>
      </c>
    </row>
    <row r="487" spans="1:5" ht="18">
      <c r="A487" s="3" t="s">
        <v>2234</v>
      </c>
      <c r="B487" s="4" t="str">
        <f ca="1">IFERROR(__xludf.DUMMYFUNCTION("IFERROR(GOOGLETRANSLATE(A487,""ko"",""en""),)"),"It's Yujin's watch.")</f>
        <v>It's Yujin's watch.</v>
      </c>
      <c r="C487" s="4" t="str">
        <f ca="1">IFERROR(__xludf.DUMMYFUNCTION("IFERROR(GOOGLETRANSLATE(B487,""en"",""ja""),)"),"これはユジンの時計です。")</f>
        <v>これはユジンの時計です。</v>
      </c>
      <c r="D487" s="4" t="str">
        <f ca="1">IFERROR(__xludf.DUMMYFUNCTION("IFERROR(GOOGLETRANSLATE(B487,""en"",""zh-TW""),)"),"這是裕真（Yujin）的手錶。")</f>
        <v>這是裕真（Yujin）的手錶。</v>
      </c>
      <c r="E487" s="4" t="str">
        <f ca="1">IFERROR(__xludf.DUMMYFUNCTION("IFERROR(GOOGLETRANSLATE(B487,""en"",""zh-CN""),)"),"这是裕真（Yujin）的手表。")</f>
        <v>这是裕真（Yujin）的手表。</v>
      </c>
    </row>
    <row r="488" spans="1:5" ht="18">
      <c r="A488" s="3" t="s">
        <v>2238</v>
      </c>
      <c r="B488" s="4" t="str">
        <f ca="1">IFERROR(__xludf.DUMMYFUNCTION("IFERROR(GOOGLETRANSLATE(A488,""ko"",""en""),)"),"Is that your phone, Yujin?")</f>
        <v>Is that your phone, Yujin?</v>
      </c>
      <c r="C488" s="4" t="str">
        <f ca="1">IFERROR(__xludf.DUMMYFUNCTION("IFERROR(GOOGLETRANSLATE(B488,""en"",""ja""),)"),"それ、ユジンの携帯？")</f>
        <v>それ、ユジンの携帯？</v>
      </c>
      <c r="D488" s="4" t="str">
        <f ca="1">IFERROR(__xludf.DUMMYFUNCTION("IFERROR(GOOGLETRANSLATE(B488,""en"",""zh-TW""),)"),"那是你的手機嗎，裕真？")</f>
        <v>那是你的手機嗎，裕真？</v>
      </c>
      <c r="E488" s="4" t="str">
        <f ca="1">IFERROR(__xludf.DUMMYFUNCTION("IFERROR(GOOGLETRANSLATE(B488,""en"",""zh-CN""),)"),"那是你的手机吗，裕真？")</f>
        <v>那是你的手机吗，裕真？</v>
      </c>
    </row>
    <row r="489" spans="1:5" ht="18">
      <c r="A489" s="3" t="s">
        <v>2242</v>
      </c>
      <c r="B489" s="4" t="str">
        <f ca="1">IFERROR(__xludf.DUMMYFUNCTION("IFERROR(GOOGLETRANSLATE(A489,""ko"",""en""),)"),"Yes, it's Yujin's cell phone.")</f>
        <v>Yes, it's Yujin's cell phone.</v>
      </c>
      <c r="C489" s="4" t="str">
        <f ca="1">IFERROR(__xludf.DUMMYFUNCTION("IFERROR(GOOGLETRANSLATE(B489,""en"",""ja""),)"),"はい、それはユジンの携帯電話です。")</f>
        <v>はい、それはユジンの携帯電話です。</v>
      </c>
      <c r="D489" s="4" t="str">
        <f ca="1">IFERROR(__xludf.DUMMYFUNCTION("IFERROR(GOOGLETRANSLATE(B489,""en"",""zh-TW""),)"),"是的，這是裕真（Yujin）的手機。")</f>
        <v>是的，這是裕真（Yujin）的手機。</v>
      </c>
      <c r="E489" s="4" t="str">
        <f ca="1">IFERROR(__xludf.DUMMYFUNCTION("IFERROR(GOOGLETRANSLATE(B489,""en"",""zh-CN""),)"),"是的，这是裕真（Yujin）的手机。")</f>
        <v>是的，这是裕真（Yujin）的手机。</v>
      </c>
    </row>
    <row r="490" spans="1:5" ht="18">
      <c r="A490" s="3" t="s">
        <v>2246</v>
      </c>
      <c r="B490" s="4" t="str">
        <f ca="1">IFERROR(__xludf.DUMMYFUNCTION("IFERROR(GOOGLETRANSLATE(A490,""ko"",""en""),)"),"Is that Anna's pencil case?")</f>
        <v>Is that Anna's pencil case?</v>
      </c>
      <c r="C490" s="4" t="str">
        <f ca="1">IFERROR(__xludf.DUMMYFUNCTION("IFERROR(GOOGLETRANSLATE(B490,""en"",""ja""),)"),"あれはアンナの筆箱ですか？")</f>
        <v>あれはアンナの筆箱ですか？</v>
      </c>
      <c r="D490" s="4" t="str">
        <f ca="1">IFERROR(__xludf.DUMMYFUNCTION("IFERROR(GOOGLETRANSLATE(B490,""en"",""zh-TW""),)"),"那是安娜的鉛筆盒嗎？")</f>
        <v>那是安娜的鉛筆盒嗎？</v>
      </c>
      <c r="E490" s="4" t="str">
        <f ca="1">IFERROR(__xludf.DUMMYFUNCTION("IFERROR(GOOGLETRANSLATE(B490,""en"",""zh-CN""),)"),"那是安娜的铅笔盒吗？")</f>
        <v>那是安娜的铅笔盒吗？</v>
      </c>
    </row>
    <row r="491" spans="1:5" ht="18">
      <c r="A491" s="3" t="s">
        <v>2249</v>
      </c>
      <c r="B491" s="4" t="str">
        <f ca="1">IFERROR(__xludf.DUMMYFUNCTION("IFERROR(GOOGLETRANSLATE(A491,""ko"",""en""),)"),"No, it's Lisa's pencil case.")</f>
        <v>No, it's Lisa's pencil case.</v>
      </c>
      <c r="C491" s="4" t="str">
        <f ca="1">IFERROR(__xludf.DUMMYFUNCTION("IFERROR(GOOGLETRANSLATE(B491,""en"",""ja""),)"),"いいえ、それはリサの筆箱です。")</f>
        <v>いいえ、それはリサの筆箱です。</v>
      </c>
      <c r="D491" s="4" t="str">
        <f ca="1">IFERROR(__xludf.DUMMYFUNCTION("IFERROR(GOOGLETRANSLATE(B491,""en"",""zh-TW""),)"),"不，那是麗莎的鉛筆盒。")</f>
        <v>不，那是麗莎的鉛筆盒。</v>
      </c>
      <c r="E491" s="4" t="str">
        <f ca="1">IFERROR(__xludf.DUMMYFUNCTION("IFERROR(GOOGLETRANSLATE(B491,""en"",""zh-CN""),)"),"不，那是丽莎的铅笔盒。")</f>
        <v>不，那是丽莎的铅笔盒。</v>
      </c>
    </row>
    <row r="492" spans="1:5" ht="18">
      <c r="A492" s="3" t="s">
        <v>2252</v>
      </c>
      <c r="B492" s="4" t="str">
        <f ca="1">IFERROR(__xludf.DUMMYFUNCTION("IFERROR(GOOGLETRANSLATE(A492,""ko"",""en""),)"),"Yujin, whose book is that?")</f>
        <v>Yujin, whose book is that?</v>
      </c>
      <c r="C492" s="4" t="str">
        <f ca="1">IFERROR(__xludf.DUMMYFUNCTION("IFERROR(GOOGLETRANSLATE(B492,""en"",""ja""),)"),"ユジン、それは誰の本？")</f>
        <v>ユジン、それは誰の本？</v>
      </c>
      <c r="D492" s="4" t="str">
        <f ca="1">IFERROR(__xludf.DUMMYFUNCTION("IFERROR(GOOGLETRANSLATE(B492,""en"",""zh-TW""),)"),"Yujin，那是誰的書？")</f>
        <v>Yujin，那是誰的書？</v>
      </c>
      <c r="E492" s="4" t="str">
        <f ca="1">IFERROR(__xludf.DUMMYFUNCTION("IFERROR(GOOGLETRANSLATE(B492,""en"",""zh-CN""),)"),"Yujin，那是谁的书？")</f>
        <v>Yujin，那是谁的书？</v>
      </c>
    </row>
    <row r="493" spans="1:5" ht="18">
      <c r="A493" s="3" t="s">
        <v>2254</v>
      </c>
      <c r="B493" s="4" t="str">
        <f ca="1">IFERROR(__xludf.DUMMYFUNCTION("IFERROR(GOOGLETRANSLATE(A493,""ko"",""en""),)"),"Yujin, whose bag is this?")</f>
        <v>Yujin, whose bag is this?</v>
      </c>
      <c r="C493" s="4" t="str">
        <f ca="1">IFERROR(__xludf.DUMMYFUNCTION("IFERROR(GOOGLETRANSLATE(B493,""en"",""ja""),)"),"ユジン、このバッグは誰のもの？")</f>
        <v>ユジン、このバッグは誰のもの？</v>
      </c>
      <c r="D493" s="4" t="str">
        <f ca="1">IFERROR(__xludf.DUMMYFUNCTION("IFERROR(GOOGLETRANSLATE(B493,""en"",""zh-TW""),)"),"Yujin，這是誰的包包？")</f>
        <v>Yujin，這是誰的包包？</v>
      </c>
      <c r="E493" s="4" t="str">
        <f ca="1">IFERROR(__xludf.DUMMYFUNCTION("IFERROR(GOOGLETRANSLATE(B493,""en"",""zh-CN""),)"),"Yujin，这是谁的包？")</f>
        <v>Yujin，这是谁的包？</v>
      </c>
    </row>
    <row r="494" spans="1:5" ht="18">
      <c r="A494" s="3" t="s">
        <v>2258</v>
      </c>
      <c r="B494" s="4" t="str">
        <f ca="1">IFERROR(__xludf.DUMMYFUNCTION("IFERROR(GOOGLETRANSLATE(A494,""ko"",""en""),)"),"It's on the desk.")</f>
        <v>It's on the desk.</v>
      </c>
      <c r="C494" s="4" t="str">
        <f ca="1">IFERROR(__xludf.DUMMYFUNCTION("IFERROR(GOOGLETRANSLATE(B494,""en"",""ja""),)"),"机の上にあります。")</f>
        <v>机の上にあります。</v>
      </c>
      <c r="D494" s="4" t="str">
        <f ca="1">IFERROR(__xludf.DUMMYFUNCTION("IFERROR(GOOGLETRANSLATE(B494,""en"",""zh-TW""),)"),"它在桌子上。")</f>
        <v>它在桌子上。</v>
      </c>
      <c r="E494" s="4" t="str">
        <f ca="1">IFERROR(__xludf.DUMMYFUNCTION("IFERROR(GOOGLETRANSLATE(B494,""en"",""zh-CN""),)"),"它在桌子上。")</f>
        <v>它在桌子上。</v>
      </c>
    </row>
    <row r="495" spans="1:5" ht="18">
      <c r="A495" s="3" t="s">
        <v>2261</v>
      </c>
      <c r="B495" s="4" t="str">
        <f ca="1">IFERROR(__xludf.DUMMYFUNCTION("IFERROR(GOOGLETRANSLATE(A495,""ko"",""en""),)"),"I am in front of the computer.")</f>
        <v>I am in front of the computer.</v>
      </c>
      <c r="C495" s="4" t="str">
        <f ca="1">IFERROR(__xludf.DUMMYFUNCTION("IFERROR(GOOGLETRANSLATE(B495,""en"",""ja""),)"),"私はコンピューターの前にいます。")</f>
        <v>私はコンピューターの前にいます。</v>
      </c>
      <c r="D495" s="4" t="str">
        <f ca="1">IFERROR(__xludf.DUMMYFUNCTION("IFERROR(GOOGLETRANSLATE(B495,""en"",""zh-TW""),)"),"我在電腦前。")</f>
        <v>我在電腦前。</v>
      </c>
      <c r="E495" s="4" t="str">
        <f ca="1">IFERROR(__xludf.DUMMYFUNCTION("IFERROR(GOOGLETRANSLATE(B495,""en"",""zh-CN""),)"),"我在电脑前。")</f>
        <v>我在电脑前。</v>
      </c>
    </row>
    <row r="496" spans="1:5" ht="18">
      <c r="A496" s="3" t="s">
        <v>2264</v>
      </c>
      <c r="B496" s="4" t="str">
        <f ca="1">IFERROR(__xludf.DUMMYFUNCTION("IFERROR(GOOGLETRANSLATE(A496,""ko"",""en""),)"),"Where is the milk?")</f>
        <v>Where is the milk?</v>
      </c>
      <c r="C496" s="4" t="str">
        <f ca="1">IFERROR(__xludf.DUMMYFUNCTION("IFERROR(GOOGLETRANSLATE(B496,""en"",""ja""),)"),"牛乳はどこですか？")</f>
        <v>牛乳はどこですか？</v>
      </c>
      <c r="D496" s="4" t="str">
        <f ca="1">IFERROR(__xludf.DUMMYFUNCTION("IFERROR(GOOGLETRANSLATE(B496,""en"",""zh-TW""),)"),"牛奶在哪裡？")</f>
        <v>牛奶在哪裡？</v>
      </c>
      <c r="E496" s="4" t="str">
        <f ca="1">IFERROR(__xludf.DUMMYFUNCTION("IFERROR(GOOGLETRANSLATE(B496,""en"",""zh-CN""),)"),"牛奶在哪里？")</f>
        <v>牛奶在哪里？</v>
      </c>
    </row>
    <row r="497" spans="1:5" ht="18">
      <c r="A497" s="3" t="s">
        <v>2269</v>
      </c>
      <c r="B497" s="4" t="str">
        <f ca="1">IFERROR(__xludf.DUMMYFUNCTION("IFERROR(GOOGLETRANSLATE(A497,""ko"",""en""),)"),"It's under the juice.")</f>
        <v>It's under the juice.</v>
      </c>
      <c r="C497" s="4" t="str">
        <f ca="1">IFERROR(__xludf.DUMMYFUNCTION("IFERROR(GOOGLETRANSLATE(B497,""en"",""ja""),)"),"それはジュースの下にある。")</f>
        <v>それはジュースの下にある。</v>
      </c>
      <c r="D497" s="4" t="str">
        <f ca="1">IFERROR(__xludf.DUMMYFUNCTION("IFERROR(GOOGLETRANSLATE(B497,""en"",""zh-TW""),)"),"它被果汁蓋住了。")</f>
        <v>它被果汁蓋住了。</v>
      </c>
      <c r="E497" s="4" t="str">
        <f ca="1">IFERROR(__xludf.DUMMYFUNCTION("IFERROR(GOOGLETRANSLATE(B497,""en"",""zh-CN""),)"),"它被果汁盖住了。")</f>
        <v>它被果汁盖住了。</v>
      </c>
    </row>
    <row r="498" spans="1:5" ht="18">
      <c r="A498" s="3" t="s">
        <v>2273</v>
      </c>
      <c r="B498" s="4" t="str">
        <f ca="1">IFERROR(__xludf.DUMMYFUNCTION("IFERROR(GOOGLETRANSLATE(A498,""ko"",""en""),)"),"Where is the hat?")</f>
        <v>Where is the hat?</v>
      </c>
      <c r="C498" s="4" t="str">
        <f ca="1">IFERROR(__xludf.DUMMYFUNCTION("IFERROR(GOOGLETRANSLATE(B498,""en"",""ja""),)"),"帽子はどこですか？")</f>
        <v>帽子はどこですか？</v>
      </c>
      <c r="D498" s="4" t="str">
        <f ca="1">IFERROR(__xludf.DUMMYFUNCTION("IFERROR(GOOGLETRANSLATE(B498,""en"",""zh-TW""),)"),"帽子在哪裡？")</f>
        <v>帽子在哪裡？</v>
      </c>
      <c r="E498" s="4" t="str">
        <f ca="1">IFERROR(__xludf.DUMMYFUNCTION("IFERROR(GOOGLETRANSLATE(B498,""en"",""zh-CN""),)"),"帽子在哪儿？")</f>
        <v>帽子在哪儿？</v>
      </c>
    </row>
    <row r="499" spans="1:5" ht="18">
      <c r="A499" s="3" t="s">
        <v>2278</v>
      </c>
      <c r="B499" s="4" t="str">
        <f ca="1">IFERROR(__xludf.DUMMYFUNCTION("IFERROR(GOOGLETRANSLATE(A499,""ko"",""en""),)"),"It's on the bed.")</f>
        <v>It's on the bed.</v>
      </c>
      <c r="C499" s="4" t="str">
        <f ca="1">IFERROR(__xludf.DUMMYFUNCTION("IFERROR(GOOGLETRANSLATE(B499,""en"",""ja""),)"),"ベッドの上にあるよ。")</f>
        <v>ベッドの上にあるよ。</v>
      </c>
      <c r="D499" s="4" t="str">
        <f ca="1">IFERROR(__xludf.DUMMYFUNCTION("IFERROR(GOOGLETRANSLATE(B499,""en"",""zh-TW""),)"),"它在床上。")</f>
        <v>它在床上。</v>
      </c>
      <c r="E499" s="4" t="str">
        <f ca="1">IFERROR(__xludf.DUMMYFUNCTION("IFERROR(GOOGLETRANSLATE(B499,""en"",""zh-CN""),)"),"它在床上。")</f>
        <v>它在床上。</v>
      </c>
    </row>
    <row r="500" spans="1:5" ht="18">
      <c r="A500" s="3" t="s">
        <v>2281</v>
      </c>
      <c r="B500" s="4" t="str">
        <f ca="1">IFERROR(__xludf.DUMMYFUNCTION("IFERROR(GOOGLETRANSLATE(A500,""ko"",""en""),)"),"Where is Suzy?")</f>
        <v>Where is Suzy?</v>
      </c>
      <c r="C500" s="4" t="str">
        <f ca="1">IFERROR(__xludf.DUMMYFUNCTION("IFERROR(GOOGLETRANSLATE(B500,""en"",""ja""),)"),"スージーはどこにいますか？")</f>
        <v>スージーはどこにいますか？</v>
      </c>
      <c r="D500" s="4" t="str">
        <f ca="1">IFERROR(__xludf.DUMMYFUNCTION("IFERROR(GOOGLETRANSLATE(B500,""en"",""zh-TW""),)"),"蘇西在哪裡？")</f>
        <v>蘇西在哪裡？</v>
      </c>
      <c r="E500" s="4" t="str">
        <f ca="1">IFERROR(__xludf.DUMMYFUNCTION("IFERROR(GOOGLETRANSLATE(B500,""en"",""zh-CN""),)"),"苏西在哪里？")</f>
        <v>苏西在哪里？</v>
      </c>
    </row>
    <row r="501" spans="1:5" ht="18">
      <c r="A501" s="3" t="s">
        <v>2285</v>
      </c>
      <c r="B501" s="4" t="str">
        <f ca="1">IFERROR(__xludf.DUMMYFUNCTION("IFERROR(GOOGLETRANSLATE(A501,""ko"",""en""),)"),"It's inside the movie theater.")</f>
        <v>It's inside the movie theater.</v>
      </c>
      <c r="C501" s="4" t="str">
        <f ca="1">IFERROR(__xludf.DUMMYFUNCTION("IFERROR(GOOGLETRANSLATE(B501,""en"",""ja""),)"),"映画館の中にあります。")</f>
        <v>映画館の中にあります。</v>
      </c>
      <c r="D501" s="4" t="str">
        <f ca="1">IFERROR(__xludf.DUMMYFUNCTION("IFERROR(GOOGLETRANSLATE(B501,""en"",""zh-TW""),)"),"它在電影院裡面。")</f>
        <v>它在電影院裡面。</v>
      </c>
      <c r="E501" s="4" t="str">
        <f ca="1">IFERROR(__xludf.DUMMYFUNCTION("IFERROR(GOOGLETRANSLATE(B501,""en"",""zh-CN""),)"),"它在电影院里面。")</f>
        <v>它在电影院里面。</v>
      </c>
    </row>
    <row r="502" spans="1:5" ht="18">
      <c r="A502" s="3" t="s">
        <v>2291</v>
      </c>
      <c r="B502" s="4" t="str">
        <f ca="1">IFERROR(__xludf.DUMMYFUNCTION("IFERROR(GOOGLETRANSLATE(A502,""ko"",""en""),)"),"What is there?")</f>
        <v>What is there?</v>
      </c>
      <c r="C502" s="4" t="str">
        <f ca="1">IFERROR(__xludf.DUMMYFUNCTION("IFERROR(GOOGLETRANSLATE(B502,""en"",""ja""),)"),"そこには何があるのですか？")</f>
        <v>そこには何があるのですか？</v>
      </c>
      <c r="D502" s="4" t="str">
        <f ca="1">IFERROR(__xludf.DUMMYFUNCTION("IFERROR(GOOGLETRANSLATE(B502,""en"",""zh-TW""),)"),"那裡有什麼？")</f>
        <v>那裡有什麼？</v>
      </c>
      <c r="E502" s="4" t="str">
        <f ca="1">IFERROR(__xludf.DUMMYFUNCTION("IFERROR(GOOGLETRANSLATE(B502,""en"",""zh-CN""),)"),"那里有什么？")</f>
        <v>那里有什么？</v>
      </c>
    </row>
    <row r="503" spans="1:5" ht="18">
      <c r="A503" s="3" t="s">
        <v>2293</v>
      </c>
      <c r="B503" s="4" t="str">
        <f ca="1">IFERROR(__xludf.DUMMYFUNCTION("IFERROR(GOOGLETRANSLATE(A503,""ko"",""en""),)"),"Is the book on the desk?")</f>
        <v>Is the book on the desk?</v>
      </c>
      <c r="C503" s="4" t="str">
        <f ca="1">IFERROR(__xludf.DUMMYFUNCTION("IFERROR(GOOGLETRANSLATE(B503,""en"",""ja""),)"),"本は机の上にありますか？")</f>
        <v>本は机の上にありますか？</v>
      </c>
      <c r="D503" s="4" t="str">
        <f ca="1">IFERROR(__xludf.DUMMYFUNCTION("IFERROR(GOOGLETRANSLATE(B503,""en"",""zh-TW""),)"),"書在桌上嗎？")</f>
        <v>書在桌上嗎？</v>
      </c>
      <c r="E503" s="4" t="str">
        <f ca="1">IFERROR(__xludf.DUMMYFUNCTION("IFERROR(GOOGLETRANSLATE(B503,""en"",""zh-CN""),)"),"书在桌子上吗？")</f>
        <v>书在桌子上吗？</v>
      </c>
    </row>
    <row r="504" spans="1:5" ht="18">
      <c r="A504" s="3" t="s">
        <v>2299</v>
      </c>
      <c r="B504" s="4" t="str">
        <f ca="1">IFERROR(__xludf.DUMMYFUNCTION("IFERROR(GOOGLETRANSLATE(A504,""ko"",""en""),)"),"The book is on the desk.")</f>
        <v>The book is on the desk.</v>
      </c>
      <c r="C504" s="4" t="str">
        <f ca="1">IFERROR(__xludf.DUMMYFUNCTION("IFERROR(GOOGLETRANSLATE(B504,""en"",""ja""),)"),"本は机の上にある。")</f>
        <v>本は机の上にある。</v>
      </c>
      <c r="D504" s="4" t="str">
        <f ca="1">IFERROR(__xludf.DUMMYFUNCTION("IFERROR(GOOGLETRANSLATE(B504,""en"",""zh-TW""),)"),"書在桌子上。")</f>
        <v>書在桌子上。</v>
      </c>
      <c r="E504" s="4" t="str">
        <f ca="1">IFERROR(__xludf.DUMMYFUNCTION("IFERROR(GOOGLETRANSLATE(B504,""en"",""zh-CN""),)"),"书在桌子上。")</f>
        <v>书在桌子上。</v>
      </c>
    </row>
    <row r="505" spans="1:5" ht="18">
      <c r="A505" s="3" t="s">
        <v>2302</v>
      </c>
      <c r="B505" s="4" t="str">
        <f ca="1">IFERROR(__xludf.DUMMYFUNCTION("IFERROR(GOOGLETRANSLATE(A505,""ko"",""en""),)"),"Is Suzy at home?")</f>
        <v>Is Suzy at home?</v>
      </c>
      <c r="C505" s="4" t="str">
        <f ca="1">IFERROR(__xludf.DUMMYFUNCTION("IFERROR(GOOGLETRANSLATE(B505,""en"",""ja""),)"),"スージーは家にいますか？")</f>
        <v>スージーは家にいますか？</v>
      </c>
      <c r="D505" s="4" t="str">
        <f ca="1">IFERROR(__xludf.DUMMYFUNCTION("IFERROR(GOOGLETRANSLATE(B505,""en"",""zh-TW""),)"),"蘇西在家嗎？")</f>
        <v>蘇西在家嗎？</v>
      </c>
      <c r="E505" s="4" t="str">
        <f ca="1">IFERROR(__xludf.DUMMYFUNCTION("IFERROR(GOOGLETRANSLATE(B505,""en"",""zh-CN""),)"),"苏西在家吗？")</f>
        <v>苏西在家吗？</v>
      </c>
    </row>
    <row r="506" spans="1:5" ht="18">
      <c r="A506" s="3" t="s">
        <v>2307</v>
      </c>
      <c r="B506" s="4" t="str">
        <f ca="1">IFERROR(__xludf.DUMMYFUNCTION("IFERROR(GOOGLETRANSLATE(A506,""ko"",""en""),)"),"No, I'm not at home. I'm at school.")</f>
        <v>No, I'm not at home. I'm at school.</v>
      </c>
      <c r="C506" s="4" t="str">
        <f ca="1">IFERROR(__xludf.DUMMYFUNCTION("IFERROR(GOOGLETRANSLATE(B506,""en"",""ja""),)"),"いいえ、家にいません。学校にいます。")</f>
        <v>いいえ、家にいません。学校にいます。</v>
      </c>
      <c r="D506" s="4" t="str">
        <f ca="1">IFERROR(__xludf.DUMMYFUNCTION("IFERROR(GOOGLETRANSLATE(B506,""en"",""zh-TW""),)"),"不，我不在家，我在學校。")</f>
        <v>不，我不在家，我在學校。</v>
      </c>
      <c r="E506" s="4" t="str">
        <f ca="1">IFERROR(__xludf.DUMMYFUNCTION("IFERROR(GOOGLETRANSLATE(B506,""en"",""zh-CN""),)"),"不，我不在家，我在学校。")</f>
        <v>不，我不在家，我在学校。</v>
      </c>
    </row>
    <row r="507" spans="1:5" ht="18">
      <c r="A507" s="3" t="s">
        <v>2310</v>
      </c>
      <c r="B507" s="4" t="str">
        <f ca="1">IFERROR(__xludf.DUMMYFUNCTION("IFERROR(GOOGLETRANSLATE(A507,""ko"",""en""),)"),"I'm in the car.")</f>
        <v>I'm in the car.</v>
      </c>
      <c r="C507" s="4" t="str">
        <f ca="1">IFERROR(__xludf.DUMMYFUNCTION("IFERROR(GOOGLETRANSLATE(B507,""en"",""ja""),)"),"私は車の中にいます。")</f>
        <v>私は車の中にいます。</v>
      </c>
      <c r="D507" s="4" t="str">
        <f ca="1">IFERROR(__xludf.DUMMYFUNCTION("IFERROR(GOOGLETRANSLATE(B507,""en"",""zh-TW""),)"),"我在車裡。")</f>
        <v>我在車裡。</v>
      </c>
      <c r="E507" s="4" t="str">
        <f ca="1">IFERROR(__xludf.DUMMYFUNCTION("IFERROR(GOOGLETRANSLATE(B507,""en"",""zh-CN""),)"),"我在车里。")</f>
        <v>我在车里。</v>
      </c>
    </row>
    <row r="508" spans="1:5" ht="18">
      <c r="A508" s="3" t="s">
        <v>2314</v>
      </c>
      <c r="B508" s="4" t="str">
        <f ca="1">IFERROR(__xludf.DUMMYFUNCTION("IFERROR(GOOGLETRANSLATE(A508,""ko"",""en""),)"),"I am at school.")</f>
        <v>I am at school.</v>
      </c>
      <c r="C508" s="4" t="str">
        <f ca="1">IFERROR(__xludf.DUMMYFUNCTION("IFERROR(GOOGLETRANSLATE(B508,""en"",""ja""),)"),"私は学校にいます。")</f>
        <v>私は学校にいます。</v>
      </c>
      <c r="D508" s="4" t="str">
        <f ca="1">IFERROR(__xludf.DUMMYFUNCTION("IFERROR(GOOGLETRANSLATE(B508,""en"",""zh-TW""),)"),"我在學校。")</f>
        <v>我在學校。</v>
      </c>
      <c r="E508" s="4" t="str">
        <f ca="1">IFERROR(__xludf.DUMMYFUNCTION("IFERROR(GOOGLETRANSLATE(B508,""en"",""zh-CN""),)"),"我在学校。")</f>
        <v>我在学校。</v>
      </c>
    </row>
    <row r="509" spans="1:5" ht="18">
      <c r="A509" s="3" t="s">
        <v>2317</v>
      </c>
      <c r="B509" s="4" t="str">
        <f ca="1">IFERROR(__xludf.DUMMYFUNCTION("IFERROR(GOOGLETRANSLATE(A509,""ko"",""en""),)"),"Is there a computer in the classroom?")</f>
        <v>Is there a computer in the classroom?</v>
      </c>
      <c r="C509" s="4" t="str">
        <f ca="1">IFERROR(__xludf.DUMMYFUNCTION("IFERROR(GOOGLETRANSLATE(B509,""en"",""ja""),)"),"教室にコンピューターはありますか？")</f>
        <v>教室にコンピューターはありますか？</v>
      </c>
      <c r="D509" s="4" t="str">
        <f ca="1">IFERROR(__xludf.DUMMYFUNCTION("IFERROR(GOOGLETRANSLATE(B509,""en"",""zh-TW""),)"),"教室裡有電腦嗎？")</f>
        <v>教室裡有電腦嗎？</v>
      </c>
      <c r="E509" s="4" t="str">
        <f ca="1">IFERROR(__xludf.DUMMYFUNCTION("IFERROR(GOOGLETRANSLATE(B509,""en"",""zh-CN""),)"),"教室里有电脑吗？")</f>
        <v>教室里有电脑吗？</v>
      </c>
    </row>
    <row r="510" spans="1:5" ht="18">
      <c r="A510" s="3" t="s">
        <v>2322</v>
      </c>
      <c r="B510" s="4" t="str">
        <f ca="1">IFERROR(__xludf.DUMMYFUNCTION("IFERROR(GOOGLETRANSLATE(A510,""ko"",""en""),)"),"Yes, there is a computer in the classroom.")</f>
        <v>Yes, there is a computer in the classroom.</v>
      </c>
      <c r="C510" s="4" t="str">
        <f ca="1">IFERROR(__xludf.DUMMYFUNCTION("IFERROR(GOOGLETRANSLATE(B510,""en"",""ja""),)"),"はい、教室にはコンピューターがあります。")</f>
        <v>はい、教室にはコンピューターがあります。</v>
      </c>
      <c r="D510" s="4" t="str">
        <f ca="1">IFERROR(__xludf.DUMMYFUNCTION("IFERROR(GOOGLETRANSLATE(B510,""en"",""zh-TW""),)"),"是的，教室裡有一台電腦。")</f>
        <v>是的，教室裡有一台電腦。</v>
      </c>
      <c r="E510" s="4" t="str">
        <f ca="1">IFERROR(__xludf.DUMMYFUNCTION("IFERROR(GOOGLETRANSLATE(B510,""en"",""zh-CN""),)"),"是的，教室里有一台电脑。")</f>
        <v>是的，教室里有一台电脑。</v>
      </c>
    </row>
    <row r="511" spans="1:5" ht="18">
      <c r="A511" s="3" t="s">
        <v>2325</v>
      </c>
      <c r="B511" s="4" t="str">
        <f ca="1">IFERROR(__xludf.DUMMYFUNCTION("IFERROR(GOOGLETRANSLATE(A511,""ko"",""en""),)"),"Is the bag in the classroom?")</f>
        <v>Is the bag in the classroom?</v>
      </c>
      <c r="C511" s="4" t="str">
        <f ca="1">IFERROR(__xludf.DUMMYFUNCTION("IFERROR(GOOGLETRANSLATE(B511,""en"",""ja""),)"),"そのバッグは教室にありますか？")</f>
        <v>そのバッグは教室にありますか？</v>
      </c>
      <c r="D511" s="4" t="str">
        <f ca="1">IFERROR(__xludf.DUMMYFUNCTION("IFERROR(GOOGLETRANSLATE(B511,""en"",""zh-TW""),)"),"書包在教室裡嗎？")</f>
        <v>書包在教室裡嗎？</v>
      </c>
      <c r="E511" s="4" t="str">
        <f ca="1">IFERROR(__xludf.DUMMYFUNCTION("IFERROR(GOOGLETRANSLATE(B511,""en"",""zh-CN""),)"),"书包在教室里吗？")</f>
        <v>书包在教室里吗？</v>
      </c>
    </row>
    <row r="512" spans="1:5" ht="18">
      <c r="A512" s="3" t="s">
        <v>2327</v>
      </c>
      <c r="B512" s="4" t="str">
        <f ca="1">IFERROR(__xludf.DUMMYFUNCTION("IFERROR(GOOGLETRANSLATE(A512,""ko"",""en""),)"),"No, my bag isn't in the classroom.")</f>
        <v>No, my bag isn't in the classroom.</v>
      </c>
      <c r="C512" s="4" t="str">
        <f ca="1">IFERROR(__xludf.DUMMYFUNCTION("IFERROR(GOOGLETRANSLATE(B512,""en"",""ja""),)"),"いいえ、私のバッグは教室にはありません。")</f>
        <v>いいえ、私のバッグは教室にはありません。</v>
      </c>
      <c r="D512" s="4" t="str">
        <f ca="1">IFERROR(__xludf.DUMMYFUNCTION("IFERROR(GOOGLETRANSLATE(B512,""en"",""zh-TW""),)"),"不，我的書包不在教室裡。")</f>
        <v>不，我的書包不在教室裡。</v>
      </c>
      <c r="E512" s="4" t="str">
        <f ca="1">IFERROR(__xludf.DUMMYFUNCTION("IFERROR(GOOGLETRANSLATE(B512,""en"",""zh-CN""),)"),"不，我的书包不在教室里。")</f>
        <v>不，我的书包不在教室里。</v>
      </c>
    </row>
    <row r="513" spans="1:5" ht="18">
      <c r="A513" s="3" t="s">
        <v>2330</v>
      </c>
      <c r="B513" s="4" t="str">
        <f ca="1">IFERROR(__xludf.DUMMYFUNCTION("IFERROR(GOOGLETRANSLATE(A513,""ko"",""en""),)"),"Is the clock in the classroom?")</f>
        <v>Is the clock in the classroom?</v>
      </c>
      <c r="C513" s="4" t="str">
        <f ca="1">IFERROR(__xludf.DUMMYFUNCTION("IFERROR(GOOGLETRANSLATE(B513,""en"",""ja""),)"),"教室に時計はありますか？")</f>
        <v>教室に時計はありますか？</v>
      </c>
      <c r="D513" s="4" t="str">
        <f ca="1">IFERROR(__xludf.DUMMYFUNCTION("IFERROR(GOOGLETRANSLATE(B513,""en"",""zh-TW""),)"),"教室裡有鐘嗎？")</f>
        <v>教室裡有鐘嗎？</v>
      </c>
      <c r="E513" s="4" t="str">
        <f ca="1">IFERROR(__xludf.DUMMYFUNCTION("IFERROR(GOOGLETRANSLATE(B513,""en"",""zh-CN""),)"),"教室里有钟吗？")</f>
        <v>教室里有钟吗？</v>
      </c>
    </row>
    <row r="514" spans="1:5" ht="18">
      <c r="A514" s="3" t="s">
        <v>2333</v>
      </c>
      <c r="B514" s="4" t="str">
        <f ca="1">IFERROR(__xludf.DUMMYFUNCTION("IFERROR(GOOGLETRANSLATE(A514,""ko"",""en""),)"),"Yes, the clock is in the classroom.")</f>
        <v>Yes, the clock is in the classroom.</v>
      </c>
      <c r="C514" s="4" t="str">
        <f ca="1">IFERROR(__xludf.DUMMYFUNCTION("IFERROR(GOOGLETRANSLATE(B514,""en"",""ja""),)"),"はい、時計は教室にあります。")</f>
        <v>はい、時計は教室にあります。</v>
      </c>
      <c r="D514" s="4" t="str">
        <f ca="1">IFERROR(__xludf.DUMMYFUNCTION("IFERROR(GOOGLETRANSLATE(B514,""en"",""zh-TW""),)"),"是的，鐘在教室裡。")</f>
        <v>是的，鐘在教室裡。</v>
      </c>
      <c r="E514" s="4" t="str">
        <f ca="1">IFERROR(__xludf.DUMMYFUNCTION("IFERROR(GOOGLETRANSLATE(B514,""en"",""zh-CN""),)"),"是的，钟在教室里。")</f>
        <v>是的，钟在教室里。</v>
      </c>
    </row>
    <row r="515" spans="1:5" ht="18">
      <c r="A515" s="3" t="s">
        <v>2336</v>
      </c>
      <c r="B515" s="4" t="str">
        <f ca="1">IFERROR(__xludf.DUMMYFUNCTION("IFERROR(GOOGLETRANSLATE(A515,""ko"",""en""),)"),"Is Yujin in the classroom?")</f>
        <v>Is Yujin in the classroom?</v>
      </c>
      <c r="C515" s="4" t="str">
        <f ca="1">IFERROR(__xludf.DUMMYFUNCTION("IFERROR(GOOGLETRANSLATE(B515,""en"",""ja""),)"),"ユジンは教室にいますか？")</f>
        <v>ユジンは教室にいますか？</v>
      </c>
      <c r="D515" s="4" t="str">
        <f ca="1">IFERROR(__xludf.DUMMYFUNCTION("IFERROR(GOOGLETRANSLATE(B515,""en"",""zh-TW""),)"),"裕真在教室嗎？")</f>
        <v>裕真在教室嗎？</v>
      </c>
      <c r="E515" s="4" t="str">
        <f ca="1">IFERROR(__xludf.DUMMYFUNCTION("IFERROR(GOOGLETRANSLATE(B515,""en"",""zh-CN""),)"),"裕真在教室吗？")</f>
        <v>裕真在教室吗？</v>
      </c>
    </row>
    <row r="516" spans="1:5" ht="18">
      <c r="A516" s="3" t="s">
        <v>2341</v>
      </c>
      <c r="B516" s="4" t="str">
        <f ca="1">IFERROR(__xludf.DUMMYFUNCTION("IFERROR(GOOGLETRANSLATE(A516,""ko"",""en""),)"),"No, Yujin isn't in the classroom.")</f>
        <v>No, Yujin isn't in the classroom.</v>
      </c>
      <c r="C516" s="4" t="str">
        <f ca="1">IFERROR(__xludf.DUMMYFUNCTION("IFERROR(GOOGLETRANSLATE(B516,""en"",""ja""),)"),"いいえ、ユジンは教室にはいません。")</f>
        <v>いいえ、ユジンは教室にはいません。</v>
      </c>
      <c r="D516" s="4" t="str">
        <f ca="1">IFERROR(__xludf.DUMMYFUNCTION("IFERROR(GOOGLETRANSLATE(B516,""en"",""zh-TW""),)"),"不，裕真不在教室裡。")</f>
        <v>不，裕真不在教室裡。</v>
      </c>
      <c r="E516" s="4" t="str">
        <f ca="1">IFERROR(__xludf.DUMMYFUNCTION("IFERROR(GOOGLETRANSLATE(B516,""en"",""zh-CN""),)"),"不，裕真不在教室里。")</f>
        <v>不，裕真不在教室里。</v>
      </c>
    </row>
    <row r="517" spans="1:5" ht="18">
      <c r="A517" s="3" t="s">
        <v>2345</v>
      </c>
      <c r="B517" s="4" t="str">
        <f ca="1">IFERROR(__xludf.DUMMYFUNCTION("IFERROR(GOOGLETRANSLATE(A517,""ko"",""en""),)"),"It's on the blackboard.")</f>
        <v>It's on the blackboard.</v>
      </c>
      <c r="C517" s="4" t="str">
        <f ca="1">IFERROR(__xludf.DUMMYFUNCTION("IFERROR(GOOGLETRANSLATE(B517,""en"",""ja""),)"),"黒板に書いてあります。")</f>
        <v>黒板に書いてあります。</v>
      </c>
      <c r="D517" s="4" t="str">
        <f ca="1">IFERROR(__xludf.DUMMYFUNCTION("IFERROR(GOOGLETRANSLATE(B517,""en"",""zh-TW""),)"),"寫在黑板上了。")</f>
        <v>寫在黑板上了。</v>
      </c>
      <c r="E517" s="4" t="str">
        <f ca="1">IFERROR(__xludf.DUMMYFUNCTION("IFERROR(GOOGLETRANSLATE(B517,""en"",""zh-CN""),)"),"写在黑板上了。")</f>
        <v>写在黑板上了。</v>
      </c>
    </row>
    <row r="518" spans="1:5" ht="18">
      <c r="A518" s="3" t="s">
        <v>2348</v>
      </c>
      <c r="B518" s="4" t="str">
        <f ca="1">IFERROR(__xludf.DUMMYFUNCTION("IFERROR(GOOGLETRANSLATE(A518,""ko"",""en""),)"),"Yes, the bag is next to the chair.")</f>
        <v>Yes, the bag is next to the chair.</v>
      </c>
      <c r="C518" s="4" t="str">
        <f ca="1">IFERROR(__xludf.DUMMYFUNCTION("IFERROR(GOOGLETRANSLATE(B518,""en"",""ja""),)"),"はい、バッグは椅子の横にあります。")</f>
        <v>はい、バッグは椅子の横にあります。</v>
      </c>
      <c r="D518" s="4" t="str">
        <f ca="1">IFERROR(__xludf.DUMMYFUNCTION("IFERROR(GOOGLETRANSLATE(B518,""en"",""zh-TW""),)"),"是的，包包就在椅子旁邊。")</f>
        <v>是的，包包就在椅子旁邊。</v>
      </c>
      <c r="E518" s="4" t="str">
        <f ca="1">IFERROR(__xludf.DUMMYFUNCTION("IFERROR(GOOGLETRANSLATE(B518,""en"",""zh-CN""),)"),"是的，包就在椅子旁边。")</f>
        <v>是的，包就在椅子旁边。</v>
      </c>
    </row>
    <row r="519" spans="1:5" ht="18">
      <c r="A519" s="3" t="s">
        <v>2205</v>
      </c>
      <c r="B519" s="4" t="str">
        <f ca="1">IFERROR(__xludf.DUMMYFUNCTION("IFERROR(GOOGLETRANSLATE(A519,""ko"",""en""),)"),"The book is in the bag.")</f>
        <v>The book is in the bag.</v>
      </c>
      <c r="C519" s="4" t="str">
        <f ca="1">IFERROR(__xludf.DUMMYFUNCTION("IFERROR(GOOGLETRANSLATE(B519,""en"",""ja""),)"),"本はバッグの中に入っています。")</f>
        <v>本はバッグの中に入っています。</v>
      </c>
      <c r="D519" s="4" t="str">
        <f ca="1">IFERROR(__xludf.DUMMYFUNCTION("IFERROR(GOOGLETRANSLATE(B519,""en"",""zh-TW""),)"),"書已經裝進袋子裡了。")</f>
        <v>書已經裝進袋子裡了。</v>
      </c>
      <c r="E519" s="4" t="str">
        <f ca="1">IFERROR(__xludf.DUMMYFUNCTION("IFERROR(GOOGLETRANSLATE(B519,""en"",""zh-CN""),)"),"书已经装进袋子里了。")</f>
        <v>书已经装进袋子里了。</v>
      </c>
    </row>
    <row r="520" spans="1:5" ht="18">
      <c r="A520" s="3" t="s">
        <v>2352</v>
      </c>
      <c r="B520" s="4" t="str">
        <f ca="1">IFERROR(__xludf.DUMMYFUNCTION("IFERROR(GOOGLETRANSLATE(A520,""ko"",""en""),)"),"There is a desk in the room.")</f>
        <v>There is a desk in the room.</v>
      </c>
      <c r="C520" s="4" t="str">
        <f ca="1">IFERROR(__xludf.DUMMYFUNCTION("IFERROR(GOOGLETRANSLATE(B520,""en"",""ja""),)"),"部屋には机があります。")</f>
        <v>部屋には机があります。</v>
      </c>
      <c r="D520" s="4" t="str">
        <f ca="1">IFERROR(__xludf.DUMMYFUNCTION("IFERROR(GOOGLETRANSLATE(B520,""en"",""zh-TW""),)"),"房間裡有一張桌子。")</f>
        <v>房間裡有一張桌子。</v>
      </c>
      <c r="E520" s="4" t="str">
        <f ca="1">IFERROR(__xludf.DUMMYFUNCTION("IFERROR(GOOGLETRANSLATE(B520,""en"",""zh-CN""),)"),"房间里有一张桌子。")</f>
        <v>房间里有一张桌子。</v>
      </c>
    </row>
    <row r="521" spans="1:5" ht="18">
      <c r="A521" s="5" t="s">
        <v>2356</v>
      </c>
      <c r="B521" s="4" t="str">
        <f ca="1">IFERROR(__xludf.DUMMYFUNCTION("IFERROR(GOOGLETRANSLATE(A521,""ko"",""en""),)"),"I have a handbag.")</f>
        <v>I have a handbag.</v>
      </c>
      <c r="C521" s="4" t="str">
        <f ca="1">IFERROR(__xludf.DUMMYFUNCTION("IFERROR(GOOGLETRANSLATE(B521,""en"",""ja""),)"),"私はハンドバッグを持っています。")</f>
        <v>私はハンドバッグを持っています。</v>
      </c>
      <c r="D521" s="4" t="str">
        <f ca="1">IFERROR(__xludf.DUMMYFUNCTION("IFERROR(GOOGLETRANSLATE(B521,""en"",""zh-TW""),)"),"我有一個手提包。")</f>
        <v>我有一個手提包。</v>
      </c>
      <c r="E521" s="4" t="str">
        <f ca="1">IFERROR(__xludf.DUMMYFUNCTION("IFERROR(GOOGLETRANSLATE(B521,""en"",""zh-CN""),)"),"我有一个手提包。")</f>
        <v>我有一个手提包。</v>
      </c>
    </row>
    <row r="522" spans="1:5" ht="18">
      <c r="A522" s="5" t="s">
        <v>2358</v>
      </c>
      <c r="B522" s="4" t="str">
        <f ca="1">IFERROR(__xludf.DUMMYFUNCTION("IFERROR(GOOGLETRANSLATE(A522,""ko"",""en""),)"),"There is no mirror.")</f>
        <v>There is no mirror.</v>
      </c>
      <c r="C522" s="4" t="str">
        <f ca="1">IFERROR(__xludf.DUMMYFUNCTION("IFERROR(GOOGLETRANSLATE(B522,""en"",""ja""),)"),"鏡はありません。")</f>
        <v>鏡はありません。</v>
      </c>
      <c r="D522" s="4" t="str">
        <f ca="1">IFERROR(__xludf.DUMMYFUNCTION("IFERROR(GOOGLETRANSLATE(B522,""en"",""zh-TW""),)"),"沒有鏡子。")</f>
        <v>沒有鏡子。</v>
      </c>
      <c r="E522" s="4" t="str">
        <f ca="1">IFERROR(__xludf.DUMMYFUNCTION("IFERROR(GOOGLETRANSLATE(B522,""en"",""zh-CN""),)"),"没有镜子。")</f>
        <v>没有镜子。</v>
      </c>
    </row>
    <row r="523" spans="1:5" ht="18">
      <c r="A523" s="3" t="s">
        <v>2361</v>
      </c>
      <c r="B523" s="4" t="str">
        <f ca="1">IFERROR(__xludf.DUMMYFUNCTION("IFERROR(GOOGLETRANSLATE(A523,""ko"",""en""),)"),"No, I'm at the restaurant.")</f>
        <v>No, I'm at the restaurant.</v>
      </c>
      <c r="C523" s="4" t="str">
        <f ca="1">IFERROR(__xludf.DUMMYFUNCTION("IFERROR(GOOGLETRANSLATE(B523,""en"",""ja""),)"),"いいえ、レストランにいます。")</f>
        <v>いいえ、レストランにいます。</v>
      </c>
      <c r="D523" s="4" t="str">
        <f ca="1">IFERROR(__xludf.DUMMYFUNCTION("IFERROR(GOOGLETRANSLATE(B523,""en"",""zh-TW""),)"),"不，我在餐廳。")</f>
        <v>不，我在餐廳。</v>
      </c>
      <c r="E523" s="4" t="str">
        <f ca="1">IFERROR(__xludf.DUMMYFUNCTION("IFERROR(GOOGLETRANSLATE(B523,""en"",""zh-CN""),)"),"不，我在餐厅。")</f>
        <v>不，我在餐厅。</v>
      </c>
    </row>
    <row r="524" spans="1:5" ht="18">
      <c r="A524" s="3" t="s">
        <v>2364</v>
      </c>
      <c r="B524" s="4" t="str">
        <f ca="1">IFERROR(__xludf.DUMMYFUNCTION("IFERROR(GOOGLETRANSLATE(A524,""ko"",""en""),)"),"No, it's not at the clothing store. It's at the cafe.")</f>
        <v>No, it's not at the clothing store. It's at the cafe.</v>
      </c>
      <c r="C524" s="4" t="str">
        <f ca="1">IFERROR(__xludf.DUMMYFUNCTION("IFERROR(GOOGLETRANSLATE(B524,""en"",""ja""),)"),"いいえ、洋服店ではありません。カフェです。")</f>
        <v>いいえ、洋服店ではありません。カフェです。</v>
      </c>
      <c r="D524" s="4" t="str">
        <f ca="1">IFERROR(__xludf.DUMMYFUNCTION("IFERROR(GOOGLETRANSLATE(B524,""en"",""zh-TW""),)"),"不，不在服飾店，在咖啡館。")</f>
        <v>不，不在服飾店，在咖啡館。</v>
      </c>
      <c r="E524" s="4" t="str">
        <f ca="1">IFERROR(__xludf.DUMMYFUNCTION("IFERROR(GOOGLETRANSLATE(B524,""en"",""zh-CN""),)"),"不，不在服装店，在咖啡馆。")</f>
        <v>不，不在服装店，在咖啡馆。</v>
      </c>
    </row>
    <row r="525" spans="1:5" ht="18">
      <c r="A525" s="3" t="s">
        <v>2368</v>
      </c>
      <c r="B525" s="4" t="str">
        <f ca="1">IFERROR(__xludf.DUMMYFUNCTION("IFERROR(GOOGLETRANSLATE(A525,""ko"",""en""),)"),"table")</f>
        <v>table</v>
      </c>
      <c r="C525" s="4" t="str">
        <f ca="1">IFERROR(__xludf.DUMMYFUNCTION("IFERROR(GOOGLETRANSLATE(B525,""en"",""ja""),)"),"テーブル")</f>
        <v>テーブル</v>
      </c>
      <c r="D525" s="4" t="str">
        <f ca="1">IFERROR(__xludf.DUMMYFUNCTION("IFERROR(GOOGLETRANSLATE(B525,""en"",""zh-TW""),)"),"桌子")</f>
        <v>桌子</v>
      </c>
      <c r="E525" s="4" t="str">
        <f ca="1">IFERROR(__xludf.DUMMYFUNCTION("IFERROR(GOOGLETRANSLATE(B525,""en"",""zh-CN""),)"),"桌子")</f>
        <v>桌子</v>
      </c>
    </row>
    <row r="526" spans="1:5" ht="18">
      <c r="A526" s="5" t="s">
        <v>2374</v>
      </c>
      <c r="B526" s="4" t="s">
        <v>2375</v>
      </c>
      <c r="C526" s="4" t="str">
        <f ca="1">IFERROR(__xludf.DUMMYFUNCTION("IFERROR(GOOGLETRANSLATE(B526,""en"",""ja""),)"),"テーブル")</f>
        <v>テーブル</v>
      </c>
      <c r="D526" s="4" t="str">
        <f ca="1">IFERROR(__xludf.DUMMYFUNCTION("IFERROR(GOOGLETRANSLATE(B526,""en"",""zh-TW""),)"),"桌子")</f>
        <v>桌子</v>
      </c>
      <c r="E526" s="4" t="str">
        <f ca="1">IFERROR(__xludf.DUMMYFUNCTION("IFERROR(GOOGLETRANSLATE(B526,""en"",""zh-CN""),)"),"桌子")</f>
        <v>桌子</v>
      </c>
    </row>
    <row r="527" spans="1:5" ht="18">
      <c r="A527" s="5" t="s">
        <v>2377</v>
      </c>
      <c r="B527" s="4" t="str">
        <f ca="1">IFERROR(__xludf.DUMMYFUNCTION("IFERROR(GOOGLETRANSLATE(A527,""ko"",""en""),)"),"table")</f>
        <v>table</v>
      </c>
      <c r="C527" s="4" t="str">
        <f ca="1">IFERROR(__xludf.DUMMYFUNCTION("IFERROR(GOOGLETRANSLATE(B527,""en"",""ja""),)"),"テーブル")</f>
        <v>テーブル</v>
      </c>
      <c r="D527" s="4" t="str">
        <f ca="1">IFERROR(__xludf.DUMMYFUNCTION("IFERROR(GOOGLETRANSLATE(B527,""en"",""zh-TW""),)"),"桌子")</f>
        <v>桌子</v>
      </c>
      <c r="E527" s="4" t="str">
        <f ca="1">IFERROR(__xludf.DUMMYFUNCTION("IFERROR(GOOGLETRANSLATE(B527,""en"",""zh-CN""),)"),"桌子")</f>
        <v>桌子</v>
      </c>
    </row>
    <row r="528" spans="1:5" ht="18">
      <c r="A528" s="3" t="s">
        <v>2380</v>
      </c>
      <c r="B528" s="4" t="str">
        <f ca="1">IFERROR(__xludf.DUMMYFUNCTION("IFERROR(GOOGLETRANSLATE(A528,""ko"",""en""),)"),"then")</f>
        <v>then</v>
      </c>
      <c r="C528" s="4" t="str">
        <f ca="1">IFERROR(__xludf.DUMMYFUNCTION("IFERROR(GOOGLETRANSLATE(B528,""en"",""ja""),)"),"それから")</f>
        <v>それから</v>
      </c>
      <c r="D528" s="4" t="str">
        <f ca="1">IFERROR(__xludf.DUMMYFUNCTION("IFERROR(GOOGLETRANSLATE(B528,""en"",""zh-TW""),)"),"然後")</f>
        <v>然後</v>
      </c>
      <c r="E528" s="4" t="str">
        <f ca="1">IFERROR(__xludf.DUMMYFUNCTION("IFERROR(GOOGLETRANSLATE(B528,""en"",""zh-CN""),)"),"然后")</f>
        <v>然后</v>
      </c>
    </row>
    <row r="529" spans="1:5" ht="18">
      <c r="A529" s="3" t="s">
        <v>46</v>
      </c>
      <c r="B529" s="4" t="str">
        <f ca="1">IFERROR(__xludf.DUMMYFUNCTION("IFERROR(GOOGLETRANSLATE(A529,""ko"",""en""),)"),"umbrella")</f>
        <v>umbrella</v>
      </c>
      <c r="C529" s="4" t="str">
        <f ca="1">IFERROR(__xludf.DUMMYFUNCTION("IFERROR(GOOGLETRANSLATE(B529,""en"",""ja""),)"),"傘")</f>
        <v>傘</v>
      </c>
      <c r="D529" s="4" t="str">
        <f ca="1">IFERROR(__xludf.DUMMYFUNCTION("IFERROR(GOOGLETRANSLATE(B529,""en"",""zh-TW""),)"),"傘")</f>
        <v>傘</v>
      </c>
      <c r="E529" s="4" t="str">
        <f ca="1">IFERROR(__xludf.DUMMYFUNCTION("IFERROR(GOOGLETRANSLATE(B529,""en"",""zh-CN""),)"),"伞")</f>
        <v>伞</v>
      </c>
    </row>
    <row r="530" spans="1:5" ht="18">
      <c r="A530" s="3" t="s">
        <v>2386</v>
      </c>
      <c r="B530" s="4" t="str">
        <f ca="1">IFERROR(__xludf.DUMMYFUNCTION("IFERROR(GOOGLETRANSLATE(A530,""ko"",""en""),)"),"Where is the cell phone?")</f>
        <v>Where is the cell phone?</v>
      </c>
      <c r="C530" s="4" t="str">
        <f ca="1">IFERROR(__xludf.DUMMYFUNCTION("IFERROR(GOOGLETRANSLATE(B530,""en"",""ja""),)"),"携帯電話はどこですか？")</f>
        <v>携帯電話はどこですか？</v>
      </c>
      <c r="D530" s="4" t="str">
        <f ca="1">IFERROR(__xludf.DUMMYFUNCTION("IFERROR(GOOGLETRANSLATE(B530,""en"",""zh-TW""),)"),"手機在哪裡？")</f>
        <v>手機在哪裡？</v>
      </c>
      <c r="E530" s="4" t="str">
        <f ca="1">IFERROR(__xludf.DUMMYFUNCTION("IFERROR(GOOGLETRANSLATE(B530,""en"",""zh-CN""),)"),"手机在哪儿？")</f>
        <v>手机在哪儿？</v>
      </c>
    </row>
    <row r="531" spans="1:5" ht="18">
      <c r="A531" s="3" t="s">
        <v>2389</v>
      </c>
      <c r="B531" s="4" t="str">
        <f ca="1">IFERROR(__xludf.DUMMYFUNCTION("IFERROR(GOOGLETRANSLATE(A531,""ko"",""en""),)"),"My cell phone is on the desk.")</f>
        <v>My cell phone is on the desk.</v>
      </c>
      <c r="C531" s="4" t="str">
        <f ca="1">IFERROR(__xludf.DUMMYFUNCTION("IFERROR(GOOGLETRANSLATE(B531,""en"",""ja""),)"),"私の携帯電話は机の上に置いてあります。")</f>
        <v>私の携帯電話は机の上に置いてあります。</v>
      </c>
      <c r="D531" s="4" t="str">
        <f ca="1">IFERROR(__xludf.DUMMYFUNCTION("IFERROR(GOOGLETRANSLATE(B531,""en"",""zh-TW""),)"),"我的手機在桌子上。")</f>
        <v>我的手機在桌子上。</v>
      </c>
      <c r="E531" s="4" t="str">
        <f ca="1">IFERROR(__xludf.DUMMYFUNCTION("IFERROR(GOOGLETRANSLATE(B531,""en"",""zh-CN""),)"),"我的手机在桌子上。")</f>
        <v>我的手机在桌子上。</v>
      </c>
    </row>
    <row r="532" spans="1:5" ht="18">
      <c r="A532" s="3" t="s">
        <v>2393</v>
      </c>
      <c r="B532" s="4" t="str">
        <f ca="1">IFERROR(__xludf.DUMMYFUNCTION("IFERROR(GOOGLETRANSLATE(A532,""ko"",""en""),)"),"It's in front of me.")</f>
        <v>It's in front of me.</v>
      </c>
      <c r="C532" s="4" t="str">
        <f ca="1">IFERROR(__xludf.DUMMYFUNCTION("IFERROR(GOOGLETRANSLATE(B532,""en"",""ja""),)"),"それは私の目の前にある。")</f>
        <v>それは私の目の前にある。</v>
      </c>
      <c r="D532" s="4" t="str">
        <f ca="1">IFERROR(__xludf.DUMMYFUNCTION("IFERROR(GOOGLETRANSLATE(B532,""en"",""zh-TW""),)"),"它就在我面前。")</f>
        <v>它就在我面前。</v>
      </c>
      <c r="E532" s="4" t="str">
        <f ca="1">IFERROR(__xludf.DUMMYFUNCTION("IFERROR(GOOGLETRANSLATE(B532,""en"",""zh-CN""),)"),"它就在我面前。")</f>
        <v>它就在我面前。</v>
      </c>
    </row>
    <row r="533" spans="1:5" ht="18">
      <c r="A533" s="5" t="s">
        <v>2396</v>
      </c>
      <c r="B533" s="4" t="str">
        <f ca="1">IFERROR(__xludf.DUMMYFUNCTION("IFERROR(GOOGLETRANSLATE(A533,""ko"",""en""),)"),"It's in my pocket.")</f>
        <v>It's in my pocket.</v>
      </c>
      <c r="C533" s="4" t="str">
        <f ca="1">IFERROR(__xludf.DUMMYFUNCTION("IFERROR(GOOGLETRANSLATE(B533,""en"",""ja""),)"),"ポケットの中に入っています。")</f>
        <v>ポケットの中に入っています。</v>
      </c>
      <c r="D533" s="4" t="str">
        <f ca="1">IFERROR(__xludf.DUMMYFUNCTION("IFERROR(GOOGLETRANSLATE(B533,""en"",""zh-TW""),)"),"它就在我口袋裡。")</f>
        <v>它就在我口袋裡。</v>
      </c>
      <c r="E533" s="4" t="str">
        <f ca="1">IFERROR(__xludf.DUMMYFUNCTION("IFERROR(GOOGLETRANSLATE(B533,""en"",""zh-CN""),)"),"它就在我口袋里。")</f>
        <v>它就在我口袋里。</v>
      </c>
    </row>
    <row r="534" spans="1:5" ht="18">
      <c r="A534" s="3" t="s">
        <v>2399</v>
      </c>
      <c r="B534" s="4" t="str">
        <f ca="1">IFERROR(__xludf.DUMMYFUNCTION("IFERROR(GOOGLETRANSLATE(A534,""ko"",""en""),)"),"pocket")</f>
        <v>pocket</v>
      </c>
      <c r="C534" s="4" t="str">
        <f ca="1">IFERROR(__xludf.DUMMYFUNCTION("IFERROR(GOOGLETRANSLATE(B534,""en"",""ja""),)"),"ポケット")</f>
        <v>ポケット</v>
      </c>
      <c r="D534" s="4" t="str">
        <f ca="1">IFERROR(__xludf.DUMMYFUNCTION("IFERROR(GOOGLETRANSLATE(B534,""en"",""zh-TW""),)"),"口袋")</f>
        <v>口袋</v>
      </c>
      <c r="E534" s="4" t="str">
        <f ca="1">IFERROR(__xludf.DUMMYFUNCTION("IFERROR(GOOGLETRANSLATE(B534,""en"",""zh-CN""),)"),"口袋")</f>
        <v>口袋</v>
      </c>
    </row>
    <row r="535" spans="1:5" ht="18">
      <c r="A535" s="3" t="s">
        <v>2403</v>
      </c>
      <c r="B535" s="4" t="s">
        <v>2404</v>
      </c>
      <c r="C535" s="4" t="str">
        <f ca="1">IFERROR(__xludf.DUMMYFUNCTION("IFERROR(GOOGLETRANSLATE(B535,""en"",""ja""),)"),"私のバッグの中にあります")</f>
        <v>私のバッグの中にあります</v>
      </c>
      <c r="D535" s="4" t="str">
        <f ca="1">IFERROR(__xludf.DUMMYFUNCTION("IFERROR(GOOGLETRANSLATE(B535,""en"",""zh-TW""),)"),"它在我的包包裡。")</f>
        <v>它在我的包包裡。</v>
      </c>
      <c r="E535" s="4" t="str">
        <f ca="1">IFERROR(__xludf.DUMMYFUNCTION("IFERROR(GOOGLETRANSLATE(B535,""en"",""zh-CN""),)"),"它在我的包里。")</f>
        <v>它在我的包里。</v>
      </c>
    </row>
    <row r="536" spans="1:5" ht="18">
      <c r="A536" s="3" t="s">
        <v>2405</v>
      </c>
      <c r="B536" s="4" t="str">
        <f ca="1">IFERROR(__xludf.DUMMYFUNCTION("IFERROR(GOOGLETRANSLATE(A536,""ko"",""en""),)"),"Is the money in your wallet?")</f>
        <v>Is the money in your wallet?</v>
      </c>
      <c r="C536" s="4" t="str">
        <f ca="1">IFERROR(__xludf.DUMMYFUNCTION("IFERROR(GOOGLETRANSLATE(B536,""en"",""ja""),)"),"お金は財布に入っていますか？")</f>
        <v>お金は財布に入っていますか？</v>
      </c>
      <c r="D536" s="4" t="str">
        <f ca="1">IFERROR(__xludf.DUMMYFUNCTION("IFERROR(GOOGLETRANSLATE(B536,""en"",""zh-TW""),)"),"錢在你錢包裡嗎？")</f>
        <v>錢在你錢包裡嗎？</v>
      </c>
      <c r="E536" s="4" t="str">
        <f ca="1">IFERROR(__xludf.DUMMYFUNCTION("IFERROR(GOOGLETRANSLATE(B536,""en"",""zh-CN""),)"),"钱在你钱包里吗？")</f>
        <v>钱在你钱包里吗？</v>
      </c>
    </row>
    <row r="537" spans="1:5" ht="18">
      <c r="A537" s="3" t="s">
        <v>27</v>
      </c>
      <c r="B537" s="4" t="str">
        <f ca="1">IFERROR(__xludf.DUMMYFUNCTION("IFERROR(GOOGLETRANSLATE(A537,""ko"",""en""),)"),"money")</f>
        <v>money</v>
      </c>
      <c r="C537" s="4" t="str">
        <f ca="1">IFERROR(__xludf.DUMMYFUNCTION("IFERROR(GOOGLETRANSLATE(B537,""en"",""ja""),)"),"お金")</f>
        <v>お金</v>
      </c>
      <c r="D537" s="4" t="str">
        <f ca="1">IFERROR(__xludf.DUMMYFUNCTION("IFERROR(GOOGLETRANSLATE(B537,""en"",""zh-TW""),)"),"錢")</f>
        <v>錢</v>
      </c>
      <c r="E537" s="4" t="str">
        <f ca="1">IFERROR(__xludf.DUMMYFUNCTION("IFERROR(GOOGLETRANSLATE(B537,""en"",""zh-CN""),)"),"钱")</f>
        <v>钱</v>
      </c>
    </row>
    <row r="538" spans="1:5" ht="18">
      <c r="A538" s="3" t="s">
        <v>1901</v>
      </c>
      <c r="B538" s="4" t="str">
        <f ca="1">IFERROR(__xludf.DUMMYFUNCTION("IFERROR(GOOGLETRANSLATE(A538,""ko"",""en""),)"),"wallet")</f>
        <v>wallet</v>
      </c>
      <c r="C538" s="4" t="str">
        <f ca="1">IFERROR(__xludf.DUMMYFUNCTION("IFERROR(GOOGLETRANSLATE(B538,""en"",""ja""),)"),"財布")</f>
        <v>財布</v>
      </c>
      <c r="D538" s="4" t="str">
        <f ca="1">IFERROR(__xludf.DUMMYFUNCTION("IFERROR(GOOGLETRANSLATE(B538,""en"",""zh-TW""),)"),"錢包")</f>
        <v>錢包</v>
      </c>
      <c r="E538" s="4" t="str">
        <f ca="1">IFERROR(__xludf.DUMMYFUNCTION("IFERROR(GOOGLETRANSLATE(B538,""en"",""zh-CN""),)"),"钱包")</f>
        <v>钱包</v>
      </c>
    </row>
    <row r="539" spans="1:5" ht="18">
      <c r="A539" s="3" t="s">
        <v>2412</v>
      </c>
      <c r="B539" s="4" t="str">
        <f ca="1">IFERROR(__xludf.DUMMYFUNCTION("IFERROR(GOOGLETRANSLATE(A539,""ko"",""en""),)"),"No, I don't have any money.")</f>
        <v>No, I don't have any money.</v>
      </c>
      <c r="C539" s="4" t="str">
        <f ca="1">IFERROR(__xludf.DUMMYFUNCTION("IFERROR(GOOGLETRANSLATE(B539,""en"",""ja""),)"),"いいえ、お金は持っていません。")</f>
        <v>いいえ、お金は持っていません。</v>
      </c>
      <c r="D539" s="4" t="str">
        <f ca="1">IFERROR(__xludf.DUMMYFUNCTION("IFERROR(GOOGLETRANSLATE(B539,""en"",""zh-TW""),)"),"不，我沒錢。")</f>
        <v>不，我沒錢。</v>
      </c>
      <c r="E539" s="4" t="str">
        <f ca="1">IFERROR(__xludf.DUMMYFUNCTION("IFERROR(GOOGLETRANSLATE(B539,""en"",""zh-CN""),)"),"不，我没钱。")</f>
        <v>不，我没钱。</v>
      </c>
    </row>
    <row r="540" spans="1:5" ht="18">
      <c r="A540" s="3" t="s">
        <v>2415</v>
      </c>
      <c r="B540" s="4" t="str">
        <f ca="1">IFERROR(__xludf.DUMMYFUNCTION("IFERROR(GOOGLETRANSLATE(A540,""ko"",""en""),)"),"It's at the bank.")</f>
        <v>It's at the bank.</v>
      </c>
      <c r="C540" s="4" t="str">
        <f ca="1">IFERROR(__xludf.DUMMYFUNCTION("IFERROR(GOOGLETRANSLATE(B540,""en"",""ja""),)"),"銀行にあります。")</f>
        <v>銀行にあります。</v>
      </c>
      <c r="D540" s="4" t="str">
        <f ca="1">IFERROR(__xludf.DUMMYFUNCTION("IFERROR(GOOGLETRANSLATE(B540,""en"",""zh-TW""),)"),"錢在銀行。")</f>
        <v>錢在銀行。</v>
      </c>
      <c r="E540" s="4" t="str">
        <f ca="1">IFERROR(__xludf.DUMMYFUNCTION("IFERROR(GOOGLETRANSLATE(B540,""en"",""zh-CN""),)"),"钱在银行。")</f>
        <v>钱在银行。</v>
      </c>
    </row>
    <row r="541" spans="1:5" ht="18">
      <c r="A541" s="3" t="s">
        <v>2071</v>
      </c>
      <c r="B541" s="4" t="str">
        <f ca="1">IFERROR(__xludf.DUMMYFUNCTION("IFERROR(GOOGLETRANSLATE(A541,""ko"",""en""),)"),"bank")</f>
        <v>bank</v>
      </c>
      <c r="C541" s="4" t="str">
        <f ca="1">IFERROR(__xludf.DUMMYFUNCTION("IFERROR(GOOGLETRANSLATE(B541,""en"",""ja""),)"),"銀行")</f>
        <v>銀行</v>
      </c>
      <c r="D541" s="4" t="str">
        <f ca="1">IFERROR(__xludf.DUMMYFUNCTION("IFERROR(GOOGLETRANSLATE(B541,""en"",""zh-TW""),)"),"銀行")</f>
        <v>銀行</v>
      </c>
      <c r="E541" s="4" t="str">
        <f ca="1">IFERROR(__xludf.DUMMYFUNCTION("IFERROR(GOOGLETRANSLATE(B541,""en"",""zh-CN""),)"),"银行")</f>
        <v>银行</v>
      </c>
    </row>
    <row r="542" spans="1:5" ht="18">
      <c r="A542" s="3" t="s">
        <v>2418</v>
      </c>
      <c r="B542" s="4" t="str">
        <f ca="1">IFERROR(__xludf.DUMMYFUNCTION("IFERROR(GOOGLETRANSLATE(A542,""ko"",""en""),)"),"Are you at a cafe right now?")</f>
        <v>Are you at a cafe right now?</v>
      </c>
      <c r="C542" s="4" t="str">
        <f ca="1">IFERROR(__xludf.DUMMYFUNCTION("IFERROR(GOOGLETRANSLATE(B542,""en"",""ja""),)"),"あなたは今、カフェにいますか？")</f>
        <v>あなたは今、カフェにいますか？</v>
      </c>
      <c r="D542" s="4" t="str">
        <f ca="1">IFERROR(__xludf.DUMMYFUNCTION("IFERROR(GOOGLETRANSLATE(B542,""en"",""zh-TW""),)"),"你現在在咖啡館嗎？")</f>
        <v>你現在在咖啡館嗎？</v>
      </c>
      <c r="E542" s="4" t="str">
        <f ca="1">IFERROR(__xludf.DUMMYFUNCTION("IFERROR(GOOGLETRANSLATE(B542,""en"",""zh-CN""),)"),"你现在在咖啡馆吗？")</f>
        <v>你现在在咖啡馆吗？</v>
      </c>
    </row>
    <row r="543" spans="1:5" ht="18">
      <c r="A543" s="3" t="s">
        <v>1731</v>
      </c>
      <c r="B543" s="4" t="str">
        <f ca="1">IFERROR(__xludf.DUMMYFUNCTION("IFERROR(GOOGLETRANSLATE(A543,""ko"",""en""),)"),"now")</f>
        <v>now</v>
      </c>
      <c r="C543" s="4" t="str">
        <f ca="1">IFERROR(__xludf.DUMMYFUNCTION("IFERROR(GOOGLETRANSLATE(B543,""en"",""ja""),)"),"今")</f>
        <v>今</v>
      </c>
      <c r="D543" s="4" t="str">
        <f ca="1">IFERROR(__xludf.DUMMYFUNCTION("IFERROR(GOOGLETRANSLATE(B543,""en"",""zh-TW""),)"),"現在")</f>
        <v>現在</v>
      </c>
      <c r="E543" s="4" t="str">
        <f ca="1">IFERROR(__xludf.DUMMYFUNCTION("IFERROR(GOOGLETRANSLATE(B543,""en"",""zh-CN""),)"),"现在")</f>
        <v>现在</v>
      </c>
    </row>
    <row r="544" spans="1:5" ht="18">
      <c r="A544" s="3" t="s">
        <v>2425</v>
      </c>
      <c r="B544" s="4" t="str">
        <f ca="1">IFERROR(__xludf.DUMMYFUNCTION("IFERROR(GOOGLETRANSLATE(A544,""ko"",""en""),)"),"No, I'm not at the cafe. I'm at home.")</f>
        <v>No, I'm not at the cafe. I'm at home.</v>
      </c>
      <c r="C544" s="4" t="str">
        <f ca="1">IFERROR(__xludf.DUMMYFUNCTION("IFERROR(GOOGLETRANSLATE(B544,""en"",""ja""),)"),"いいえ、カフェにはいません。家にいます。")</f>
        <v>いいえ、カフェにはいません。家にいます。</v>
      </c>
      <c r="D544" s="4" t="str">
        <f ca="1">IFERROR(__xludf.DUMMYFUNCTION("IFERROR(GOOGLETRANSLATE(B544,""en"",""zh-TW""),)"),"不，我不在咖啡館，我在家。")</f>
        <v>不，我不在咖啡館，我在家。</v>
      </c>
      <c r="E544" s="4" t="str">
        <f ca="1">IFERROR(__xludf.DUMMYFUNCTION("IFERROR(GOOGLETRANSLATE(B544,""en"",""zh-CN""),)"),"不，我不在咖啡馆，我在家。")</f>
        <v>不，我不在咖啡馆，我在家。</v>
      </c>
    </row>
    <row r="545" spans="1:5" ht="18">
      <c r="A545" s="3" t="s">
        <v>2428</v>
      </c>
      <c r="B545" s="4" t="str">
        <f ca="1">IFERROR(__xludf.DUMMYFUNCTION("IFERROR(GOOGLETRANSLATE(A545,""ko"",""en""),)"),"Are you at the library? Yes, I am at the library.")</f>
        <v>Are you at the library? Yes, I am at the library.</v>
      </c>
      <c r="C545" s="4" t="str">
        <f ca="1">IFERROR(__xludf.DUMMYFUNCTION("IFERROR(GOOGLETRANSLATE(B545,""en"",""ja""),)"),"図書館にいらっしゃいますか？ はい、図書館にいます。")</f>
        <v>図書館にいらっしゃいますか？ はい、図書館にいます。</v>
      </c>
      <c r="D545" s="4" t="str">
        <f ca="1">IFERROR(__xludf.DUMMYFUNCTION("IFERROR(GOOGLETRANSLATE(B545,""en"",""zh-TW""),)"),"你在圖書館嗎？是的，我在圖書館。")</f>
        <v>你在圖書館嗎？是的，我在圖書館。</v>
      </c>
      <c r="E545" s="4" t="str">
        <f ca="1">IFERROR(__xludf.DUMMYFUNCTION("IFERROR(GOOGLETRANSLATE(B545,""en"",""zh-CN""),)"),"你在图书馆吗？是的，我在图书馆。")</f>
        <v>你在图书馆吗？是的，我在图书馆。</v>
      </c>
    </row>
    <row r="546" spans="1:5" ht="18">
      <c r="A546" s="3" t="s">
        <v>2430</v>
      </c>
      <c r="B546" s="4" t="str">
        <f ca="1">IFERROR(__xludf.DUMMYFUNCTION("IFERROR(GOOGLETRANSLATE(A546,""ko"",""en""),)"),"I am at school.")</f>
        <v>I am at school.</v>
      </c>
      <c r="C546" s="4" t="str">
        <f ca="1">IFERROR(__xludf.DUMMYFUNCTION("IFERROR(GOOGLETRANSLATE(B546,""en"",""ja""),)"),"私は学校にいます。")</f>
        <v>私は学校にいます。</v>
      </c>
      <c r="D546" s="4" t="str">
        <f ca="1">IFERROR(__xludf.DUMMYFUNCTION("IFERROR(GOOGLETRANSLATE(B546,""en"",""zh-TW""),)"),"我在學校。")</f>
        <v>我在學校。</v>
      </c>
      <c r="E546" s="4" t="str">
        <f ca="1">IFERROR(__xludf.DUMMYFUNCTION("IFERROR(GOOGLETRANSLATE(B546,""en"",""zh-CN""),)"),"我在学校。")</f>
        <v>我在学校。</v>
      </c>
    </row>
    <row r="547" spans="1:5" ht="18">
      <c r="A547" s="3" t="s">
        <v>2433</v>
      </c>
      <c r="B547" s="4" t="str">
        <f ca="1">IFERROR(__xludf.DUMMYFUNCTION("IFERROR(GOOGLETRANSLATE(A547,""ko"",""en""),)"),"school")</f>
        <v>school</v>
      </c>
      <c r="C547" s="4" t="str">
        <f ca="1">IFERROR(__xludf.DUMMYFUNCTION("IFERROR(GOOGLETRANSLATE(B547,""en"",""ja""),)"),"学校")</f>
        <v>学校</v>
      </c>
      <c r="D547" s="4" t="str">
        <f ca="1">IFERROR(__xludf.DUMMYFUNCTION("IFERROR(GOOGLETRANSLATE(B547,""en"",""zh-TW""),)"),"學校")</f>
        <v>學校</v>
      </c>
      <c r="E547" s="4" t="str">
        <f ca="1">IFERROR(__xludf.DUMMYFUNCTION("IFERROR(GOOGLETRANSLATE(B547,""en"",""zh-CN""),)"),"学校")</f>
        <v>学校</v>
      </c>
    </row>
    <row r="548" spans="1:5" ht="18">
      <c r="A548" s="3" t="s">
        <v>2436</v>
      </c>
      <c r="B548" s="4" t="str">
        <f ca="1">IFERROR(__xludf.DUMMYFUNCTION("IFERROR(GOOGLETRANSLATE(A548,""ko"",""en""),)"),"It is not on the desk.")</f>
        <v>It is not on the desk.</v>
      </c>
      <c r="C548" s="4" t="str">
        <f ca="1">IFERROR(__xludf.DUMMYFUNCTION("IFERROR(GOOGLETRANSLATE(B548,""en"",""ja""),)"),"机の上にはありません。")</f>
        <v>机の上にはありません。</v>
      </c>
      <c r="D548" s="4" t="str">
        <f ca="1">IFERROR(__xludf.DUMMYFUNCTION("IFERROR(GOOGLETRANSLATE(B548,""en"",""zh-TW""),)"),"它不在桌子上。")</f>
        <v>它不在桌子上。</v>
      </c>
      <c r="E548" s="4" t="str">
        <f ca="1">IFERROR(__xludf.DUMMYFUNCTION("IFERROR(GOOGLETRANSLATE(B548,""en"",""zh-CN""),)"),"它不在桌子上。")</f>
        <v>它不在桌子上。</v>
      </c>
    </row>
    <row r="549" spans="1:5" ht="18">
      <c r="A549" s="3" t="s">
        <v>2439</v>
      </c>
      <c r="B549" s="4" t="str">
        <f ca="1">IFERROR(__xludf.DUMMYFUNCTION("IFERROR(GOOGLETRANSLATE(A549,""ko"",""en""),)"),"The pen isn't on the desk.")</f>
        <v>The pen isn't on the desk.</v>
      </c>
      <c r="C549" s="4" t="str">
        <f ca="1">IFERROR(__xludf.DUMMYFUNCTION("IFERROR(GOOGLETRANSLATE(B549,""en"",""ja""),)"),"ペンは机の上にありません。")</f>
        <v>ペンは机の上にありません。</v>
      </c>
      <c r="D549" s="4" t="str">
        <f ca="1">IFERROR(__xludf.DUMMYFUNCTION("IFERROR(GOOGLETRANSLATE(B549,""en"",""zh-TW""),)"),"筆不在桌子上。")</f>
        <v>筆不在桌子上。</v>
      </c>
      <c r="E549" s="4" t="str">
        <f ca="1">IFERROR(__xludf.DUMMYFUNCTION("IFERROR(GOOGLETRANSLATE(B549,""en"",""zh-CN""),)"),"笔不在桌子上。")</f>
        <v>笔不在桌子上。</v>
      </c>
    </row>
    <row r="550" spans="1:5" ht="18">
      <c r="A550" s="3" t="s">
        <v>2442</v>
      </c>
      <c r="B550" s="4" t="str">
        <f ca="1">IFERROR(__xludf.DUMMYFUNCTION("IFERROR(GOOGLETRANSLATE(A550,""ko"",""en""),)"),"I don't have a notebook.")</f>
        <v>I don't have a notebook.</v>
      </c>
      <c r="C550" s="4" t="str">
        <f ca="1">IFERROR(__xludf.DUMMYFUNCTION("IFERROR(GOOGLETRANSLATE(B550,""en"",""ja""),)"),"私はノートを持っていません。")</f>
        <v>私はノートを持っていません。</v>
      </c>
      <c r="D550" s="4" t="str">
        <f ca="1">IFERROR(__xludf.DUMMYFUNCTION("IFERROR(GOOGLETRANSLATE(B550,""en"",""zh-TW""),)"),"我沒有筆記本。")</f>
        <v>我沒有筆記本。</v>
      </c>
      <c r="E550" s="4" t="str">
        <f ca="1">IFERROR(__xludf.DUMMYFUNCTION("IFERROR(GOOGLETRANSLATE(B550,""en"",""zh-CN""),)"),"我没有笔记本。")</f>
        <v>我没有笔记本。</v>
      </c>
    </row>
    <row r="551" spans="1:5" ht="18">
      <c r="A551" s="3" t="s">
        <v>2445</v>
      </c>
      <c r="B551" s="4" t="str">
        <f ca="1">IFERROR(__xludf.DUMMYFUNCTION("IFERROR(GOOGLETRANSLATE(A551,""ko"",""en""),)"),"I don't have a refrigerator.")</f>
        <v>I don't have a refrigerator.</v>
      </c>
      <c r="C551" s="4" t="str">
        <f ca="1">IFERROR(__xludf.DUMMYFUNCTION("IFERROR(GOOGLETRANSLATE(B551,""en"",""ja""),)"),"私は冷蔵庫を持っていません。")</f>
        <v>私は冷蔵庫を持っていません。</v>
      </c>
      <c r="D551" s="4" t="str">
        <f ca="1">IFERROR(__xludf.DUMMYFUNCTION("IFERROR(GOOGLETRANSLATE(B551,""en"",""zh-TW""),)"),"我沒有冰箱。")</f>
        <v>我沒有冰箱。</v>
      </c>
      <c r="E551" s="4" t="str">
        <f ca="1">IFERROR(__xludf.DUMMYFUNCTION("IFERROR(GOOGLETRANSLATE(B551,""en"",""zh-CN""),)"),"我没有冰箱。")</f>
        <v>我没有冰箱。</v>
      </c>
    </row>
    <row r="552" spans="1:5" ht="18">
      <c r="A552" s="3" t="s">
        <v>299</v>
      </c>
      <c r="B552" s="4" t="str">
        <f ca="1">IFERROR(__xludf.DUMMYFUNCTION("IFERROR(GOOGLETRANSLATE(A552,""ko"",""en""),)"),"refrigerator")</f>
        <v>refrigerator</v>
      </c>
      <c r="C552" s="4" t="str">
        <f ca="1">IFERROR(__xludf.DUMMYFUNCTION("IFERROR(GOOGLETRANSLATE(B552,""en"",""ja""),)"),"冷蔵庫")</f>
        <v>冷蔵庫</v>
      </c>
      <c r="D552" s="4" t="str">
        <f ca="1">IFERROR(__xludf.DUMMYFUNCTION("IFERROR(GOOGLETRANSLATE(B552,""en"",""zh-TW""),)"),"冰箱")</f>
        <v>冰箱</v>
      </c>
      <c r="E552" s="4" t="str">
        <f ca="1">IFERROR(__xludf.DUMMYFUNCTION("IFERROR(GOOGLETRANSLATE(B552,""en"",""zh-CN""),)"),"冰箱")</f>
        <v>冰箱</v>
      </c>
    </row>
    <row r="553" spans="1:5" ht="18">
      <c r="A553" s="3" t="s">
        <v>2448</v>
      </c>
      <c r="B553" s="4" t="str">
        <f ca="1">IFERROR(__xludf.DUMMYFUNCTION("IFERROR(GOOGLETRANSLATE(A553,""ko"",""en""),)"),"mirror")</f>
        <v>mirror</v>
      </c>
      <c r="C553" s="4" t="str">
        <f ca="1">IFERROR(__xludf.DUMMYFUNCTION("IFERROR(GOOGLETRANSLATE(B553,""en"",""ja""),)"),"鏡")</f>
        <v>鏡</v>
      </c>
      <c r="D553" s="4" t="str">
        <f ca="1">IFERROR(__xludf.DUMMYFUNCTION("IFERROR(GOOGLETRANSLATE(B553,""en"",""zh-TW""),)"),"鏡子")</f>
        <v>鏡子</v>
      </c>
      <c r="E553" s="4" t="str">
        <f ca="1">IFERROR(__xludf.DUMMYFUNCTION("IFERROR(GOOGLETRANSLATE(B553,""en"",""zh-CN""),)"),"镜子")</f>
        <v>镜子</v>
      </c>
    </row>
    <row r="554" spans="1:5" ht="18">
      <c r="A554" s="3" t="s">
        <v>2358</v>
      </c>
      <c r="B554" s="4" t="str">
        <f ca="1">IFERROR(__xludf.DUMMYFUNCTION("IFERROR(GOOGLETRANSLATE(A554,""ko"",""en""),)"),"There is no mirror.")</f>
        <v>There is no mirror.</v>
      </c>
      <c r="C554" s="4" t="str">
        <f ca="1">IFERROR(__xludf.DUMMYFUNCTION("IFERROR(GOOGLETRANSLATE(B554,""en"",""ja""),)"),"鏡はありません。")</f>
        <v>鏡はありません。</v>
      </c>
      <c r="D554" s="4" t="str">
        <f ca="1">IFERROR(__xludf.DUMMYFUNCTION("IFERROR(GOOGLETRANSLATE(B554,""en"",""zh-TW""),)"),"沒有鏡子。")</f>
        <v>沒有鏡子。</v>
      </c>
      <c r="E554" s="4" t="str">
        <f ca="1">IFERROR(__xludf.DUMMYFUNCTION("IFERROR(GOOGLETRANSLATE(B554,""en"",""zh-CN""),)"),"没有镜子。")</f>
        <v>没有镜子。</v>
      </c>
    </row>
    <row r="555" spans="1:5" ht="18">
      <c r="A555" s="3" t="s">
        <v>2450</v>
      </c>
      <c r="B555" s="4" t="str">
        <f ca="1">IFERROR(__xludf.DUMMYFUNCTION("IFERROR(GOOGLETRANSLATE(A555,""ko"",""en""),)"),"I don't have a closet.")</f>
        <v>I don't have a closet.</v>
      </c>
      <c r="C555" s="4" t="str">
        <f ca="1">IFERROR(__xludf.DUMMYFUNCTION("IFERROR(GOOGLETRANSLATE(B555,""en"",""ja""),)"),"私にはクローゼットがありません。")</f>
        <v>私にはクローゼットがありません。</v>
      </c>
      <c r="D555" s="4" t="str">
        <f ca="1">IFERROR(__xludf.DUMMYFUNCTION("IFERROR(GOOGLETRANSLATE(B555,""en"",""zh-TW""),)"),"我沒有衣櫃。")</f>
        <v>我沒有衣櫃。</v>
      </c>
      <c r="E555" s="4" t="str">
        <f ca="1">IFERROR(__xludf.DUMMYFUNCTION("IFERROR(GOOGLETRANSLATE(B555,""en"",""zh-CN""),)"),"我没有衣柜。")</f>
        <v>我没有衣柜。</v>
      </c>
    </row>
    <row r="556" spans="1:5" ht="18">
      <c r="A556" s="3" t="s">
        <v>2452</v>
      </c>
      <c r="B556" s="4" t="str">
        <f ca="1">IFERROR(__xludf.DUMMYFUNCTION("IFERROR(GOOGLETRANSLATE(A556,""ko"",""en""),)"),"wardrobe")</f>
        <v>wardrobe</v>
      </c>
      <c r="C556" s="4" t="str">
        <f ca="1">IFERROR(__xludf.DUMMYFUNCTION("IFERROR(GOOGLETRANSLATE(B556,""en"",""ja""),)"),"ワードローブ")</f>
        <v>ワードローブ</v>
      </c>
      <c r="D556" s="4" t="str">
        <f ca="1">IFERROR(__xludf.DUMMYFUNCTION("IFERROR(GOOGLETRANSLATE(B556,""en"",""zh-TW""),)"),"衣櫃")</f>
        <v>衣櫃</v>
      </c>
      <c r="E556" s="4" t="str">
        <f ca="1">IFERROR(__xludf.DUMMYFUNCTION("IFERROR(GOOGLETRANSLATE(B556,""en"",""zh-CN""),)"),"衣柜")</f>
        <v>衣柜</v>
      </c>
    </row>
    <row r="557" spans="1:5" ht="18">
      <c r="A557" s="5" t="s">
        <v>2454</v>
      </c>
      <c r="B557" s="4" t="s">
        <v>2455</v>
      </c>
      <c r="C557" s="4" t="str">
        <f ca="1">IFERROR(__xludf.DUMMYFUNCTION("IFERROR(GOOGLETRANSLATE(B557,""en"",""ja""),)"),"シフォニエ（引き出し付きチェスト）")</f>
        <v>シフォニエ（引き出し付きチェスト）</v>
      </c>
      <c r="D557" s="4" t="str">
        <f ca="1">IFERROR(__xludf.DUMMYFUNCTION("IFERROR(GOOGLETRANSLATE(B557,""en"",""zh-TW""),)"),"五斗櫥（抽屜櫃）")</f>
        <v>五斗櫥（抽屜櫃）</v>
      </c>
      <c r="E557" s="4" t="str">
        <f ca="1">IFERROR(__xludf.DUMMYFUNCTION("IFERROR(GOOGLETRANSLATE(B557,""en"",""zh-CN""),)"),"五斗橱（抽屉柜）")</f>
        <v>五斗橱（抽屉柜）</v>
      </c>
    </row>
    <row r="558" spans="1:5" ht="18">
      <c r="A558" s="3" t="s">
        <v>2458</v>
      </c>
      <c r="B558" s="4" t="str">
        <f ca="1">IFERROR(__xludf.DUMMYFUNCTION("IFERROR(GOOGLETRANSLATE(A558,""ko"",""en""),)"),"painting")</f>
        <v>painting</v>
      </c>
      <c r="C558" s="4" t="str">
        <f ca="1">IFERROR(__xludf.DUMMYFUNCTION("IFERROR(GOOGLETRANSLATE(B558,""en"",""ja""),)"),"絵画")</f>
        <v>絵画</v>
      </c>
      <c r="D558" s="4" t="str">
        <f ca="1">IFERROR(__xludf.DUMMYFUNCTION("IFERROR(GOOGLETRANSLATE(B558,""en"",""zh-TW""),)"),"繪畫")</f>
        <v>繪畫</v>
      </c>
      <c r="E558" s="4" t="str">
        <f ca="1">IFERROR(__xludf.DUMMYFUNCTION("IFERROR(GOOGLETRANSLATE(B558,""en"",""zh-CN""),)"),"绘画")</f>
        <v>绘画</v>
      </c>
    </row>
    <row r="559" spans="1:5" ht="18">
      <c r="A559" s="3" t="s">
        <v>2066</v>
      </c>
      <c r="B559" s="4" t="str">
        <f ca="1">IFERROR(__xludf.DUMMYFUNCTION("IFERROR(GOOGLETRANSLATE(A559,""ko"",""en""),)"),"window")</f>
        <v>window</v>
      </c>
      <c r="C559" s="4" t="str">
        <f ca="1">IFERROR(__xludf.DUMMYFUNCTION("IFERROR(GOOGLETRANSLATE(B559,""en"",""ja""),)"),"ウィンドウ")</f>
        <v>ウィンドウ</v>
      </c>
      <c r="D559" s="4" t="str">
        <f ca="1">IFERROR(__xludf.DUMMYFUNCTION("IFERROR(GOOGLETRANSLATE(B559,""en"",""zh-TW""),)"),"窗戶")</f>
        <v>窗戶</v>
      </c>
      <c r="E559" s="4" t="str">
        <f ca="1">IFERROR(__xludf.DUMMYFUNCTION("IFERROR(GOOGLETRANSLATE(B559,""en"",""zh-CN""),)"),"窗户")</f>
        <v>窗户</v>
      </c>
    </row>
    <row r="560" spans="1:5" ht="18">
      <c r="A560" s="3" t="s">
        <v>2058</v>
      </c>
      <c r="B560" s="4" t="str">
        <f ca="1">IFERROR(__xludf.DUMMYFUNCTION("IFERROR(GOOGLETRANSLATE(A560,""ko"",""en""),)"),"door")</f>
        <v>door</v>
      </c>
      <c r="C560" s="4" t="str">
        <f ca="1">IFERROR(__xludf.DUMMYFUNCTION("IFERROR(GOOGLETRANSLATE(B560,""en"",""ja""),)"),"ドア")</f>
        <v>ドア</v>
      </c>
      <c r="D560" s="4" t="str">
        <f ca="1">IFERROR(__xludf.DUMMYFUNCTION("IFERROR(GOOGLETRANSLATE(B560,""en"",""zh-TW""),)"),"門")</f>
        <v>門</v>
      </c>
      <c r="E560" s="4" t="str">
        <f ca="1">IFERROR(__xludf.DUMMYFUNCTION("IFERROR(GOOGLETRANSLATE(B560,""en"",""zh-CN""),)"),"门")</f>
        <v>门</v>
      </c>
    </row>
    <row r="561" spans="1:5" ht="18">
      <c r="A561" s="3" t="s">
        <v>2046</v>
      </c>
      <c r="B561" s="4" t="str">
        <f ca="1">IFERROR(__xludf.DUMMYFUNCTION("IFERROR(GOOGLETRANSLATE(A561,""ko"",""en""),)"),"frame")</f>
        <v>frame</v>
      </c>
      <c r="C561" s="4" t="str">
        <f ca="1">IFERROR(__xludf.DUMMYFUNCTION("IFERROR(GOOGLETRANSLATE(B561,""en"",""ja""),)"),"フレーム")</f>
        <v>フレーム</v>
      </c>
      <c r="D561" s="4" t="str">
        <f ca="1">IFERROR(__xludf.DUMMYFUNCTION("IFERROR(GOOGLETRANSLATE(B561,""en"",""zh-TW""),)"),"框架")</f>
        <v>框架</v>
      </c>
      <c r="E561" s="4" t="str">
        <f ca="1">IFERROR(__xludf.DUMMYFUNCTION("IFERROR(GOOGLETRANSLATE(B561,""en"",""zh-CN""),)"),"框架")</f>
        <v>框架</v>
      </c>
    </row>
    <row r="562" spans="1:5" ht="18">
      <c r="A562" s="3" t="s">
        <v>2464</v>
      </c>
      <c r="B562" s="4" t="str">
        <f ca="1">IFERROR(__xludf.DUMMYFUNCTION("IFERROR(GOOGLETRANSLATE(A562,""ko"",""en""),)"),"rug")</f>
        <v>rug</v>
      </c>
      <c r="C562" s="4" t="str">
        <f ca="1">IFERROR(__xludf.DUMMYFUNCTION("IFERROR(GOOGLETRANSLATE(B562,""en"",""ja""),)"),"ラグ")</f>
        <v>ラグ</v>
      </c>
      <c r="D562" s="4" t="str">
        <f ca="1">IFERROR(__xludf.DUMMYFUNCTION("IFERROR(GOOGLETRANSLATE(B562,""en"",""zh-TW""),)"),"小地毯")</f>
        <v>小地毯</v>
      </c>
      <c r="E562" s="4" t="str">
        <f ca="1">IFERROR(__xludf.DUMMYFUNCTION("IFERROR(GOOGLETRANSLATE(B562,""en"",""zh-CN""),)"),"小地毯")</f>
        <v>小地毯</v>
      </c>
    </row>
    <row r="563" spans="1:5" ht="18">
      <c r="A563" s="3" t="s">
        <v>2465</v>
      </c>
      <c r="B563" s="4" t="str">
        <f ca="1">IFERROR(__xludf.DUMMYFUNCTION("IFERROR(GOOGLETRANSLATE(A563,""ko"",""en""),)"),"carpet")</f>
        <v>carpet</v>
      </c>
      <c r="C563" s="4" t="str">
        <f ca="1">IFERROR(__xludf.DUMMYFUNCTION("IFERROR(GOOGLETRANSLATE(B563,""en"",""ja""),)"),"カーペット")</f>
        <v>カーペット</v>
      </c>
      <c r="D563" s="4" t="str">
        <f ca="1">IFERROR(__xludf.DUMMYFUNCTION("IFERROR(GOOGLETRANSLATE(B563,""en"",""zh-TW""),)"),"地毯")</f>
        <v>地毯</v>
      </c>
      <c r="E563" s="4" t="str">
        <f ca="1">IFERROR(__xludf.DUMMYFUNCTION("IFERROR(GOOGLETRANSLATE(B563,""en"",""zh-CN""),)"),"地毯")</f>
        <v>地毯</v>
      </c>
    </row>
    <row r="564" spans="1:5" ht="18">
      <c r="A564" s="3" t="s">
        <v>2467</v>
      </c>
      <c r="B564" s="4" t="str">
        <f ca="1">IFERROR(__xludf.DUMMYFUNCTION("IFERROR(GOOGLETRANSLATE(A564,""ko"",""en""),)"),"deposit")</f>
        <v>deposit</v>
      </c>
      <c r="C564" s="4" t="str">
        <f ca="1">IFERROR(__xludf.DUMMYFUNCTION("IFERROR(GOOGLETRANSLATE(B564,""en"",""ja""),)"),"デポジット")</f>
        <v>デポジット</v>
      </c>
      <c r="D564" s="4" t="str">
        <f ca="1">IFERROR(__xludf.DUMMYFUNCTION("IFERROR(GOOGLETRANSLATE(B564,""en"",""zh-TW""),)"),"訂金")</f>
        <v>訂金</v>
      </c>
      <c r="E564" s="4" t="str">
        <f ca="1">IFERROR(__xludf.DUMMYFUNCTION("IFERROR(GOOGLETRANSLATE(B564,""en"",""zh-CN""),)"),"订金")</f>
        <v>订金</v>
      </c>
    </row>
    <row r="565" spans="1:5" ht="18">
      <c r="A565" s="3" t="s">
        <v>2470</v>
      </c>
      <c r="B565" s="4" t="str">
        <f ca="1">IFERROR(__xludf.DUMMYFUNCTION("IFERROR(GOOGLETRANSLATE(A565,""ko"",""en""),)"),"savings")</f>
        <v>savings</v>
      </c>
      <c r="C565" s="4" t="str">
        <f ca="1">IFERROR(__xludf.DUMMYFUNCTION("IFERROR(GOOGLETRANSLATE(B565,""en"",""ja""),)"),"貯蓄")</f>
        <v>貯蓄</v>
      </c>
      <c r="D565" s="4" t="str">
        <f ca="1">IFERROR(__xludf.DUMMYFUNCTION("IFERROR(GOOGLETRANSLATE(B565,""en"",""zh-TW""),)"),"節省")</f>
        <v>節省</v>
      </c>
      <c r="E565" s="4" t="str">
        <f ca="1">IFERROR(__xludf.DUMMYFUNCTION("IFERROR(GOOGLETRANSLATE(B565,""en"",""zh-CN""),)"),"节省")</f>
        <v>节省</v>
      </c>
    </row>
    <row r="566" spans="1:5" ht="18">
      <c r="A566" s="3" t="s">
        <v>2473</v>
      </c>
      <c r="B566" s="4" t="str">
        <f ca="1">IFERROR(__xludf.DUMMYFUNCTION("IFERROR(GOOGLETRANSLATE(A566,""ko"",""en""),)"),"Jaemin is at the cafe.")</f>
        <v>Jaemin is at the cafe.</v>
      </c>
      <c r="C566" s="4" t="str">
        <f ca="1">IFERROR(__xludf.DUMMYFUNCTION("IFERROR(GOOGLETRANSLATE(B566,""en"",""ja""),)"),"ジェミンはカフェにいる。")</f>
        <v>ジェミンはカフェにいる。</v>
      </c>
      <c r="D566" s="4" t="str">
        <f ca="1">IFERROR(__xludf.DUMMYFUNCTION("IFERROR(GOOGLETRANSLATE(B566,""en"",""zh-TW""),)"),"渽民在咖啡館。")</f>
        <v>渽民在咖啡館。</v>
      </c>
      <c r="E566" s="4" t="str">
        <f ca="1">IFERROR(__xludf.DUMMYFUNCTION("IFERROR(GOOGLETRANSLATE(B566,""en"",""zh-CN""),)"),"渽民在咖啡馆。")</f>
        <v>渽民在咖啡馆。</v>
      </c>
    </row>
    <row r="567" spans="1:5" ht="18">
      <c r="A567" s="3" t="s">
        <v>2476</v>
      </c>
      <c r="B567" s="4" t="str">
        <f ca="1">IFERROR(__xludf.DUMMYFUNCTION("IFERROR(GOOGLETRANSLATE(A567,""ko"",""en""),)"),"No, it's not at the cafe. It's at the bank.")</f>
        <v>No, it's not at the cafe. It's at the bank.</v>
      </c>
      <c r="C567" s="4" t="str">
        <f ca="1">IFERROR(__xludf.DUMMYFUNCTION("IFERROR(GOOGLETRANSLATE(B567,""en"",""ja""),)"),"いいえ、カフェではありません。銀行です。")</f>
        <v>いいえ、カフェではありません。銀行です。</v>
      </c>
      <c r="D567" s="4" t="str">
        <f ca="1">IFERROR(__xludf.DUMMYFUNCTION("IFERROR(GOOGLETRANSLATE(B567,""en"",""zh-TW""),)"),"不，不在咖啡館，在銀行。")</f>
        <v>不，不在咖啡館，在銀行。</v>
      </c>
      <c r="E567" s="4" t="str">
        <f ca="1">IFERROR(__xludf.DUMMYFUNCTION("IFERROR(GOOGLETRANSLATE(B567,""en"",""zh-CN""),)"),"不，不在咖啡馆，在银行。")</f>
        <v>不，不在咖啡馆，在银行。</v>
      </c>
    </row>
    <row r="568" spans="1:5" ht="18">
      <c r="A568" s="3" t="s">
        <v>2481</v>
      </c>
      <c r="B568" s="4" t="str">
        <f ca="1">IFERROR(__xludf.DUMMYFUNCTION("IFERROR(GOOGLETRANSLATE(A568,""ko"",""en""),)"),"Is Suzy at the clothing store?")</f>
        <v>Is Suzy at the clothing store?</v>
      </c>
      <c r="C568" s="4" t="str">
        <f ca="1">IFERROR(__xludf.DUMMYFUNCTION("IFERROR(GOOGLETRANSLATE(B568,""en"",""ja""),)"),"スージーは洋服店にいますか？")</f>
        <v>スージーは洋服店にいますか？</v>
      </c>
      <c r="D568" s="4" t="str">
        <f ca="1">IFERROR(__xludf.DUMMYFUNCTION("IFERROR(GOOGLETRANSLATE(B568,""en"",""zh-TW""),)"),"蘇西在服飾店嗎？")</f>
        <v>蘇西在服飾店嗎？</v>
      </c>
      <c r="E568" s="4" t="str">
        <f ca="1">IFERROR(__xludf.DUMMYFUNCTION("IFERROR(GOOGLETRANSLATE(B568,""en"",""zh-CN""),)"),"苏西在服装店吗？")</f>
        <v>苏西在服装店吗？</v>
      </c>
    </row>
    <row r="569" spans="1:5" ht="18">
      <c r="A569" s="3" t="s">
        <v>2364</v>
      </c>
      <c r="B569" s="4" t="str">
        <f ca="1">IFERROR(__xludf.DUMMYFUNCTION("IFERROR(GOOGLETRANSLATE(A569,""ko"",""en""),)"),"No, it's not at the clothing store. It's at the cafe.")</f>
        <v>No, it's not at the clothing store. It's at the cafe.</v>
      </c>
      <c r="C569" s="4" t="str">
        <f ca="1">IFERROR(__xludf.DUMMYFUNCTION("IFERROR(GOOGLETRANSLATE(B569,""en"",""ja""),)"),"いいえ、洋服店ではありません。カフェです。")</f>
        <v>いいえ、洋服店ではありません。カフェです。</v>
      </c>
      <c r="D569" s="4" t="str">
        <f ca="1">IFERROR(__xludf.DUMMYFUNCTION("IFERROR(GOOGLETRANSLATE(B569,""en"",""zh-TW""),)"),"不，不在服飾店，在咖啡館。")</f>
        <v>不，不在服飾店，在咖啡館。</v>
      </c>
      <c r="E569" s="4" t="str">
        <f ca="1">IFERROR(__xludf.DUMMYFUNCTION("IFERROR(GOOGLETRANSLATE(B569,""en"",""zh-CN""),)"),"不，不在服装店，在咖啡馆。")</f>
        <v>不，不在服装店，在咖啡馆。</v>
      </c>
    </row>
    <row r="570" spans="1:5" ht="18">
      <c r="A570" s="3" t="s">
        <v>2485</v>
      </c>
      <c r="B570" s="4" t="str">
        <f ca="1">IFERROR(__xludf.DUMMYFUNCTION("IFERROR(GOOGLETRANSLATE(A570,""ko"",""en""),)"),"clothing store")</f>
        <v>clothing store</v>
      </c>
      <c r="C570" s="4" t="str">
        <f ca="1">IFERROR(__xludf.DUMMYFUNCTION("IFERROR(GOOGLETRANSLATE(B570,""en"",""ja""),)"),"衣料品店")</f>
        <v>衣料品店</v>
      </c>
      <c r="D570" s="4" t="str">
        <f ca="1">IFERROR(__xludf.DUMMYFUNCTION("IFERROR(GOOGLETRANSLATE(B570,""en"",""zh-TW""),)"),"服飾店")</f>
        <v>服飾店</v>
      </c>
      <c r="E570" s="4" t="str">
        <f ca="1">IFERROR(__xludf.DUMMYFUNCTION("IFERROR(GOOGLETRANSLATE(B570,""en"",""zh-CN""),)"),"服装店")</f>
        <v>服装店</v>
      </c>
    </row>
    <row r="571" spans="1:5" ht="18">
      <c r="A571" s="3" t="s">
        <v>2486</v>
      </c>
      <c r="B571" s="4" t="str">
        <f ca="1">IFERROR(__xludf.DUMMYFUNCTION("IFERROR(GOOGLETRANSLATE(A571,""ko"",""en""),)"),"Is Anna at the movie theater?")</f>
        <v>Is Anna at the movie theater?</v>
      </c>
      <c r="C571" s="4" t="str">
        <f ca="1">IFERROR(__xludf.DUMMYFUNCTION("IFERROR(GOOGLETRANSLATE(B571,""en"",""ja""),)"),"アンナは映画館にいますか？")</f>
        <v>アンナは映画館にいますか？</v>
      </c>
      <c r="D571" s="4" t="str">
        <f ca="1">IFERROR(__xludf.DUMMYFUNCTION("IFERROR(GOOGLETRANSLATE(B571,""en"",""zh-TW""),)"),"安娜在電影院嗎？")</f>
        <v>安娜在電影院嗎？</v>
      </c>
      <c r="E571" s="4" t="str">
        <f ca="1">IFERROR(__xludf.DUMMYFUNCTION("IFERROR(GOOGLETRANSLATE(B571,""en"",""zh-CN""),)"),"安娜在电影院吗？")</f>
        <v>安娜在电影院吗？</v>
      </c>
    </row>
    <row r="572" spans="1:5" ht="18">
      <c r="A572" s="3" t="s">
        <v>2488</v>
      </c>
      <c r="B572" s="4" t="str">
        <f ca="1">IFERROR(__xludf.DUMMYFUNCTION("IFERROR(GOOGLETRANSLATE(A572,""ko"",""en""),)"),"No, it's not at the movie theater. It's at the clothing store.")</f>
        <v>No, it's not at the movie theater. It's at the clothing store.</v>
      </c>
      <c r="C572" s="4" t="str">
        <f ca="1">IFERROR(__xludf.DUMMYFUNCTION("IFERROR(GOOGLETRANSLATE(B572,""en"",""ja""),)"),"いいえ、映画館ではありません。洋服店です。")</f>
        <v>いいえ、映画館ではありません。洋服店です。</v>
      </c>
      <c r="D572" s="4" t="str">
        <f ca="1">IFERROR(__xludf.DUMMYFUNCTION("IFERROR(GOOGLETRANSLATE(B572,""en"",""zh-TW""),)"),"不，不在電影院，在服飾店。")</f>
        <v>不，不在電影院，在服飾店。</v>
      </c>
      <c r="E572" s="4" t="str">
        <f ca="1">IFERROR(__xludf.DUMMYFUNCTION("IFERROR(GOOGLETRANSLATE(B572,""en"",""zh-CN""),)"),"不，不在电影院，在服装店。")</f>
        <v>不，不在电影院，在服装店。</v>
      </c>
    </row>
    <row r="573" spans="1:5" ht="18">
      <c r="A573" s="3" t="s">
        <v>2491</v>
      </c>
      <c r="B573" s="4" t="str">
        <f ca="1">IFERROR(__xludf.DUMMYFUNCTION("IFERROR(GOOGLETRANSLATE(A573,""ko"",""en""),)"),"Is Yujin at the restaurant?")</f>
        <v>Is Yujin at the restaurant?</v>
      </c>
      <c r="C573" s="4" t="str">
        <f ca="1">IFERROR(__xludf.DUMMYFUNCTION("IFERROR(GOOGLETRANSLATE(B573,""en"",""ja""),)"),"ユジンはレストランにいますか？")</f>
        <v>ユジンはレストランにいますか？</v>
      </c>
      <c r="D573" s="4" t="str">
        <f ca="1">IFERROR(__xludf.DUMMYFUNCTION("IFERROR(GOOGLETRANSLATE(B573,""en"",""zh-TW""),)"),"裕真在餐廳嗎？")</f>
        <v>裕真在餐廳嗎？</v>
      </c>
      <c r="E573" s="4" t="str">
        <f ca="1">IFERROR(__xludf.DUMMYFUNCTION("IFERROR(GOOGLETRANSLATE(B573,""en"",""zh-CN""),)"),"裕真在餐厅吗？")</f>
        <v>裕真在餐厅吗？</v>
      </c>
    </row>
    <row r="574" spans="1:5" ht="18">
      <c r="A574" s="3" t="s">
        <v>2500</v>
      </c>
      <c r="B574" s="4" t="str">
        <f ca="1">IFERROR(__xludf.DUMMYFUNCTION("IFERROR(GOOGLETRANSLATE(A574,""ko"",""en""),)"),"No, it's not at the restaurant. It's at the movie theater.")</f>
        <v>No, it's not at the restaurant. It's at the movie theater.</v>
      </c>
      <c r="C574" s="4" t="str">
        <f ca="1">IFERROR(__xludf.DUMMYFUNCTION("IFERROR(GOOGLETRANSLATE(B574,""en"",""ja""),)"),"いいえ、レストランではありません。映画館です。")</f>
        <v>いいえ、レストランではありません。映画館です。</v>
      </c>
      <c r="D574" s="4" t="str">
        <f ca="1">IFERROR(__xludf.DUMMYFUNCTION("IFERROR(GOOGLETRANSLATE(B574,""en"",""zh-TW""),)"),"不，不在餐廳，在電影院。")</f>
        <v>不，不在餐廳，在電影院。</v>
      </c>
      <c r="E574" s="4" t="str">
        <f ca="1">IFERROR(__xludf.DUMMYFUNCTION("IFERROR(GOOGLETRANSLATE(B574,""en"",""zh-CN""),)"),"不，不在餐厅，在电影院。")</f>
        <v>不，不在餐厅，在电影院。</v>
      </c>
    </row>
    <row r="575" spans="1:5" ht="18">
      <c r="A575" s="3" t="s">
        <v>2502</v>
      </c>
      <c r="B575" s="4" t="str">
        <f ca="1">IFERROR(__xludf.DUMMYFUNCTION("IFERROR(GOOGLETRANSLATE(A575,""ko"",""en""),)"),"Where is the clock?")</f>
        <v>Where is the clock?</v>
      </c>
      <c r="C575" s="4" t="str">
        <f ca="1">IFERROR(__xludf.DUMMYFUNCTION("IFERROR(GOOGLETRANSLATE(B575,""en"",""ja""),)"),"時計はどこですか？")</f>
        <v>時計はどこですか？</v>
      </c>
      <c r="D575" s="4" t="str">
        <f ca="1">IFERROR(__xludf.DUMMYFUNCTION("IFERROR(GOOGLETRANSLATE(B575,""en"",""zh-TW""),)"),"鐘在哪裡？")</f>
        <v>鐘在哪裡？</v>
      </c>
      <c r="E575" s="4" t="str">
        <f ca="1">IFERROR(__xludf.DUMMYFUNCTION("IFERROR(GOOGLETRANSLATE(B575,""en"",""zh-CN""),)"),"钟在哪里？")</f>
        <v>钟在哪里？</v>
      </c>
    </row>
    <row r="576" spans="1:5" ht="18">
      <c r="A576" s="3" t="s">
        <v>2506</v>
      </c>
      <c r="B576" s="4" t="s">
        <v>2507</v>
      </c>
      <c r="C576" s="4" t="str">
        <f ca="1">IFERROR(__xludf.DUMMYFUNCTION("IFERROR(GOOGLETRANSLATE(B576,""en"",""ja""),)"),"黒板の上に時計がある。")</f>
        <v>黒板の上に時計がある。</v>
      </c>
      <c r="D576" s="4" t="str">
        <f ca="1">IFERROR(__xludf.DUMMYFUNCTION("IFERROR(GOOGLETRANSLATE(B576,""en"",""zh-TW""),)"),"黑板上方有一個鐘。")</f>
        <v>黑板上方有一個鐘。</v>
      </c>
      <c r="E576" s="4" t="str">
        <f ca="1">IFERROR(__xludf.DUMMYFUNCTION("IFERROR(GOOGLETRANSLATE(B576,""en"",""zh-CN""),)"),"黑板上方有一个钟。")</f>
        <v>黑板上方有一个钟。</v>
      </c>
    </row>
    <row r="577" spans="1:5" ht="18">
      <c r="A577" s="3" t="s">
        <v>2386</v>
      </c>
      <c r="B577" s="4" t="str">
        <f ca="1">IFERROR(__xludf.DUMMYFUNCTION("IFERROR(GOOGLETRANSLATE(A577,""ko"",""en""),)"),"Where is the cell phone?")</f>
        <v>Where is the cell phone?</v>
      </c>
      <c r="C577" s="4" t="str">
        <f ca="1">IFERROR(__xludf.DUMMYFUNCTION("IFERROR(GOOGLETRANSLATE(B577,""en"",""ja""),)"),"携帯電話はどこですか？")</f>
        <v>携帯電話はどこですか？</v>
      </c>
      <c r="D577" s="4" t="str">
        <f ca="1">IFERROR(__xludf.DUMMYFUNCTION("IFERROR(GOOGLETRANSLATE(B577,""en"",""zh-TW""),)"),"手機在哪裡？")</f>
        <v>手機在哪裡？</v>
      </c>
      <c r="E577" s="4" t="str">
        <f ca="1">IFERROR(__xludf.DUMMYFUNCTION("IFERROR(GOOGLETRANSLATE(B577,""en"",""zh-CN""),)"),"手机在哪儿？")</f>
        <v>手机在哪儿？</v>
      </c>
    </row>
    <row r="578" spans="1:5" ht="18">
      <c r="A578" s="3" t="s">
        <v>2515</v>
      </c>
      <c r="B578" s="4" t="str">
        <f ca="1">IFERROR(__xludf.DUMMYFUNCTION("IFERROR(GOOGLETRANSLATE(A578,""ko"",""en""),)"),"The cell phone is on the table.")</f>
        <v>The cell phone is on the table.</v>
      </c>
      <c r="C578" s="4" t="str">
        <f ca="1">IFERROR(__xludf.DUMMYFUNCTION("IFERROR(GOOGLETRANSLATE(B578,""en"",""ja""),)"),"携帯電話はテーブルの上に置かれている。")</f>
        <v>携帯電話はテーブルの上に置かれている。</v>
      </c>
      <c r="D578" s="4" t="str">
        <f ca="1">IFERROR(__xludf.DUMMYFUNCTION("IFERROR(GOOGLETRANSLATE(B578,""en"",""zh-TW""),)"),"手機在桌子上。")</f>
        <v>手機在桌子上。</v>
      </c>
      <c r="E578" s="4" t="str">
        <f ca="1">IFERROR(__xludf.DUMMYFUNCTION("IFERROR(GOOGLETRANSLATE(B578,""en"",""zh-CN""),)"),"手机在桌子上。")</f>
        <v>手机在桌子上。</v>
      </c>
    </row>
    <row r="579" spans="1:5" ht="18">
      <c r="A579" s="3" t="s">
        <v>2521</v>
      </c>
      <c r="B579" s="4" t="str">
        <f ca="1">IFERROR(__xludf.DUMMYFUNCTION("IFERROR(GOOGLETRANSLATE(A579,""ko"",""en""),)"),"Yes, Jaemin is outside the house.")</f>
        <v>Yes, Jaemin is outside the house.</v>
      </c>
      <c r="C579" s="4" t="str">
        <f ca="1">IFERROR(__xludf.DUMMYFUNCTION("IFERROR(GOOGLETRANSLATE(B579,""en"",""ja""),)"),"はい、ジェミンは家の外にいます。")</f>
        <v>はい、ジェミンは家の外にいます。</v>
      </c>
      <c r="D579" s="4" t="str">
        <f ca="1">IFERROR(__xludf.DUMMYFUNCTION("IFERROR(GOOGLETRANSLATE(B579,""en"",""zh-TW""),)"),"是的，渽民在屋外。")</f>
        <v>是的，渽民在屋外。</v>
      </c>
      <c r="E579" s="4" t="str">
        <f ca="1">IFERROR(__xludf.DUMMYFUNCTION("IFERROR(GOOGLETRANSLATE(B579,""en"",""zh-CN""),)"),"是的，渽民在屋外。")</f>
        <v>是的，渽民在屋外。</v>
      </c>
    </row>
    <row r="580" spans="1:5" ht="18">
      <c r="A580" s="3" t="s">
        <v>2533</v>
      </c>
      <c r="B580" s="4" t="str">
        <f ca="1">IFERROR(__xludf.DUMMYFUNCTION("IFERROR(GOOGLETRANSLATE(A580,""ko"",""en""),)"),"Is Anna in front of the Sejong Institute?")</f>
        <v>Is Anna in front of the Sejong Institute?</v>
      </c>
      <c r="C580" s="4" t="str">
        <f ca="1">IFERROR(__xludf.DUMMYFUNCTION("IFERROR(GOOGLETRANSLATE(B580,""en"",""ja""),)"),"アンナは世宗学院の前にいますか？")</f>
        <v>アンナは世宗学院の前にいますか？</v>
      </c>
      <c r="D580" s="4" t="str">
        <f ca="1">IFERROR(__xludf.DUMMYFUNCTION("IFERROR(GOOGLETRANSLATE(B580,""en"",""zh-TW""),)"),"安娜是在世宗研究所前面嗎？")</f>
        <v>安娜是在世宗研究所前面嗎？</v>
      </c>
      <c r="E580" s="4" t="str">
        <f ca="1">IFERROR(__xludf.DUMMYFUNCTION("IFERROR(GOOGLETRANSLATE(B580,""en"",""zh-CN""),)"),"安娜是在世宗研究所前面吗？")</f>
        <v>安娜是在世宗研究所前面吗？</v>
      </c>
    </row>
    <row r="581" spans="1:5" ht="18">
      <c r="A581" s="3" t="s">
        <v>2540</v>
      </c>
      <c r="B581" s="4" t="str">
        <f ca="1">IFERROR(__xludf.DUMMYFUNCTION("IFERROR(GOOGLETRANSLATE(A581,""ko"",""en""),)"),"No, Anna is in front of the department store.")</f>
        <v>No, Anna is in front of the department store.</v>
      </c>
      <c r="C581" s="4" t="str">
        <f ca="1">IFERROR(__xludf.DUMMYFUNCTION("IFERROR(GOOGLETRANSLATE(B581,""en"",""ja""),)"),"いいえ、アンナはデパートの前にいます。")</f>
        <v>いいえ、アンナはデパートの前にいます。</v>
      </c>
      <c r="D581" s="4" t="str">
        <f ca="1">IFERROR(__xludf.DUMMYFUNCTION("IFERROR(GOOGLETRANSLATE(B581,""en"",""zh-TW""),)"),"不，安娜在百貨公司前面。")</f>
        <v>不，安娜在百貨公司前面。</v>
      </c>
      <c r="E581" s="4" t="str">
        <f ca="1">IFERROR(__xludf.DUMMYFUNCTION("IFERROR(GOOGLETRANSLATE(B581,""en"",""zh-CN""),)"),"不，安娜在百货商店前面。")</f>
        <v>不，安娜在百货商店前面。</v>
      </c>
    </row>
    <row r="582" spans="1:5" ht="18">
      <c r="A582" s="3" t="s">
        <v>2359</v>
      </c>
      <c r="B582" s="4" t="str">
        <f ca="1">IFERROR(__xludf.DUMMYFUNCTION("IFERROR(GOOGLETRANSLATE(A582,""ko"",""en""),)"),"department store")</f>
        <v>department store</v>
      </c>
      <c r="C582" s="4" t="str">
        <f ca="1">IFERROR(__xludf.DUMMYFUNCTION("IFERROR(GOOGLETRANSLATE(B582,""en"",""ja""),)"),"デパート")</f>
        <v>デパート</v>
      </c>
      <c r="D582" s="4" t="str">
        <f ca="1">IFERROR(__xludf.DUMMYFUNCTION("IFERROR(GOOGLETRANSLATE(B582,""en"",""zh-TW""),)"),"百貨公司")</f>
        <v>百貨公司</v>
      </c>
      <c r="E582" s="4" t="str">
        <f ca="1">IFERROR(__xludf.DUMMYFUNCTION("IFERROR(GOOGLETRANSLATE(B582,""en"",""zh-CN""),)"),"百货商店")</f>
        <v>百货商店</v>
      </c>
    </row>
    <row r="583" spans="1:5" ht="18">
      <c r="A583" s="3" t="s">
        <v>2553</v>
      </c>
      <c r="B583" s="4" t="str">
        <f ca="1">IFERROR(__xludf.DUMMYFUNCTION("IFERROR(GOOGLETRANSLATE(A583,""ko"",""en""),)"),"Is this book Marie's book?")</f>
        <v>Is this book Marie's book?</v>
      </c>
      <c r="C583" s="4" t="str">
        <f ca="1">IFERROR(__xludf.DUMMYFUNCTION("IFERROR(GOOGLETRANSLATE(B583,""en"",""ja""),)"),"この本はマリーの本ですか？")</f>
        <v>この本はマリーの本ですか？</v>
      </c>
      <c r="D583" s="4" t="str">
        <f ca="1">IFERROR(__xludf.DUMMYFUNCTION("IFERROR(GOOGLETRANSLATE(B583,""en"",""zh-TW""),)"),"這本書是瑪莉的書嗎？")</f>
        <v>這本書是瑪莉的書嗎？</v>
      </c>
      <c r="E583" s="4" t="str">
        <f ca="1">IFERROR(__xludf.DUMMYFUNCTION("IFERROR(GOOGLETRANSLATE(B583,""en"",""zh-CN""),)"),"这本书是玛丽的书吗？")</f>
        <v>这本书是玛丽的书吗？</v>
      </c>
    </row>
    <row r="584" spans="1:5" ht="18">
      <c r="A584" s="3" t="s">
        <v>2561</v>
      </c>
      <c r="B584" s="4" t="str">
        <f ca="1">IFERROR(__xludf.DUMMYFUNCTION("IFERROR(GOOGLETRANSLATE(A584,""ko"",""en""),)"),"No, my book is on the desk.")</f>
        <v>No, my book is on the desk.</v>
      </c>
      <c r="C584" s="4" t="str">
        <f ca="1">IFERROR(__xludf.DUMMYFUNCTION("IFERROR(GOOGLETRANSLATE(B584,""en"",""ja""),)"),"いいえ、私の本は机の上にあります。")</f>
        <v>いいえ、私の本は机の上にあります。</v>
      </c>
      <c r="D584" s="4" t="str">
        <f ca="1">IFERROR(__xludf.DUMMYFUNCTION("IFERROR(GOOGLETRANSLATE(B584,""en"",""zh-TW""),)"),"不，我的書在桌上。")</f>
        <v>不，我的書在桌上。</v>
      </c>
      <c r="E584" s="4" t="str">
        <f ca="1">IFERROR(__xludf.DUMMYFUNCTION("IFERROR(GOOGLETRANSLATE(B584,""en"",""zh-CN""),)"),"不，我的书在桌子上。")</f>
        <v>不，我的书在桌子上。</v>
      </c>
    </row>
    <row r="585" spans="1:5" ht="18">
      <c r="A585" s="3" t="s">
        <v>2569</v>
      </c>
      <c r="B585" s="4" t="str">
        <f ca="1">IFERROR(__xludf.DUMMYFUNCTION("IFERROR(GOOGLETRANSLATE(A585,""ko"",""en""),)"),"Then whose book is it?")</f>
        <v>Then whose book is it?</v>
      </c>
      <c r="C585" s="4" t="str">
        <f ca="1">IFERROR(__xludf.DUMMYFUNCTION("IFERROR(GOOGLETRANSLATE(B585,""en"",""ja""),)"),"では、それは一体誰の本なのでしょうか？")</f>
        <v>では、それは一体誰の本なのでしょうか？</v>
      </c>
      <c r="D585" s="4" t="str">
        <f ca="1">IFERROR(__xludf.DUMMYFUNCTION("IFERROR(GOOGLETRANSLATE(B585,""en"",""zh-TW""),)"),"那麼，這本書是誰的呢？")</f>
        <v>那麼，這本書是誰的呢？</v>
      </c>
      <c r="E585" s="4" t="str">
        <f ca="1">IFERROR(__xludf.DUMMYFUNCTION("IFERROR(GOOGLETRANSLATE(B585,""en"",""zh-CN""),)"),"那么，这本书是谁的？")</f>
        <v>那么，这本书是谁的？</v>
      </c>
    </row>
    <row r="586" spans="1:5" ht="18">
      <c r="A586" s="3" t="s">
        <v>2580</v>
      </c>
      <c r="B586" s="4" t="str">
        <f ca="1">IFERROR(__xludf.DUMMYFUNCTION("IFERROR(GOOGLETRANSLATE(A586,""ko"",""en""),)"),"That book is Yujin's book.")</f>
        <v>That book is Yujin's book.</v>
      </c>
      <c r="C586" s="4" t="str">
        <f ca="1">IFERROR(__xludf.DUMMYFUNCTION("IFERROR(GOOGLETRANSLATE(B586,""en"",""ja""),)"),"その本はユジンの本です。")</f>
        <v>その本はユジンの本です。</v>
      </c>
      <c r="D586" s="4" t="str">
        <f ca="1">IFERROR(__xludf.DUMMYFUNCTION("IFERROR(GOOGLETRANSLATE(B586,""en"",""zh-TW""),)"),"那本書是裕真寫的。")</f>
        <v>那本書是裕真寫的。</v>
      </c>
      <c r="E586" s="4" t="str">
        <f ca="1">IFERROR(__xludf.DUMMYFUNCTION("IFERROR(GOOGLETRANSLATE(B586,""en"",""zh-CN""),)"),"那本书是裕真写的。")</f>
        <v>那本书是裕真写的。</v>
      </c>
    </row>
    <row r="587" spans="1:5" ht="18">
      <c r="A587" s="3" t="s">
        <v>2587</v>
      </c>
      <c r="B587" s="4" t="str">
        <f ca="1">IFERROR(__xludf.DUMMYFUNCTION("IFERROR(GOOGLETRANSLATE(A587,""ko"",""en""),)"),"Is this Anna's pen?")</f>
        <v>Is this Anna's pen?</v>
      </c>
      <c r="C587" s="4" t="str">
        <f ca="1">IFERROR(__xludf.DUMMYFUNCTION("IFERROR(GOOGLETRANSLATE(B587,""en"",""ja""),)"),"これはアンナのペンですか？")</f>
        <v>これはアンナのペンですか？</v>
      </c>
      <c r="D587" s="4" t="str">
        <f ca="1">IFERROR(__xludf.DUMMYFUNCTION("IFERROR(GOOGLETRANSLATE(B587,""en"",""zh-TW""),)"),"這是安娜的筆嗎？")</f>
        <v>這是安娜的筆嗎？</v>
      </c>
      <c r="E587" s="4" t="str">
        <f ca="1">IFERROR(__xludf.DUMMYFUNCTION("IFERROR(GOOGLETRANSLATE(B587,""en"",""zh-CN""),)"),"这是安娜的笔吗？")</f>
        <v>这是安娜的笔吗？</v>
      </c>
    </row>
    <row r="588" spans="1:5" ht="18">
      <c r="A588" s="3" t="s">
        <v>2596</v>
      </c>
      <c r="B588" s="4" t="str">
        <f ca="1">IFERROR(__xludf.DUMMYFUNCTION("IFERROR(GOOGLETRANSLATE(A588,""ko"",""en""),)"),"No, my pen is in my pencil case.")</f>
        <v>No, my pen is in my pencil case.</v>
      </c>
      <c r="C588" s="4" t="str">
        <f ca="1">IFERROR(__xludf.DUMMYFUNCTION("IFERROR(GOOGLETRANSLATE(B588,""en"",""ja""),)"),"いいえ、ペンは筆箱の中にあります。")</f>
        <v>いいえ、ペンは筆箱の中にあります。</v>
      </c>
      <c r="D588" s="4" t="str">
        <f ca="1">IFERROR(__xludf.DUMMYFUNCTION("IFERROR(GOOGLETRANSLATE(B588,""en"",""zh-TW""),)"),"不，我的鋼筆在鉛筆盒裡。")</f>
        <v>不，我的鋼筆在鉛筆盒裡。</v>
      </c>
      <c r="E588" s="4" t="str">
        <f ca="1">IFERROR(__xludf.DUMMYFUNCTION("IFERROR(GOOGLETRANSLATE(B588,""en"",""zh-CN""),)"),"不，我的钢笔在铅笔盒里。")</f>
        <v>不，我的钢笔在铅笔盒里。</v>
      </c>
    </row>
    <row r="589" spans="1:5" ht="18">
      <c r="A589" s="3" t="s">
        <v>2606</v>
      </c>
      <c r="B589" s="4" t="str">
        <f ca="1">IFERROR(__xludf.DUMMYFUNCTION("IFERROR(GOOGLETRANSLATE(A589,""ko"",""en""),)"),"Then whose pen is it?")</f>
        <v>Then whose pen is it?</v>
      </c>
      <c r="C589" s="4" t="str">
        <f ca="1">IFERROR(__xludf.DUMMYFUNCTION("IFERROR(GOOGLETRANSLATE(B589,""en"",""ja""),)"),"では、これは誰のペンなのか？")</f>
        <v>では、これは誰のペンなのか？</v>
      </c>
      <c r="D589" s="4" t="str">
        <f ca="1">IFERROR(__xludf.DUMMYFUNCTION("IFERROR(GOOGLETRANSLATE(B589,""en"",""zh-TW""),)"),"那麼，這支筆是誰的呢？")</f>
        <v>那麼，這支筆是誰的呢？</v>
      </c>
      <c r="E589" s="4" t="str">
        <f ca="1">IFERROR(__xludf.DUMMYFUNCTION("IFERROR(GOOGLETRANSLATE(B589,""en"",""zh-CN""),)"),"那么，这支笔是谁的呢？")</f>
        <v>那么，这支笔是谁的呢？</v>
      </c>
    </row>
    <row r="590" spans="1:5" ht="18">
      <c r="A590" s="3" t="s">
        <v>2616</v>
      </c>
      <c r="B590" s="4" t="str">
        <f ca="1">IFERROR(__xludf.DUMMYFUNCTION("IFERROR(GOOGLETRANSLATE(A590,""ko"",""en""),)"),"That pen is Juno's pen.")</f>
        <v>That pen is Juno's pen.</v>
      </c>
      <c r="C590" s="4" t="str">
        <f ca="1">IFERROR(__xludf.DUMMYFUNCTION("IFERROR(GOOGLETRANSLATE(B590,""en"",""ja""),)"),"そのペンはジュノーのペンだ。")</f>
        <v>そのペンはジュノーのペンだ。</v>
      </c>
      <c r="D590" s="4" t="str">
        <f ca="1">IFERROR(__xludf.DUMMYFUNCTION("IFERROR(GOOGLETRANSLATE(B590,""en"",""zh-TW""),)"),"那支筆是朱諾的筆。")</f>
        <v>那支筆是朱諾的筆。</v>
      </c>
      <c r="E590" s="4" t="str">
        <f ca="1">IFERROR(__xludf.DUMMYFUNCTION("IFERROR(GOOGLETRANSLATE(B590,""en"",""zh-CN""),)"),"那支笔是朱诺的笔。")</f>
        <v>那支笔是朱诺的笔。</v>
      </c>
    </row>
    <row r="591" spans="1:5" ht="18">
      <c r="A591" s="3" t="s">
        <v>2624</v>
      </c>
      <c r="B591" s="4" t="str">
        <f ca="1">IFERROR(__xludf.DUMMYFUNCTION("IFERROR(GOOGLETRANSLATE(A591,""ko"",""en""),)"),"Is this umbrella Jaemin's?")</f>
        <v>Is this umbrella Jaemin's?</v>
      </c>
      <c r="C591" s="4" t="str">
        <f ca="1">IFERROR(__xludf.DUMMYFUNCTION("IFERROR(GOOGLETRANSLATE(B591,""en"",""ja""),)"),"この傘はジェミンのものですか？")</f>
        <v>この傘はジェミンのものですか？</v>
      </c>
      <c r="D591" s="4" t="str">
        <f ca="1">IFERROR(__xludf.DUMMYFUNCTION("IFERROR(GOOGLETRANSLATE(B591,""en"",""zh-TW""),)"),"這是渽民的傘嗎？")</f>
        <v>這是渽民的傘嗎？</v>
      </c>
      <c r="E591" s="4" t="str">
        <f ca="1">IFERROR(__xludf.DUMMYFUNCTION("IFERROR(GOOGLETRANSLATE(B591,""en"",""zh-CN""),)"),"这是渽民的伞吗？")</f>
        <v>这是渽民的伞吗？</v>
      </c>
    </row>
    <row r="592" spans="1:5" ht="18">
      <c r="A592" s="3" t="s">
        <v>2632</v>
      </c>
      <c r="B592" s="4" t="str">
        <f ca="1">IFERROR(__xludf.DUMMYFUNCTION("IFERROR(GOOGLETRANSLATE(A592,""ko"",""en""),)"),"No, my umbrella is next to the chair.")</f>
        <v>No, my umbrella is next to the chair.</v>
      </c>
      <c r="C592" s="4" t="str">
        <f ca="1">IFERROR(__xludf.DUMMYFUNCTION("IFERROR(GOOGLETRANSLATE(B592,""en"",""ja""),)"),"いいえ、傘は椅子の横にあります。")</f>
        <v>いいえ、傘は椅子の横にあります。</v>
      </c>
      <c r="D592" s="4" t="str">
        <f ca="1">IFERROR(__xludf.DUMMYFUNCTION("IFERROR(GOOGLETRANSLATE(B592,""en"",""zh-TW""),)"),"不，我的傘在椅子旁邊。")</f>
        <v>不，我的傘在椅子旁邊。</v>
      </c>
      <c r="E592" s="4" t="str">
        <f ca="1">IFERROR(__xludf.DUMMYFUNCTION("IFERROR(GOOGLETRANSLATE(B592,""en"",""zh-CN""),)"),"不，我的伞在椅子旁边。")</f>
        <v>不，我的伞在椅子旁边。</v>
      </c>
    </row>
    <row r="593" spans="1:5" ht="18">
      <c r="A593" s="3" t="s">
        <v>2640</v>
      </c>
      <c r="B593" s="4" t="str">
        <f ca="1">IFERROR(__xludf.DUMMYFUNCTION("IFERROR(GOOGLETRANSLATE(A593,""ko"",""en""),)"),"Then whose umbrella is it?")</f>
        <v>Then whose umbrella is it?</v>
      </c>
      <c r="C593" s="4" t="str">
        <f ca="1">IFERROR(__xludf.DUMMYFUNCTION("IFERROR(GOOGLETRANSLATE(B593,""en"",""ja""),)"),"では、その傘は誰のものなのでしょうか？")</f>
        <v>では、その傘は誰のものなのでしょうか？</v>
      </c>
      <c r="D593" s="4" t="str">
        <f ca="1">IFERROR(__xludf.DUMMYFUNCTION("IFERROR(GOOGLETRANSLATE(B593,""en"",""zh-TW""),)"),"那麼，這把傘是誰的呢？")</f>
        <v>那麼，這把傘是誰的呢？</v>
      </c>
      <c r="E593" s="4" t="str">
        <f ca="1">IFERROR(__xludf.DUMMYFUNCTION("IFERROR(GOOGLETRANSLATE(B593,""en"",""zh-CN""),)"),"那把伞是谁的呢？")</f>
        <v>那把伞是谁的呢？</v>
      </c>
    </row>
    <row r="594" spans="1:5" ht="18">
      <c r="A594" s="3" t="s">
        <v>2647</v>
      </c>
      <c r="B594" s="4" t="str">
        <f ca="1">IFERROR(__xludf.DUMMYFUNCTION("IFERROR(GOOGLETRANSLATE(A594,""ko"",""en""),)"),"That umbrella is Ms. Suzy's umbrella.")</f>
        <v>That umbrella is Ms. Suzy's umbrella.</v>
      </c>
      <c r="C594" s="4" t="str">
        <f ca="1">IFERROR(__xludf.DUMMYFUNCTION("IFERROR(GOOGLETRANSLATE(B594,""en"",""ja""),)"),"その傘はスージーさんの傘です。")</f>
        <v>その傘はスージーさんの傘です。</v>
      </c>
      <c r="D594" s="4" t="str">
        <f ca="1">IFERROR(__xludf.DUMMYFUNCTION("IFERROR(GOOGLETRANSLATE(B594,""en"",""zh-TW""),)"),"那把傘是蘇西女士的。")</f>
        <v>那把傘是蘇西女士的。</v>
      </c>
      <c r="E594" s="4" t="str">
        <f ca="1">IFERROR(__xludf.DUMMYFUNCTION("IFERROR(GOOGLETRANSLATE(B594,""en"",""zh-CN""),)"),"那把伞是苏西女士的。")</f>
        <v>那把伞是苏西女士的。</v>
      </c>
    </row>
    <row r="595" spans="1:5" ht="18">
      <c r="A595" s="3" t="s">
        <v>2653</v>
      </c>
      <c r="B595" s="4" t="str">
        <f ca="1">IFERROR(__xludf.DUMMYFUNCTION("IFERROR(GOOGLETRANSLATE(A595,""ko"",""en""),)"),"What are you doing today?")</f>
        <v>What are you doing today?</v>
      </c>
      <c r="C595" s="4" t="str">
        <f ca="1">IFERROR(__xludf.DUMMYFUNCTION("IFERROR(GOOGLETRANSLATE(B595,""en"",""ja""),)"),"今日は何をしますか？")</f>
        <v>今日は何をしますか？</v>
      </c>
      <c r="D595" s="4" t="str">
        <f ca="1">IFERROR(__xludf.DUMMYFUNCTION("IFERROR(GOOGLETRANSLATE(B595,""en"",""zh-TW""),)"),"今天你在做什麼？")</f>
        <v>今天你在做什麼？</v>
      </c>
      <c r="E595" s="4" t="str">
        <f ca="1">IFERROR(__xludf.DUMMYFUNCTION("IFERROR(GOOGLETRANSLATE(B595,""en"",""zh-CN""),)"),"今天你在做什么？")</f>
        <v>今天你在做什么？</v>
      </c>
    </row>
    <row r="596" spans="1:5" ht="18">
      <c r="A596" s="3" t="s">
        <v>148</v>
      </c>
      <c r="B596" s="4" t="str">
        <f ca="1">IFERROR(__xludf.DUMMYFUNCTION("IFERROR(GOOGLETRANSLATE(A596,""ko"",""en""),)"),"today")</f>
        <v>today</v>
      </c>
      <c r="C596" s="4" t="str">
        <f ca="1">IFERROR(__xludf.DUMMYFUNCTION("IFERROR(GOOGLETRANSLATE(B596,""en"",""ja""),)"),"今日")</f>
        <v>今日</v>
      </c>
      <c r="D596" s="4" t="str">
        <f ca="1">IFERROR(__xludf.DUMMYFUNCTION("IFERROR(GOOGLETRANSLATE(B596,""en"",""zh-TW""),)"),"今天")</f>
        <v>今天</v>
      </c>
      <c r="E596" s="4" t="str">
        <f ca="1">IFERROR(__xludf.DUMMYFUNCTION("IFERROR(GOOGLETRANSLATE(B596,""en"",""zh-CN""),)"),"今天")</f>
        <v>今天</v>
      </c>
    </row>
    <row r="597" spans="1:5" ht="18">
      <c r="A597" s="3" t="s">
        <v>1986</v>
      </c>
      <c r="B597" s="4" t="str">
        <f ca="1">IFERROR(__xludf.DUMMYFUNCTION("IFERROR(GOOGLETRANSLATE(A597,""ko"",""en""),)"),"what")</f>
        <v>what</v>
      </c>
      <c r="C597" s="4" t="str">
        <f ca="1">IFERROR(__xludf.DUMMYFUNCTION("IFERROR(GOOGLETRANSLATE(B597,""en"",""ja""),)"),"何")</f>
        <v>何</v>
      </c>
      <c r="D597" s="4" t="str">
        <f ca="1">IFERROR(__xludf.DUMMYFUNCTION("IFERROR(GOOGLETRANSLATE(B597,""en"",""zh-TW""),)"),"什麼")</f>
        <v>什麼</v>
      </c>
      <c r="E597" s="4" t="str">
        <f ca="1">IFERROR(__xludf.DUMMYFUNCTION("IFERROR(GOOGLETRANSLATE(B597,""en"",""zh-CN""),)"),"什么")</f>
        <v>什么</v>
      </c>
    </row>
    <row r="598" spans="1:5" ht="18">
      <c r="A598" s="2" t="s">
        <v>2671</v>
      </c>
      <c r="B598" s="4" t="str">
        <f ca="1">IFERROR(__xludf.DUMMYFUNCTION("IFERROR(GOOGLETRANSLATE(A598,""ko"",""en""),)"),"eat")</f>
        <v>eat</v>
      </c>
      <c r="C598" s="4" t="str">
        <f ca="1">IFERROR(__xludf.DUMMYFUNCTION("IFERROR(GOOGLETRANSLATE(B598,""en"",""ja""),)"),"食べる")</f>
        <v>食べる</v>
      </c>
      <c r="D598" s="4" t="str">
        <f ca="1">IFERROR(__xludf.DUMMYFUNCTION("IFERROR(GOOGLETRANSLATE(B598,""en"",""zh-TW""),)"),"吃")</f>
        <v>吃</v>
      </c>
      <c r="E598" s="4" t="str">
        <f ca="1">IFERROR(__xludf.DUMMYFUNCTION("IFERROR(GOOGLETRANSLATE(B598,""en"",""zh-CN""),)"),"吃")</f>
        <v>吃</v>
      </c>
    </row>
    <row r="599" spans="1:5" ht="18">
      <c r="A599" s="2" t="s">
        <v>2676</v>
      </c>
      <c r="B599" s="4" t="str">
        <f ca="1">IFERROR(__xludf.DUMMYFUNCTION("IFERROR(GOOGLETRANSLATE(A599,""ko"",""en""),)"),"Read")</f>
        <v>Read</v>
      </c>
      <c r="C599" s="4" t="str">
        <f ca="1">IFERROR(__xludf.DUMMYFUNCTION("IFERROR(GOOGLETRANSLATE(B599,""en"",""ja""),)"),"読む")</f>
        <v>読む</v>
      </c>
      <c r="D599" s="4" t="str">
        <f ca="1">IFERROR(__xludf.DUMMYFUNCTION("IFERROR(GOOGLETRANSLATE(B599,""en"",""zh-TW""),)"),"讀")</f>
        <v>讀</v>
      </c>
      <c r="E599" s="4" t="str">
        <f ca="1">IFERROR(__xludf.DUMMYFUNCTION("IFERROR(GOOGLETRANSLATE(B599,""en"",""zh-CN""),)"),"读")</f>
        <v>读</v>
      </c>
    </row>
    <row r="600" spans="1:5" ht="18">
      <c r="A600" s="3" t="s">
        <v>2682</v>
      </c>
      <c r="B600" s="4" t="str">
        <f ca="1">IFERROR(__xludf.DUMMYFUNCTION("IFERROR(GOOGLETRANSLATE(A600,""ko"",""en""),)"),"see")</f>
        <v>see</v>
      </c>
      <c r="C600" s="4" t="str">
        <f ca="1">IFERROR(__xludf.DUMMYFUNCTION("IFERROR(GOOGLETRANSLATE(B600,""en"",""ja""),)"),"見る")</f>
        <v>見る</v>
      </c>
      <c r="D600" s="4" t="str">
        <f ca="1">IFERROR(__xludf.DUMMYFUNCTION("IFERROR(GOOGLETRANSLATE(B600,""en"",""zh-TW""),)"),"看")</f>
        <v>看</v>
      </c>
      <c r="E600" s="4" t="str">
        <f ca="1">IFERROR(__xludf.DUMMYFUNCTION("IFERROR(GOOGLETRANSLATE(B600,""en"",""zh-CN""),)"),"看")</f>
        <v>看</v>
      </c>
    </row>
    <row r="601" spans="1:5" ht="18">
      <c r="A601" s="3" t="s">
        <v>2688</v>
      </c>
      <c r="B601" s="4" t="str">
        <f ca="1">IFERROR(__xludf.DUMMYFUNCTION("IFERROR(GOOGLETRANSLATE(A601,""ko"",""en""),)"),"Drink")</f>
        <v>Drink</v>
      </c>
      <c r="C601" s="4" t="str">
        <f ca="1">IFERROR(__xludf.DUMMYFUNCTION("IFERROR(GOOGLETRANSLATE(B601,""en"",""ja""),)"),"飲む")</f>
        <v>飲む</v>
      </c>
      <c r="D601" s="4" t="str">
        <f ca="1">IFERROR(__xludf.DUMMYFUNCTION("IFERROR(GOOGLETRANSLATE(B601,""en"",""zh-TW""),)"),"喝")</f>
        <v>喝</v>
      </c>
      <c r="E601" s="4" t="str">
        <f ca="1">IFERROR(__xludf.DUMMYFUNCTION("IFERROR(GOOGLETRANSLATE(B601,""en"",""zh-CN""),)"),"喝")</f>
        <v>喝</v>
      </c>
    </row>
    <row r="602" spans="1:5" ht="18">
      <c r="A602" s="3" t="s">
        <v>2694</v>
      </c>
      <c r="B602" s="4" t="str">
        <f ca="1">IFERROR(__xludf.DUMMYFUNCTION("IFERROR(GOOGLETRANSLATE(A602,""ko"",""en""),)"),"Listen")</f>
        <v>Listen</v>
      </c>
      <c r="C602" s="4" t="str">
        <f ca="1">IFERROR(__xludf.DUMMYFUNCTION("IFERROR(GOOGLETRANSLATE(B602,""en"",""ja""),)"),"聞く")</f>
        <v>聞く</v>
      </c>
      <c r="D602" s="4" t="str">
        <f ca="1">IFERROR(__xludf.DUMMYFUNCTION("IFERROR(GOOGLETRANSLATE(B602,""en"",""zh-TW""),)"),"聽")</f>
        <v>聽</v>
      </c>
      <c r="E602" s="4" t="str">
        <f ca="1">IFERROR(__xludf.DUMMYFUNCTION("IFERROR(GOOGLETRANSLATE(B602,""en"",""zh-CN""),)"),"听")</f>
        <v>听</v>
      </c>
    </row>
    <row r="603" spans="1:5" ht="18">
      <c r="A603" s="3" t="s">
        <v>2701</v>
      </c>
      <c r="B603" s="4" t="str">
        <f ca="1">IFERROR(__xludf.DUMMYFUNCTION("IFERROR(GOOGLETRANSLATE(A603,""ko"",""en""),)"),"see you")</f>
        <v>see you</v>
      </c>
      <c r="C603" s="4" t="str">
        <f ca="1">IFERROR(__xludf.DUMMYFUNCTION("IFERROR(GOOGLETRANSLATE(B603,""en"",""ja""),)"),"またね")</f>
        <v>またね</v>
      </c>
      <c r="D603" s="4" t="str">
        <f ca="1">IFERROR(__xludf.DUMMYFUNCTION("IFERROR(GOOGLETRANSLATE(B603,""en"",""zh-TW""),)"),"再見")</f>
        <v>再見</v>
      </c>
      <c r="E603" s="4" t="str">
        <f ca="1">IFERROR(__xludf.DUMMYFUNCTION("IFERROR(GOOGLETRANSLATE(B603,""en"",""zh-CN""),)"),"再见")</f>
        <v>再见</v>
      </c>
    </row>
    <row r="604" spans="1:5" ht="18">
      <c r="A604" s="3" t="s">
        <v>2705</v>
      </c>
      <c r="B604" s="4" t="str">
        <f ca="1">IFERROR(__xludf.DUMMYFUNCTION("IFERROR(GOOGLETRANSLATE(A604,""ko"",""en""),)"),"sleep")</f>
        <v>sleep</v>
      </c>
      <c r="C604" s="4" t="str">
        <f ca="1">IFERROR(__xludf.DUMMYFUNCTION("IFERROR(GOOGLETRANSLATE(B604,""en"",""ja""),)"),"寝る")</f>
        <v>寝る</v>
      </c>
      <c r="D604" s="4" t="str">
        <f ca="1">IFERROR(__xludf.DUMMYFUNCTION("IFERROR(GOOGLETRANSLATE(B604,""en"",""zh-TW""),)"),"睡覺")</f>
        <v>睡覺</v>
      </c>
      <c r="E604" s="4" t="str">
        <f ca="1">IFERROR(__xludf.DUMMYFUNCTION("IFERROR(GOOGLETRANSLATE(B604,""en"",""zh-CN""),)"),"睡觉")</f>
        <v>睡觉</v>
      </c>
    </row>
    <row r="605" spans="1:5" ht="18">
      <c r="A605" s="2" t="s">
        <v>2709</v>
      </c>
      <c r="B605" s="4" t="str">
        <f ca="1">IFERROR(__xludf.DUMMYFUNCTION("IFERROR(GOOGLETRANSLATE(A605,""ko"",""en""),)"),"I work")</f>
        <v>I work</v>
      </c>
      <c r="C605" s="4" t="str">
        <f ca="1">IFERROR(__xludf.DUMMYFUNCTION("IFERROR(GOOGLETRANSLATE(B605,""en"",""ja""),)"),"私は働く")</f>
        <v>私は働く</v>
      </c>
      <c r="D605" s="4" t="str">
        <f ca="1">IFERROR(__xludf.DUMMYFUNCTION("IFERROR(GOOGLETRANSLATE(B605,""en"",""zh-TW""),)"),"我的工作")</f>
        <v>我的工作</v>
      </c>
      <c r="E605" s="4" t="str">
        <f ca="1">IFERROR(__xludf.DUMMYFUNCTION("IFERROR(GOOGLETRANSLATE(B605,""en"",""zh-CN""),)"),"我的工作")</f>
        <v>我的工作</v>
      </c>
    </row>
    <row r="606" spans="1:5" ht="18">
      <c r="A606" s="3" t="s">
        <v>2716</v>
      </c>
      <c r="B606" s="4" t="str">
        <f ca="1">IFERROR(__xludf.DUMMYFUNCTION("IFERROR(GOOGLETRANSLATE(A606,""ko"",""en""),)"),"Let's talk")</f>
        <v>Let's talk</v>
      </c>
      <c r="C606" s="4" t="str">
        <f ca="1">IFERROR(__xludf.DUMMYFUNCTION("IFERROR(GOOGLETRANSLATE(B606,""en"",""ja""),)"),"話し合いましょう")</f>
        <v>話し合いましょう</v>
      </c>
      <c r="D606" s="4" t="str">
        <f ca="1">IFERROR(__xludf.DUMMYFUNCTION("IFERROR(GOOGLETRANSLATE(B606,""en"",""zh-TW""),)"),"我們來聊聊吧。")</f>
        <v>我們來聊聊吧。</v>
      </c>
      <c r="E606" s="4" t="str">
        <f ca="1">IFERROR(__xludf.DUMMYFUNCTION("IFERROR(GOOGLETRANSLATE(B606,""en"",""zh-CN""),)"),"我们来聊聊吧。")</f>
        <v>我们来聊聊吧。</v>
      </c>
    </row>
    <row r="607" spans="1:5" ht="18">
      <c r="A607" s="3" t="s">
        <v>2722</v>
      </c>
      <c r="B607" s="4" t="str">
        <f ca="1">IFERROR(__xludf.DUMMYFUNCTION("IFERROR(GOOGLETRANSLATE(A607,""ko"",""en""),)"),"Let's cook")</f>
        <v>Let's cook</v>
      </c>
      <c r="C607" s="4" t="str">
        <f ca="1">IFERROR(__xludf.DUMMYFUNCTION("IFERROR(GOOGLETRANSLATE(B607,""en"",""ja""),)"),"料理をしよう")</f>
        <v>料理をしよう</v>
      </c>
      <c r="D607" s="4" t="str">
        <f ca="1">IFERROR(__xludf.DUMMYFUNCTION("IFERROR(GOOGLETRANSLATE(B607,""en"",""zh-TW""),)"),"我們來做飯吧")</f>
        <v>我們來做飯吧</v>
      </c>
      <c r="E607" s="4" t="str">
        <f ca="1">IFERROR(__xludf.DUMMYFUNCTION("IFERROR(GOOGLETRANSLATE(B607,""en"",""zh-CN""),)"),"我们来做饭吧")</f>
        <v>我们来做饭吧</v>
      </c>
    </row>
    <row r="608" spans="1:5" ht="18">
      <c r="A608" s="3" t="s">
        <v>2728</v>
      </c>
      <c r="B608" s="4" t="str">
        <f ca="1">IFERROR(__xludf.DUMMYFUNCTION("IFERROR(GOOGLETRANSLATE(A608,""ko"",""en""),)"),"I study")</f>
        <v>I study</v>
      </c>
      <c r="C608" s="4" t="str">
        <f ca="1">IFERROR(__xludf.DUMMYFUNCTION("IFERROR(GOOGLETRANSLATE(B608,""en"",""ja""),)"),"私は勉強します")</f>
        <v>私は勉強します</v>
      </c>
      <c r="D608" s="4" t="str">
        <f ca="1">IFERROR(__xludf.DUMMYFUNCTION("IFERROR(GOOGLETRANSLATE(B608,""en"",""zh-TW""),)"),"我學習")</f>
        <v>我學習</v>
      </c>
      <c r="E608" s="4" t="str">
        <f ca="1">IFERROR(__xludf.DUMMYFUNCTION("IFERROR(GOOGLETRANSLATE(B608,""en"",""zh-CN""),)"),"我学习")</f>
        <v>我学习</v>
      </c>
    </row>
    <row r="609" spans="1:5" ht="18">
      <c r="A609" s="3" t="s">
        <v>2733</v>
      </c>
      <c r="B609" s="4" t="str">
        <f ca="1">IFERROR(__xludf.DUMMYFUNCTION("IFERROR(GOOGLETRANSLATE(A609,""ko"",""en""),)"),"I eat pizza.")</f>
        <v>I eat pizza.</v>
      </c>
      <c r="C609" s="4" t="str">
        <f ca="1">IFERROR(__xludf.DUMMYFUNCTION("IFERROR(GOOGLETRANSLATE(B609,""en"",""ja""),)"),"私はピザを食べます。")</f>
        <v>私はピザを食べます。</v>
      </c>
      <c r="D609" s="4" t="str">
        <f ca="1">IFERROR(__xludf.DUMMYFUNCTION("IFERROR(GOOGLETRANSLATE(B609,""en"",""zh-TW""),)"),"我吃披薩。")</f>
        <v>我吃披薩。</v>
      </c>
      <c r="E609" s="4" t="str">
        <f ca="1">IFERROR(__xludf.DUMMYFUNCTION("IFERROR(GOOGLETRANSLATE(B609,""en"",""zh-CN""),)"),"我吃披萨。")</f>
        <v>我吃披萨。</v>
      </c>
    </row>
    <row r="610" spans="1:5" ht="18">
      <c r="A610" s="3" t="s">
        <v>2742</v>
      </c>
      <c r="B610" s="4" t="str">
        <f ca="1">IFERROR(__xludf.DUMMYFUNCTION("IFERROR(GOOGLETRANSLATE(A610,""ko"",""en""),)"),"I eat bread")</f>
        <v>I eat bread</v>
      </c>
      <c r="C610" s="4" t="str">
        <f ca="1">IFERROR(__xludf.DUMMYFUNCTION("IFERROR(GOOGLETRANSLATE(B610,""en"",""ja""),)"),"私はパンを食べます")</f>
        <v>私はパンを食べます</v>
      </c>
      <c r="D610" s="4" t="str">
        <f ca="1">IFERROR(__xludf.DUMMYFUNCTION("IFERROR(GOOGLETRANSLATE(B610,""en"",""zh-TW""),)"),"我吃麵包")</f>
        <v>我吃麵包</v>
      </c>
      <c r="E610" s="4" t="str">
        <f ca="1">IFERROR(__xludf.DUMMYFUNCTION("IFERROR(GOOGLETRANSLATE(B610,""en"",""zh-CN""),)"),"我吃面包")</f>
        <v>我吃面包</v>
      </c>
    </row>
    <row r="611" spans="1:5" ht="18">
      <c r="A611" s="3" t="s">
        <v>2749</v>
      </c>
      <c r="B611" s="4" t="str">
        <f ca="1">IFERROR(__xludf.DUMMYFUNCTION("IFERROR(GOOGLETRANSLATE(A611,""ko"",""en""),)"),"I am reading a book now.")</f>
        <v>I am reading a book now.</v>
      </c>
      <c r="C611" s="4" t="str">
        <f ca="1">IFERROR(__xludf.DUMMYFUNCTION("IFERROR(GOOGLETRANSLATE(B611,""en"",""ja""),)"),"私は今、本を読んでいます。")</f>
        <v>私は今、本を読んでいます。</v>
      </c>
      <c r="D611" s="4" t="str">
        <f ca="1">IFERROR(__xludf.DUMMYFUNCTION("IFERROR(GOOGLETRANSLATE(B611,""en"",""zh-TW""),)"),"我正在看書。")</f>
        <v>我正在看書。</v>
      </c>
      <c r="E611" s="4" t="str">
        <f ca="1">IFERROR(__xludf.DUMMYFUNCTION("IFERROR(GOOGLETRANSLATE(B611,""en"",""zh-CN""),)"),"我正在看书。")</f>
        <v>我正在看书。</v>
      </c>
    </row>
    <row r="612" spans="1:5" ht="18">
      <c r="A612" s="3" t="s">
        <v>1731</v>
      </c>
      <c r="B612" s="4" t="str">
        <f ca="1">IFERROR(__xludf.DUMMYFUNCTION("IFERROR(GOOGLETRANSLATE(A612,""ko"",""en""),)"),"now")</f>
        <v>now</v>
      </c>
      <c r="C612" s="4" t="str">
        <f ca="1">IFERROR(__xludf.DUMMYFUNCTION("IFERROR(GOOGLETRANSLATE(B612,""en"",""ja""),)"),"今")</f>
        <v>今</v>
      </c>
      <c r="D612" s="4" t="str">
        <f ca="1">IFERROR(__xludf.DUMMYFUNCTION("IFERROR(GOOGLETRANSLATE(B612,""en"",""zh-TW""),)"),"現在")</f>
        <v>現在</v>
      </c>
      <c r="E612" s="4" t="str">
        <f ca="1">IFERROR(__xludf.DUMMYFUNCTION("IFERROR(GOOGLETRANSLATE(B612,""en"",""zh-CN""),)"),"现在")</f>
        <v>现在</v>
      </c>
    </row>
    <row r="613" spans="1:5" ht="18">
      <c r="A613" s="3" t="s">
        <v>2759</v>
      </c>
      <c r="B613" s="4" t="str">
        <f ca="1">IFERROR(__xludf.DUMMYFUNCTION("IFERROR(GOOGLETRANSLATE(A613,""ko"",""en""),)"),"I watch Korean dramas.")</f>
        <v>I watch Korean dramas.</v>
      </c>
      <c r="C613" s="4" t="str">
        <f ca="1">IFERROR(__xludf.DUMMYFUNCTION("IFERROR(GOOGLETRANSLATE(B613,""en"",""ja""),)"),"私は韓国ドラマを見ます。")</f>
        <v>私は韓国ドラマを見ます。</v>
      </c>
      <c r="D613" s="4" t="str">
        <f ca="1">IFERROR(__xludf.DUMMYFUNCTION("IFERROR(GOOGLETRANSLATE(B613,""en"",""zh-TW""),)"),"我喜歡看韓劇。")</f>
        <v>我喜歡看韓劇。</v>
      </c>
      <c r="E613" s="4" t="str">
        <f ca="1">IFERROR(__xludf.DUMMYFUNCTION("IFERROR(GOOGLETRANSLATE(B613,""en"",""zh-CN""),)"),"我喜欢看韩剧。")</f>
        <v>我喜欢看韩剧。</v>
      </c>
    </row>
    <row r="614" spans="1:5" ht="18">
      <c r="A614" s="3" t="s">
        <v>2769</v>
      </c>
      <c r="B614" s="4" t="str">
        <f ca="1">IFERROR(__xludf.DUMMYFUNCTION("IFERROR(GOOGLETRANSLATE(A614,""ko"",""en""),)"),"I watch television.")</f>
        <v>I watch television.</v>
      </c>
      <c r="C614" s="4" t="str">
        <f ca="1">IFERROR(__xludf.DUMMYFUNCTION("IFERROR(GOOGLETRANSLATE(B614,""en"",""ja""),)"),"私はテレビを見る。")</f>
        <v>私はテレビを見る。</v>
      </c>
      <c r="D614" s="4" t="str">
        <f ca="1">IFERROR(__xludf.DUMMYFUNCTION("IFERROR(GOOGLETRANSLATE(B614,""en"",""zh-TW""),)"),"我看電視。")</f>
        <v>我看電視。</v>
      </c>
      <c r="E614" s="4" t="str">
        <f ca="1">IFERROR(__xludf.DUMMYFUNCTION("IFERROR(GOOGLETRANSLATE(B614,""en"",""zh-CN""),)"),"我看电视。")</f>
        <v>我看电视。</v>
      </c>
    </row>
    <row r="615" spans="1:5" ht="18">
      <c r="A615" s="3" t="s">
        <v>2777</v>
      </c>
      <c r="B615" s="4" t="str">
        <f ca="1">IFERROR(__xludf.DUMMYFUNCTION("IFERROR(GOOGLETRANSLATE(A615,""ko"",""en""),)"),"Drink water.")</f>
        <v>Drink water.</v>
      </c>
      <c r="C615" s="4" t="str">
        <f ca="1">IFERROR(__xludf.DUMMYFUNCTION("IFERROR(GOOGLETRANSLATE(B615,""en"",""ja""),)"),"水を飲みましょう。")</f>
        <v>水を飲みましょう。</v>
      </c>
      <c r="D615" s="4" t="str">
        <f ca="1">IFERROR(__xludf.DUMMYFUNCTION("IFERROR(GOOGLETRANSLATE(B615,""en"",""zh-TW""),)"),"喝水。")</f>
        <v>喝水。</v>
      </c>
      <c r="E615" s="4" t="str">
        <f ca="1">IFERROR(__xludf.DUMMYFUNCTION("IFERROR(GOOGLETRANSLATE(B615,""en"",""zh-CN""),)"),"喝水。")</f>
        <v>喝水。</v>
      </c>
    </row>
    <row r="616" spans="1:5" ht="18">
      <c r="A616" s="3" t="s">
        <v>2784</v>
      </c>
      <c r="B616" s="4" t="str">
        <f ca="1">IFERROR(__xludf.DUMMYFUNCTION("IFERROR(GOOGLETRANSLATE(A616,""ko"",""en""),)"),"Drink milk.")</f>
        <v>Drink milk.</v>
      </c>
      <c r="C616" s="4" t="str">
        <f ca="1">IFERROR(__xludf.DUMMYFUNCTION("IFERROR(GOOGLETRANSLATE(B616,""en"",""ja""),)"),"牛乳を飲んでください。")</f>
        <v>牛乳を飲んでください。</v>
      </c>
      <c r="D616" s="4" t="str">
        <f ca="1">IFERROR(__xludf.DUMMYFUNCTION("IFERROR(GOOGLETRANSLATE(B616,""en"",""zh-TW""),)"),"喝牛奶。")</f>
        <v>喝牛奶。</v>
      </c>
      <c r="E616" s="4" t="str">
        <f ca="1">IFERROR(__xludf.DUMMYFUNCTION("IFERROR(GOOGLETRANSLATE(B616,""en"",""zh-CN""),)"),"喝牛奶。")</f>
        <v>喝牛奶。</v>
      </c>
    </row>
    <row r="617" spans="1:5" ht="18">
      <c r="A617" s="3" t="s">
        <v>190</v>
      </c>
      <c r="B617" s="4" t="str">
        <f ca="1">IFERROR(__xludf.DUMMYFUNCTION("IFERROR(GOOGLETRANSLATE(A617,""ko"",""en""),)"),"I drink coffee.")</f>
        <v>I drink coffee.</v>
      </c>
      <c r="C617" s="4" t="str">
        <f ca="1">IFERROR(__xludf.DUMMYFUNCTION("IFERROR(GOOGLETRANSLATE(B617,""en"",""ja""),)"),"私はコーヒーを飲みます。")</f>
        <v>私はコーヒーを飲みます。</v>
      </c>
      <c r="D617" s="4" t="str">
        <f ca="1">IFERROR(__xludf.DUMMYFUNCTION("IFERROR(GOOGLETRANSLATE(B617,""en"",""zh-TW""),)"),"我喝咖啡。")</f>
        <v>我喝咖啡。</v>
      </c>
      <c r="E617" s="4" t="str">
        <f ca="1">IFERROR(__xludf.DUMMYFUNCTION("IFERROR(GOOGLETRANSLATE(B617,""en"",""zh-CN""),)"),"我喝咖啡。")</f>
        <v>我喝咖啡。</v>
      </c>
    </row>
    <row r="618" spans="1:5" ht="18">
      <c r="A618" s="3" t="s">
        <v>2799</v>
      </c>
      <c r="B618" s="4" t="str">
        <f ca="1">IFERROR(__xludf.DUMMYFUNCTION("IFERROR(GOOGLETRANSLATE(A618,""ko"",""en""),)"),"music")</f>
        <v>music</v>
      </c>
      <c r="C618" s="4" t="str">
        <f ca="1">IFERROR(__xludf.DUMMYFUNCTION("IFERROR(GOOGLETRANSLATE(B618,""en"",""ja""),)"),"音楽")</f>
        <v>音楽</v>
      </c>
      <c r="D618" s="4" t="str">
        <f ca="1">IFERROR(__xludf.DUMMYFUNCTION("IFERROR(GOOGLETRANSLATE(B618,""en"",""zh-TW""),)"),"音樂")</f>
        <v>音樂</v>
      </c>
      <c r="E618" s="4" t="str">
        <f ca="1">IFERROR(__xludf.DUMMYFUNCTION("IFERROR(GOOGLETRANSLATE(B618,""en"",""zh-CN""),)"),"音乐")</f>
        <v>音乐</v>
      </c>
    </row>
    <row r="619" spans="1:5" ht="18">
      <c r="A619" s="3" t="s">
        <v>2808</v>
      </c>
      <c r="B619" s="4" t="str">
        <f ca="1">IFERROR(__xludf.DUMMYFUNCTION("IFERROR(GOOGLETRANSLATE(A619,""ko"",""en""),)"),"Listen to music.")</f>
        <v>Listen to music.</v>
      </c>
      <c r="C619" s="4" t="str">
        <f ca="1">IFERROR(__xludf.DUMMYFUNCTION("IFERROR(GOOGLETRANSLATE(B619,""en"",""ja""),)"),"音楽を聴く。")</f>
        <v>音楽を聴く。</v>
      </c>
      <c r="D619" s="4" t="str">
        <f ca="1">IFERROR(__xludf.DUMMYFUNCTION("IFERROR(GOOGLETRANSLATE(B619,""en"",""zh-TW""),)"),"聽音樂。")</f>
        <v>聽音樂。</v>
      </c>
      <c r="E619" s="4" t="str">
        <f ca="1">IFERROR(__xludf.DUMMYFUNCTION("IFERROR(GOOGLETRANSLATE(B619,""en"",""zh-CN""),)"),"听音乐。")</f>
        <v>听音乐。</v>
      </c>
    </row>
    <row r="620" spans="1:5" ht="18">
      <c r="A620" s="3" t="s">
        <v>2816</v>
      </c>
      <c r="B620" s="4" t="str">
        <f ca="1">IFERROR(__xludf.DUMMYFUNCTION("IFERROR(GOOGLETRANSLATE(A620,""ko"",""en""),)"),"BTS songs")</f>
        <v>BTS songs</v>
      </c>
      <c r="C620" s="4" t="str">
        <f ca="1">IFERROR(__xludf.DUMMYFUNCTION("IFERROR(GOOGLETRANSLATE(B620,""en"",""ja""),)"),"BTSの曲")</f>
        <v>BTSの曲</v>
      </c>
      <c r="D620" s="4" t="str">
        <f ca="1">IFERROR(__xludf.DUMMYFUNCTION("IFERROR(GOOGLETRANSLATE(B620,""en"",""zh-TW""),)"),"BTS歌曲")</f>
        <v>BTS歌曲</v>
      </c>
      <c r="E620" s="4" t="str">
        <f ca="1">IFERROR(__xludf.DUMMYFUNCTION("IFERROR(GOOGLETRANSLATE(B620,""en"",""zh-CN""),)"),"BTS歌曲")</f>
        <v>BTS歌曲</v>
      </c>
    </row>
    <row r="621" spans="1:5" ht="18">
      <c r="A621" s="3" t="s">
        <v>2825</v>
      </c>
      <c r="B621" s="4" t="str">
        <f ca="1">IFERROR(__xludf.DUMMYFUNCTION("IFERROR(GOOGLETRANSLATE(A621,""ko"",""en""),)"),"Korean songs")</f>
        <v>Korean songs</v>
      </c>
      <c r="C621" s="4" t="str">
        <f ca="1">IFERROR(__xludf.DUMMYFUNCTION("IFERROR(GOOGLETRANSLATE(B621,""en"",""ja""),)"),"韓国の歌")</f>
        <v>韓国の歌</v>
      </c>
      <c r="D621" s="4" t="str">
        <f ca="1">IFERROR(__xludf.DUMMYFUNCTION("IFERROR(GOOGLETRANSLATE(B621,""en"",""zh-TW""),)"),"韓國歌曲")</f>
        <v>韓國歌曲</v>
      </c>
      <c r="E621" s="4" t="str">
        <f ca="1">IFERROR(__xludf.DUMMYFUNCTION("IFERROR(GOOGLETRANSLATE(B621,""en"",""zh-CN""),)"),"韩国歌曲")</f>
        <v>韩国歌曲</v>
      </c>
    </row>
    <row r="622" spans="1:5" ht="18">
      <c r="A622" s="3" t="s">
        <v>2832</v>
      </c>
      <c r="B622" s="4" t="str">
        <f ca="1">IFERROR(__xludf.DUMMYFUNCTION("IFERROR(GOOGLETRANSLATE(A622,""ko"",""en""),)"),"I'm meeting a friend")</f>
        <v>I'm meeting a friend</v>
      </c>
      <c r="C622" s="4" t="str">
        <f ca="1">IFERROR(__xludf.DUMMYFUNCTION("IFERROR(GOOGLETRANSLATE(B622,""en"",""ja""),)"),"友達と会う予定です")</f>
        <v>友達と会う予定です</v>
      </c>
      <c r="D622" s="4" t="str">
        <f ca="1">IFERROR(__xludf.DUMMYFUNCTION("IFERROR(GOOGLETRANSLATE(B622,""en"",""zh-TW""),)"),"我要和一位朋友見面。")</f>
        <v>我要和一位朋友見面。</v>
      </c>
      <c r="E622" s="4" t="str">
        <f ca="1">IFERROR(__xludf.DUMMYFUNCTION("IFERROR(GOOGLETRANSLATE(B622,""en"",""zh-CN""),)"),"我要和一位朋友见面。")</f>
        <v>我要和一位朋友见面。</v>
      </c>
    </row>
    <row r="623" spans="1:5" ht="18">
      <c r="A623" s="3" t="s">
        <v>2838</v>
      </c>
      <c r="B623" s="4" t="str">
        <f ca="1">IFERROR(__xludf.DUMMYFUNCTION("IFERROR(GOOGLETRANSLATE(A623,""ko"",""en""),)"),"sleep")</f>
        <v>sleep</v>
      </c>
      <c r="C623" s="4" t="str">
        <f ca="1">IFERROR(__xludf.DUMMYFUNCTION("IFERROR(GOOGLETRANSLATE(B623,""en"",""ja""),)"),"寝る")</f>
        <v>寝る</v>
      </c>
      <c r="D623" s="4" t="str">
        <f ca="1">IFERROR(__xludf.DUMMYFUNCTION("IFERROR(GOOGLETRANSLATE(B623,""en"",""zh-TW""),)"),"睡覺")</f>
        <v>睡覺</v>
      </c>
      <c r="E623" s="4" t="str">
        <f ca="1">IFERROR(__xludf.DUMMYFUNCTION("IFERROR(GOOGLETRANSLATE(B623,""en"",""zh-CN""),)"),"睡觉")</f>
        <v>睡觉</v>
      </c>
    </row>
    <row r="624" spans="1:5" ht="18">
      <c r="A624" s="3" t="s">
        <v>2845</v>
      </c>
      <c r="B624" s="4" t="str">
        <f ca="1">IFERROR(__xludf.DUMMYFUNCTION("IFERROR(GOOGLETRANSLATE(A624,""ko"",""en""),)"),"I'm making bibimbap.")</f>
        <v>I'm making bibimbap.</v>
      </c>
      <c r="C624" s="4" t="str">
        <f ca="1">IFERROR(__xludf.DUMMYFUNCTION("IFERROR(GOOGLETRANSLATE(B624,""en"",""ja""),)"),"ビビンバを作っています。")</f>
        <v>ビビンバを作っています。</v>
      </c>
      <c r="D624" s="4" t="str">
        <f ca="1">IFERROR(__xludf.DUMMYFUNCTION("IFERROR(GOOGLETRANSLATE(B624,""en"",""zh-TW""),)"),"我在做拌飯。")</f>
        <v>我在做拌飯。</v>
      </c>
      <c r="E624" s="4" t="str">
        <f ca="1">IFERROR(__xludf.DUMMYFUNCTION("IFERROR(GOOGLETRANSLATE(B624,""en"",""zh-CN""),)"),"我在做拌饭。")</f>
        <v>我在做拌饭。</v>
      </c>
    </row>
    <row r="625" spans="1:5" ht="18">
      <c r="A625" s="2" t="s">
        <v>2852</v>
      </c>
      <c r="B625" s="4" t="str">
        <f ca="1">IFERROR(__xludf.DUMMYFUNCTION("IFERROR(GOOGLETRANSLATE(A625,""ko"",""en""),)"),"I make it")</f>
        <v>I make it</v>
      </c>
      <c r="C625" s="4" t="str">
        <f ca="1">IFERROR(__xludf.DUMMYFUNCTION("IFERROR(GOOGLETRANSLATE(B625,""en"",""ja""),)"),"私はそれを作ります")</f>
        <v>私はそれを作ります</v>
      </c>
      <c r="D625" s="4" t="str">
        <f ca="1">IFERROR(__xludf.DUMMYFUNCTION("IFERROR(GOOGLETRANSLATE(B625,""en"",""zh-TW""),)"),"我做到了")</f>
        <v>我做到了</v>
      </c>
      <c r="E625" s="4" t="str">
        <f ca="1">IFERROR(__xludf.DUMMYFUNCTION("IFERROR(GOOGLETRANSLATE(B625,""en"",""zh-CN""),)"),"我做到了")</f>
        <v>我做到了</v>
      </c>
    </row>
    <row r="626" spans="1:5" ht="18">
      <c r="A626" s="3" t="s">
        <v>2381</v>
      </c>
      <c r="B626" s="4" t="str">
        <f ca="1">IFERROR(__xludf.DUMMYFUNCTION("IFERROR(GOOGLETRANSLATE(A626,""ko"",""en""),)"),"english")</f>
        <v>english</v>
      </c>
      <c r="C626" s="4" t="str">
        <f ca="1">IFERROR(__xludf.DUMMYFUNCTION("IFERROR(GOOGLETRANSLATE(B626,""en"",""ja""),)"),"英語")</f>
        <v>英語</v>
      </c>
      <c r="D626" s="4" t="str">
        <f ca="1">IFERROR(__xludf.DUMMYFUNCTION("IFERROR(GOOGLETRANSLATE(B626,""en"",""zh-TW""),)"),"英語")</f>
        <v>英語</v>
      </c>
      <c r="E626" s="4" t="str">
        <f ca="1">IFERROR(__xludf.DUMMYFUNCTION("IFERROR(GOOGLETRANSLATE(B626,""en"",""zh-CN""),)"),"英语")</f>
        <v>英语</v>
      </c>
    </row>
    <row r="627" spans="1:5" ht="18">
      <c r="A627" s="5" t="s">
        <v>2863</v>
      </c>
      <c r="B627" s="4" t="str">
        <f ca="1">IFERROR(__xludf.DUMMYFUNCTION("IFERROR(GOOGLETRANSLATE(A627,""ko"",""en""),)"),"What does this person do?")</f>
        <v>What does this person do?</v>
      </c>
      <c r="C627" s="4" t="str">
        <f ca="1">IFERROR(__xludf.DUMMYFUNCTION("IFERROR(GOOGLETRANSLATE(B627,""en"",""ja""),)"),"この人はどんな仕事をしているのですか？")</f>
        <v>この人はどんな仕事をしているのですか？</v>
      </c>
      <c r="D627" s="4" t="str">
        <f ca="1">IFERROR(__xludf.DUMMYFUNCTION("IFERROR(GOOGLETRANSLATE(B627,""en"",""zh-TW""),)"),"這個人是做什麼的？")</f>
        <v>這個人是做什麼的？</v>
      </c>
      <c r="E627" s="4" t="str">
        <f ca="1">IFERROR(__xludf.DUMMYFUNCTION("IFERROR(GOOGLETRANSLATE(B627,""en"",""zh-CN""),)"),"这个人是做什么的？")</f>
        <v>这个人是做什么的？</v>
      </c>
    </row>
    <row r="628" spans="1:5" ht="18">
      <c r="A628" s="3" t="s">
        <v>2870</v>
      </c>
      <c r="B628" s="4" t="str">
        <f ca="1">IFERROR(__xludf.DUMMYFUNCTION("IFERROR(GOOGLETRANSLATE(A628,""ko"",""en""),)"),"What do you do?")</f>
        <v>What do you do?</v>
      </c>
      <c r="C628" s="4" t="str">
        <f ca="1">IFERROR(__xludf.DUMMYFUNCTION("IFERROR(GOOGLETRANSLATE(B628,""en"",""ja""),)"),"職業はなんですか？")</f>
        <v>職業はなんですか？</v>
      </c>
      <c r="D628" s="4" t="str">
        <f ca="1">IFERROR(__xludf.DUMMYFUNCTION("IFERROR(GOOGLETRANSLATE(B628,""en"",""zh-TW""),)"),"你做什麼工作？")</f>
        <v>你做什麼工作？</v>
      </c>
      <c r="E628" s="4" t="str">
        <f ca="1">IFERROR(__xludf.DUMMYFUNCTION("IFERROR(GOOGLETRANSLATE(B628,""en"",""zh-CN""),)"),"你做什么工作？")</f>
        <v>你做什么工作？</v>
      </c>
    </row>
    <row r="629" spans="1:5" ht="18">
      <c r="A629" s="3" t="s">
        <v>2877</v>
      </c>
      <c r="B629" s="4" t="str">
        <f ca="1">IFERROR(__xludf.DUMMYFUNCTION("IFERROR(GOOGLETRANSLATE(A629,""ko"",""en""),)"),"What are you doing?")</f>
        <v>What are you doing?</v>
      </c>
      <c r="C629" s="4" t="str">
        <f ca="1">IFERROR(__xludf.DUMMYFUNCTION("IFERROR(GOOGLETRANSLATE(B629,""en"",""ja""),)"),"何してるの？")</f>
        <v>何してるの？</v>
      </c>
      <c r="D629" s="4" t="str">
        <f ca="1">IFERROR(__xludf.DUMMYFUNCTION("IFERROR(GOOGLETRANSLATE(B629,""en"",""zh-TW""),)"),"你在幹什麼？")</f>
        <v>你在幹什麼？</v>
      </c>
      <c r="E629" s="4" t="str">
        <f ca="1">IFERROR(__xludf.DUMMYFUNCTION("IFERROR(GOOGLETRANSLATE(B629,""en"",""zh-CN""),)"),"你在干什么？")</f>
        <v>你在干什么？</v>
      </c>
    </row>
    <row r="630" spans="1:5" ht="18">
      <c r="A630" s="3" t="s">
        <v>2881</v>
      </c>
      <c r="B630" s="4" t="str">
        <f ca="1">IFERROR(__xludf.DUMMYFUNCTION("IFERROR(GOOGLETRANSLATE(A630,""ko"",""en""),)"),"what are you doing?")</f>
        <v>what are you doing?</v>
      </c>
      <c r="C630" s="4" t="str">
        <f ca="1">IFERROR(__xludf.DUMMYFUNCTION("IFERROR(GOOGLETRANSLATE(B630,""en"",""ja""),)"),"何してるの？")</f>
        <v>何してるの？</v>
      </c>
      <c r="D630" s="4" t="str">
        <f ca="1">IFERROR(__xludf.DUMMYFUNCTION("IFERROR(GOOGLETRANSLATE(B630,""en"",""zh-TW""),)"),"你在幹什麼？")</f>
        <v>你在幹什麼？</v>
      </c>
      <c r="E630" s="4" t="str">
        <f ca="1">IFERROR(__xludf.DUMMYFUNCTION("IFERROR(GOOGLETRANSLATE(B630,""en"",""zh-CN""),)"),"你在干什么？")</f>
        <v>你在干什么？</v>
      </c>
    </row>
    <row r="631" spans="1:5" ht="18">
      <c r="A631" s="3" t="s">
        <v>2890</v>
      </c>
      <c r="B631" s="4" t="str">
        <f ca="1">IFERROR(__xludf.DUMMYFUNCTION("IFERROR(GOOGLETRANSLATE(A631,""ko"",""en""),)"),"Let's have some tea.")</f>
        <v>Let's have some tea.</v>
      </c>
      <c r="C631" s="4" t="str">
        <f ca="1">IFERROR(__xludf.DUMMYFUNCTION("IFERROR(GOOGLETRANSLATE(B631,""en"",""ja""),)"),"お茶でも飲みましょう。")</f>
        <v>お茶でも飲みましょう。</v>
      </c>
      <c r="D631" s="4" t="str">
        <f ca="1">IFERROR(__xludf.DUMMYFUNCTION("IFERROR(GOOGLETRANSLATE(B631,""en"",""zh-TW""),)"),"咱們喝茶吧。")</f>
        <v>咱們喝茶吧。</v>
      </c>
      <c r="E631" s="4" t="str">
        <f ca="1">IFERROR(__xludf.DUMMYFUNCTION("IFERROR(GOOGLETRANSLATE(B631,""en"",""zh-CN""),)"),"咱们喝茶吧。")</f>
        <v>咱们喝茶吧。</v>
      </c>
    </row>
    <row r="632" spans="1:5" ht="18">
      <c r="A632" s="3" t="s">
        <v>2899</v>
      </c>
      <c r="B632" s="4" t="str">
        <f ca="1">IFERROR(__xludf.DUMMYFUNCTION("IFERROR(GOOGLETRANSLATE(A632,""ko"",""en""),)"),"I'm drinking tea.")</f>
        <v>I'm drinking tea.</v>
      </c>
      <c r="C632" s="4" t="str">
        <f ca="1">IFERROR(__xludf.DUMMYFUNCTION("IFERROR(GOOGLETRANSLATE(B632,""en"",""ja""),)"),"私はお茶を飲んでいます。")</f>
        <v>私はお茶を飲んでいます。</v>
      </c>
      <c r="D632" s="4" t="str">
        <f ca="1">IFERROR(__xludf.DUMMYFUNCTION("IFERROR(GOOGLETRANSLATE(B632,""en"",""zh-TW""),)"),"我在喝茶。")</f>
        <v>我在喝茶。</v>
      </c>
      <c r="E632" s="4" t="str">
        <f ca="1">IFERROR(__xludf.DUMMYFUNCTION("IFERROR(GOOGLETRANSLATE(B632,""en"",""zh-CN""),)"),"我在喝茶。")</f>
        <v>我在喝茶。</v>
      </c>
    </row>
    <row r="633" spans="1:5" ht="18">
      <c r="A633" s="3" t="s">
        <v>2769</v>
      </c>
      <c r="B633" s="4" t="str">
        <f ca="1">IFERROR(__xludf.DUMMYFUNCTION("IFERROR(GOOGLETRANSLATE(A633,""ko"",""en""),)"),"I watch television.")</f>
        <v>I watch television.</v>
      </c>
      <c r="C633" s="4" t="str">
        <f ca="1">IFERROR(__xludf.DUMMYFUNCTION("IFERROR(GOOGLETRANSLATE(B633,""en"",""ja""),)"),"私はテレビを見る。")</f>
        <v>私はテレビを見る。</v>
      </c>
      <c r="D633" s="4" t="str">
        <f ca="1">IFERROR(__xludf.DUMMYFUNCTION("IFERROR(GOOGLETRANSLATE(B633,""en"",""zh-TW""),)"),"我看電視。")</f>
        <v>我看電視。</v>
      </c>
      <c r="E633" s="4" t="str">
        <f ca="1">IFERROR(__xludf.DUMMYFUNCTION("IFERROR(GOOGLETRANSLATE(B633,""en"",""zh-CN""),)"),"我看电视。")</f>
        <v>我看电视。</v>
      </c>
    </row>
    <row r="634" spans="1:5" ht="18">
      <c r="A634" s="3" t="s">
        <v>2914</v>
      </c>
      <c r="B634" s="4" t="str">
        <f ca="1">IFERROR(__xludf.DUMMYFUNCTION("IFERROR(GOOGLETRANSLATE(A634,""ko"",""en""),)"),"bag shop")</f>
        <v>bag shop</v>
      </c>
      <c r="C634" s="4" t="str">
        <f ca="1">IFERROR(__xludf.DUMMYFUNCTION("IFERROR(GOOGLETRANSLATE(B634,""en"",""ja""),)"),"バッグショップ")</f>
        <v>バッグショップ</v>
      </c>
      <c r="D634" s="4" t="str">
        <f ca="1">IFERROR(__xludf.DUMMYFUNCTION("IFERROR(GOOGLETRANSLATE(B634,""en"",""zh-TW""),)"),"包店")</f>
        <v>包店</v>
      </c>
      <c r="E634" s="4" t="str">
        <f ca="1">IFERROR(__xludf.DUMMYFUNCTION("IFERROR(GOOGLETRANSLATE(B634,""en"",""zh-CN""),)"),"包店")</f>
        <v>包店</v>
      </c>
    </row>
    <row r="635" spans="1:5" ht="18">
      <c r="A635" s="3" t="s">
        <v>2359</v>
      </c>
      <c r="B635" s="4" t="str">
        <f ca="1">IFERROR(__xludf.DUMMYFUNCTION("IFERROR(GOOGLETRANSLATE(A635,""ko"",""en""),)"),"department store")</f>
        <v>department store</v>
      </c>
      <c r="C635" s="4" t="str">
        <f ca="1">IFERROR(__xludf.DUMMYFUNCTION("IFERROR(GOOGLETRANSLATE(B635,""en"",""ja""),)"),"デパート")</f>
        <v>デパート</v>
      </c>
      <c r="D635" s="4" t="str">
        <f ca="1">IFERROR(__xludf.DUMMYFUNCTION("IFERROR(GOOGLETRANSLATE(B635,""en"",""zh-TW""),)"),"百貨公司")</f>
        <v>百貨公司</v>
      </c>
      <c r="E635" s="4" t="str">
        <f ca="1">IFERROR(__xludf.DUMMYFUNCTION("IFERROR(GOOGLETRANSLATE(B635,""en"",""zh-CN""),)"),"百货商店")</f>
        <v>百货商店</v>
      </c>
    </row>
    <row r="636" spans="1:5" ht="18">
      <c r="A636" s="3" t="s">
        <v>2928</v>
      </c>
      <c r="B636" s="4" t="str">
        <f ca="1">IFERROR(__xludf.DUMMYFUNCTION("IFERROR(GOOGLETRANSLATE(A636,""ko"",""en""),)"),"I'm at home. I'm drinking water.")</f>
        <v>I'm at home. I'm drinking water.</v>
      </c>
      <c r="C636" s="4" t="str">
        <f ca="1">IFERROR(__xludf.DUMMYFUNCTION("IFERROR(GOOGLETRANSLATE(#REF!,""en"",""ja""),)"),"")</f>
        <v/>
      </c>
      <c r="D636" s="4" t="str">
        <f ca="1">IFERROR(__xludf.DUMMYFUNCTION("IFERROR(GOOGLETRANSLATE(B636,""en"",""zh-TW""),)"),"我在家。我在喝水。")</f>
        <v>我在家。我在喝水。</v>
      </c>
      <c r="E636" s="4" t="str">
        <f ca="1">IFERROR(__xludf.DUMMYFUNCTION("IFERROR(GOOGLETRANSLATE(B636,""en"",""zh-CN""),)"),"我在家。我在喝水。")</f>
        <v>我在家。我在喝水。</v>
      </c>
    </row>
    <row r="637" spans="1:5" ht="18">
      <c r="A637" s="3" t="s">
        <v>2936</v>
      </c>
      <c r="B637" s="4" t="str">
        <f ca="1">IFERROR(__xludf.DUMMYFUNCTION("IFERROR(GOOGLETRANSLATE(A637,""ko"",""en""),)"),"It's a bag shop. I buy a bag.")</f>
        <v>It's a bag shop. I buy a bag.</v>
      </c>
      <c r="C637" s="4" t="str">
        <f ca="1">IFERROR(__xludf.DUMMYFUNCTION("IFERROR(GOOGLETRANSLATE(B637,""en"",""ja""),)"),"ここはバッグ屋さんです。私はバッグを買いました。")</f>
        <v>ここはバッグ屋さんです。私はバッグを買いました。</v>
      </c>
      <c r="D637" s="4" t="str">
        <f ca="1">IFERROR(__xludf.DUMMYFUNCTION("IFERROR(GOOGLETRANSLATE(B637,""en"",""zh-TW""),)"),"這是一家箱包店。我買了一個包包。")</f>
        <v>這是一家箱包店。我買了一個包包。</v>
      </c>
      <c r="E637" s="4" t="str">
        <f ca="1">IFERROR(__xludf.DUMMYFUNCTION("IFERROR(GOOGLETRANSLATE(B637,""en"",""zh-CN""),)"),"这是一家箱包店。我买了一个包。")</f>
        <v>这是一家箱包店。我买了一个包。</v>
      </c>
    </row>
    <row r="638" spans="1:5" ht="18">
      <c r="A638" s="3" t="s">
        <v>2986</v>
      </c>
      <c r="B638" s="4" t="str">
        <f ca="1">IFERROR(__xludf.DUMMYFUNCTION("IFERROR(GOOGLETRANSLATE(A638,""ko"",""en""),)"),"I'm at a friend's house. I'm listening to music.")</f>
        <v>I'm at a friend's house. I'm listening to music.</v>
      </c>
      <c r="C638" s="4" t="str">
        <f ca="1">IFERROR(__xludf.DUMMYFUNCTION("IFERROR(GOOGLETRANSLATE(B638,""en"",""ja""),)"),"友達の家にいます。音楽を聴いています。")</f>
        <v>友達の家にいます。音楽を聴いています。</v>
      </c>
      <c r="D638" s="4" t="str">
        <f ca="1">IFERROR(__xludf.DUMMYFUNCTION("IFERROR(GOOGLETRANSLATE(B638,""en"",""zh-TW""),)"),"我在朋友家，正在聽音樂。")</f>
        <v>我在朋友家，正在聽音樂。</v>
      </c>
      <c r="E638" s="4" t="str">
        <f ca="1">IFERROR(__xludf.DUMMYFUNCTION("IFERROR(GOOGLETRANSLATE(B638,""en"",""zh-CN""),)"),"我在朋友家，正在听音乐。")</f>
        <v>我在朋友家，正在听音乐。</v>
      </c>
    </row>
    <row r="639" spans="1:5" ht="18">
      <c r="A639" s="3" t="s">
        <v>2995</v>
      </c>
      <c r="B639" s="4" t="str">
        <f ca="1">IFERROR(__xludf.DUMMYFUNCTION("IFERROR(GOOGLETRANSLATE(A639,""ko"",""en""),)"),"It's a library. I'm reading a book.")</f>
        <v>It's a library. I'm reading a book.</v>
      </c>
      <c r="C639" s="4" t="str">
        <f ca="1">IFERROR(__xludf.DUMMYFUNCTION("IFERROR(GOOGLETRANSLATE(B639,""en"",""ja""),)"),"ここは図書館です。私は本を読んでいます。")</f>
        <v>ここは図書館です。私は本を読んでいます。</v>
      </c>
      <c r="D639" s="4" t="str">
        <f ca="1">IFERROR(__xludf.DUMMYFUNCTION("IFERROR(GOOGLETRANSLATE(B639,""en"",""zh-TW""),)"),"這裡是圖書館。我正在看書。")</f>
        <v>這裡是圖書館。我正在看書。</v>
      </c>
      <c r="E639" s="4" t="str">
        <f ca="1">IFERROR(__xludf.DUMMYFUNCTION("IFERROR(GOOGLETRANSLATE(B639,""en"",""zh-CN""),)"),"这里是图书馆。我正在看书。")</f>
        <v>这里是图书馆。我正在看书。</v>
      </c>
    </row>
    <row r="640" spans="1:5" ht="18">
      <c r="A640" s="3" t="s">
        <v>2557</v>
      </c>
      <c r="B640" s="4" t="str">
        <f ca="1">IFERROR(__xludf.DUMMYFUNCTION("IFERROR(GOOGLETRANSLATE(A640,""ko"",""en""),)"),"university")</f>
        <v>university</v>
      </c>
      <c r="C640" s="4" t="str">
        <f ca="1">IFERROR(__xludf.DUMMYFUNCTION("IFERROR(GOOGLETRANSLATE(B640,""en"",""ja""),)"),"大学")</f>
        <v>大学</v>
      </c>
      <c r="D640" s="4" t="str">
        <f ca="1">IFERROR(__xludf.DUMMYFUNCTION("IFERROR(GOOGLETRANSLATE(B640,""en"",""zh-TW""),)"),"大學")</f>
        <v>大學</v>
      </c>
      <c r="E640" s="4" t="str">
        <f ca="1">IFERROR(__xludf.DUMMYFUNCTION("IFERROR(GOOGLETRANSLATE(B640,""en"",""zh-CN""),)"),"大学")</f>
        <v>大学</v>
      </c>
    </row>
    <row r="641" spans="1:5" ht="18">
      <c r="A641" s="3" t="s">
        <v>3011</v>
      </c>
      <c r="B641" s="4" t="str">
        <f ca="1">IFERROR(__xludf.DUMMYFUNCTION("IFERROR(GOOGLETRANSLATE(A641,""ko"",""en""),)"),"University Library")</f>
        <v>University Library</v>
      </c>
      <c r="C641" s="4" t="str">
        <f ca="1">IFERROR(__xludf.DUMMYFUNCTION("IFERROR(GOOGLETRANSLATE(B641,""en"",""ja""),)"),"大学図書館")</f>
        <v>大学図書館</v>
      </c>
      <c r="D641" s="4" t="str">
        <f ca="1">IFERROR(__xludf.DUMMYFUNCTION("IFERROR(GOOGLETRANSLATE(B641,""en"",""zh-TW""),)"),"大學圖書館")</f>
        <v>大學圖書館</v>
      </c>
      <c r="E641" s="4" t="str">
        <f ca="1">IFERROR(__xludf.DUMMYFUNCTION("IFERROR(GOOGLETRANSLATE(B641,""en"",""zh-CN""),)"),"大学图书馆")</f>
        <v>大学图书馆</v>
      </c>
    </row>
    <row r="642" spans="1:5" ht="18">
      <c r="A642" s="5" t="s">
        <v>3019</v>
      </c>
      <c r="B642" s="4" t="str">
        <f ca="1">IFERROR(__xludf.DUMMYFUNCTION("IFERROR(GOOGLETRANSLATE(A642,""ko"",""en""),)"),"really")</f>
        <v>really</v>
      </c>
      <c r="C642" s="4" t="str">
        <f ca="1">IFERROR(__xludf.DUMMYFUNCTION("IFERROR(GOOGLETRANSLATE(B642,""en"",""ja""),)"),"本当に")</f>
        <v>本当に</v>
      </c>
      <c r="D642" s="4" t="str">
        <f ca="1">IFERROR(__xludf.DUMMYFUNCTION("IFERROR(GOOGLETRANSLATE(B642,""en"",""zh-TW""),)"),"真的")</f>
        <v>真的</v>
      </c>
      <c r="E642" s="4" t="str">
        <f ca="1">IFERROR(__xludf.DUMMYFUNCTION("IFERROR(GOOGLETRANSLATE(B642,""en"",""zh-CN""),)"),"真的")</f>
        <v>真的</v>
      </c>
    </row>
    <row r="643" spans="1:5" ht="18">
      <c r="A643" s="3" t="s">
        <v>3026</v>
      </c>
      <c r="B643" s="4" t="str">
        <f ca="1">IFERROR(__xludf.DUMMYFUNCTION("IFERROR(GOOGLETRANSLATE(A643,""ko"",""en""),)"),"listen")</f>
        <v>listen</v>
      </c>
      <c r="C643" s="4" t="str">
        <f ca="1">IFERROR(__xludf.DUMMYFUNCTION("IFERROR(GOOGLETRANSLATE(B643,""en"",""ja""),)"),"聞く")</f>
        <v>聞く</v>
      </c>
      <c r="D643" s="4" t="str">
        <f ca="1">IFERROR(__xludf.DUMMYFUNCTION("IFERROR(GOOGLETRANSLATE(B643,""en"",""zh-TW""),)"),"聽")</f>
        <v>聽</v>
      </c>
      <c r="E643" s="4" t="str">
        <f ca="1">IFERROR(__xludf.DUMMYFUNCTION("IFERROR(GOOGLETRANSLATE(B643,""en"",""zh-CN""),)"),"听")</f>
        <v>听</v>
      </c>
    </row>
    <row r="644" spans="1:5" ht="18">
      <c r="A644" s="3" t="s">
        <v>3034</v>
      </c>
      <c r="B644" s="4" t="str">
        <f ca="1">IFERROR(__xludf.DUMMYFUNCTION("IFERROR(GOOGLETRANSLATE(A644,""ko"",""en""),)"),"I read a book")</f>
        <v>I read a book</v>
      </c>
      <c r="C644" s="4" t="str">
        <f ca="1">IFERROR(__xludf.DUMMYFUNCTION("IFERROR(GOOGLETRANSLATE(B644,""en"",""ja""),)"),"私は本を​​読んだ")</f>
        <v>私は本を​​読んだ</v>
      </c>
      <c r="D644" s="4" t="str">
        <f ca="1">IFERROR(__xludf.DUMMYFUNCTION("IFERROR(GOOGLETRANSLATE(B644,""en"",""zh-TW""),)"),"我讀了一本書")</f>
        <v>我讀了一本書</v>
      </c>
      <c r="E644" s="4" t="str">
        <f ca="1">IFERROR(__xludf.DUMMYFUNCTION("IFERROR(GOOGLETRANSLATE(B644,""en"",""zh-CN""),)"),"我读了一本书")</f>
        <v>我读了一本书</v>
      </c>
    </row>
    <row r="645" spans="1:5" ht="18">
      <c r="A645" s="3" t="s">
        <v>2769</v>
      </c>
      <c r="B645" s="4" t="str">
        <f ca="1">IFERROR(__xludf.DUMMYFUNCTION("IFERROR(GOOGLETRANSLATE(A645,""ko"",""en""),)"),"I watch television.")</f>
        <v>I watch television.</v>
      </c>
      <c r="C645" s="4" t="str">
        <f ca="1">IFERROR(__xludf.DUMMYFUNCTION("IFERROR(GOOGLETRANSLATE(B645,""en"",""ja""),)"),"私はテレビを見る。")</f>
        <v>私はテレビを見る。</v>
      </c>
      <c r="D645" s="4" t="str">
        <f ca="1">IFERROR(__xludf.DUMMYFUNCTION("IFERROR(GOOGLETRANSLATE(B645,""en"",""zh-TW""),)"),"我看電視。")</f>
        <v>我看電視。</v>
      </c>
      <c r="E645" s="4" t="str">
        <f ca="1">IFERROR(__xludf.DUMMYFUNCTION("IFERROR(GOOGLETRANSLATE(B645,""en"",""zh-CN""),)"),"我看电视。")</f>
        <v>我看电视。</v>
      </c>
    </row>
    <row r="646" spans="1:5" ht="18">
      <c r="A646" s="3" t="s">
        <v>3049</v>
      </c>
      <c r="B646" s="4" t="str">
        <f ca="1">IFERROR(__xludf.DUMMYFUNCTION("IFERROR(GOOGLETRANSLATE(A646,""ko"",""en""),)"),"Yes, I am studying now.")</f>
        <v>Yes, I am studying now.</v>
      </c>
      <c r="C646" s="4" t="str">
        <f ca="1">IFERROR(__xludf.DUMMYFUNCTION("IFERROR(GOOGLETRANSLATE(B646,""en"",""ja""),)"),"はい、今は勉強中です。")</f>
        <v>はい、今は勉強中です。</v>
      </c>
      <c r="D646" s="4" t="str">
        <f ca="1">IFERROR(__xludf.DUMMYFUNCTION("IFERROR(GOOGLETRANSLATE(B646,""en"",""zh-TW""),)"),"是的，我現在正在學習。")</f>
        <v>是的，我現在正在學習。</v>
      </c>
      <c r="E646" s="4" t="str">
        <f ca="1">IFERROR(__xludf.DUMMYFUNCTION("IFERROR(GOOGLETRANSLATE(B646,""en"",""zh-CN""),)"),"是的，我现在正在学习。")</f>
        <v>是的，我现在正在学习。</v>
      </c>
    </row>
    <row r="647" spans="1:5" ht="18">
      <c r="A647" s="3" t="s">
        <v>3059</v>
      </c>
      <c r="B647" s="4" t="str">
        <f ca="1">IFERROR(__xludf.DUMMYFUNCTION("IFERROR(GOOGLETRANSLATE(A647,""ko"",""en""),)"),"No, I'm sleeping.")</f>
        <v>No, I'm sleeping.</v>
      </c>
      <c r="C647" s="4" t="str">
        <f ca="1">IFERROR(__xludf.DUMMYFUNCTION("IFERROR(GOOGLETRANSLATE(B647,""en"",""ja""),)"),"いいえ、寝ています。")</f>
        <v>いいえ、寝ています。</v>
      </c>
      <c r="D647" s="4" t="str">
        <f ca="1">IFERROR(__xludf.DUMMYFUNCTION("IFERROR(GOOGLETRANSLATE(B647,""en"",""zh-TW""),)"),"不，我在睡覺。")</f>
        <v>不，我在睡覺。</v>
      </c>
      <c r="E647" s="4" t="str">
        <f ca="1">IFERROR(__xludf.DUMMYFUNCTION("IFERROR(GOOGLETRANSLATE(B647,""en"",""zh-CN""),)"),"不，我在睡觉。")</f>
        <v>不，我在睡觉。</v>
      </c>
    </row>
    <row r="648" spans="1:5" ht="18">
      <c r="A648" s="3" t="s">
        <v>3066</v>
      </c>
      <c r="B648" s="4" t="str">
        <f ca="1">IFERROR(__xludf.DUMMYFUNCTION("IFERROR(GOOGLETRANSLATE(A648,""ko"",""en""),)"),"Cook")</f>
        <v>Cook</v>
      </c>
      <c r="C648" s="4" t="str">
        <f ca="1">IFERROR(__xludf.DUMMYFUNCTION("IFERROR(GOOGLETRANSLATE(B648,""en"",""ja""),)"),"料理する")</f>
        <v>料理する</v>
      </c>
      <c r="D648" s="4" t="str">
        <f ca="1">IFERROR(__xludf.DUMMYFUNCTION("IFERROR(GOOGLETRANSLATE(B648,""en"",""zh-TW""),)"),"廚師")</f>
        <v>廚師</v>
      </c>
      <c r="E648" s="4" t="str">
        <f ca="1">IFERROR(__xludf.DUMMYFUNCTION("IFERROR(GOOGLETRANSLATE(B648,""en"",""zh-CN""),)"),"厨师")</f>
        <v>厨师</v>
      </c>
    </row>
    <row r="649" spans="1:5" ht="18">
      <c r="A649" s="3" t="s">
        <v>2722</v>
      </c>
      <c r="B649" s="4" t="str">
        <f ca="1">IFERROR(__xludf.DUMMYFUNCTION("IFERROR(GOOGLETRANSLATE(A649,""ko"",""en""),)"),"Let's cook")</f>
        <v>Let's cook</v>
      </c>
      <c r="C649" s="4" t="str">
        <f ca="1">IFERROR(__xludf.DUMMYFUNCTION("IFERROR(GOOGLETRANSLATE(B649,""en"",""ja""),)"),"料理をしよう")</f>
        <v>料理をしよう</v>
      </c>
      <c r="D649" s="4" t="str">
        <f ca="1">IFERROR(__xludf.DUMMYFUNCTION("IFERROR(GOOGLETRANSLATE(B649,""en"",""zh-TW""),)"),"我們來做飯吧")</f>
        <v>我們來做飯吧</v>
      </c>
      <c r="E649" s="4" t="str">
        <f ca="1">IFERROR(__xludf.DUMMYFUNCTION("IFERROR(GOOGLETRANSLATE(B649,""en"",""zh-CN""),)"),"我们来做饭吧")</f>
        <v>我们来做饭吧</v>
      </c>
    </row>
    <row r="650" spans="1:5" ht="18">
      <c r="A650" s="3" t="s">
        <v>3076</v>
      </c>
      <c r="B650" s="4" t="str">
        <f ca="1">IFERROR(__xludf.DUMMYFUNCTION("IFERROR(GOOGLETRANSLATE(A650,""ko"",""en""),)"),"I study Korean.")</f>
        <v>I study Korean.</v>
      </c>
      <c r="C650" s="4" t="str">
        <f ca="1">IFERROR(__xludf.DUMMYFUNCTION("IFERROR(GOOGLETRANSLATE(B650,""en"",""ja""),)"),"私は韓国語を勉強しています。")</f>
        <v>私は韓国語を勉強しています。</v>
      </c>
      <c r="D650" s="4" t="str">
        <f ca="1">IFERROR(__xludf.DUMMYFUNCTION("IFERROR(GOOGLETRANSLATE(B650,""en"",""zh-TW""),)"),"我學習韓語。")</f>
        <v>我學習韓語。</v>
      </c>
      <c r="E650" s="4" t="str">
        <f ca="1">IFERROR(__xludf.DUMMYFUNCTION("IFERROR(GOOGLETRANSLATE(B650,""en"",""zh-CN""),)"),"我学习韩语。")</f>
        <v>我学习韩语。</v>
      </c>
    </row>
    <row r="651" spans="1:5" ht="18">
      <c r="A651" s="3" t="s">
        <v>2899</v>
      </c>
      <c r="B651" s="4" t="str">
        <f ca="1">IFERROR(__xludf.DUMMYFUNCTION("IFERROR(GOOGLETRANSLATE(A651,""ko"",""en""),)"),"I'm drinking tea.")</f>
        <v>I'm drinking tea.</v>
      </c>
      <c r="C651" s="4" t="str">
        <f ca="1">IFERROR(__xludf.DUMMYFUNCTION("IFERROR(GOOGLETRANSLATE(B651,""en"",""ja""),)"),"私はお茶を飲んでいます。")</f>
        <v>私はお茶を飲んでいます。</v>
      </c>
      <c r="D651" s="4" t="str">
        <f ca="1">IFERROR(__xludf.DUMMYFUNCTION("IFERROR(GOOGLETRANSLATE(B651,""en"",""zh-TW""),)"),"我在喝茶。")</f>
        <v>我在喝茶。</v>
      </c>
      <c r="E651" s="4" t="str">
        <f ca="1">IFERROR(__xludf.DUMMYFUNCTION("IFERROR(GOOGLETRANSLATE(B651,""en"",""zh-CN""),)"),"我在喝茶。")</f>
        <v>我在喝茶。</v>
      </c>
    </row>
    <row r="652" spans="1:5" ht="18">
      <c r="A652" s="3" t="s">
        <v>2686</v>
      </c>
      <c r="B652" s="4" t="str">
        <f ca="1">IFERROR(__xludf.DUMMYFUNCTION("IFERROR(GOOGLETRANSLATE(A652,""ko"",""en""),)"),"I'm meeting a friend.")</f>
        <v>I'm meeting a friend.</v>
      </c>
      <c r="C652" s="4" t="str">
        <f ca="1">IFERROR(__xludf.DUMMYFUNCTION("IFERROR(GOOGLETRANSLATE(B652,""en"",""ja""),)"),"友達と会う予定です。")</f>
        <v>友達と会う予定です。</v>
      </c>
      <c r="D652" s="4" t="str">
        <f ca="1">IFERROR(__xludf.DUMMYFUNCTION("IFERROR(GOOGLETRANSLATE(B652,""en"",""zh-TW""),)"),"我要和朋友見面。")</f>
        <v>我要和朋友見面。</v>
      </c>
      <c r="E652" s="4" t="str">
        <f ca="1">IFERROR(__xludf.DUMMYFUNCTION("IFERROR(GOOGLETRANSLATE(B652,""en"",""zh-CN""),)"),"我要和朋友见面。")</f>
        <v>我要和朋友见面。</v>
      </c>
    </row>
    <row r="653" spans="1:5" ht="18">
      <c r="A653" s="3" t="s">
        <v>3096</v>
      </c>
      <c r="B653" s="4" t="str">
        <f ca="1">IFERROR(__xludf.DUMMYFUNCTION("IFERROR(GOOGLETRANSLATE(A653,""ko"",""en""),)"),"Listen to a song. Sing a song.")</f>
        <v>Listen to a song. Sing a song.</v>
      </c>
      <c r="C653" s="4" t="str">
        <f ca="1">IFERROR(__xludf.DUMMYFUNCTION("IFERROR(GOOGLETRANSLATE(B653,""en"",""ja""),)"),"歌を聴く。歌を歌う。")</f>
        <v>歌を聴く。歌を歌う。</v>
      </c>
      <c r="D653" s="4" t="str">
        <f ca="1">IFERROR(__xludf.DUMMYFUNCTION("IFERROR(GOOGLETRANSLATE(B653,""en"",""zh-TW""),)"),"聽首歌。唱首歌。")</f>
        <v>聽首歌。唱首歌。</v>
      </c>
      <c r="E653" s="4" t="str">
        <f ca="1">IFERROR(__xludf.DUMMYFUNCTION("IFERROR(GOOGLETRANSLATE(B653,""en"",""zh-CN""),)"),"听首歌。唱首歌。")</f>
        <v>听首歌。唱首歌。</v>
      </c>
    </row>
    <row r="654" spans="1:5" ht="18">
      <c r="A654" s="3" t="s">
        <v>79</v>
      </c>
      <c r="B654" s="4" t="str">
        <f ca="1">IFERROR(__xludf.DUMMYFUNCTION("IFERROR(GOOGLETRANSLATE(A654,""ko"",""en""),)"),"rice")</f>
        <v>rice</v>
      </c>
      <c r="C654" s="4" t="str">
        <f ca="1">IFERROR(__xludf.DUMMYFUNCTION("IFERROR(GOOGLETRANSLATE(B654,""en"",""ja""),)"),"米")</f>
        <v>米</v>
      </c>
      <c r="D654" s="4" t="str">
        <f ca="1">IFERROR(__xludf.DUMMYFUNCTION("IFERROR(GOOGLETRANSLATE(B654,""en"",""zh-TW""),)"),"白飯")</f>
        <v>白飯</v>
      </c>
      <c r="E654" s="4" t="str">
        <f ca="1">IFERROR(__xludf.DUMMYFUNCTION("IFERROR(GOOGLETRANSLATE(B654,""en"",""zh-CN""),)"),"米")</f>
        <v>米</v>
      </c>
    </row>
    <row r="655" spans="1:5" ht="18">
      <c r="A655" s="3" t="s">
        <v>3107</v>
      </c>
      <c r="B655" s="4" t="s">
        <v>3108</v>
      </c>
      <c r="C655" s="4" t="str">
        <f ca="1">IFERROR(__xludf.DUMMYFUNCTION("IFERROR(GOOGLETRANSLATE(B655,""en"",""ja""),)"),"食事をする")</f>
        <v>食事をする</v>
      </c>
      <c r="D655" s="4" t="str">
        <f ca="1">IFERROR(__xludf.DUMMYFUNCTION("IFERROR(GOOGLETRANSLATE(B655,""en"",""zh-TW""),)"),"吃一頓飯")</f>
        <v>吃一頓飯</v>
      </c>
      <c r="E655" s="4" t="str">
        <f ca="1">IFERROR(__xludf.DUMMYFUNCTION("IFERROR(GOOGLETRANSLATE(B655,""en"",""zh-CN""),)"),"吃一顿饭")</f>
        <v>吃一顿饭</v>
      </c>
    </row>
    <row r="656" spans="1:5" ht="18">
      <c r="A656" s="3" t="s">
        <v>3114</v>
      </c>
      <c r="B656" s="4" t="str">
        <f ca="1">IFERROR(__xludf.DUMMYFUNCTION("IFERROR(GOOGLETRANSLATE(A656,""ko"",""en""),)"),"I eat rice.")</f>
        <v>I eat rice.</v>
      </c>
      <c r="C656" s="4" t="str">
        <f ca="1">IFERROR(__xludf.DUMMYFUNCTION("IFERROR(GOOGLETRANSLATE(B656,""en"",""ja""),)"),"私はご飯を食べます。")</f>
        <v>私はご飯を食べます。</v>
      </c>
      <c r="D656" s="4" t="str">
        <f ca="1">IFERROR(__xludf.DUMMYFUNCTION("IFERROR(GOOGLETRANSLATE(B656,""en"",""zh-TW""),)"),"我吃米飯。")</f>
        <v>我吃米飯。</v>
      </c>
      <c r="E656" s="4" t="str">
        <f ca="1">IFERROR(__xludf.DUMMYFUNCTION("IFERROR(GOOGLETRANSLATE(B656,""en"",""zh-CN""),)"),"我吃米饭。")</f>
        <v>我吃米饭。</v>
      </c>
    </row>
    <row r="657" spans="1:5" ht="18">
      <c r="A657" s="3" t="s">
        <v>2722</v>
      </c>
      <c r="B657" s="4" t="str">
        <f ca="1">IFERROR(__xludf.DUMMYFUNCTION("IFERROR(GOOGLETRANSLATE(A657,""ko"",""en""),)"),"Let's cook")</f>
        <v>Let's cook</v>
      </c>
      <c r="C657" s="4" t="str">
        <f ca="1">IFERROR(__xludf.DUMMYFUNCTION("IFERROR(GOOGLETRANSLATE(B657,""en"",""ja""),)"),"料理をしよう")</f>
        <v>料理をしよう</v>
      </c>
      <c r="D657" s="4" t="str">
        <f ca="1">IFERROR(__xludf.DUMMYFUNCTION("IFERROR(GOOGLETRANSLATE(B657,""en"",""zh-TW""),)"),"我們來做飯吧")</f>
        <v>我們來做飯吧</v>
      </c>
      <c r="E657" s="4" t="str">
        <f ca="1">IFERROR(__xludf.DUMMYFUNCTION("IFERROR(GOOGLETRANSLATE(B657,""en"",""zh-CN""),)"),"我们来做饭吧")</f>
        <v>我们来做饭吧</v>
      </c>
    </row>
    <row r="658" spans="1:5" ht="18">
      <c r="A658" s="5" t="s">
        <v>3127</v>
      </c>
      <c r="B658" s="4" t="str">
        <f ca="1">IFERROR(__xludf.DUMMYFUNCTION("IFERROR(GOOGLETRANSLATE(A658,""ko"",""en""),)"),"thing")</f>
        <v>thing</v>
      </c>
      <c r="C658" s="4" t="str">
        <f ca="1">IFERROR(__xludf.DUMMYFUNCTION("IFERROR(GOOGLETRANSLATE(B658,""en"",""ja""),)"),"もの")</f>
        <v>もの</v>
      </c>
      <c r="D658" s="4" t="str">
        <f ca="1">IFERROR(__xludf.DUMMYFUNCTION("IFERROR(GOOGLETRANSLATE(B658,""en"",""zh-TW""),)"),"事物")</f>
        <v>事物</v>
      </c>
      <c r="E658" s="4" t="str">
        <f ca="1">IFERROR(__xludf.DUMMYFUNCTION("IFERROR(GOOGLETRANSLATE(B658,""en"",""zh-CN""),)"),"事物")</f>
        <v>事物</v>
      </c>
    </row>
    <row r="659" spans="1:5" ht="18">
      <c r="A659" s="5" t="s">
        <v>3134</v>
      </c>
      <c r="B659" s="4" t="str">
        <f ca="1">IFERROR(__xludf.DUMMYFUNCTION("IFERROR(GOOGLETRANSLATE(A659,""ko"",""en""),)"),"location")</f>
        <v>location</v>
      </c>
      <c r="C659" s="4" t="str">
        <f ca="1">IFERROR(__xludf.DUMMYFUNCTION("IFERROR(GOOGLETRANSLATE(B659,""en"",""ja""),)"),"位置")</f>
        <v>位置</v>
      </c>
      <c r="D659" s="4" t="str">
        <f ca="1">IFERROR(__xludf.DUMMYFUNCTION("IFERROR(GOOGLETRANSLATE(B659,""en"",""zh-TW""),)"),"地點")</f>
        <v>地點</v>
      </c>
      <c r="E659" s="4" t="str">
        <f ca="1">IFERROR(__xludf.DUMMYFUNCTION("IFERROR(GOOGLETRANSLATE(B659,""en"",""zh-CN""),)"),"地点")</f>
        <v>地点</v>
      </c>
    </row>
    <row r="660" spans="1:5" ht="18">
      <c r="A660" s="3" t="s">
        <v>2682</v>
      </c>
      <c r="B660" s="4" t="str">
        <f ca="1">IFERROR(__xludf.DUMMYFUNCTION("IFERROR(GOOGLETRANSLATE(A660,""ko"",""en""),)"),"see")</f>
        <v>see</v>
      </c>
      <c r="C660" s="4" t="str">
        <f ca="1">IFERROR(__xludf.DUMMYFUNCTION("IFERROR(GOOGLETRANSLATE(B660,""en"",""ja""),)"),"見る")</f>
        <v>見る</v>
      </c>
      <c r="D660" s="4" t="str">
        <f ca="1">IFERROR(__xludf.DUMMYFUNCTION("IFERROR(GOOGLETRANSLATE(B660,""en"",""zh-TW""),)"),"看")</f>
        <v>看</v>
      </c>
      <c r="E660" s="4" t="str">
        <f ca="1">IFERROR(__xludf.DUMMYFUNCTION("IFERROR(GOOGLETRANSLATE(B660,""en"",""zh-CN""),)"),"看")</f>
        <v>看</v>
      </c>
    </row>
    <row r="661" spans="1:5" ht="18">
      <c r="A661" s="3" t="s">
        <v>1240</v>
      </c>
      <c r="B661" s="4" t="str">
        <f ca="1">IFERROR(__xludf.DUMMYFUNCTION("IFERROR(GOOGLETRANSLATE(A661,""ko"",""en""),)"),"buy")</f>
        <v>buy</v>
      </c>
      <c r="C661" s="4" t="str">
        <f ca="1">IFERROR(__xludf.DUMMYFUNCTION("IFERROR(GOOGLETRANSLATE(B661,""en"",""ja""),)"),"買う")</f>
        <v>買う</v>
      </c>
      <c r="D661" s="4" t="str">
        <f ca="1">IFERROR(__xludf.DUMMYFUNCTION("IFERROR(GOOGLETRANSLATE(B661,""en"",""zh-TW""),)"),"買")</f>
        <v>買</v>
      </c>
      <c r="E661" s="4" t="str">
        <f ca="1">IFERROR(__xludf.DUMMYFUNCTION("IFERROR(GOOGLETRANSLATE(B661,""en"",""zh-CN""),)"),"买")</f>
        <v>买</v>
      </c>
    </row>
    <row r="662" spans="1:5" ht="18">
      <c r="A662" s="3" t="s">
        <v>2705</v>
      </c>
      <c r="B662" s="4" t="str">
        <f ca="1">IFERROR(__xludf.DUMMYFUNCTION("IFERROR(GOOGLETRANSLATE(A662,""ko"",""en""),)"),"sleep")</f>
        <v>sleep</v>
      </c>
      <c r="C662" s="4" t="str">
        <f ca="1">IFERROR(__xludf.DUMMYFUNCTION("IFERROR(GOOGLETRANSLATE(B662,""en"",""ja""),)"),"寝る")</f>
        <v>寝る</v>
      </c>
      <c r="D662" s="4" t="str">
        <f ca="1">IFERROR(__xludf.DUMMYFUNCTION("IFERROR(GOOGLETRANSLATE(B662,""en"",""zh-TW""),)"),"睡覺")</f>
        <v>睡覺</v>
      </c>
      <c r="E662" s="4" t="str">
        <f ca="1">IFERROR(__xludf.DUMMYFUNCTION("IFERROR(GOOGLETRANSLATE(B662,""en"",""zh-CN""),)"),"睡觉")</f>
        <v>睡觉</v>
      </c>
    </row>
    <row r="663" spans="1:5" ht="18">
      <c r="A663" s="3" t="s">
        <v>2701</v>
      </c>
      <c r="B663" s="4" t="str">
        <f ca="1">IFERROR(__xludf.DUMMYFUNCTION("IFERROR(GOOGLETRANSLATE(A663,""ko"",""en""),)"),"see you")</f>
        <v>see you</v>
      </c>
      <c r="C663" s="4" t="str">
        <f ca="1">IFERROR(__xludf.DUMMYFUNCTION("IFERROR(GOOGLETRANSLATE(B663,""en"",""ja""),)"),"またね")</f>
        <v>またね</v>
      </c>
      <c r="D663" s="4" t="str">
        <f ca="1">IFERROR(__xludf.DUMMYFUNCTION("IFERROR(GOOGLETRANSLATE(B663,""en"",""zh-TW""),)"),"再見")</f>
        <v>再見</v>
      </c>
      <c r="E663" s="4" t="str">
        <f ca="1">IFERROR(__xludf.DUMMYFUNCTION("IFERROR(GOOGLETRANSLATE(B663,""en"",""zh-CN""),)"),"再见")</f>
        <v>再见</v>
      </c>
    </row>
    <row r="664" spans="1:5" ht="18">
      <c r="A664" s="3" t="s">
        <v>2671</v>
      </c>
      <c r="B664" s="4" t="str">
        <f ca="1">IFERROR(__xludf.DUMMYFUNCTION("IFERROR(GOOGLETRANSLATE(A664,""ko"",""en""),)"),"eat")</f>
        <v>eat</v>
      </c>
      <c r="C664" s="4" t="str">
        <f ca="1">IFERROR(__xludf.DUMMYFUNCTION("IFERROR(GOOGLETRANSLATE(B664,""en"",""ja""),)"),"食べる")</f>
        <v>食べる</v>
      </c>
      <c r="D664" s="4" t="str">
        <f ca="1">IFERROR(__xludf.DUMMYFUNCTION("IFERROR(GOOGLETRANSLATE(B664,""en"",""zh-TW""),)"),"吃")</f>
        <v>吃</v>
      </c>
      <c r="E664" s="4" t="str">
        <f ca="1">IFERROR(__xludf.DUMMYFUNCTION("IFERROR(GOOGLETRANSLATE(B664,""en"",""zh-CN""),)"),"吃")</f>
        <v>吃</v>
      </c>
    </row>
    <row r="665" spans="1:5" ht="18">
      <c r="A665" s="3" t="s">
        <v>2676</v>
      </c>
      <c r="B665" s="4" t="str">
        <f ca="1">IFERROR(__xludf.DUMMYFUNCTION("IFERROR(GOOGLETRANSLATE(A665,""ko"",""en""),)"),"Read")</f>
        <v>Read</v>
      </c>
      <c r="C665" s="4" t="str">
        <f ca="1">IFERROR(__xludf.DUMMYFUNCTION("IFERROR(GOOGLETRANSLATE(B665,""en"",""ja""),)"),"読む")</f>
        <v>読む</v>
      </c>
      <c r="D665" s="4" t="str">
        <f ca="1">IFERROR(__xludf.DUMMYFUNCTION("IFERROR(GOOGLETRANSLATE(B665,""en"",""zh-TW""),)"),"讀")</f>
        <v>讀</v>
      </c>
      <c r="E665" s="4" t="str">
        <f ca="1">IFERROR(__xludf.DUMMYFUNCTION("IFERROR(GOOGLETRANSLATE(B665,""en"",""zh-CN""),)"),"读")</f>
        <v>读</v>
      </c>
    </row>
    <row r="666" spans="1:5" ht="18">
      <c r="A666" s="3" t="s">
        <v>2688</v>
      </c>
      <c r="B666" s="4" t="str">
        <f ca="1">IFERROR(__xludf.DUMMYFUNCTION("IFERROR(GOOGLETRANSLATE(A666,""ko"",""en""),)"),"Drink")</f>
        <v>Drink</v>
      </c>
      <c r="C666" s="4" t="str">
        <f ca="1">IFERROR(__xludf.DUMMYFUNCTION("IFERROR(GOOGLETRANSLATE(B666,""en"",""ja""),)"),"飲む")</f>
        <v>飲む</v>
      </c>
      <c r="D666" s="4" t="str">
        <f ca="1">IFERROR(__xludf.DUMMYFUNCTION("IFERROR(GOOGLETRANSLATE(B666,""en"",""zh-TW""),)"),"喝")</f>
        <v>喝</v>
      </c>
      <c r="E666" s="4" t="str">
        <f ca="1">IFERROR(__xludf.DUMMYFUNCTION("IFERROR(GOOGLETRANSLATE(B666,""en"",""zh-CN""),)"),"喝")</f>
        <v>喝</v>
      </c>
    </row>
    <row r="667" spans="1:5" ht="18">
      <c r="A667" s="3" t="s">
        <v>2694</v>
      </c>
      <c r="B667" s="4" t="str">
        <f ca="1">IFERROR(__xludf.DUMMYFUNCTION("IFERROR(GOOGLETRANSLATE(A667,""ko"",""en""),)"),"Listen")</f>
        <v>Listen</v>
      </c>
      <c r="C667" s="4" t="str">
        <f ca="1">IFERROR(__xludf.DUMMYFUNCTION("IFERROR(GOOGLETRANSLATE(B667,""en"",""ja""),)"),"聞く")</f>
        <v>聞く</v>
      </c>
      <c r="D667" s="4" t="str">
        <f ca="1">IFERROR(__xludf.DUMMYFUNCTION("IFERROR(GOOGLETRANSLATE(B667,""en"",""zh-TW""),)"),"聽")</f>
        <v>聽</v>
      </c>
      <c r="E667" s="4" t="str">
        <f ca="1">IFERROR(__xludf.DUMMYFUNCTION("IFERROR(GOOGLETRANSLATE(B667,""en"",""zh-CN""),)"),"听")</f>
        <v>听</v>
      </c>
    </row>
    <row r="668" spans="1:5" ht="18">
      <c r="A668" s="3" t="s">
        <v>2709</v>
      </c>
      <c r="B668" s="4" t="str">
        <f ca="1">IFERROR(__xludf.DUMMYFUNCTION("IFERROR(GOOGLETRANSLATE(A668,""ko"",""en""),)"),"I work")</f>
        <v>I work</v>
      </c>
      <c r="C668" s="4" t="str">
        <f ca="1">IFERROR(__xludf.DUMMYFUNCTION("IFERROR(GOOGLETRANSLATE(B668,""en"",""ja""),)"),"私は働く")</f>
        <v>私は働く</v>
      </c>
      <c r="D668" s="4" t="str">
        <f ca="1">IFERROR(__xludf.DUMMYFUNCTION("IFERROR(GOOGLETRANSLATE(B668,""en"",""zh-TW""),)"),"我的工作")</f>
        <v>我的工作</v>
      </c>
      <c r="E668" s="4" t="str">
        <f ca="1">IFERROR(__xludf.DUMMYFUNCTION("IFERROR(GOOGLETRANSLATE(B668,""en"",""zh-CN""),)"),"我的工作")</f>
        <v>我的工作</v>
      </c>
    </row>
    <row r="669" spans="1:5" ht="18">
      <c r="A669" s="3" t="s">
        <v>2728</v>
      </c>
      <c r="B669" s="4" t="str">
        <f ca="1">IFERROR(__xludf.DUMMYFUNCTION("IFERROR(GOOGLETRANSLATE(A669,""ko"",""en""),)"),"I study")</f>
        <v>I study</v>
      </c>
      <c r="C669" s="4" t="str">
        <f ca="1">IFERROR(__xludf.DUMMYFUNCTION("IFERROR(GOOGLETRANSLATE(B669,""en"",""ja""),)"),"私は勉強します")</f>
        <v>私は勉強します</v>
      </c>
      <c r="D669" s="4" t="str">
        <f ca="1">IFERROR(__xludf.DUMMYFUNCTION("IFERROR(GOOGLETRANSLATE(B669,""en"",""zh-TW""),)"),"我學習")</f>
        <v>我學習</v>
      </c>
      <c r="E669" s="4" t="str">
        <f ca="1">IFERROR(__xludf.DUMMYFUNCTION("IFERROR(GOOGLETRANSLATE(B669,""en"",""zh-CN""),)"),"我学习")</f>
        <v>我学习</v>
      </c>
    </row>
    <row r="670" spans="1:5" ht="18">
      <c r="A670" s="3" t="s">
        <v>2722</v>
      </c>
      <c r="B670" s="4" t="str">
        <f ca="1">IFERROR(__xludf.DUMMYFUNCTION("IFERROR(GOOGLETRANSLATE(A670,""ko"",""en""),)"),"Let's cook")</f>
        <v>Let's cook</v>
      </c>
      <c r="C670" s="4" t="str">
        <f ca="1">IFERROR(__xludf.DUMMYFUNCTION("IFERROR(GOOGLETRANSLATE(B670,""en"",""ja""),)"),"料理をしよう")</f>
        <v>料理をしよう</v>
      </c>
      <c r="D670" s="4" t="str">
        <f ca="1">IFERROR(__xludf.DUMMYFUNCTION("IFERROR(GOOGLETRANSLATE(B670,""en"",""zh-TW""),)"),"我們來做飯吧")</f>
        <v>我們來做飯吧</v>
      </c>
      <c r="E670" s="4" t="str">
        <f ca="1">IFERROR(__xludf.DUMMYFUNCTION("IFERROR(GOOGLETRANSLATE(B670,""en"",""zh-CN""),)"),"我们来做饭吧")</f>
        <v>我们来做饭吧</v>
      </c>
    </row>
    <row r="671" spans="1:5" ht="18">
      <c r="A671" s="3" t="s">
        <v>3179</v>
      </c>
      <c r="B671" s="4" t="str">
        <f ca="1">IFERROR(__xludf.DUMMYFUNCTION("IFERROR(GOOGLETRANSLATE(A671,""ko"",""en""),)"),"i like you")</f>
        <v>i like you</v>
      </c>
      <c r="C671" s="4" t="str">
        <f ca="1">IFERROR(__xludf.DUMMYFUNCTION("IFERROR(GOOGLETRANSLATE(B671,""en"",""ja""),)"),"私はあなたが好きです")</f>
        <v>私はあなたが好きです</v>
      </c>
      <c r="D671" s="4" t="str">
        <f ca="1">IFERROR(__xludf.DUMMYFUNCTION("IFERROR(GOOGLETRANSLATE(B671,""en"",""zh-TW""),)"),"我喜歡你")</f>
        <v>我喜歡你</v>
      </c>
      <c r="E671" s="4" t="str">
        <f ca="1">IFERROR(__xludf.DUMMYFUNCTION("IFERROR(GOOGLETRANSLATE(B671,""en"",""zh-CN""),)"),"我喜欢你")</f>
        <v>我喜欢你</v>
      </c>
    </row>
    <row r="672" spans="1:5" ht="18">
      <c r="A672" s="3" t="s">
        <v>1885</v>
      </c>
      <c r="B672" s="4" t="str">
        <f ca="1">IFERROR(__xludf.DUMMYFUNCTION("IFERROR(GOOGLETRANSLATE(A672,""ko"",""en""),)"),"Look at the picture and complete the sentence.")</f>
        <v>Look at the picture and complete the sentence.</v>
      </c>
      <c r="C672" s="4" t="str">
        <f ca="1">IFERROR(__xludf.DUMMYFUNCTION("IFERROR(GOOGLETRANSLATE(B672,""en"",""ja""),)"),"絵を見て、文を完成させなさい。")</f>
        <v>絵を見て、文を完成させなさい。</v>
      </c>
      <c r="D672" s="4" t="str">
        <f ca="1">IFERROR(__xludf.DUMMYFUNCTION("IFERROR(GOOGLETRANSLATE(B672,""en"",""zh-TW""),)"),"看圖完成句子。")</f>
        <v>看圖完成句子。</v>
      </c>
      <c r="E672" s="4" t="str">
        <f ca="1">IFERROR(__xludf.DUMMYFUNCTION("IFERROR(GOOGLETRANSLATE(B672,""en"",""zh-CN""),)"),"看图完成句子。")</f>
        <v>看图完成句子。</v>
      </c>
    </row>
    <row r="673" spans="1:5" ht="18">
      <c r="A673" s="3" t="s">
        <v>3190</v>
      </c>
      <c r="B673" s="4" t="str">
        <f ca="1">IFERROR(__xludf.DUMMYFUNCTION("IFERROR(GOOGLETRANSLATE(A673,""ko"",""en""),)"),"The baby is sleeping.")</f>
        <v>The baby is sleeping.</v>
      </c>
      <c r="C673" s="4" t="str">
        <f ca="1">IFERROR(__xludf.DUMMYFUNCTION("IFERROR(GOOGLETRANSLATE(B673,""en"",""ja""),)"),"赤ちゃんは寝ています。")</f>
        <v>赤ちゃんは寝ています。</v>
      </c>
      <c r="D673" s="4" t="str">
        <f ca="1">IFERROR(__xludf.DUMMYFUNCTION("IFERROR(GOOGLETRANSLATE(B673,""en"",""zh-TW""),)"),"寶寶睡著了。")</f>
        <v>寶寶睡著了。</v>
      </c>
      <c r="E673" s="4" t="str">
        <f ca="1">IFERROR(__xludf.DUMMYFUNCTION("IFERROR(GOOGLETRANSLATE(B673,""en"",""zh-CN""),)"),"宝宝睡着了。")</f>
        <v>宝宝睡着了。</v>
      </c>
    </row>
    <row r="674" spans="1:5" ht="18">
      <c r="A674" s="3" t="s">
        <v>3195</v>
      </c>
      <c r="B674" s="4" t="str">
        <f ca="1">IFERROR(__xludf.DUMMYFUNCTION("IFERROR(GOOGLETRANSLATE(A674,""ko"",""en""),)"),"baby")</f>
        <v>baby</v>
      </c>
      <c r="C674" s="4" t="str">
        <f ca="1">IFERROR(__xludf.DUMMYFUNCTION("IFERROR(GOOGLETRANSLATE(B674,""en"",""ja""),)"),"赤ちゃん")</f>
        <v>赤ちゃん</v>
      </c>
      <c r="D674" s="4" t="str">
        <f ca="1">IFERROR(__xludf.DUMMYFUNCTION("IFERROR(GOOGLETRANSLATE(B674,""en"",""zh-TW""),)"),"嬰兒")</f>
        <v>嬰兒</v>
      </c>
      <c r="E674" s="4" t="str">
        <f ca="1">IFERROR(__xludf.DUMMYFUNCTION("IFERROR(GOOGLETRANSLATE(B674,""en"",""zh-CN""),)"),"婴儿")</f>
        <v>婴儿</v>
      </c>
    </row>
    <row r="675" spans="1:5" ht="18">
      <c r="A675" s="3" t="s">
        <v>3199</v>
      </c>
      <c r="B675" s="4" t="str">
        <f ca="1">IFERROR(__xludf.DUMMYFUNCTION("IFERROR(GOOGLETRANSLATE(A675,""ko"",""en""),)"),"kid")</f>
        <v>kid</v>
      </c>
      <c r="C675" s="4" t="str">
        <f ca="1">IFERROR(__xludf.DUMMYFUNCTION("IFERROR(GOOGLETRANSLATE(B675,""en"",""ja""),)"),"子供")</f>
        <v>子供</v>
      </c>
      <c r="D675" s="4" t="str">
        <f ca="1">IFERROR(__xludf.DUMMYFUNCTION("IFERROR(GOOGLETRANSLATE(B675,""en"",""zh-TW""),)"),"孩子")</f>
        <v>孩子</v>
      </c>
      <c r="E675" s="4" t="str">
        <f ca="1">IFERROR(__xludf.DUMMYFUNCTION("IFERROR(GOOGLETRANSLATE(B675,""en"",""zh-CN""),)"),"孩子")</f>
        <v>孩子</v>
      </c>
    </row>
    <row r="676" spans="1:5" ht="18">
      <c r="A676" s="3" t="s">
        <v>3205</v>
      </c>
      <c r="B676" s="4" t="str">
        <f ca="1">IFERROR(__xludf.DUMMYFUNCTION("IFERROR(GOOGLETRANSLATE(A676,""ko"",""en""),)"),"Ms. Suzy is watching television.")</f>
        <v>Ms. Suzy is watching television.</v>
      </c>
      <c r="C676" s="4" t="str">
        <f ca="1">IFERROR(__xludf.DUMMYFUNCTION("IFERROR(GOOGLETRANSLATE(B676,""en"",""ja""),)"),"スージーさんはテレビを見ています。")</f>
        <v>スージーさんはテレビを見ています。</v>
      </c>
      <c r="D676" s="4" t="str">
        <f ca="1">IFERROR(__xludf.DUMMYFUNCTION("IFERROR(GOOGLETRANSLATE(B676,""en"",""zh-TW""),)"),"蘇西女士正在看電視。")</f>
        <v>蘇西女士正在看電視。</v>
      </c>
      <c r="E676" s="4" t="str">
        <f ca="1">IFERROR(__xludf.DUMMYFUNCTION("IFERROR(GOOGLETRANSLATE(B676,""en"",""zh-CN""),)"),"苏西女士正在看电视。")</f>
        <v>苏西女士正在看电视。</v>
      </c>
    </row>
    <row r="677" spans="1:5" ht="18">
      <c r="A677" s="3" t="s">
        <v>3213</v>
      </c>
      <c r="B677" s="4" t="str">
        <f ca="1">IFERROR(__xludf.DUMMYFUNCTION("IFERROR(GOOGLETRANSLATE(A677,""ko"",""en""),)"),"Juno cooks.")</f>
        <v>Juno cooks.</v>
      </c>
      <c r="C677" s="4" t="str">
        <f ca="1">IFERROR(__xludf.DUMMYFUNCTION("IFERROR(GOOGLETRANSLATE(B677,""en"",""ja""),)"),"ジュノは料理をする。")</f>
        <v>ジュノは料理をする。</v>
      </c>
      <c r="D677" s="4" t="str">
        <f ca="1">IFERROR(__xludf.DUMMYFUNCTION("IFERROR(GOOGLETRANSLATE(B677,""en"",""zh-TW""),)"),"朱諾會做菜。")</f>
        <v>朱諾會做菜。</v>
      </c>
      <c r="E677" s="4" t="str">
        <f ca="1">IFERROR(__xludf.DUMMYFUNCTION("IFERROR(GOOGLETRANSLATE(B677,""en"",""zh-CN""),)"),"朱诺会做饭。")</f>
        <v>朱诺会做饭。</v>
      </c>
    </row>
    <row r="678" spans="1:5" ht="18">
      <c r="A678" s="3" t="s">
        <v>3217</v>
      </c>
      <c r="B678" s="4" t="str">
        <f ca="1">IFERROR(__xludf.DUMMYFUNCTION("IFERROR(GOOGLETRANSLATE(A678,""ko"",""en""),)"),"I'm eating bulgogi.")</f>
        <v>I'm eating bulgogi.</v>
      </c>
      <c r="C678" s="4" t="str">
        <f ca="1">IFERROR(__xludf.DUMMYFUNCTION("IFERROR(GOOGLETRANSLATE(B678,""en"",""ja""),)"),"プルコギを食べています。")</f>
        <v>プルコギを食べています。</v>
      </c>
      <c r="D678" s="4" t="str">
        <f ca="1">IFERROR(__xludf.DUMMYFUNCTION("IFERROR(GOOGLETRANSLATE(B678,""en"",""zh-TW""),)"),"我在吃烤肉。")</f>
        <v>我在吃烤肉。</v>
      </c>
      <c r="E678" s="4" t="str">
        <f ca="1">IFERROR(__xludf.DUMMYFUNCTION("IFERROR(GOOGLETRANSLATE(B678,""en"",""zh-CN""),)"),"我在吃烤肉。")</f>
        <v>我在吃烤肉。</v>
      </c>
    </row>
    <row r="679" spans="1:5" ht="18">
      <c r="A679" s="3" t="s">
        <v>3230</v>
      </c>
      <c r="B679" s="4" t="str">
        <f ca="1">IFERROR(__xludf.DUMMYFUNCTION("IFERROR(GOOGLETRANSLATE(A679,""ko"",""en""),)"),"I'm making bulgogi.")</f>
        <v>I'm making bulgogi.</v>
      </c>
      <c r="C679" s="4" t="str">
        <f ca="1">IFERROR(__xludf.DUMMYFUNCTION("IFERROR(GOOGLETRANSLATE(B679,""en"",""ja""),)"),"プルコギを作っています。")</f>
        <v>プルコギを作っています。</v>
      </c>
      <c r="D679" s="4" t="str">
        <f ca="1">IFERROR(__xludf.DUMMYFUNCTION("IFERROR(GOOGLETRANSLATE(B679,""en"",""zh-TW""),)"),"我在做烤肉。")</f>
        <v>我在做烤肉。</v>
      </c>
      <c r="E679" s="4" t="str">
        <f ca="1">IFERROR(__xludf.DUMMYFUNCTION("IFERROR(GOOGLETRANSLATE(B679,""en"",""zh-CN""),)"),"我在做烤肉。")</f>
        <v>我在做烤肉。</v>
      </c>
    </row>
    <row r="680" spans="1:5" ht="18">
      <c r="A680" s="3" t="s">
        <v>3237</v>
      </c>
      <c r="B680" s="4" t="str">
        <f ca="1">IFERROR(__xludf.DUMMYFUNCTION("IFERROR(GOOGLETRANSLATE(A680,""ko"",""en""),)"),"Anna meets a friend.")</f>
        <v>Anna meets a friend.</v>
      </c>
      <c r="C680" s="4" t="str">
        <f ca="1">IFERROR(__xludf.DUMMYFUNCTION("IFERROR(GOOGLETRANSLATE(B680,""en"",""ja""),)"),"アンナは友達と会う。")</f>
        <v>アンナは友達と会う。</v>
      </c>
      <c r="D680" s="4" t="str">
        <f ca="1">IFERROR(__xludf.DUMMYFUNCTION("IFERROR(GOOGLETRANSLATE(B680,""en"",""zh-TW""),)"),"安娜遇到了一位朋友。")</f>
        <v>安娜遇到了一位朋友。</v>
      </c>
      <c r="E680" s="4" t="str">
        <f ca="1">IFERROR(__xludf.DUMMYFUNCTION("IFERROR(GOOGLETRANSLATE(B680,""en"",""zh-CN""),)"),"安娜遇到了一位朋友。")</f>
        <v>安娜遇到了一位朋友。</v>
      </c>
    </row>
    <row r="681" spans="1:5" ht="18">
      <c r="A681" s="3" t="s">
        <v>3242</v>
      </c>
      <c r="B681" s="4" t="str">
        <f ca="1">IFERROR(__xludf.DUMMYFUNCTION("IFERROR(GOOGLETRANSLATE(A681,""ko"",""en""),)"),"Does Anna eat an apple?")</f>
        <v>Does Anna eat an apple?</v>
      </c>
      <c r="C681" s="4" t="str">
        <f ca="1">IFERROR(__xludf.DUMMYFUNCTION("IFERROR(GOOGLETRANSLATE(B681,""en"",""ja""),)"),"アンナはリンゴを食べますか？")</f>
        <v>アンナはリンゴを食べますか？</v>
      </c>
      <c r="D681" s="4" t="str">
        <f ca="1">IFERROR(__xludf.DUMMYFUNCTION("IFERROR(GOOGLETRANSLATE(B681,""en"",""zh-TW""),)"),"安娜吃蘋果嗎？")</f>
        <v>安娜吃蘋果嗎？</v>
      </c>
      <c r="E681" s="4" t="str">
        <f ca="1">IFERROR(__xludf.DUMMYFUNCTION("IFERROR(GOOGLETRANSLATE(B681,""en"",""zh-CN""),)"),"安娜吃苹果吗？")</f>
        <v>安娜吃苹果吗？</v>
      </c>
    </row>
    <row r="682" spans="1:5" ht="18">
      <c r="A682" s="3" t="s">
        <v>3247</v>
      </c>
      <c r="B682" s="4" t="str">
        <f ca="1">IFERROR(__xludf.DUMMYFUNCTION("IFERROR(GOOGLETRANSLATE(A682,""ko"",""en""),)"),"Yes, Anna is eating an apple.")</f>
        <v>Yes, Anna is eating an apple.</v>
      </c>
      <c r="C682" s="4" t="str">
        <f ca="1">IFERROR(__xludf.DUMMYFUNCTION("IFERROR(GOOGLETRANSLATE(B682,""en"",""ja""),)"),"はい、アンナはリンゴを食べています。")</f>
        <v>はい、アンナはリンゴを食べています。</v>
      </c>
      <c r="D682" s="4" t="str">
        <f ca="1">IFERROR(__xludf.DUMMYFUNCTION("IFERROR(GOOGLETRANSLATE(B682,""en"",""zh-TW""),)"),"是的，安娜正在吃蘋果。")</f>
        <v>是的，安娜正在吃蘋果。</v>
      </c>
      <c r="E682" s="4" t="str">
        <f ca="1">IFERROR(__xludf.DUMMYFUNCTION("IFERROR(GOOGLETRANSLATE(B682,""en"",""zh-CN""),)"),"是的，安娜正在吃苹果。")</f>
        <v>是的，安娜正在吃苹果。</v>
      </c>
    </row>
    <row r="683" spans="1:5" ht="18">
      <c r="A683" s="3" t="s">
        <v>3252</v>
      </c>
      <c r="B683" s="4" t="str">
        <f ca="1">IFERROR(__xludf.DUMMYFUNCTION("IFERROR(GOOGLETRANSLATE(A683,""ko"",""en""),)"),"Does Juno read books?")</f>
        <v>Does Juno read books?</v>
      </c>
      <c r="C683" s="4" t="str">
        <f ca="1">IFERROR(__xludf.DUMMYFUNCTION("IFERROR(GOOGLETRANSLATE(B683,""en"",""ja""),)"),"ジュノは本を読みますか？")</f>
        <v>ジュノは本を読みますか？</v>
      </c>
      <c r="D683" s="4" t="str">
        <f ca="1">IFERROR(__xludf.DUMMYFUNCTION("IFERROR(GOOGLETRANSLATE(B683,""en"",""zh-TW""),)"),"朱諾會讀書嗎？")</f>
        <v>朱諾會讀書嗎？</v>
      </c>
      <c r="E683" s="4" t="str">
        <f ca="1">IFERROR(__xludf.DUMMYFUNCTION("IFERROR(GOOGLETRANSLATE(B683,""en"",""zh-CN""),)"),"朱诺会读书吗？")</f>
        <v>朱诺会读书吗？</v>
      </c>
    </row>
    <row r="684" spans="1:5" ht="18">
      <c r="A684" s="3" t="s">
        <v>3258</v>
      </c>
      <c r="B684" s="4" t="str">
        <f ca="1">IFERROR(__xludf.DUMMYFUNCTION("IFERROR(GOOGLETRANSLATE(A684,""ko"",""en""),)"),"Yes, Juno reads a book.")</f>
        <v>Yes, Juno reads a book.</v>
      </c>
      <c r="C684" s="4" t="str">
        <f ca="1">IFERROR(__xludf.DUMMYFUNCTION("IFERROR(GOOGLETRANSLATE(B684,""en"",""ja""),)"),"はい、ジュノは本を読みます。")</f>
        <v>はい、ジュノは本を読みます。</v>
      </c>
      <c r="D684" s="4" t="str">
        <f ca="1">IFERROR(__xludf.DUMMYFUNCTION("IFERROR(GOOGLETRANSLATE(B684,""en"",""zh-TW""),)"),"是的，朱諾在看書。")</f>
        <v>是的，朱諾在看書。</v>
      </c>
      <c r="E684" s="4" t="str">
        <f ca="1">IFERROR(__xludf.DUMMYFUNCTION("IFERROR(GOOGLETRANSLATE(B684,""en"",""zh-CN""),)"),"是的，朱诺在看书。")</f>
        <v>是的，朱诺在看书。</v>
      </c>
    </row>
    <row r="685" spans="1:5" ht="18">
      <c r="A685" s="3" t="s">
        <v>3264</v>
      </c>
      <c r="B685" s="4" t="str">
        <f ca="1">IFERROR(__xludf.DUMMYFUNCTION("IFERROR(GOOGLETRANSLATE(A685,""ko"",""en""),)"),"Does Mari listen to music?")</f>
        <v>Does Mari listen to music?</v>
      </c>
      <c r="C685" s="4" t="str">
        <f ca="1">IFERROR(__xludf.DUMMYFUNCTION("IFERROR(GOOGLETRANSLATE(B685,""en"",""ja""),)"),"マリは音楽を聴きますか？")</f>
        <v>マリは音楽を聴きますか？</v>
      </c>
      <c r="D685" s="4" t="str">
        <f ca="1">IFERROR(__xludf.DUMMYFUNCTION("IFERROR(GOOGLETRANSLATE(B685,""en"",""zh-TW""),)"),"瑪莉聽音樂嗎？")</f>
        <v>瑪莉聽音樂嗎？</v>
      </c>
      <c r="E685" s="4" t="str">
        <f ca="1">IFERROR(__xludf.DUMMYFUNCTION("IFERROR(GOOGLETRANSLATE(B685,""en"",""zh-CN""),)"),"玛丽听音乐吗？")</f>
        <v>玛丽听音乐吗？</v>
      </c>
    </row>
    <row r="686" spans="1:5" ht="18">
      <c r="A686" s="3" t="s">
        <v>3271</v>
      </c>
      <c r="B686" s="4" t="str">
        <f ca="1">IFERROR(__xludf.DUMMYFUNCTION("IFERROR(GOOGLETRANSLATE(A686,""ko"",""en""),)"),"No, I watch movies.")</f>
        <v>No, I watch movies.</v>
      </c>
      <c r="C686" s="4" t="str">
        <f ca="1">IFERROR(__xludf.DUMMYFUNCTION("IFERROR(GOOGLETRANSLATE(B686,""en"",""ja""),)"),"いいえ、私は映画を見ます。")</f>
        <v>いいえ、私は映画を見ます。</v>
      </c>
      <c r="D686" s="4" t="str">
        <f ca="1">IFERROR(__xludf.DUMMYFUNCTION("IFERROR(GOOGLETRANSLATE(B686,""en"",""zh-TW""),)"),"不，我看電影。")</f>
        <v>不，我看電影。</v>
      </c>
      <c r="E686" s="4" t="str">
        <f ca="1">IFERROR(__xludf.DUMMYFUNCTION("IFERROR(GOOGLETRANSLATE(B686,""en"",""zh-CN""),)"),"不，我看电影。")</f>
        <v>不，我看电影。</v>
      </c>
    </row>
    <row r="687" spans="1:5" ht="18">
      <c r="A687" s="3" t="s">
        <v>3277</v>
      </c>
      <c r="B687" s="4" t="str">
        <f ca="1">IFERROR(__xludf.DUMMYFUNCTION("IFERROR(GOOGLETRANSLATE(A687,""ko"",""en""),)"),"I watch dramas.")</f>
        <v>I watch dramas.</v>
      </c>
      <c r="C687" s="4" t="str">
        <f ca="1">IFERROR(__xludf.DUMMYFUNCTION("IFERROR(GOOGLETRANSLATE(B687,""en"",""ja""),)"),"私はドラマを見ます。")</f>
        <v>私はドラマを見ます。</v>
      </c>
      <c r="D687" s="4" t="str">
        <f ca="1">IFERROR(__xludf.DUMMYFUNCTION("IFERROR(GOOGLETRANSLATE(B687,""en"",""zh-TW""),)"),"我喜歡看電視劇。")</f>
        <v>我喜歡看電視劇。</v>
      </c>
      <c r="E687" s="4" t="str">
        <f ca="1">IFERROR(__xludf.DUMMYFUNCTION("IFERROR(GOOGLETRANSLATE(B687,""en"",""zh-CN""),)"),"我喜欢看电视剧。")</f>
        <v>我喜欢看电视剧。</v>
      </c>
    </row>
    <row r="688" spans="1:5" ht="18">
      <c r="A688" s="3" t="s">
        <v>3282</v>
      </c>
      <c r="B688" s="4" t="str">
        <f ca="1">IFERROR(__xludf.DUMMYFUNCTION("IFERROR(GOOGLETRANSLATE(A688,""ko"",""en""),)"),"Does Jaemin work?")</f>
        <v>Does Jaemin work?</v>
      </c>
      <c r="C688" s="4" t="str">
        <f ca="1">IFERROR(__xludf.DUMMYFUNCTION("IFERROR(GOOGLETRANSLATE(B688,""en"",""ja""),)"),"ジェミンは働いていますか？")</f>
        <v>ジェミンは働いていますか？</v>
      </c>
      <c r="D688" s="4" t="str">
        <f ca="1">IFERROR(__xludf.DUMMYFUNCTION("IFERROR(GOOGLETRANSLATE(B688,""en"",""zh-TW""),)"),"Jaemin 工作嗎？")</f>
        <v>Jaemin 工作嗎？</v>
      </c>
      <c r="E688" s="4" t="str">
        <f ca="1">IFERROR(__xludf.DUMMYFUNCTION("IFERROR(GOOGLETRANSLATE(B688,""en"",""zh-CN""),)"),"Jaemin 工作吗？")</f>
        <v>Jaemin 工作吗？</v>
      </c>
    </row>
    <row r="689" spans="1:5" ht="18">
      <c r="A689" s="3" t="s">
        <v>3290</v>
      </c>
      <c r="B689" s="4" t="str">
        <f ca="1">IFERROR(__xludf.DUMMYFUNCTION("IFERROR(GOOGLETRANSLATE(A689,""ko"",""en""),)"),"Yes, Jaemin works.")</f>
        <v>Yes, Jaemin works.</v>
      </c>
      <c r="C689" s="4" t="str">
        <f ca="1">IFERROR(__xludf.DUMMYFUNCTION("IFERROR(GOOGLETRANSLATE(B689,""en"",""ja""),)"),"はい、ジェミンは働いています。")</f>
        <v>はい、ジェミンは働いています。</v>
      </c>
      <c r="D689" s="4" t="str">
        <f ca="1">IFERROR(__xludf.DUMMYFUNCTION("IFERROR(GOOGLETRANSLATE(B689,""en"",""zh-TW""),)"),"是的，渽民工作。")</f>
        <v>是的，渽民工作。</v>
      </c>
      <c r="E689" s="4" t="str">
        <f ca="1">IFERROR(__xludf.DUMMYFUNCTION("IFERROR(GOOGLETRANSLATE(B689,""en"",""zh-CN""),)"),"是的，渽民工作。")</f>
        <v>是的，渽民工作。</v>
      </c>
    </row>
    <row r="690" spans="1:5" ht="18">
      <c r="A690" s="3" t="s">
        <v>3296</v>
      </c>
      <c r="B690" s="4" t="str">
        <f ca="1">IFERROR(__xludf.DUMMYFUNCTION("IFERROR(GOOGLETRANSLATE(A690,""ko"",""en""),)"),"Does Suzy cook?")</f>
        <v>Does Suzy cook?</v>
      </c>
      <c r="C690" s="4" t="str">
        <f ca="1">IFERROR(__xludf.DUMMYFUNCTION("IFERROR(GOOGLETRANSLATE(B690,""en"",""ja""),)"),"スージーは料理をしますか？")</f>
        <v>スージーは料理をしますか？</v>
      </c>
      <c r="D690" s="4" t="str">
        <f ca="1">IFERROR(__xludf.DUMMYFUNCTION("IFERROR(GOOGLETRANSLATE(B690,""en"",""zh-TW""),)"),"蘇西會做菜嗎？")</f>
        <v>蘇西會做菜嗎？</v>
      </c>
      <c r="E690" s="4" t="str">
        <f ca="1">IFERROR(__xludf.DUMMYFUNCTION("IFERROR(GOOGLETRANSLATE(B690,""en"",""zh-CN""),)"),"苏西会做饭吗？")</f>
        <v>苏西会做饭吗？</v>
      </c>
    </row>
    <row r="691" spans="1:5" ht="18">
      <c r="A691" s="3" t="s">
        <v>3302</v>
      </c>
      <c r="B691" s="4" t="str">
        <f ca="1">IFERROR(__xludf.DUMMYFUNCTION("IFERROR(GOOGLETRANSLATE(A691,""ko"",""en""),)"),"No, Suzy exercises.")</f>
        <v>No, Suzy exercises.</v>
      </c>
      <c r="C691" s="4" t="str">
        <f ca="1">IFERROR(__xludf.DUMMYFUNCTION("IFERROR(GOOGLETRANSLATE(B691,""en"",""ja""),)"),"いいえ、スージーは運動をします。")</f>
        <v>いいえ、スージーは運動をします。</v>
      </c>
      <c r="D691" s="4" t="str">
        <f ca="1">IFERROR(__xludf.DUMMYFUNCTION("IFERROR(GOOGLETRANSLATE(B691,""en"",""zh-TW""),)"),"不，蘇西在鍛鍊。")</f>
        <v>不，蘇西在鍛鍊。</v>
      </c>
      <c r="E691" s="4" t="str">
        <f ca="1">IFERROR(__xludf.DUMMYFUNCTION("IFERROR(GOOGLETRANSLATE(B691,""en"",""zh-CN""),)"),"不，苏西在锻炼。")</f>
        <v>不，苏西在锻炼。</v>
      </c>
    </row>
    <row r="692" spans="1:5" ht="18">
      <c r="A692" s="5" t="s">
        <v>2563</v>
      </c>
      <c r="B692" s="4" t="str">
        <f ca="1">IFERROR(__xludf.DUMMYFUNCTION("IFERROR(GOOGLETRANSLATE(A692,""ko"",""en""),)"),"I ask")</f>
        <v>I ask</v>
      </c>
      <c r="C692" s="4" t="str">
        <f ca="1">IFERROR(__xludf.DUMMYFUNCTION("IFERROR(GOOGLETRANSLATE(B692,""en"",""ja""),)"),"私は尋ねます")</f>
        <v>私は尋ねます</v>
      </c>
      <c r="D692" s="4" t="str">
        <f ca="1">IFERROR(__xludf.DUMMYFUNCTION("IFERROR(GOOGLETRANSLATE(B692,""en"",""zh-TW""),)"),"我問")</f>
        <v>我問</v>
      </c>
      <c r="E692" s="4" t="str">
        <f ca="1">IFERROR(__xludf.DUMMYFUNCTION("IFERROR(GOOGLETRANSLATE(B692,""en"",""zh-CN""),)"),"我问")</f>
        <v>我问</v>
      </c>
    </row>
    <row r="693" spans="1:5" ht="18">
      <c r="A693" s="3" t="s">
        <v>1744</v>
      </c>
      <c r="B693" s="4" t="str">
        <f ca="1">IFERROR(__xludf.DUMMYFUNCTION("IFERROR(GOOGLETRANSLATE(A693,""ko"",""en""),)"),"What are you doing right now?")</f>
        <v>What are you doing right now?</v>
      </c>
      <c r="C693" s="4" t="str">
        <f ca="1">IFERROR(__xludf.DUMMYFUNCTION("IFERROR(GOOGLETRANSLATE(B693,""en"",""ja""),)"),"あなたは今何をしていますか？")</f>
        <v>あなたは今何をしていますか？</v>
      </c>
      <c r="D693" s="4" t="str">
        <f ca="1">IFERROR(__xludf.DUMMYFUNCTION("IFERROR(GOOGLETRANSLATE(B693,""en"",""zh-TW""),)"),"你現在在做什麼？")</f>
        <v>你現在在做什麼？</v>
      </c>
      <c r="E693" s="4" t="str">
        <f ca="1">IFERROR(__xludf.DUMMYFUNCTION("IFERROR(GOOGLETRANSLATE(B693,""en"",""zh-CN""),)"),"你现在在做什么？")</f>
        <v>你现在在做什么？</v>
      </c>
    </row>
    <row r="694" spans="1:5" ht="18">
      <c r="A694" s="3" t="s">
        <v>3317</v>
      </c>
      <c r="B694" s="4" t="str">
        <f ca="1">IFERROR(__xludf.DUMMYFUNCTION("IFERROR(GOOGLETRANSLATE(A694,""ko"",""en""),)"),"I like Korean food.")</f>
        <v>I like Korean food.</v>
      </c>
      <c r="C694" s="4" t="str">
        <f ca="1">IFERROR(__xludf.DUMMYFUNCTION("IFERROR(GOOGLETRANSLATE(B694,""en"",""ja""),)"),"私は韓国料理が好きです。")</f>
        <v>私は韓国料理が好きです。</v>
      </c>
      <c r="D694" s="4" t="str">
        <f ca="1">IFERROR(__xludf.DUMMYFUNCTION("IFERROR(GOOGLETRANSLATE(B694,""en"",""zh-TW""),)"),"我喜歡韓國料理。")</f>
        <v>我喜歡韓國料理。</v>
      </c>
      <c r="E694" s="4" t="str">
        <f ca="1">IFERROR(__xludf.DUMMYFUNCTION("IFERROR(GOOGLETRANSLATE(B694,""en"",""zh-CN""),)"),"我喜欢韩国料理。")</f>
        <v>我喜欢韩国料理。</v>
      </c>
    </row>
    <row r="695" spans="1:5" ht="18">
      <c r="A695" s="5" t="s">
        <v>3323</v>
      </c>
      <c r="B695" s="4" t="s">
        <v>3325</v>
      </c>
      <c r="C695" s="4" t="str">
        <f ca="1">IFERROR(__xludf.DUMMYFUNCTION("IFERROR(GOOGLETRANSLATE(B695,""en"",""ja""),)"),"寄生虫")</f>
        <v>寄生虫</v>
      </c>
      <c r="D695" s="4" t="str">
        <f ca="1">IFERROR(__xludf.DUMMYFUNCTION("IFERROR(GOOGLETRANSLATE(B695,""en"",""zh-TW""),)"),"寄生蟲")</f>
        <v>寄生蟲</v>
      </c>
      <c r="E695" s="4" t="str">
        <f ca="1">IFERROR(__xludf.DUMMYFUNCTION("IFERROR(GOOGLETRANSLATE(B695,""en"",""zh-CN""),)"),"寄生虫")</f>
        <v>寄生虫</v>
      </c>
    </row>
    <row r="696" spans="1:5" ht="18">
      <c r="A696" s="3" t="s">
        <v>3331</v>
      </c>
      <c r="B696" s="4" t="str">
        <f ca="1">IFERROR(__xludf.DUMMYFUNCTION("IFERROR(GOOGLETRANSLATE(A696,""ko"",""en""),)"),"I buy flowers.")</f>
        <v>I buy flowers.</v>
      </c>
      <c r="C696" s="4" t="str">
        <f ca="1">IFERROR(__xludf.DUMMYFUNCTION("IFERROR(GOOGLETRANSLATE(B696,""en"",""ja""),)"),"私は花を買います。")</f>
        <v>私は花を買います。</v>
      </c>
      <c r="D696" s="4" t="str">
        <f ca="1">IFERROR(__xludf.DUMMYFUNCTION("IFERROR(GOOGLETRANSLATE(B696,""en"",""zh-TW""),)"),"我買花。")</f>
        <v>我買花。</v>
      </c>
      <c r="E696" s="4" t="str">
        <f ca="1">IFERROR(__xludf.DUMMYFUNCTION("IFERROR(GOOGLETRANSLATE(B696,""en"",""zh-CN""),)"),"我买花。")</f>
        <v>我买花。</v>
      </c>
    </row>
    <row r="697" spans="1:5" ht="18">
      <c r="A697" s="5" t="s">
        <v>3336</v>
      </c>
      <c r="B697" s="4" t="str">
        <f ca="1">IFERROR(__xludf.DUMMYFUNCTION("IFERROR(GOOGLETRANSLATE(A697,""ko"",""en""),)"),"Let's play")</f>
        <v>Let's play</v>
      </c>
      <c r="C697" s="4" t="str">
        <f ca="1">IFERROR(__xludf.DUMMYFUNCTION("IFERROR(GOOGLETRANSLATE(B697,""en"",""ja""),)"),"遊ぼう")</f>
        <v>遊ぼう</v>
      </c>
      <c r="D697" s="4" t="str">
        <f ca="1">IFERROR(__xludf.DUMMYFUNCTION("IFERROR(GOOGLETRANSLATE(B697,""en"",""zh-TW""),)"),"讓我們玩")</f>
        <v>讓我們玩</v>
      </c>
      <c r="E697" s="4" t="str">
        <f ca="1">IFERROR(__xludf.DUMMYFUNCTION("IFERROR(GOOGLETRANSLATE(B697,""en"",""zh-CN""),)"),"让我们玩")</f>
        <v>让我们玩</v>
      </c>
    </row>
    <row r="698" spans="1:5" ht="18">
      <c r="A698" s="3" t="s">
        <v>3343</v>
      </c>
      <c r="B698" s="4" t="str">
        <f ca="1">IFERROR(__xludf.DUMMYFUNCTION("IFERROR(GOOGLETRANSLATE(A698,""ko"",""en""),)"),"I play games.")</f>
        <v>I play games.</v>
      </c>
      <c r="C698" s="4" t="str">
        <f ca="1">IFERROR(__xludf.DUMMYFUNCTION("IFERROR(GOOGLETRANSLATE(B698,""en"",""ja""),)"),"私はゲームをします。")</f>
        <v>私はゲームをします。</v>
      </c>
      <c r="D698" s="4" t="str">
        <f ca="1">IFERROR(__xludf.DUMMYFUNCTION("IFERROR(GOOGLETRANSLATE(B698,""en"",""zh-TW""),)"),"我喜歡玩遊戲。")</f>
        <v>我喜歡玩遊戲。</v>
      </c>
      <c r="E698" s="4" t="str">
        <f ca="1">IFERROR(__xludf.DUMMYFUNCTION("IFERROR(GOOGLETRANSLATE(B698,""en"",""zh-CN""),)"),"我喜欢玩游戏。")</f>
        <v>我喜欢玩游戏。</v>
      </c>
    </row>
    <row r="699" spans="1:5" ht="18">
      <c r="A699" s="3" t="s">
        <v>3351</v>
      </c>
      <c r="B699" s="4" t="str">
        <f ca="1">IFERROR(__xludf.DUMMYFUNCTION("IFERROR(GOOGLETRANSLATE(A699,""ko"",""en""),)"),"I like cats.")</f>
        <v>I like cats.</v>
      </c>
      <c r="C699" s="4" t="str">
        <f ca="1">IFERROR(__xludf.DUMMYFUNCTION("IFERROR(GOOGLETRANSLATE(B699,""en"",""ja""),)"),"私は猫が好きです。")</f>
        <v>私は猫が好きです。</v>
      </c>
      <c r="D699" s="4" t="str">
        <f ca="1">IFERROR(__xludf.DUMMYFUNCTION("IFERROR(GOOGLETRANSLATE(B699,""en"",""zh-TW""),)"),"我喜歡貓。")</f>
        <v>我喜歡貓。</v>
      </c>
      <c r="E699" s="4" t="str">
        <f ca="1">IFERROR(__xludf.DUMMYFUNCTION("IFERROR(GOOGLETRANSLATE(B699,""en"",""zh-CN""),)"),"我喜欢猫。")</f>
        <v>我喜欢猫。</v>
      </c>
    </row>
    <row r="700" spans="1:5" ht="18">
      <c r="A700" s="3" t="s">
        <v>3356</v>
      </c>
      <c r="B700" s="4" t="str">
        <f ca="1">IFERROR(__xludf.DUMMYFUNCTION("IFERROR(GOOGLETRANSLATE(A700,""ko"",""en""),)"),"I like music.")</f>
        <v>I like music.</v>
      </c>
      <c r="C700" s="4" t="str">
        <f ca="1">IFERROR(__xludf.DUMMYFUNCTION("IFERROR(GOOGLETRANSLATE(B700,""en"",""ja""),)"),"私は音楽が好きです。")</f>
        <v>私は音楽が好きです。</v>
      </c>
      <c r="D700" s="4" t="str">
        <f ca="1">IFERROR(__xludf.DUMMYFUNCTION("IFERROR(GOOGLETRANSLATE(B700,""en"",""zh-TW""),)"),"我喜歡音樂。")</f>
        <v>我喜歡音樂。</v>
      </c>
      <c r="E700" s="4" t="str">
        <f ca="1">IFERROR(__xludf.DUMMYFUNCTION("IFERROR(GOOGLETRANSLATE(B700,""en"",""zh-CN""),)"),"我喜欢音乐。")</f>
        <v>我喜欢音乐。</v>
      </c>
    </row>
    <row r="701" spans="1:5" ht="18">
      <c r="A701" s="3" t="s">
        <v>3361</v>
      </c>
      <c r="B701" s="4" t="str">
        <f ca="1">IFERROR(__xludf.DUMMYFUNCTION("IFERROR(GOOGLETRANSLATE(A701,""ko"",""en""),)"),"I like games.")</f>
        <v>I like games.</v>
      </c>
      <c r="C701" s="4" t="str">
        <f ca="1">IFERROR(__xludf.DUMMYFUNCTION("IFERROR(GOOGLETRANSLATE(B701,""en"",""ja""),)"),"私はゲームが好きです。")</f>
        <v>私はゲームが好きです。</v>
      </c>
      <c r="D701" s="4" t="str">
        <f ca="1">IFERROR(__xludf.DUMMYFUNCTION("IFERROR(GOOGLETRANSLATE(B701,""en"",""zh-TW""),)"),"我喜歡玩遊戲。")</f>
        <v>我喜歡玩遊戲。</v>
      </c>
      <c r="E701" s="4" t="str">
        <f ca="1">IFERROR(__xludf.DUMMYFUNCTION("IFERROR(GOOGLETRANSLATE(B701,""en"",""zh-CN""),)"),"我喜欢玩游戏。")</f>
        <v>我喜欢玩游戏。</v>
      </c>
    </row>
    <row r="702" spans="1:5" ht="18">
      <c r="A702" s="3" t="s">
        <v>3367</v>
      </c>
      <c r="B702" s="4" t="str">
        <f ca="1">IFERROR(__xludf.DUMMYFUNCTION("IFERROR(GOOGLETRANSLATE(A702,""ko"",""en""),)"),"I love shopping.")</f>
        <v>I love shopping.</v>
      </c>
      <c r="C702" s="4" t="str">
        <f ca="1">IFERROR(__xludf.DUMMYFUNCTION("IFERROR(GOOGLETRANSLATE(B702,""en"",""ja""),)"),"私は買い物が大好きです。")</f>
        <v>私は買い物が大好きです。</v>
      </c>
      <c r="D702" s="4" t="str">
        <f ca="1">IFERROR(__xludf.DUMMYFUNCTION("IFERROR(GOOGLETRANSLATE(B702,""en"",""zh-TW""),)"),"我喜歡購物。")</f>
        <v>我喜歡購物。</v>
      </c>
      <c r="E702" s="4" t="str">
        <f ca="1">IFERROR(__xludf.DUMMYFUNCTION("IFERROR(GOOGLETRANSLATE(B702,""en"",""zh-CN""),)"),"我喜欢购物。")</f>
        <v>我喜欢购物。</v>
      </c>
    </row>
    <row r="703" spans="1:5" ht="18">
      <c r="A703" s="3" t="s">
        <v>3372</v>
      </c>
      <c r="B703" s="4" t="str">
        <f ca="1">IFERROR(__xludf.DUMMYFUNCTION("IFERROR(GOOGLETRANSLATE(A703,""ko"",""en""),)"),"I like kimchi.")</f>
        <v>I like kimchi.</v>
      </c>
      <c r="C703" s="4" t="str">
        <f ca="1">IFERROR(__xludf.DUMMYFUNCTION("IFERROR(GOOGLETRANSLATE(B703,""en"",""ja""),)"),"私はキムチが好きです。")</f>
        <v>私はキムチが好きです。</v>
      </c>
      <c r="D703" s="4" t="str">
        <f ca="1">IFERROR(__xludf.DUMMYFUNCTION("IFERROR(GOOGLETRANSLATE(B703,""en"",""zh-TW""),)"),"我喜歡泡菜。")</f>
        <v>我喜歡泡菜。</v>
      </c>
      <c r="E703" s="4" t="str">
        <f ca="1">IFERROR(__xludf.DUMMYFUNCTION("IFERROR(GOOGLETRANSLATE(B703,""en"",""zh-CN""),)"),"我喜欢泡菜。")</f>
        <v>我喜欢泡菜。</v>
      </c>
    </row>
    <row r="704" spans="1:5" ht="18">
      <c r="A704" s="3" t="s">
        <v>3379</v>
      </c>
      <c r="B704" s="4" t="str">
        <f ca="1">IFERROR(__xludf.DUMMYFUNCTION("IFERROR(GOOGLETRANSLATE(A704,""ko"",""en""),)"),"I like bulgogi.")</f>
        <v>I like bulgogi.</v>
      </c>
      <c r="C704" s="4" t="str">
        <f ca="1">IFERROR(__xludf.DUMMYFUNCTION("IFERROR(GOOGLETRANSLATE(B704,""en"",""ja""),)"),"私はプルコギが好きです。")</f>
        <v>私はプルコギが好きです。</v>
      </c>
      <c r="D704" s="4" t="str">
        <f ca="1">IFERROR(__xludf.DUMMYFUNCTION("IFERROR(GOOGLETRANSLATE(B704,""en"",""zh-TW""),)"),"我喜歡烤肉。")</f>
        <v>我喜歡烤肉。</v>
      </c>
      <c r="E704" s="4" t="str">
        <f ca="1">IFERROR(__xludf.DUMMYFUNCTION("IFERROR(GOOGLETRANSLATE(B704,""en"",""zh-CN""),)"),"我喜欢烤肉。")</f>
        <v>我喜欢烤肉。</v>
      </c>
    </row>
    <row r="705" spans="1:5" ht="18">
      <c r="A705" s="3" t="s">
        <v>3384</v>
      </c>
      <c r="B705" s="4" t="str">
        <f ca="1">IFERROR(__xludf.DUMMYFUNCTION("IFERROR(GOOGLETRANSLATE(A705,""ko"",""en""),)"),"clothes")</f>
        <v>clothes</v>
      </c>
      <c r="C705" s="4" t="str">
        <f ca="1">IFERROR(__xludf.DUMMYFUNCTION("IFERROR(GOOGLETRANSLATE(B705,""en"",""ja""),)"),"服")</f>
        <v>服</v>
      </c>
      <c r="D705" s="4" t="str">
        <f ca="1">IFERROR(__xludf.DUMMYFUNCTION("IFERROR(GOOGLETRANSLATE(B705,""en"",""zh-TW""),)"),"衣服")</f>
        <v>衣服</v>
      </c>
      <c r="E705" s="4" t="str">
        <f ca="1">IFERROR(__xludf.DUMMYFUNCTION("IFERROR(GOOGLETRANSLATE(B705,""en"",""zh-CN""),)"),"衣服")</f>
        <v>衣服</v>
      </c>
    </row>
    <row r="706" spans="1:5" ht="18">
      <c r="A706" s="3" t="s">
        <v>2485</v>
      </c>
      <c r="B706" s="4" t="str">
        <f ca="1">IFERROR(__xludf.DUMMYFUNCTION("IFERROR(GOOGLETRANSLATE(A706,""ko"",""en""),)"),"clothing store")</f>
        <v>clothing store</v>
      </c>
      <c r="C706" s="4" t="str">
        <f ca="1">IFERROR(__xludf.DUMMYFUNCTION("IFERROR(GOOGLETRANSLATE(B706,""en"",""ja""),)"),"衣料品店")</f>
        <v>衣料品店</v>
      </c>
      <c r="D706" s="4" t="str">
        <f ca="1">IFERROR(__xludf.DUMMYFUNCTION("IFERROR(GOOGLETRANSLATE(B706,""en"",""zh-TW""),)"),"服飾店")</f>
        <v>服飾店</v>
      </c>
      <c r="E706" s="4" t="str">
        <f ca="1">IFERROR(__xludf.DUMMYFUNCTION("IFERROR(GOOGLETRANSLATE(B706,""en"",""zh-CN""),)"),"服装店")</f>
        <v>服装店</v>
      </c>
    </row>
    <row r="707" spans="1:5" ht="18">
      <c r="A707" s="3" t="s">
        <v>3394</v>
      </c>
      <c r="B707" s="4" t="str">
        <f ca="1">IFERROR(__xludf.DUMMYFUNCTION("IFERROR(GOOGLETRANSLATE(A707,""ko"",""en""),)"),"shoe store")</f>
        <v>shoe store</v>
      </c>
      <c r="C707" s="4" t="str">
        <f ca="1">IFERROR(__xludf.DUMMYFUNCTION("IFERROR(GOOGLETRANSLATE(B707,""en"",""ja""),)"),"靴屋")</f>
        <v>靴屋</v>
      </c>
      <c r="D707" s="4" t="str">
        <f ca="1">IFERROR(__xludf.DUMMYFUNCTION("IFERROR(GOOGLETRANSLATE(B707,""en"",""zh-TW""),)"),"鞋店")</f>
        <v>鞋店</v>
      </c>
      <c r="E707" s="4" t="str">
        <f ca="1">IFERROR(__xludf.DUMMYFUNCTION("IFERROR(GOOGLETRANSLATE(B707,""en"",""zh-CN""),)"),"鞋店")</f>
        <v>鞋店</v>
      </c>
    </row>
    <row r="708" spans="1:5" ht="18">
      <c r="A708" s="3" t="s">
        <v>3399</v>
      </c>
      <c r="B708" s="4" t="str">
        <f ca="1">IFERROR(__xludf.DUMMYFUNCTION("IFERROR(GOOGLETRANSLATE(A708,""ko"",""en""),)"),"I'm watching a movie right now.")</f>
        <v>I'm watching a movie right now.</v>
      </c>
      <c r="C708" s="4" t="str">
        <f ca="1">IFERROR(__xludf.DUMMYFUNCTION("IFERROR(GOOGLETRANSLATE(B708,""en"",""ja""),)"),"今、映画を見ています。")</f>
        <v>今、映画を見ています。</v>
      </c>
      <c r="D708" s="4" t="str">
        <f ca="1">IFERROR(__xludf.DUMMYFUNCTION("IFERROR(GOOGLETRANSLATE(B708,""en"",""zh-TW""),)"),"我正在看電影。")</f>
        <v>我正在看電影。</v>
      </c>
      <c r="E708" s="4" t="str">
        <f ca="1">IFERROR(__xludf.DUMMYFUNCTION("IFERROR(GOOGLETRANSLATE(B708,""en"",""zh-CN""),)"),"我正在看电影。")</f>
        <v>我正在看电影。</v>
      </c>
    </row>
    <row r="709" spans="1:5" ht="18">
      <c r="A709" s="3" t="s">
        <v>3406</v>
      </c>
      <c r="B709" s="4" t="str">
        <f ca="1">IFERROR(__xludf.DUMMYFUNCTION("IFERROR(GOOGLETRANSLATE(A709,""ko"",""en""),)"),"Yes, I listen to music.")</f>
        <v>Yes, I listen to music.</v>
      </c>
      <c r="C709" s="4" t="str">
        <f ca="1">IFERROR(__xludf.DUMMYFUNCTION("IFERROR(GOOGLETRANSLATE(B709,""en"",""ja""),)"),"はい、音楽を聴きます。")</f>
        <v>はい、音楽を聴きます。</v>
      </c>
      <c r="D709" s="4" t="str">
        <f ca="1">IFERROR(__xludf.DUMMYFUNCTION("IFERROR(GOOGLETRANSLATE(B709,""en"",""zh-TW""),)"),"是的，我聽音樂。")</f>
        <v>是的，我聽音樂。</v>
      </c>
      <c r="E709" s="4" t="str">
        <f ca="1">IFERROR(__xludf.DUMMYFUNCTION("IFERROR(GOOGLETRANSLATE(B709,""en"",""zh-CN""),)"),"是的，我听音乐。")</f>
        <v>是的，我听音乐。</v>
      </c>
    </row>
    <row r="710" spans="1:5" ht="18">
      <c r="A710" s="3" t="s">
        <v>3413</v>
      </c>
      <c r="B710" s="4" t="str">
        <f ca="1">IFERROR(__xludf.DUMMYFUNCTION("IFERROR(GOOGLETRANSLATE(A710,""ko"",""en""),)"),"No, I don't work.")</f>
        <v>No, I don't work.</v>
      </c>
      <c r="C710" s="4" t="str">
        <f ca="1">IFERROR(__xludf.DUMMYFUNCTION("IFERROR(GOOGLETRANSLATE(B710,""en"",""ja""),)"),"いいえ、私は働いていません。")</f>
        <v>いいえ、私は働いていません。</v>
      </c>
      <c r="D710" s="4" t="str">
        <f ca="1">IFERROR(__xludf.DUMMYFUNCTION("IFERROR(GOOGLETRANSLATE(B710,""en"",""zh-TW""),)"),"不，我沒有工作。")</f>
        <v>不，我沒有工作。</v>
      </c>
      <c r="E710" s="4" t="str">
        <f ca="1">IFERROR(__xludf.DUMMYFUNCTION("IFERROR(GOOGLETRANSLATE(B710,""en"",""zh-CN""),)"),"不，我没有工作。")</f>
        <v>不，我没有工作。</v>
      </c>
    </row>
    <row r="711" spans="1:5" ht="18">
      <c r="A711" s="3" t="s">
        <v>3418</v>
      </c>
      <c r="B711" s="4" t="str">
        <f ca="1">IFERROR(__xludf.DUMMYFUNCTION("IFERROR(GOOGLETRANSLATE(A711,""ko"",""en""),)"),"I am studying Korean now.")</f>
        <v>I am studying Korean now.</v>
      </c>
      <c r="C711" s="4" t="str">
        <f ca="1">IFERROR(__xludf.DUMMYFUNCTION("IFERROR(GOOGLETRANSLATE(B711,""en"",""ja""),)"),"私は今、韓国語を勉強しています。")</f>
        <v>私は今、韓国語を勉強しています。</v>
      </c>
      <c r="D711" s="4" t="str">
        <f ca="1">IFERROR(__xludf.DUMMYFUNCTION("IFERROR(GOOGLETRANSLATE(B711,""en"",""zh-TW""),)"),"我現在正在學習韓語。")</f>
        <v>我現在正在學習韓語。</v>
      </c>
      <c r="E711" s="4" t="str">
        <f ca="1">IFERROR(__xludf.DUMMYFUNCTION("IFERROR(GOOGLETRANSLATE(B711,""en"",""zh-CN""),)"),"我现在正在学习韩语。")</f>
        <v>我现在正在学习韩语。</v>
      </c>
    </row>
    <row r="712" spans="1:5" ht="18">
      <c r="A712" s="3" t="s">
        <v>3424</v>
      </c>
      <c r="B712" s="4" t="str">
        <f ca="1">IFERROR(__xludf.DUMMYFUNCTION("IFERROR(GOOGLETRANSLATE(A712,""ko"",""en""),)"),"I'm not going.")</f>
        <v>I'm not going.</v>
      </c>
      <c r="C712" s="4" t="str">
        <f ca="1">IFERROR(__xludf.DUMMYFUNCTION("IFERROR(GOOGLETRANSLATE(B712,""en"",""ja""),)"),"私は行きません。")</f>
        <v>私は行きません。</v>
      </c>
      <c r="D712" s="4" t="str">
        <f ca="1">IFERROR(__xludf.DUMMYFUNCTION("IFERROR(GOOGLETRANSLATE(B712,""en"",""zh-TW""),)"),"我不去。")</f>
        <v>我不去。</v>
      </c>
      <c r="E712" s="4" t="str">
        <f ca="1">IFERROR(__xludf.DUMMYFUNCTION("IFERROR(GOOGLETRANSLATE(B712,""en"",""zh-CN""),)"),"我不去。")</f>
        <v>我不去。</v>
      </c>
    </row>
    <row r="713" spans="1:5" ht="18">
      <c r="A713" s="3" t="s">
        <v>3430</v>
      </c>
      <c r="B713" s="4" t="str">
        <f ca="1">IFERROR(__xludf.DUMMYFUNCTION("IFERROR(GOOGLETRANSLATE(A713,""ko"",""en""),)"),"I'm not working.")</f>
        <v>I'm not working.</v>
      </c>
      <c r="C713" s="4" t="str">
        <f ca="1">IFERROR(__xludf.DUMMYFUNCTION("IFERROR(GOOGLETRANSLATE(B713,""en"",""ja""),)"),"私は働いていません。")</f>
        <v>私は働いていません。</v>
      </c>
      <c r="D713" s="4" t="str">
        <f ca="1">IFERROR(__xludf.DUMMYFUNCTION("IFERROR(GOOGLETRANSLATE(B713,""en"",""zh-TW""),)"),"我沒上班。")</f>
        <v>我沒上班。</v>
      </c>
      <c r="E713" s="4" t="str">
        <f ca="1">IFERROR(__xludf.DUMMYFUNCTION("IFERROR(GOOGLETRANSLATE(B713,""en"",""zh-CN""),)"),"我没上班。")</f>
        <v>我没上班。</v>
      </c>
    </row>
    <row r="714" spans="1:5" ht="18">
      <c r="A714" s="3" t="s">
        <v>3436</v>
      </c>
      <c r="B714" s="4" t="str">
        <f ca="1">IFERROR(__xludf.DUMMYFUNCTION("IFERROR(GOOGLETRANSLATE(A714,""ko"",""en""),)"),"I don't love you.")</f>
        <v>I don't love you.</v>
      </c>
      <c r="C714" s="4" t="str">
        <f ca="1">IFERROR(__xludf.DUMMYFUNCTION("IFERROR(GOOGLETRANSLATE(B714,""en"",""ja""),)"),"私はあなたを愛していません。")</f>
        <v>私はあなたを愛していません。</v>
      </c>
      <c r="D714" s="4" t="str">
        <f ca="1">IFERROR(__xludf.DUMMYFUNCTION("IFERROR(GOOGLETRANSLATE(B714,""en"",""zh-TW""),)"),"我不愛你。")</f>
        <v>我不愛你。</v>
      </c>
      <c r="E714" s="4" t="str">
        <f ca="1">IFERROR(__xludf.DUMMYFUNCTION("IFERROR(GOOGLETRANSLATE(B714,""en"",""zh-CN""),)"),"我不爱你。")</f>
        <v>我不爱你。</v>
      </c>
    </row>
    <row r="715" spans="1:5" ht="18">
      <c r="A715" s="3" t="s">
        <v>3441</v>
      </c>
      <c r="B715" s="4" t="str">
        <f ca="1">IFERROR(__xludf.DUMMYFUNCTION("IFERROR(GOOGLETRANSLATE(A715,""ko"",""en""),)"),"Baek Ji-young")</f>
        <v>Baek Ji-young</v>
      </c>
      <c r="C715" s="4" t="str">
        <f ca="1">IFERROR(__xludf.DUMMYFUNCTION("IFERROR(GOOGLETRANSLATE(B715,""en"",""ja""),)"),"ペク・ジヨン")</f>
        <v>ペク・ジヨン</v>
      </c>
      <c r="D715" s="4" t="str">
        <f ca="1">IFERROR(__xludf.DUMMYFUNCTION("IFERROR(GOOGLETRANSLATE(B715,""en"",""zh-TW""),)"),"白智英")</f>
        <v>白智英</v>
      </c>
      <c r="E715" s="4" t="str">
        <f ca="1">IFERROR(__xludf.DUMMYFUNCTION("IFERROR(GOOGLETRANSLATE(B715,""en"",""zh-CN""),)"),"白智英")</f>
        <v>白智英</v>
      </c>
    </row>
    <row r="716" spans="1:5" ht="18">
      <c r="A716" s="3" t="s">
        <v>3447</v>
      </c>
      <c r="B716" s="4" t="str">
        <f ca="1">IFERROR(__xludf.DUMMYFUNCTION("IFERROR(GOOGLETRANSLATE(A716,""ko"",""en""),)"),"Home Run Ball")</f>
        <v>Home Run Ball</v>
      </c>
      <c r="C716" s="4" t="str">
        <f ca="1">IFERROR(__xludf.DUMMYFUNCTION("IFERROR(GOOGLETRANSLATE(B716,""en"",""ja""),)"),"ホームランボール")</f>
        <v>ホームランボール</v>
      </c>
      <c r="D716" s="4" t="str">
        <f ca="1">IFERROR(__xludf.DUMMYFUNCTION("IFERROR(GOOGLETRANSLATE(B716,""en"",""zh-TW""),)"),"全壘打")</f>
        <v>全壘打</v>
      </c>
      <c r="E716" s="4" t="str">
        <f ca="1">IFERROR(__xludf.DUMMYFUNCTION("IFERROR(GOOGLETRANSLATE(B716,""en"",""zh-CN""),)"),"本垒打球")</f>
        <v>本垒打球</v>
      </c>
    </row>
    <row r="717" spans="1:5" ht="18">
      <c r="A717" s="3" t="s">
        <v>3453</v>
      </c>
      <c r="B717" s="4" t="str">
        <f ca="1">IFERROR(__xludf.DUMMYFUNCTION("IFERROR(GOOGLETRANSLATE(A717,""ko"",""en""),)"),"I like drawing.")</f>
        <v>I like drawing.</v>
      </c>
      <c r="C717" s="4" t="str">
        <f ca="1">IFERROR(__xludf.DUMMYFUNCTION("IFERROR(GOOGLETRANSLATE(B717,""en"",""ja""),)"),"私は絵を描くのが好きです。")</f>
        <v>私は絵を描くのが好きです。</v>
      </c>
      <c r="D717" s="4" t="str">
        <f ca="1">IFERROR(__xludf.DUMMYFUNCTION("IFERROR(GOOGLETRANSLATE(B717,""en"",""zh-TW""),)"),"我喜歡畫畫。")</f>
        <v>我喜歡畫畫。</v>
      </c>
      <c r="E717" s="4" t="str">
        <f ca="1">IFERROR(__xludf.DUMMYFUNCTION("IFERROR(GOOGLETRANSLATE(B717,""en"",""zh-CN""),)"),"我喜欢画画。")</f>
        <v>我喜欢画画。</v>
      </c>
    </row>
    <row r="718" spans="1:5" ht="18">
      <c r="A718" s="3" t="s">
        <v>3459</v>
      </c>
      <c r="B718" s="4" t="str">
        <f ca="1">IFERROR(__xludf.DUMMYFUNCTION("IFERROR(GOOGLETRANSLATE(A718,""ko"",""en""),)"),"I like shoes.")</f>
        <v>I like shoes.</v>
      </c>
      <c r="C718" s="4" t="str">
        <f ca="1">IFERROR(__xludf.DUMMYFUNCTION("IFERROR(GOOGLETRANSLATE(B718,""en"",""ja""),)"),"私は靴が好きです。")</f>
        <v>私は靴が好きです。</v>
      </c>
      <c r="D718" s="4" t="str">
        <f ca="1">IFERROR(__xludf.DUMMYFUNCTION("IFERROR(GOOGLETRANSLATE(B718,""en"",""zh-TW""),)"),"我喜歡鞋子。")</f>
        <v>我喜歡鞋子。</v>
      </c>
      <c r="E718" s="4" t="str">
        <f ca="1">IFERROR(__xludf.DUMMYFUNCTION("IFERROR(GOOGLETRANSLATE(B718,""en"",""zh-CN""),)"),"我喜欢鞋子。")</f>
        <v>我喜欢鞋子。</v>
      </c>
    </row>
    <row r="719" spans="1:5" ht="18">
      <c r="A719" s="3" t="s">
        <v>3464</v>
      </c>
      <c r="B719" s="4" t="str">
        <f ca="1">IFERROR(__xludf.DUMMYFUNCTION("IFERROR(GOOGLETRANSLATE(A719,""ko"",""en""),)"),"Do you eat?")</f>
        <v>Do you eat?</v>
      </c>
      <c r="C719" s="4" t="str">
        <f ca="1">IFERROR(__xludf.DUMMYFUNCTION("IFERROR(GOOGLETRANSLATE(B719,""en"",""ja""),)"),"あなたは食事をしますか？")</f>
        <v>あなたは食事をしますか？</v>
      </c>
      <c r="D719" s="4" t="str">
        <f ca="1">IFERROR(__xludf.DUMMYFUNCTION("IFERROR(GOOGLETRANSLATE(B719,""en"",""zh-TW""),)"),"你吃飯嗎？")</f>
        <v>你吃飯嗎？</v>
      </c>
      <c r="E719" s="4" t="str">
        <f ca="1">IFERROR(__xludf.DUMMYFUNCTION("IFERROR(GOOGLETRANSLATE(B719,""en"",""zh-CN""),)"),"你吃饭吗？")</f>
        <v>你吃饭吗？</v>
      </c>
    </row>
    <row r="720" spans="1:5" ht="18">
      <c r="A720" s="3" t="s">
        <v>190</v>
      </c>
      <c r="B720" s="4" t="str">
        <f ca="1">IFERROR(__xludf.DUMMYFUNCTION("IFERROR(GOOGLETRANSLATE(A720,""ko"",""en""),)"),"I drink coffee.")</f>
        <v>I drink coffee.</v>
      </c>
      <c r="C720" s="4" t="str">
        <f ca="1">IFERROR(__xludf.DUMMYFUNCTION("IFERROR(GOOGLETRANSLATE(B720,""en"",""ja""),)"),"私はコーヒーを飲みます。")</f>
        <v>私はコーヒーを飲みます。</v>
      </c>
      <c r="D720" s="4" t="str">
        <f ca="1">IFERROR(__xludf.DUMMYFUNCTION("IFERROR(GOOGLETRANSLATE(B720,""en"",""zh-TW""),)"),"我喝咖啡。")</f>
        <v>我喝咖啡。</v>
      </c>
      <c r="E720" s="4" t="str">
        <f ca="1">IFERROR(__xludf.DUMMYFUNCTION("IFERROR(GOOGLETRANSLATE(B720,""en"",""zh-CN""),)"),"我喝咖啡。")</f>
        <v>我喝咖啡。</v>
      </c>
    </row>
    <row r="721" spans="1:5" ht="18">
      <c r="A721" s="3" t="s">
        <v>3472</v>
      </c>
      <c r="B721" s="4" t="str">
        <f ca="1">IFERROR(__xludf.DUMMYFUNCTION("IFERROR(GOOGLETRANSLATE(A721,""ko"",""en""),)"),"The child drinks milk.")</f>
        <v>The child drinks milk.</v>
      </c>
      <c r="C721" s="4" t="str">
        <f ca="1">IFERROR(__xludf.DUMMYFUNCTION("IFERROR(GOOGLETRANSLATE(B721,""en"",""ja""),)"),"子供は牛乳を飲む。")</f>
        <v>子供は牛乳を飲む。</v>
      </c>
      <c r="D721" s="4" t="str">
        <f ca="1">IFERROR(__xludf.DUMMYFUNCTION("IFERROR(GOOGLETRANSLATE(B721,""en"",""zh-TW""),)"),"孩子在喝牛奶。")</f>
        <v>孩子在喝牛奶。</v>
      </c>
      <c r="E721" s="4" t="str">
        <f ca="1">IFERROR(__xludf.DUMMYFUNCTION("IFERROR(GOOGLETRANSLATE(B721,""en"",""zh-CN""),)"),"孩子在喝牛奶。")</f>
        <v>孩子在喝牛奶。</v>
      </c>
    </row>
    <row r="722" spans="1:5" ht="18">
      <c r="A722" s="3" t="s">
        <v>3476</v>
      </c>
      <c r="B722" s="4" t="str">
        <f ca="1">IFERROR(__xludf.DUMMYFUNCTION("IFERROR(GOOGLETRANSLATE(A722,""ko"",""en""),)"),"My brother likes dogs.")</f>
        <v>My brother likes dogs.</v>
      </c>
      <c r="C722" s="4" t="str">
        <f ca="1">IFERROR(__xludf.DUMMYFUNCTION("IFERROR(GOOGLETRANSLATE(B722,""en"",""ja""),)"),"私の兄は犬が好きです。")</f>
        <v>私の兄は犬が好きです。</v>
      </c>
      <c r="D722" s="4" t="str">
        <f ca="1">IFERROR(__xludf.DUMMYFUNCTION("IFERROR(GOOGLETRANSLATE(B722,""en"",""zh-TW""),)"),"我哥哥喜歡狗。")</f>
        <v>我哥哥喜歡狗。</v>
      </c>
      <c r="E722" s="4" t="str">
        <f ca="1">IFERROR(__xludf.DUMMYFUNCTION("IFERROR(GOOGLETRANSLATE(B722,""en"",""zh-CN""),)"),"我哥哥喜欢狗。")</f>
        <v>我哥哥喜欢狗。</v>
      </c>
    </row>
    <row r="723" spans="1:5" ht="18">
      <c r="A723" s="3" t="s">
        <v>3481</v>
      </c>
      <c r="B723" s="4" t="str">
        <f ca="1">IFERROR(__xludf.DUMMYFUNCTION("IFERROR(GOOGLETRANSLATE(A723,""ko"",""en""),)"),"Yujin eats Korean food.")</f>
        <v>Yujin eats Korean food.</v>
      </c>
      <c r="C723" s="4" t="str">
        <f ca="1">IFERROR(__xludf.DUMMYFUNCTION("IFERROR(GOOGLETRANSLATE(B723,""en"",""ja""),)"),"ユジンは韓国料理を食べる。")</f>
        <v>ユジンは韓国料理を食べる。</v>
      </c>
      <c r="D723" s="4" t="str">
        <f ca="1">IFERROR(__xludf.DUMMYFUNCTION("IFERROR(GOOGLETRANSLATE(B723,""en"",""zh-TW""),)"),"Yujin喜歡吃韓國菜。")</f>
        <v>Yujin喜歡吃韓國菜。</v>
      </c>
      <c r="E723" s="4" t="str">
        <f ca="1">IFERROR(__xludf.DUMMYFUNCTION("IFERROR(GOOGLETRANSLATE(B723,""en"",""zh-CN""),)"),"Yujin喜欢吃韩国菜。")</f>
        <v>Yujin喜欢吃韩国菜。</v>
      </c>
    </row>
    <row r="724" spans="1:5" ht="18">
      <c r="A724" s="3" t="s">
        <v>3487</v>
      </c>
      <c r="B724" s="4" t="str">
        <f ca="1">IFERROR(__xludf.DUMMYFUNCTION("IFERROR(GOOGLETRANSLATE(A724,""ko"",""en""),)"),"The teacher reads a book.")</f>
        <v>The teacher reads a book.</v>
      </c>
      <c r="C724" s="4" t="str">
        <f ca="1">IFERROR(__xludf.DUMMYFUNCTION("IFERROR(GOOGLETRANSLATE(B724,""en"",""ja""),)"),"先生は本を読んでいる。")</f>
        <v>先生は本を読んでいる。</v>
      </c>
      <c r="D724" s="4" t="str">
        <f ca="1">IFERROR(__xludf.DUMMYFUNCTION("IFERROR(GOOGLETRANSLATE(B724,""en"",""zh-TW""),)"),"老師在讀書。")</f>
        <v>老師在讀書。</v>
      </c>
      <c r="E724" s="4" t="str">
        <f ca="1">IFERROR(__xludf.DUMMYFUNCTION("IFERROR(GOOGLETRANSLATE(B724,""en"",""zh-CN""),)"),"老师在读书。")</f>
        <v>老师在读书。</v>
      </c>
    </row>
    <row r="725" spans="1:5" ht="18">
      <c r="A725" s="3" t="s">
        <v>3494</v>
      </c>
      <c r="B725" s="4" t="str">
        <f ca="1">IFERROR(__xludf.DUMMYFUNCTION("IFERROR(GOOGLETRANSLATE(A725,""ko"",""en""),)"),"I buy bags.")</f>
        <v>I buy bags.</v>
      </c>
      <c r="C725" s="4" t="str">
        <f ca="1">IFERROR(__xludf.DUMMYFUNCTION("IFERROR(GOOGLETRANSLATE(B725,""en"",""ja""),)"),"私はバッグを買います。")</f>
        <v>私はバッグを買います。</v>
      </c>
      <c r="D725" s="4" t="str">
        <f ca="1">IFERROR(__xludf.DUMMYFUNCTION("IFERROR(GOOGLETRANSLATE(B725,""en"",""zh-TW""),)"),"我買包包。")</f>
        <v>我買包包。</v>
      </c>
      <c r="E725" s="4" t="str">
        <f ca="1">IFERROR(__xludf.DUMMYFUNCTION("IFERROR(GOOGLETRANSLATE(B725,""en"",""zh-CN""),)"),"我买包。")</f>
        <v>我买包。</v>
      </c>
    </row>
    <row r="726" spans="1:5" ht="18">
      <c r="A726" s="5" t="s">
        <v>3500</v>
      </c>
      <c r="B726" s="4" t="str">
        <f ca="1">IFERROR(__xludf.DUMMYFUNCTION("IFERROR(GOOGLETRANSLATE(A726,""ko"",""en""),)"),"Draw")</f>
        <v>Draw</v>
      </c>
      <c r="C726" s="4" t="str">
        <f ca="1">IFERROR(__xludf.DUMMYFUNCTION("IFERROR(GOOGLETRANSLATE(B726,""en"",""ja""),)"),"描く")</f>
        <v>描く</v>
      </c>
      <c r="D726" s="4" t="str">
        <f ca="1">IFERROR(__xludf.DUMMYFUNCTION("IFERROR(GOOGLETRANSLATE(B726,""en"",""zh-TW""),)"),"畫")</f>
        <v>畫</v>
      </c>
      <c r="E726" s="4" t="str">
        <f ca="1">IFERROR(__xludf.DUMMYFUNCTION("IFERROR(GOOGLETRANSLATE(B726,""en"",""zh-CN""),)"),"画")</f>
        <v>画</v>
      </c>
    </row>
    <row r="727" spans="1:5" ht="18">
      <c r="A727" s="3" t="s">
        <v>3504</v>
      </c>
      <c r="B727" s="4" t="str">
        <f ca="1">IFERROR(__xludf.DUMMYFUNCTION("IFERROR(GOOGLETRANSLATE(A727,""ko"",""en""),)"),"Draw flowers.")</f>
        <v>Draw flowers.</v>
      </c>
      <c r="C727" s="4" t="str">
        <f ca="1">IFERROR(__xludf.DUMMYFUNCTION("IFERROR(GOOGLETRANSLATE(B727,""en"",""ja""),)"),"花を描く。")</f>
        <v>花を描く。</v>
      </c>
      <c r="D727" s="4" t="str">
        <f ca="1">IFERROR(__xludf.DUMMYFUNCTION("IFERROR(GOOGLETRANSLATE(B727,""en"",""zh-TW""),)"),"畫花。")</f>
        <v>畫花。</v>
      </c>
      <c r="E727" s="4" t="str">
        <f ca="1">IFERROR(__xludf.DUMMYFUNCTION("IFERROR(GOOGLETRANSLATE(B727,""en"",""zh-CN""),)"),"画花。")</f>
        <v>画花。</v>
      </c>
    </row>
    <row r="728" spans="1:5" ht="18">
      <c r="A728" s="3" t="s">
        <v>3509</v>
      </c>
      <c r="B728" s="4" t="str">
        <f ca="1">IFERROR(__xludf.DUMMYFUNCTION("IFERROR(GOOGLETRANSLATE(A728,""ko"",""en""),)"),"draw")</f>
        <v>draw</v>
      </c>
      <c r="C728" s="4" t="str">
        <f ca="1">IFERROR(__xludf.DUMMYFUNCTION("IFERROR(GOOGLETRANSLATE(B728,""en"",""ja""),)"),"描く")</f>
        <v>描く</v>
      </c>
      <c r="D728" s="4" t="str">
        <f ca="1">IFERROR(__xludf.DUMMYFUNCTION("IFERROR(GOOGLETRANSLATE(B728,""en"",""zh-TW""),)"),"畫")</f>
        <v>畫</v>
      </c>
      <c r="E728" s="4" t="str">
        <f ca="1">IFERROR(__xludf.DUMMYFUNCTION("IFERROR(GOOGLETRANSLATE(B728,""en"",""zh-CN""),)"),"画")</f>
        <v>画</v>
      </c>
    </row>
    <row r="729" spans="1:5" ht="18">
      <c r="A729" s="3" t="s">
        <v>3515</v>
      </c>
      <c r="B729" s="4" t="str">
        <f ca="1">IFERROR(__xludf.DUMMYFUNCTION("IFERROR(GOOGLETRANSLATE(A729,""ko"",""en""),)"),"Learn")</f>
        <v>Learn</v>
      </c>
      <c r="C729" s="4" t="str">
        <f ca="1">IFERROR(__xludf.DUMMYFUNCTION("IFERROR(GOOGLETRANSLATE(B729,""en"",""ja""),)"),"学ぶ")</f>
        <v>学ぶ</v>
      </c>
      <c r="D729" s="4" t="str">
        <f ca="1">IFERROR(__xludf.DUMMYFUNCTION("IFERROR(GOOGLETRANSLATE(B729,""en"",""zh-TW""),)"),"學習")</f>
        <v>學習</v>
      </c>
      <c r="E729" s="4" t="str">
        <f ca="1">IFERROR(__xludf.DUMMYFUNCTION("IFERROR(GOOGLETRANSLATE(B729,""en"",""zh-CN""),)"),"学习")</f>
        <v>学习</v>
      </c>
    </row>
    <row r="730" spans="1:5" ht="18">
      <c r="A730" s="3" t="s">
        <v>220</v>
      </c>
      <c r="B730" s="4" t="str">
        <f ca="1">IFERROR(__xludf.DUMMYFUNCTION("IFERROR(GOOGLETRANSLATE(A730,""ko"",""en""),)"),"learn")</f>
        <v>learn</v>
      </c>
      <c r="C730" s="4" t="str">
        <f ca="1">IFERROR(__xludf.DUMMYFUNCTION("IFERROR(GOOGLETRANSLATE(B730,""en"",""ja""),)"),"学ぶ")</f>
        <v>学ぶ</v>
      </c>
      <c r="D730" s="4" t="str">
        <f ca="1">IFERROR(__xludf.DUMMYFUNCTION("IFERROR(GOOGLETRANSLATE(B730,""en"",""zh-TW""),)"),"學習")</f>
        <v>學習</v>
      </c>
      <c r="E730" s="4" t="str">
        <f ca="1">IFERROR(__xludf.DUMMYFUNCTION("IFERROR(GOOGLETRANSLATE(B730,""en"",""zh-CN""),)"),"学习")</f>
        <v>学习</v>
      </c>
    </row>
    <row r="731" spans="1:5" ht="18">
      <c r="A731" s="3" t="s">
        <v>3526</v>
      </c>
      <c r="B731" s="4" t="str">
        <f ca="1">IFERROR(__xludf.DUMMYFUNCTION("IFERROR(GOOGLETRANSLATE(A731,""ko"",""en""),)"),"I'm learning the piano")</f>
        <v>I'm learning the piano</v>
      </c>
      <c r="C731" s="4" t="str">
        <f ca="1">IFERROR(__xludf.DUMMYFUNCTION("IFERROR(GOOGLETRANSLATE(B731,""en"",""ja""),)"),"私はピアノを習っています")</f>
        <v>私はピアノを習っています</v>
      </c>
      <c r="D731" s="4" t="str">
        <f ca="1">IFERROR(__xludf.DUMMYFUNCTION("IFERROR(GOOGLETRANSLATE(B731,""en"",""zh-TW""),)"),"我正在學鋼琴")</f>
        <v>我正在學鋼琴</v>
      </c>
      <c r="E731" s="4" t="str">
        <f ca="1">IFERROR(__xludf.DUMMYFUNCTION("IFERROR(GOOGLETRANSLATE(B731,""en"",""zh-CN""),)"),"我正在学钢琴")</f>
        <v>我正在学钢琴</v>
      </c>
    </row>
    <row r="732" spans="1:5" ht="18">
      <c r="A732" s="3" t="s">
        <v>3529</v>
      </c>
      <c r="B732" s="4" t="str">
        <f ca="1">IFERROR(__xludf.DUMMYFUNCTION("IFERROR(GOOGLETRANSLATE(A732,""ko"",""en""),)"),"I am learning Korean.")</f>
        <v>I am learning Korean.</v>
      </c>
      <c r="C732" s="4" t="str">
        <f ca="1">IFERROR(__xludf.DUMMYFUNCTION("IFERROR(GOOGLETRANSLATE(B732,""en"",""ja""),)"),"私は韓国語を勉強しています。")</f>
        <v>私は韓国語を勉強しています。</v>
      </c>
      <c r="D732" s="4" t="str">
        <f ca="1">IFERROR(__xludf.DUMMYFUNCTION("IFERROR(GOOGLETRANSLATE(B732,""en"",""zh-TW""),)"),"我正在學習韓語。")</f>
        <v>我正在學習韓語。</v>
      </c>
      <c r="E732" s="4" t="str">
        <f ca="1">IFERROR(__xludf.DUMMYFUNCTION("IFERROR(GOOGLETRANSLATE(B732,""en"",""zh-CN""),)"),"我正在学习韩语。")</f>
        <v>我正在学习韩语。</v>
      </c>
    </row>
    <row r="733" spans="1:5" ht="18">
      <c r="A733" s="3" t="s">
        <v>3534</v>
      </c>
      <c r="B733" s="4" t="str">
        <f ca="1">IFERROR(__xludf.DUMMYFUNCTION("IFERROR(GOOGLETRANSLATE(A733,""ko"",""en""),)"),"Mari is studying Korean today.")</f>
        <v>Mari is studying Korean today.</v>
      </c>
      <c r="C733" s="4" t="str">
        <f ca="1">IFERROR(__xludf.DUMMYFUNCTION("IFERROR(GOOGLETRANSLATE(B733,""en"",""ja""),)"),"マリは今日、韓国語を勉強しています。")</f>
        <v>マリは今日、韓国語を勉強しています。</v>
      </c>
      <c r="D733" s="4" t="str">
        <f ca="1">IFERROR(__xludf.DUMMYFUNCTION("IFERROR(GOOGLETRANSLATE(B733,""en"",""zh-TW""),)"),"瑪麗今天在學習韓語。")</f>
        <v>瑪麗今天在學習韓語。</v>
      </c>
      <c r="E733" s="4" t="str">
        <f ca="1">IFERROR(__xludf.DUMMYFUNCTION("IFERROR(GOOGLETRANSLATE(B733,""en"",""zh-CN""),)"),"玛丽今天在学习韩语。")</f>
        <v>玛丽今天在学习韩语。</v>
      </c>
    </row>
    <row r="734" spans="1:5" ht="18">
      <c r="A734" s="3" t="s">
        <v>3540</v>
      </c>
      <c r="B734" s="4" t="str">
        <f ca="1">IFERROR(__xludf.DUMMYFUNCTION("IFERROR(GOOGLETRANSLATE(A734,""ko"",""en""),)"),"What are you doing with your friend?")</f>
        <v>What are you doing with your friend?</v>
      </c>
      <c r="C734" s="4" t="str">
        <f ca="1">IFERROR(__xludf.DUMMYFUNCTION("IFERROR(GOOGLETRANSLATE(B734,""en"",""ja""),)"),"友達と何をしているの？")</f>
        <v>友達と何をしているの？</v>
      </c>
      <c r="D734" s="4" t="str">
        <f ca="1">IFERROR(__xludf.DUMMYFUNCTION("IFERROR(GOOGLETRANSLATE(B734,""en"",""zh-TW""),)"),"你和朋友在做什麼？")</f>
        <v>你和朋友在做什麼？</v>
      </c>
      <c r="E734" s="4" t="str">
        <f ca="1">IFERROR(__xludf.DUMMYFUNCTION("IFERROR(GOOGLETRANSLATE(B734,""en"",""zh-CN""),)"),"你和朋友在做什么？")</f>
        <v>你和朋友在做什么？</v>
      </c>
    </row>
    <row r="735" spans="1:5" ht="18">
      <c r="A735" s="3" t="s">
        <v>3544</v>
      </c>
      <c r="B735" s="4" t="str">
        <f ca="1">IFERROR(__xludf.DUMMYFUNCTION("IFERROR(GOOGLETRANSLATE(A735,""ko"",""en""),)"),"I don't eat bulgogi.")</f>
        <v>I don't eat bulgogi.</v>
      </c>
      <c r="C735" s="4" t="str">
        <f ca="1">IFERROR(__xludf.DUMMYFUNCTION("IFERROR(GOOGLETRANSLATE(B735,""en"",""ja""),)"),"私はプルコギを食べません。")</f>
        <v>私はプルコギを食べません。</v>
      </c>
      <c r="D735" s="4" t="str">
        <f ca="1">IFERROR(__xludf.DUMMYFUNCTION("IFERROR(GOOGLETRANSLATE(B735,""en"",""zh-TW""),)"),"我不吃烤肉。")</f>
        <v>我不吃烤肉。</v>
      </c>
      <c r="E735" s="4" t="str">
        <f ca="1">IFERROR(__xludf.DUMMYFUNCTION("IFERROR(GOOGLETRANSLATE(B735,""en"",""zh-CN""),)"),"我不吃烤肉。")</f>
        <v>我不吃烤肉。</v>
      </c>
    </row>
    <row r="736" spans="1:5" ht="18">
      <c r="A736" s="3" t="s">
        <v>3548</v>
      </c>
      <c r="B736" s="4" t="str">
        <f ca="1">IFERROR(__xludf.DUMMYFUNCTION("IFERROR(GOOGLETRANSLATE(A736,""ko"",""en""),)"),"I don't watch movies.")</f>
        <v>I don't watch movies.</v>
      </c>
      <c r="C736" s="4" t="str">
        <f ca="1">IFERROR(__xludf.DUMMYFUNCTION("IFERROR(GOOGLETRANSLATE(B736,""en"",""ja""),)"),"私は映画を見ません。")</f>
        <v>私は映画を見ません。</v>
      </c>
      <c r="D736" s="4" t="str">
        <f ca="1">IFERROR(__xludf.DUMMYFUNCTION("IFERROR(GOOGLETRANSLATE(B736,""en"",""zh-TW""),)"),"我不看電影。")</f>
        <v>我不看電影。</v>
      </c>
      <c r="E736" s="4" t="str">
        <f ca="1">IFERROR(__xludf.DUMMYFUNCTION("IFERROR(GOOGLETRANSLATE(B736,""en"",""zh-CN""),)"),"我不看电影。")</f>
        <v>我不看电影。</v>
      </c>
    </row>
    <row r="737" spans="1:5" ht="18">
      <c r="A737" s="3" t="s">
        <v>3554</v>
      </c>
      <c r="B737" s="4" t="str">
        <f ca="1">IFERROR(__xludf.DUMMYFUNCTION("IFERROR(GOOGLETRANSLATE(A737,""ko"",""en""),)"),"karaoke")</f>
        <v>karaoke</v>
      </c>
      <c r="C737" s="4" t="str">
        <f ca="1">IFERROR(__xludf.DUMMYFUNCTION("IFERROR(GOOGLETRANSLATE(B737,""en"",""ja""),)"),"カラオケ")</f>
        <v>カラオケ</v>
      </c>
      <c r="D737" s="4" t="str">
        <f ca="1">IFERROR(__xludf.DUMMYFUNCTION("IFERROR(GOOGLETRANSLATE(B737,""en"",""zh-TW""),)"),"卡拉OK")</f>
        <v>卡拉OK</v>
      </c>
      <c r="E737" s="4" t="str">
        <f ca="1">IFERROR(__xludf.DUMMYFUNCTION("IFERROR(GOOGLETRANSLATE(B737,""en"",""zh-CN""),)"),"卡拉OK")</f>
        <v>卡拉OK</v>
      </c>
    </row>
    <row r="738" spans="1:5" ht="18">
      <c r="A738" s="3" t="s">
        <v>3561</v>
      </c>
      <c r="B738" s="4" t="str">
        <f ca="1">IFERROR(__xludf.DUMMYFUNCTION("IFERROR(GOOGLETRANSLATE(A738,""ko"",""en""),)"),"that's right")</f>
        <v>that's right</v>
      </c>
      <c r="C738" s="4" t="str">
        <f ca="1">IFERROR(__xludf.DUMMYFUNCTION("IFERROR(GOOGLETRANSLATE(B738,""en"",""ja""),)"),"それは正しい")</f>
        <v>それは正しい</v>
      </c>
      <c r="D738" s="4" t="str">
        <f ca="1">IFERROR(__xludf.DUMMYFUNCTION("IFERROR(GOOGLETRANSLATE(B738,""en"",""zh-TW""),)"),"這是正確的")</f>
        <v>這是正確的</v>
      </c>
      <c r="E738" s="4" t="str">
        <f ca="1">IFERROR(__xludf.DUMMYFUNCTION("IFERROR(GOOGLETRANSLATE(B738,""en"",""zh-CN""),)"),"这是正确的")</f>
        <v>这是正确的</v>
      </c>
    </row>
    <row r="739" spans="1:5" ht="18">
      <c r="A739" s="3" t="s">
        <v>594</v>
      </c>
      <c r="B739" s="4" t="str">
        <f ca="1">IFERROR(__xludf.DUMMYFUNCTION("IFERROR(GOOGLETRANSLATE(A739,""ko"",""en""),)"),"what's your name?")</f>
        <v>what's your name?</v>
      </c>
      <c r="C739" s="4" t="str">
        <f ca="1">IFERROR(__xludf.DUMMYFUNCTION("IFERROR(GOOGLETRANSLATE(B739,""en"",""ja""),)"),"あなたの名前は何ですか？")</f>
        <v>あなたの名前は何ですか？</v>
      </c>
      <c r="D739" s="4" t="str">
        <f ca="1">IFERROR(__xludf.DUMMYFUNCTION("IFERROR(GOOGLETRANSLATE(B739,""en"",""zh-TW""),)"),"你叫什麼名字？")</f>
        <v>你叫什麼名字？</v>
      </c>
      <c r="E739" s="4" t="str">
        <f ca="1">IFERROR(__xludf.DUMMYFUNCTION("IFERROR(GOOGLETRANSLATE(B739,""en"",""zh-CN""),)"),"你叫什么名字？")</f>
        <v>你叫什么名字？</v>
      </c>
    </row>
    <row r="740" spans="1:5" ht="18">
      <c r="A740" s="3" t="s">
        <v>3576</v>
      </c>
      <c r="B740" s="4" t="str">
        <f ca="1">IFERROR(__xludf.DUMMYFUNCTION("IFERROR(GOOGLETRANSLATE(A740,""ko"",""en""),)"),"laptop")</f>
        <v>laptop</v>
      </c>
      <c r="C740" s="4" t="str">
        <f ca="1">IFERROR(__xludf.DUMMYFUNCTION("IFERROR(GOOGLETRANSLATE(B740,""en"",""ja""),)"),"ラップトップ")</f>
        <v>ラップトップ</v>
      </c>
      <c r="D740" s="4" t="str">
        <f ca="1">IFERROR(__xludf.DUMMYFUNCTION("IFERROR(GOOGLETRANSLATE(B740,""en"",""zh-TW""),)"),"筆記型電腦")</f>
        <v>筆記型電腦</v>
      </c>
      <c r="E740" s="4" t="str">
        <f ca="1">IFERROR(__xludf.DUMMYFUNCTION("IFERROR(GOOGLETRANSLATE(B740,""en"",""zh-CN""),)"),"笔记本电脑")</f>
        <v>笔记本电脑</v>
      </c>
    </row>
    <row r="741" spans="1:5" ht="18">
      <c r="A741" s="3" t="s">
        <v>324</v>
      </c>
      <c r="B741" s="4" t="str">
        <f ca="1">IFERROR(__xludf.DUMMYFUNCTION("IFERROR(GOOGLETRANSLATE(A741,""ko"",""en""),)"),"notebook")</f>
        <v>notebook</v>
      </c>
      <c r="C741" s="4" t="str">
        <f ca="1">IFERROR(__xludf.DUMMYFUNCTION("IFERROR(GOOGLETRANSLATE(B741,""en"",""ja""),)"),"ノート")</f>
        <v>ノート</v>
      </c>
      <c r="D741" s="4" t="str">
        <f ca="1">IFERROR(__xludf.DUMMYFUNCTION("IFERROR(GOOGLETRANSLATE(B741,""en"",""zh-TW""),)"),"筆記本")</f>
        <v>筆記本</v>
      </c>
      <c r="E741" s="4" t="str">
        <f ca="1">IFERROR(__xludf.DUMMYFUNCTION("IFERROR(GOOGLETRANSLATE(B741,""en"",""zh-CN""),)"),"笔记本")</f>
        <v>笔记本</v>
      </c>
    </row>
    <row r="742" spans="1:5" ht="18">
      <c r="A742" s="5" t="s">
        <v>3591</v>
      </c>
      <c r="B742" s="4" t="str">
        <f ca="1">IFERROR(__xludf.DUMMYFUNCTION("IFERROR(GOOGLETRANSLATE(A742,""ko"",""en""),)"),"boy")</f>
        <v>boy</v>
      </c>
      <c r="C742" s="4" t="str">
        <f ca="1">IFERROR(__xludf.DUMMYFUNCTION("IFERROR(GOOGLETRANSLATE(B742,""en"",""ja""),)"),"男の子")</f>
        <v>男の子</v>
      </c>
      <c r="D742" s="4" t="str">
        <f ca="1">IFERROR(__xludf.DUMMYFUNCTION("IFERROR(GOOGLETRANSLATE(B742,""en"",""zh-TW""),)"),"男生")</f>
        <v>男生</v>
      </c>
      <c r="E742" s="4" t="str">
        <f ca="1">IFERROR(__xludf.DUMMYFUNCTION("IFERROR(GOOGLETRANSLATE(B742,""en"",""zh-CN""),)"),"男生")</f>
        <v>男生</v>
      </c>
    </row>
    <row r="743" spans="1:5" ht="18">
      <c r="A743" s="5" t="s">
        <v>3598</v>
      </c>
      <c r="B743" s="4" t="str">
        <f ca="1">IFERROR(__xludf.DUMMYFUNCTION("IFERROR(GOOGLETRANSLATE(A743,""ko"",""en""),)"),"girl")</f>
        <v>girl</v>
      </c>
      <c r="C743" s="4" t="str">
        <f ca="1">IFERROR(__xludf.DUMMYFUNCTION("IFERROR(GOOGLETRANSLATE(B743,""en"",""ja""),)"),"女の子")</f>
        <v>女の子</v>
      </c>
      <c r="D743" s="4" t="str">
        <f ca="1">IFERROR(__xludf.DUMMYFUNCTION("IFERROR(GOOGLETRANSLATE(B743,""en"",""zh-TW""),)"),"女孩")</f>
        <v>女孩</v>
      </c>
      <c r="E743" s="4" t="str">
        <f ca="1">IFERROR(__xludf.DUMMYFUNCTION("IFERROR(GOOGLETRANSLATE(B743,""en"",""zh-CN""),)"),"女孩")</f>
        <v>女孩</v>
      </c>
    </row>
    <row r="744" spans="1:5" ht="18">
      <c r="A744" s="5" t="s">
        <v>3605</v>
      </c>
      <c r="B744" s="4" t="s">
        <v>3606</v>
      </c>
      <c r="C744" s="4" t="str">
        <f ca="1">IFERROR(__xludf.DUMMYFUNCTION("IFERROR(GOOGLETRANSLATE(B744,""en"",""ja""),)"),"いたずらっ子")</f>
        <v>いたずらっ子</v>
      </c>
      <c r="D744" s="4" t="str">
        <f ca="1">IFERROR(__xludf.DUMMYFUNCTION("IFERROR(GOOGLETRANSLATE(B744,""en"",""zh-TW""),)"),"淘氣男孩")</f>
        <v>淘氣男孩</v>
      </c>
      <c r="E744" s="4" t="str">
        <f ca="1">IFERROR(__xludf.DUMMYFUNCTION("IFERROR(GOOGLETRANSLATE(B744,""en"",""zh-CN""),)"),"淘气男孩")</f>
        <v>淘气男孩</v>
      </c>
    </row>
    <row r="745" spans="1:5" ht="18">
      <c r="A745" s="3" t="s">
        <v>3609</v>
      </c>
      <c r="B745" s="4" t="s">
        <v>3611</v>
      </c>
      <c r="C745" s="4" t="str">
        <f ca="1">IFERROR(__xludf.DUMMYFUNCTION("IFERROR(GOOGLETRANSLATE(B745,""en"",""ja""),)"),"どれの")</f>
        <v>どれの</v>
      </c>
      <c r="D745" s="4" t="str">
        <f ca="1">IFERROR(__xludf.DUMMYFUNCTION("IFERROR(GOOGLETRANSLATE(B745,""en"",""zh-TW""),)"),"哪個")</f>
        <v>哪個</v>
      </c>
      <c r="E745" s="4" t="str">
        <f ca="1">IFERROR(__xludf.DUMMYFUNCTION("IFERROR(GOOGLETRANSLATE(B745,""en"",""zh-CN""),)"),"哪个")</f>
        <v>哪个</v>
      </c>
    </row>
    <row r="746" spans="1:5" ht="18">
      <c r="A746" s="3" t="s">
        <v>1318</v>
      </c>
      <c r="B746" s="4" t="str">
        <f ca="1">IFERROR(__xludf.DUMMYFUNCTION("IFERROR(GOOGLETRANSLATE(A746,""ko"",""en""),)"),"What is your phone number?")</f>
        <v>What is your phone number?</v>
      </c>
      <c r="C746" s="4" t="str">
        <f ca="1">IFERROR(__xludf.DUMMYFUNCTION("IFERROR(GOOGLETRANSLATE(B746,""en"",""ja""),)"),"あなたの電話番号は何番ですか？")</f>
        <v>あなたの電話番号は何番ですか？</v>
      </c>
      <c r="D746" s="4" t="str">
        <f ca="1">IFERROR(__xludf.DUMMYFUNCTION("IFERROR(GOOGLETRANSLATE(B746,""en"",""zh-TW""),)"),"你的電話號碼是什麼？")</f>
        <v>你的電話號碼是什麼？</v>
      </c>
      <c r="E746" s="4" t="str">
        <f ca="1">IFERROR(__xludf.DUMMYFUNCTION("IFERROR(GOOGLETRANSLATE(B746,""en"",""zh-CN""),)"),"你的电话号码是什么？")</f>
        <v>你的电话号码是什么？</v>
      </c>
    </row>
    <row r="747" spans="1:5" ht="18">
      <c r="A747" s="3" t="s">
        <v>594</v>
      </c>
      <c r="B747" s="4" t="str">
        <f ca="1">IFERROR(__xludf.DUMMYFUNCTION("IFERROR(GOOGLETRANSLATE(A747,""ko"",""en""),)"),"what's your name?")</f>
        <v>what's your name?</v>
      </c>
      <c r="C747" s="4" t="str">
        <f ca="1">IFERROR(__xludf.DUMMYFUNCTION("IFERROR(GOOGLETRANSLATE(B747,""en"",""ja""),)"),"あなたの名前は何ですか？")</f>
        <v>あなたの名前は何ですか？</v>
      </c>
      <c r="D747" s="4" t="str">
        <f ca="1">IFERROR(__xludf.DUMMYFUNCTION("IFERROR(GOOGLETRANSLATE(B747,""en"",""zh-TW""),)"),"你叫什麼名字？")</f>
        <v>你叫什麼名字？</v>
      </c>
      <c r="E747" s="4" t="str">
        <f ca="1">IFERROR(__xludf.DUMMYFUNCTION("IFERROR(GOOGLETRANSLATE(B747,""en"",""zh-CN""),)"),"你叫什么名字？")</f>
        <v>你叫什么名字？</v>
      </c>
    </row>
    <row r="748" spans="1:5" ht="18">
      <c r="A748" s="3" t="s">
        <v>590</v>
      </c>
      <c r="B748" s="4" t="str">
        <f ca="1">IFERROR(__xludf.DUMMYFUNCTION("IFERROR(GOOGLETRANSLATE(A748,""ko"",""en""),)"),"What is your job?")</f>
        <v>What is your job?</v>
      </c>
      <c r="C748" s="4" t="str">
        <f ca="1">IFERROR(__xludf.DUMMYFUNCTION("IFERROR(GOOGLETRANSLATE(B748,""en"",""ja""),)"),"あなたの仕事は何ですか？")</f>
        <v>あなたの仕事は何ですか？</v>
      </c>
      <c r="D748" s="4" t="str">
        <f ca="1">IFERROR(__xludf.DUMMYFUNCTION("IFERROR(GOOGLETRANSLATE(B748,""en"",""zh-TW""),)"),"你做什麼工作？")</f>
        <v>你做什麼工作？</v>
      </c>
      <c r="E748" s="4" t="str">
        <f ca="1">IFERROR(__xludf.DUMMYFUNCTION("IFERROR(GOOGLETRANSLATE(B748,""en"",""zh-CN""),)"),"你做什么工作？")</f>
        <v>你做什么工作？</v>
      </c>
    </row>
    <row r="749" spans="1:5" ht="18">
      <c r="A749" s="3" t="s">
        <v>3624</v>
      </c>
      <c r="B749" s="4" t="str">
        <f ca="1">IFERROR(__xludf.DUMMYFUNCTION("IFERROR(GOOGLETRANSLATE(A749,""ko"",""en""),)"),"twenty-fiveth May")</f>
        <v>twenty-fiveth May</v>
      </c>
      <c r="C749" s="4" t="str">
        <f ca="1">IFERROR(__xludf.DUMMYFUNCTION("IFERROR(GOOGLETRANSLATE(B749,""en"",""ja""),)"),"5月25日")</f>
        <v>5月25日</v>
      </c>
      <c r="D749" s="4" t="str">
        <f ca="1">IFERROR(__xludf.DUMMYFUNCTION("IFERROR(GOOGLETRANSLATE(B749,""en"",""zh-TW""),)"),"5月25日")</f>
        <v>5月25日</v>
      </c>
      <c r="E749" s="4" t="str">
        <f ca="1">IFERROR(__xludf.DUMMYFUNCTION("IFERROR(GOOGLETRANSLATE(B749,""en"",""zh-CN""),)"),"5月25日")</f>
        <v>5月25日</v>
      </c>
    </row>
    <row r="750" spans="1:5" ht="18">
      <c r="A750" s="3" t="s">
        <v>3628</v>
      </c>
      <c r="B750" s="4" t="str">
        <f ca="1">IFERROR(__xludf.DUMMYFUNCTION("IFERROR(GOOGLETRANSLATE(A750,""ko"",""en""),)"),"one dollar")</f>
        <v>one dollar</v>
      </c>
      <c r="C750" s="4" t="str">
        <f ca="1">IFERROR(__xludf.DUMMYFUNCTION("IFERROR(GOOGLETRANSLATE(B750,""en"",""ja""),)"),"1ドル")</f>
        <v>1ドル</v>
      </c>
      <c r="D750" s="4" t="str">
        <f ca="1">IFERROR(__xludf.DUMMYFUNCTION("IFERROR(GOOGLETRANSLATE(B750,""en"",""zh-TW""),)"),"一美元")</f>
        <v>一美元</v>
      </c>
      <c r="E750" s="4" t="str">
        <f ca="1">IFERROR(__xludf.DUMMYFUNCTION("IFERROR(GOOGLETRANSLATE(B750,""en"",""zh-CN""),)"),"一美元")</f>
        <v>一美元</v>
      </c>
    </row>
    <row r="751" spans="1:5" ht="18">
      <c r="A751" s="5" t="s">
        <v>3633</v>
      </c>
      <c r="B751" s="4" t="str">
        <f ca="1">IFERROR(__xludf.DUMMYFUNCTION("IFERROR(GOOGLETRANSLATE(A751,""ko"",""en""),)"),"About one dollar")</f>
        <v>About one dollar</v>
      </c>
      <c r="C751" s="4" t="str">
        <f ca="1">IFERROR(__xludf.DUMMYFUNCTION("IFERROR(GOOGLETRANSLATE(B751,""en"",""ja""),)"),"約1ドル")</f>
        <v>約1ドル</v>
      </c>
      <c r="D751" s="4" t="str">
        <f ca="1">IFERROR(__xludf.DUMMYFUNCTION("IFERROR(GOOGLETRANSLATE(B751,""en"",""zh-TW""),)"),"大約一美元")</f>
        <v>大約一美元</v>
      </c>
      <c r="E751" s="4" t="str">
        <f ca="1">IFERROR(__xludf.DUMMYFUNCTION("IFERROR(GOOGLETRANSLATE(B751,""en"",""zh-CN""),)"),"大约一美元")</f>
        <v>大约一美元</v>
      </c>
    </row>
    <row r="752" spans="1:5" ht="18">
      <c r="A752" s="3" t="s">
        <v>3639</v>
      </c>
      <c r="B752" s="4" t="str">
        <f ca="1">IFERROR(__xludf.DUMMYFUNCTION("IFERROR(GOOGLETRANSLATE(A752,""ko"",""en""),)"),"Who is Juno's younger sibling?")</f>
        <v>Who is Juno's younger sibling?</v>
      </c>
      <c r="C752" s="4" t="str">
        <f ca="1">IFERROR(__xludf.DUMMYFUNCTION("IFERROR(GOOGLETRANSLATE(B752,""en"",""ja""),)"),"ジュノの弟妹は誰ですか？")</f>
        <v>ジュノの弟妹は誰ですか？</v>
      </c>
      <c r="D752" s="4" t="str">
        <f ca="1">IFERROR(__xludf.DUMMYFUNCTION("IFERROR(GOOGLETRANSLATE(B752,""en"",""zh-TW""),)"),"朱諾的弟弟是誰？")</f>
        <v>朱諾的弟弟是誰？</v>
      </c>
      <c r="E752" s="4" t="str">
        <f ca="1">IFERROR(__xludf.DUMMYFUNCTION("IFERROR(GOOGLETRANSLATE(B752,""en"",""zh-CN""),)"),"朱诺的弟弟是谁？")</f>
        <v>朱诺的弟弟是谁？</v>
      </c>
    </row>
    <row r="753" spans="1:5" ht="18">
      <c r="A753" s="3" t="s">
        <v>3651</v>
      </c>
      <c r="B753" s="4" t="str">
        <f ca="1">IFERROR(__xludf.DUMMYFUNCTION("IFERROR(GOOGLETRANSLATE(A753,""ko"",""en""),)"),"Who is Anna?")</f>
        <v>Who is Anna?</v>
      </c>
      <c r="C753" s="4" t="str">
        <f ca="1">IFERROR(__xludf.DUMMYFUNCTION("IFERROR(GOOGLETRANSLATE(B753,""en"",""ja""),)"),"アンナとは誰ですか？")</f>
        <v>アンナとは誰ですか？</v>
      </c>
      <c r="D753" s="4" t="str">
        <f ca="1">IFERROR(__xludf.DUMMYFUNCTION("IFERROR(GOOGLETRANSLATE(B753,""en"",""zh-TW""),)"),"安娜是誰？")</f>
        <v>安娜是誰？</v>
      </c>
      <c r="E753" s="4" t="str">
        <f ca="1">IFERROR(__xludf.DUMMYFUNCTION("IFERROR(GOOGLETRANSLATE(B753,""en"",""zh-CN""),)"),"安娜是谁？")</f>
        <v>安娜是谁？</v>
      </c>
    </row>
    <row r="754" spans="1:5" ht="18">
      <c r="A754" s="3" t="s">
        <v>3657</v>
      </c>
      <c r="B754" s="4" t="str">
        <f ca="1">IFERROR(__xludf.DUMMYFUNCTION("IFERROR(GOOGLETRANSLATE(A754,""ko"",""en""),)"),"I'm Anna.")</f>
        <v>I'm Anna.</v>
      </c>
      <c r="C754" s="4" t="str">
        <f ca="1">IFERROR(__xludf.DUMMYFUNCTION("IFERROR(GOOGLETRANSLATE(B754,""en"",""ja""),)"),"私はアンナです。")</f>
        <v>私はアンナです。</v>
      </c>
      <c r="D754" s="4" t="str">
        <f ca="1">IFERROR(__xludf.DUMMYFUNCTION("IFERROR(GOOGLETRANSLATE(B754,""en"",""zh-TW""),)"),"我是安娜。")</f>
        <v>我是安娜。</v>
      </c>
      <c r="E754" s="4" t="str">
        <f ca="1">IFERROR(__xludf.DUMMYFUNCTION("IFERROR(GOOGLETRANSLATE(B754,""en"",""zh-CN""),)"),"我是安娜。")</f>
        <v>我是安娜。</v>
      </c>
    </row>
    <row r="755" spans="1:5" ht="18">
      <c r="A755" s="3" t="s">
        <v>3664</v>
      </c>
      <c r="B755" s="4" t="str">
        <f ca="1">IFERROR(__xludf.DUMMYFUNCTION("IFERROR(GOOGLETRANSLATE(A755,""ko"",""en""),)"),"I'm Anna.")</f>
        <v>I'm Anna.</v>
      </c>
      <c r="C755" s="4" t="str">
        <f ca="1">IFERROR(__xludf.DUMMYFUNCTION("IFERROR(GOOGLETRANSLATE(B755,""en"",""ja""),)"),"私はアンナです。")</f>
        <v>私はアンナです。</v>
      </c>
      <c r="D755" s="4" t="str">
        <f ca="1">IFERROR(__xludf.DUMMYFUNCTION("IFERROR(GOOGLETRANSLATE(B755,""en"",""zh-TW""),)"),"我是安娜。")</f>
        <v>我是安娜。</v>
      </c>
      <c r="E755" s="4" t="str">
        <f ca="1">IFERROR(__xludf.DUMMYFUNCTION("IFERROR(GOOGLETRANSLATE(B755,""en"",""zh-CN""),)"),"我是安娜。")</f>
        <v>我是安娜。</v>
      </c>
    </row>
    <row r="756" spans="1:5" ht="18">
      <c r="A756" s="3" t="s">
        <v>3672</v>
      </c>
      <c r="B756" s="4" t="str">
        <f ca="1">IFERROR(__xludf.DUMMYFUNCTION("IFERROR(GOOGLETRANSLATE(A756,""ko"",""en""),)"),"There is an apple on the desk.")</f>
        <v>There is an apple on the desk.</v>
      </c>
      <c r="C756" s="4" t="str">
        <f ca="1">IFERROR(__xludf.DUMMYFUNCTION("IFERROR(GOOGLETRANSLATE(B756,""en"",""ja""),)"),"机の上にリンゴが一つある。")</f>
        <v>机の上にリンゴが一つある。</v>
      </c>
      <c r="D756" s="4" t="str">
        <f ca="1">IFERROR(__xludf.DUMMYFUNCTION("IFERROR(GOOGLETRANSLATE(B756,""en"",""zh-TW""),)"),"桌子上有一個蘋果。")</f>
        <v>桌子上有一個蘋果。</v>
      </c>
      <c r="E756" s="4" t="str">
        <f ca="1">IFERROR(__xludf.DUMMYFUNCTION("IFERROR(GOOGLETRANSLATE(B756,""en"",""zh-CN""),)"),"桌子上有一个苹果。")</f>
        <v>桌子上有一个苹果。</v>
      </c>
    </row>
    <row r="757" spans="1:5" ht="18">
      <c r="A757" s="3" t="s">
        <v>3681</v>
      </c>
      <c r="B757" s="4" t="str">
        <f ca="1">IFERROR(__xludf.DUMMYFUNCTION("IFERROR(GOOGLETRANSLATE(A757,""ko"",""en""),)"),"There is an apple on the desk.")</f>
        <v>There is an apple on the desk.</v>
      </c>
      <c r="C757" s="4" t="str">
        <f ca="1">IFERROR(__xludf.DUMMYFUNCTION("IFERROR(GOOGLETRANSLATE(B757,""en"",""ja""),)"),"机の上にリンゴが一つある。")</f>
        <v>机の上にリンゴが一つある。</v>
      </c>
      <c r="D757" s="4" t="str">
        <f ca="1">IFERROR(__xludf.DUMMYFUNCTION("IFERROR(GOOGLETRANSLATE(B757,""en"",""zh-TW""),)"),"桌子上有一個蘋果。")</f>
        <v>桌子上有一個蘋果。</v>
      </c>
      <c r="E757" s="4" t="str">
        <f ca="1">IFERROR(__xludf.DUMMYFUNCTION("IFERROR(GOOGLETRANSLATE(B757,""en"",""zh-CN""),)"),"桌子上有一个苹果。")</f>
        <v>桌子上有一个苹果。</v>
      </c>
    </row>
    <row r="758" spans="1:5" ht="18">
      <c r="A758" s="3" t="s">
        <v>3687</v>
      </c>
      <c r="B758" s="4" t="str">
        <f ca="1">IFERROR(__xludf.DUMMYFUNCTION("IFERROR(GOOGLETRANSLATE(A758,""ko"",""en""),)"),"What's inside the pencil case?")</f>
        <v>What's inside the pencil case?</v>
      </c>
      <c r="C758" s="4" t="str">
        <f ca="1">IFERROR(__xludf.DUMMYFUNCTION("IFERROR(GOOGLETRANSLATE(B758,""en"",""ja""),)"),"ペンケースの中には何が入っているの？")</f>
        <v>ペンケースの中には何が入っているの？</v>
      </c>
      <c r="D758" s="4" t="str">
        <f ca="1">IFERROR(__xludf.DUMMYFUNCTION("IFERROR(GOOGLETRANSLATE(B758,""en"",""zh-TW""),)"),"鉛筆盒裡裝的是什麼？")</f>
        <v>鉛筆盒裡裝的是什麼？</v>
      </c>
      <c r="E758" s="4" t="str">
        <f ca="1">IFERROR(__xludf.DUMMYFUNCTION("IFERROR(GOOGLETRANSLATE(B758,""en"",""zh-CN""),)"),"铅笔盒里装的是什么？")</f>
        <v>铅笔盒里装的是什么？</v>
      </c>
    </row>
    <row r="759" spans="1:5" ht="18">
      <c r="A759" s="3" t="s">
        <v>3694</v>
      </c>
      <c r="B759" s="4" t="str">
        <f ca="1">IFERROR(__xludf.DUMMYFUNCTION("IFERROR(GOOGLETRANSLATE(A759,""ko"",""en""),)"),"There is an eraser.")</f>
        <v>There is an eraser.</v>
      </c>
      <c r="C759" s="4" t="str">
        <f ca="1">IFERROR(__xludf.DUMMYFUNCTION("IFERROR(GOOGLETRANSLATE(B759,""en"",""ja""),)"),"消しゴムがあります。")</f>
        <v>消しゴムがあります。</v>
      </c>
      <c r="D759" s="4" t="str">
        <f ca="1">IFERROR(__xludf.DUMMYFUNCTION("IFERROR(GOOGLETRANSLATE(B759,""en"",""zh-TW""),)"),"這裡有一個橡皮擦。")</f>
        <v>這裡有一個橡皮擦。</v>
      </c>
      <c r="E759" s="4" t="str">
        <f ca="1">IFERROR(__xludf.DUMMYFUNCTION("IFERROR(GOOGLETRANSLATE(B759,""en"",""zh-CN""),)"),"这里有一个橡皮擦。")</f>
        <v>这里有一个橡皮擦。</v>
      </c>
    </row>
    <row r="760" spans="1:5" ht="18">
      <c r="A760" s="3" t="s">
        <v>3703</v>
      </c>
      <c r="B760" s="4" t="str">
        <f ca="1">IFERROR(__xludf.DUMMYFUNCTION("IFERROR(GOOGLETRANSLATE(A760,""ko"",""en""),)"),"soju")</f>
        <v>soju</v>
      </c>
      <c r="C760" s="4" t="str">
        <f ca="1">IFERROR(__xludf.DUMMYFUNCTION("IFERROR(GOOGLETRANSLATE(B760,""en"",""ja""),)"),"焼酎")</f>
        <v>焼酎</v>
      </c>
      <c r="D760" s="4" t="str">
        <f ca="1">IFERROR(__xludf.DUMMYFUNCTION("IFERROR(GOOGLETRANSLATE(B760,""en"",""zh-TW""),)"),"燒酒")</f>
        <v>燒酒</v>
      </c>
      <c r="E760" s="4" t="str">
        <f ca="1">IFERROR(__xludf.DUMMYFUNCTION("IFERROR(GOOGLETRANSLATE(B760,""en"",""zh-CN""),)"),"烧酒")</f>
        <v>烧酒</v>
      </c>
    </row>
    <row r="761" spans="1:5" ht="18">
      <c r="A761" s="3" t="s">
        <v>3710</v>
      </c>
      <c r="B761" s="4" t="str">
        <f ca="1">IFERROR(__xludf.DUMMYFUNCTION("IFERROR(GOOGLETRANSLATE(A761,""ko"",""en""),)"),"beer")</f>
        <v>beer</v>
      </c>
      <c r="C761" s="4" t="str">
        <f ca="1">IFERROR(__xludf.DUMMYFUNCTION("IFERROR(GOOGLETRANSLATE(B761,""en"",""ja""),)"),"ビール")</f>
        <v>ビール</v>
      </c>
      <c r="D761" s="4" t="str">
        <f ca="1">IFERROR(__xludf.DUMMYFUNCTION("IFERROR(GOOGLETRANSLATE(B761,""en"",""zh-TW""),)"),"啤酒")</f>
        <v>啤酒</v>
      </c>
      <c r="E761" s="4" t="str">
        <f ca="1">IFERROR(__xludf.DUMMYFUNCTION("IFERROR(GOOGLETRANSLATE(B761,""en"",""zh-CN""),)"),"啤酒")</f>
        <v>啤酒</v>
      </c>
    </row>
    <row r="762" spans="1:5" ht="18">
      <c r="A762" s="3" t="s">
        <v>3717</v>
      </c>
      <c r="B762" s="4" t="str">
        <f ca="1">IFERROR(__xludf.DUMMYFUNCTION("IFERROR(GOOGLETRANSLATE(A762,""ko"",""en""),)"),"wine")</f>
        <v>wine</v>
      </c>
      <c r="C762" s="4" t="str">
        <f ca="1">IFERROR(__xludf.DUMMYFUNCTION("IFERROR(GOOGLETRANSLATE(B762,""en"",""ja""),)"),"ワイン")</f>
        <v>ワイン</v>
      </c>
      <c r="D762" s="4" t="str">
        <f ca="1">IFERROR(__xludf.DUMMYFUNCTION("IFERROR(GOOGLETRANSLATE(B762,""en"",""zh-TW""),)"),"葡萄酒")</f>
        <v>葡萄酒</v>
      </c>
      <c r="E762" s="4" t="str">
        <f ca="1">IFERROR(__xludf.DUMMYFUNCTION("IFERROR(GOOGLETRANSLATE(B762,""en"",""zh-CN""),)"),"葡萄酒")</f>
        <v>葡萄酒</v>
      </c>
    </row>
    <row r="763" spans="1:5" ht="18">
      <c r="A763" s="3" t="s">
        <v>3726</v>
      </c>
      <c r="B763" s="4" t="str">
        <f ca="1">IFERROR(__xludf.DUMMYFUNCTION("IFERROR(GOOGLETRANSLATE(A763,""ko"",""en""),)"),"Makgeolli")</f>
        <v>Makgeolli</v>
      </c>
      <c r="C763" s="4" t="str">
        <f ca="1">IFERROR(__xludf.DUMMYFUNCTION("IFERROR(GOOGLETRANSLATE(B763,""en"",""ja""),)"),"マッコリ")</f>
        <v>マッコリ</v>
      </c>
      <c r="D763" s="4" t="str">
        <f ca="1">IFERROR(__xludf.DUMMYFUNCTION("IFERROR(GOOGLETRANSLATE(B763,""en"",""zh-TW""),)"),"馬格利酒")</f>
        <v>馬格利酒</v>
      </c>
      <c r="E763" s="4" t="str">
        <f ca="1">IFERROR(__xludf.DUMMYFUNCTION("IFERROR(GOOGLETRANSLATE(B763,""en"",""zh-CN""),)"),"马格利酒")</f>
        <v>马格利酒</v>
      </c>
    </row>
    <row r="764" spans="1:5" ht="18">
      <c r="A764" s="3" t="s">
        <v>3734</v>
      </c>
      <c r="B764" s="4" t="str">
        <f ca="1">IFERROR(__xludf.DUMMYFUNCTION("IFERROR(GOOGLETRANSLATE(A764,""ko"",""en""),)"),"What are you buying?")</f>
        <v>What are you buying?</v>
      </c>
      <c r="C764" s="4" t="str">
        <f ca="1">IFERROR(__xludf.DUMMYFUNCTION("IFERROR(GOOGLETRANSLATE(B764,""en"",""ja""),)"),"何を買うんですか？")</f>
        <v>何を買うんですか？</v>
      </c>
      <c r="D764" s="4" t="str">
        <f ca="1">IFERROR(__xludf.DUMMYFUNCTION("IFERROR(GOOGLETRANSLATE(B764,""en"",""zh-TW""),)"),"你在買什麼？")</f>
        <v>你在買什麼？</v>
      </c>
      <c r="E764" s="4" t="str">
        <f ca="1">IFERROR(__xludf.DUMMYFUNCTION("IFERROR(GOOGLETRANSLATE(B764,""en"",""zh-CN""),)"),"你在买什么？")</f>
        <v>你在买什么？</v>
      </c>
    </row>
    <row r="765" spans="1:5" ht="18">
      <c r="A765" s="3"/>
      <c r="B765" s="4" t="str">
        <f ca="1">IFERROR(__xludf.DUMMYFUNCTION("IFERROR(GOOGLETRANSLATE(A765,""ko"",""en""),)"),"")</f>
        <v/>
      </c>
      <c r="C765" s="4" t="str">
        <f ca="1">IFERROR(__xludf.DUMMYFUNCTION("IFERROR(GOOGLETRANSLATE(B765,""en"",""ja""),)"),"")</f>
        <v/>
      </c>
      <c r="D765" s="4" t="str">
        <f ca="1">IFERROR(__xludf.DUMMYFUNCTION("IFERROR(GOOGLETRANSLATE(B765,""en"",""zh-TW""),)"),"")</f>
        <v/>
      </c>
      <c r="E765" s="4" t="str">
        <f ca="1">IFERROR(__xludf.DUMMYFUNCTION("IFERROR(GOOGLETRANSLATE(B765,""en"",""zh-CN""),)"),"")</f>
        <v/>
      </c>
    </row>
    <row r="766" spans="1:5" ht="18">
      <c r="A766" s="3"/>
      <c r="B766" s="4" t="str">
        <f ca="1">IFERROR(__xludf.DUMMYFUNCTION("IFERROR(GOOGLETRANSLATE(A766,""ko"",""en""),)"),"")</f>
        <v/>
      </c>
      <c r="C766" s="4" t="str">
        <f ca="1">IFERROR(__xludf.DUMMYFUNCTION("IFERROR(GOOGLETRANSLATE(B766,""en"",""ja""),)"),"")</f>
        <v/>
      </c>
      <c r="D766" s="4" t="str">
        <f ca="1">IFERROR(__xludf.DUMMYFUNCTION("IFERROR(GOOGLETRANSLATE(B766,""en"",""zh-TW""),)"),"")</f>
        <v/>
      </c>
      <c r="E766" s="4" t="str">
        <f ca="1">IFERROR(__xludf.DUMMYFUNCTION("IFERROR(GOOGLETRANSLATE(B766,""en"",""zh-CN""),)"),"")</f>
        <v/>
      </c>
    </row>
    <row r="767" spans="1:5" ht="18">
      <c r="A767" s="3"/>
      <c r="B767" s="4" t="str">
        <f ca="1">IFERROR(__xludf.DUMMYFUNCTION("IFERROR(GOOGLETRANSLATE(A767,""ko"",""en""),)"),"")</f>
        <v/>
      </c>
      <c r="C767" s="4" t="str">
        <f ca="1">IFERROR(__xludf.DUMMYFUNCTION("IFERROR(GOOGLETRANSLATE(B767,""en"",""ja""),)"),"")</f>
        <v/>
      </c>
      <c r="D767" s="4" t="str">
        <f ca="1">IFERROR(__xludf.DUMMYFUNCTION("IFERROR(GOOGLETRANSLATE(B767,""en"",""zh-TW""),)"),"")</f>
        <v/>
      </c>
      <c r="E767" s="4" t="str">
        <f ca="1">IFERROR(__xludf.DUMMYFUNCTION("IFERROR(GOOGLETRANSLATE(B767,""en"",""zh-CN""),)"),"")</f>
        <v/>
      </c>
    </row>
    <row r="768" spans="1:5" ht="18">
      <c r="A768" s="3"/>
      <c r="B768" s="4" t="str">
        <f ca="1">IFERROR(__xludf.DUMMYFUNCTION("IFERROR(GOOGLETRANSLATE(A768,""ko"",""en""),)"),"")</f>
        <v/>
      </c>
      <c r="C768" s="4" t="str">
        <f ca="1">IFERROR(__xludf.DUMMYFUNCTION("IFERROR(GOOGLETRANSLATE(B768,""en"",""ja""),)"),"")</f>
        <v/>
      </c>
      <c r="D768" s="4" t="str">
        <f ca="1">IFERROR(__xludf.DUMMYFUNCTION("IFERROR(GOOGLETRANSLATE(B768,""en"",""zh-TW""),)"),"")</f>
        <v/>
      </c>
      <c r="E768" s="4" t="str">
        <f ca="1">IFERROR(__xludf.DUMMYFUNCTION("IFERROR(GOOGLETRANSLATE(B768,""en"",""zh-CN""),)"),"")</f>
        <v/>
      </c>
    </row>
    <row r="769" spans="1:5" ht="18">
      <c r="A769" s="3"/>
      <c r="B769" s="4" t="str">
        <f ca="1">IFERROR(__xludf.DUMMYFUNCTION("IFERROR(GOOGLETRANSLATE(A769,""ko"",""en""),)"),"")</f>
        <v/>
      </c>
      <c r="C769" s="4" t="str">
        <f ca="1">IFERROR(__xludf.DUMMYFUNCTION("IFERROR(GOOGLETRANSLATE(B769,""en"",""ja""),)"),"")</f>
        <v/>
      </c>
      <c r="D769" s="4" t="str">
        <f ca="1">IFERROR(__xludf.DUMMYFUNCTION("IFERROR(GOOGLETRANSLATE(B769,""en"",""zh-TW""),)"),"")</f>
        <v/>
      </c>
      <c r="E769" s="4" t="str">
        <f ca="1">IFERROR(__xludf.DUMMYFUNCTION("IFERROR(GOOGLETRANSLATE(B769,""en"",""zh-CN""),)"),"")</f>
        <v/>
      </c>
    </row>
    <row r="770" spans="1:5" ht="18">
      <c r="A770" s="3"/>
      <c r="B770" s="4" t="str">
        <f ca="1">IFERROR(__xludf.DUMMYFUNCTION("IFERROR(GOOGLETRANSLATE(A770,""ko"",""en""),)"),"")</f>
        <v/>
      </c>
      <c r="C770" s="4" t="str">
        <f ca="1">IFERROR(__xludf.DUMMYFUNCTION("IFERROR(GOOGLETRANSLATE(B770,""en"",""ja""),)"),"")</f>
        <v/>
      </c>
      <c r="D770" s="4" t="str">
        <f ca="1">IFERROR(__xludf.DUMMYFUNCTION("IFERROR(GOOGLETRANSLATE(B770,""en"",""zh-TW""),)"),"")</f>
        <v/>
      </c>
      <c r="E770" s="4" t="str">
        <f ca="1">IFERROR(__xludf.DUMMYFUNCTION("IFERROR(GOOGLETRANSLATE(B770,""en"",""zh-CN""),)"),"")</f>
        <v/>
      </c>
    </row>
    <row r="771" spans="1:5" ht="18">
      <c r="A771" s="3"/>
      <c r="B771" s="4" t="str">
        <f ca="1">IFERROR(__xludf.DUMMYFUNCTION("IFERROR(GOOGLETRANSLATE(A771,""ko"",""en""),)"),"")</f>
        <v/>
      </c>
      <c r="C771" s="4" t="str">
        <f ca="1">IFERROR(__xludf.DUMMYFUNCTION("IFERROR(GOOGLETRANSLATE(B771,""en"",""ja""),)"),"")</f>
        <v/>
      </c>
      <c r="D771" s="4" t="str">
        <f ca="1">IFERROR(__xludf.DUMMYFUNCTION("IFERROR(GOOGLETRANSLATE(B771,""en"",""zh-TW""),)"),"")</f>
        <v/>
      </c>
      <c r="E771" s="4" t="str">
        <f ca="1">IFERROR(__xludf.DUMMYFUNCTION("IFERROR(GOOGLETRANSLATE(B771,""en"",""zh-CN""),)"),"")</f>
        <v/>
      </c>
    </row>
    <row r="772" spans="1:5" ht="18">
      <c r="A772" s="3"/>
      <c r="B772" s="4" t="str">
        <f ca="1">IFERROR(__xludf.DUMMYFUNCTION("IFERROR(GOOGLETRANSLATE(A772,""ko"",""en""),)"),"")</f>
        <v/>
      </c>
      <c r="C772" s="4" t="str">
        <f ca="1">IFERROR(__xludf.DUMMYFUNCTION("IFERROR(GOOGLETRANSLATE(B772,""en"",""ja""),)"),"")</f>
        <v/>
      </c>
      <c r="D772" s="4" t="str">
        <f ca="1">IFERROR(__xludf.DUMMYFUNCTION("IFERROR(GOOGLETRANSLATE(B772,""en"",""zh-TW""),)"),"")</f>
        <v/>
      </c>
      <c r="E772" s="4" t="str">
        <f ca="1">IFERROR(__xludf.DUMMYFUNCTION("IFERROR(GOOGLETRANSLATE(B772,""en"",""zh-CN""),)"),"")</f>
        <v/>
      </c>
    </row>
    <row r="773" spans="1:5" ht="18">
      <c r="A773" s="3"/>
      <c r="B773" s="4" t="str">
        <f ca="1">IFERROR(__xludf.DUMMYFUNCTION("IFERROR(GOOGLETRANSLATE(A773,""ko"",""en""),)"),"")</f>
        <v/>
      </c>
      <c r="C773" s="4" t="str">
        <f ca="1">IFERROR(__xludf.DUMMYFUNCTION("IFERROR(GOOGLETRANSLATE(B773,""en"",""ja""),)"),"")</f>
        <v/>
      </c>
      <c r="D773" s="4" t="str">
        <f ca="1">IFERROR(__xludf.DUMMYFUNCTION("IFERROR(GOOGLETRANSLATE(B773,""en"",""zh-TW""),)"),"")</f>
        <v/>
      </c>
      <c r="E773" s="4" t="str">
        <f ca="1">IFERROR(__xludf.DUMMYFUNCTION("IFERROR(GOOGLETRANSLATE(B773,""en"",""zh-CN""),)"),"")</f>
        <v/>
      </c>
    </row>
    <row r="774" spans="1:5" ht="18">
      <c r="A774" s="3"/>
      <c r="B774" s="4" t="str">
        <f ca="1">IFERROR(__xludf.DUMMYFUNCTION("IFERROR(GOOGLETRANSLATE(A774,""ko"",""en""),)"),"")</f>
        <v/>
      </c>
      <c r="C774" s="4" t="str">
        <f ca="1">IFERROR(__xludf.DUMMYFUNCTION("IFERROR(GOOGLETRANSLATE(B774,""en"",""ja""),)"),"")</f>
        <v/>
      </c>
      <c r="D774" s="4" t="str">
        <f ca="1">IFERROR(__xludf.DUMMYFUNCTION("IFERROR(GOOGLETRANSLATE(B774,""en"",""zh-TW""),)"),"")</f>
        <v/>
      </c>
      <c r="E774" s="4" t="str">
        <f ca="1">IFERROR(__xludf.DUMMYFUNCTION("IFERROR(GOOGLETRANSLATE(B774,""en"",""zh-CN""),)"),"")</f>
        <v/>
      </c>
    </row>
    <row r="775" spans="1:5" ht="18">
      <c r="A775" s="3"/>
      <c r="B775" s="4" t="str">
        <f ca="1">IFERROR(__xludf.DUMMYFUNCTION("IFERROR(GOOGLETRANSLATE(A775,""ko"",""en""),)"),"")</f>
        <v/>
      </c>
      <c r="C775" s="4" t="str">
        <f ca="1">IFERROR(__xludf.DUMMYFUNCTION("IFERROR(GOOGLETRANSLATE(B775,""en"",""ja""),)"),"")</f>
        <v/>
      </c>
      <c r="D775" s="4" t="str">
        <f ca="1">IFERROR(__xludf.DUMMYFUNCTION("IFERROR(GOOGLETRANSLATE(B775,""en"",""zh-TW""),)"),"")</f>
        <v/>
      </c>
      <c r="E775" s="4" t="str">
        <f ca="1">IFERROR(__xludf.DUMMYFUNCTION("IFERROR(GOOGLETRANSLATE(B775,""en"",""zh-CN""),)"),"")</f>
        <v/>
      </c>
    </row>
    <row r="776" spans="1:5" ht="18">
      <c r="A776" s="3"/>
      <c r="B776" s="4" t="str">
        <f ca="1">IFERROR(__xludf.DUMMYFUNCTION("IFERROR(GOOGLETRANSLATE(A776,""ko"",""en""),)"),"")</f>
        <v/>
      </c>
      <c r="C776" s="4" t="str">
        <f ca="1">IFERROR(__xludf.DUMMYFUNCTION("IFERROR(GOOGLETRANSLATE(B776,""en"",""ja""),)"),"")</f>
        <v/>
      </c>
      <c r="D776" s="4" t="str">
        <f ca="1">IFERROR(__xludf.DUMMYFUNCTION("IFERROR(GOOGLETRANSLATE(B776,""en"",""zh-TW""),)"),"")</f>
        <v/>
      </c>
      <c r="E776" s="4" t="str">
        <f ca="1">IFERROR(__xludf.DUMMYFUNCTION("IFERROR(GOOGLETRANSLATE(B776,""en"",""zh-CN""),)"),"")</f>
        <v/>
      </c>
    </row>
    <row r="777" spans="1:5" ht="18">
      <c r="A777" s="3"/>
      <c r="B777" s="4" t="str">
        <f ca="1">IFERROR(__xludf.DUMMYFUNCTION("IFERROR(GOOGLETRANSLATE(A777,""ko"",""en""),)"),"")</f>
        <v/>
      </c>
      <c r="C777" s="4" t="str">
        <f ca="1">IFERROR(__xludf.DUMMYFUNCTION("IFERROR(GOOGLETRANSLATE(B777,""en"",""ja""),)"),"")</f>
        <v/>
      </c>
      <c r="D777" s="4" t="str">
        <f ca="1">IFERROR(__xludf.DUMMYFUNCTION("IFERROR(GOOGLETRANSLATE(B777,""en"",""zh-TW""),)"),"")</f>
        <v/>
      </c>
      <c r="E777" s="4" t="str">
        <f ca="1">IFERROR(__xludf.DUMMYFUNCTION("IFERROR(GOOGLETRANSLATE(B777,""en"",""zh-CN""),)"),"")</f>
        <v/>
      </c>
    </row>
    <row r="778" spans="1:5" ht="18">
      <c r="A778" s="3"/>
      <c r="B778" s="4" t="str">
        <f ca="1">IFERROR(__xludf.DUMMYFUNCTION("IFERROR(GOOGLETRANSLATE(A778,""ko"",""en""),)"),"")</f>
        <v/>
      </c>
      <c r="C778" s="4" t="str">
        <f ca="1">IFERROR(__xludf.DUMMYFUNCTION("IFERROR(GOOGLETRANSLATE(B778,""en"",""ja""),)"),"")</f>
        <v/>
      </c>
      <c r="D778" s="4" t="str">
        <f ca="1">IFERROR(__xludf.DUMMYFUNCTION("IFERROR(GOOGLETRANSLATE(B778,""en"",""zh-TW""),)"),"")</f>
        <v/>
      </c>
      <c r="E778" s="4" t="str">
        <f ca="1">IFERROR(__xludf.DUMMYFUNCTION("IFERROR(GOOGLETRANSLATE(B778,""en"",""zh-CN""),)"),"")</f>
        <v/>
      </c>
    </row>
    <row r="779" spans="1:5" ht="18">
      <c r="A779" s="3"/>
      <c r="B779" s="4" t="str">
        <f ca="1">IFERROR(__xludf.DUMMYFUNCTION("IFERROR(GOOGLETRANSLATE(A779,""ko"",""en""),)"),"")</f>
        <v/>
      </c>
      <c r="C779" s="4" t="str">
        <f ca="1">IFERROR(__xludf.DUMMYFUNCTION("IFERROR(GOOGLETRANSLATE(B779,""en"",""ja""),)"),"")</f>
        <v/>
      </c>
      <c r="D779" s="4" t="str">
        <f ca="1">IFERROR(__xludf.DUMMYFUNCTION("IFERROR(GOOGLETRANSLATE(B779,""en"",""zh-TW""),)"),"")</f>
        <v/>
      </c>
      <c r="E779" s="4" t="str">
        <f ca="1">IFERROR(__xludf.DUMMYFUNCTION("IFERROR(GOOGLETRANSLATE(B779,""en"",""zh-CN""),)"),"")</f>
        <v/>
      </c>
    </row>
    <row r="780" spans="1:5" ht="18">
      <c r="A780" s="3"/>
      <c r="B780" s="4" t="str">
        <f ca="1">IFERROR(__xludf.DUMMYFUNCTION("IFERROR(GOOGLETRANSLATE(A780,""ko"",""en""),)"),"")</f>
        <v/>
      </c>
      <c r="C780" s="4" t="str">
        <f ca="1">IFERROR(__xludf.DUMMYFUNCTION("IFERROR(GOOGLETRANSLATE(B780,""en"",""ja""),)"),"")</f>
        <v/>
      </c>
      <c r="D780" s="4" t="str">
        <f ca="1">IFERROR(__xludf.DUMMYFUNCTION("IFERROR(GOOGLETRANSLATE(B780,""en"",""zh-TW""),)"),"")</f>
        <v/>
      </c>
      <c r="E780" s="4" t="str">
        <f ca="1">IFERROR(__xludf.DUMMYFUNCTION("IFERROR(GOOGLETRANSLATE(B780,""en"",""zh-CN""),)"),"")</f>
        <v/>
      </c>
    </row>
    <row r="781" spans="1:5" ht="18">
      <c r="A781" s="3"/>
      <c r="B781" s="4" t="str">
        <f ca="1">IFERROR(__xludf.DUMMYFUNCTION("IFERROR(GOOGLETRANSLATE(A781,""ko"",""en""),)"),"")</f>
        <v/>
      </c>
      <c r="C781" s="4" t="str">
        <f ca="1">IFERROR(__xludf.DUMMYFUNCTION("IFERROR(GOOGLETRANSLATE(B781,""en"",""ja""),)"),"")</f>
        <v/>
      </c>
      <c r="D781" s="4" t="str">
        <f ca="1">IFERROR(__xludf.DUMMYFUNCTION("IFERROR(GOOGLETRANSLATE(B781,""en"",""zh-TW""),)"),"")</f>
        <v/>
      </c>
      <c r="E781" s="4" t="str">
        <f ca="1">IFERROR(__xludf.DUMMYFUNCTION("IFERROR(GOOGLETRANSLATE(B781,""en"",""zh-CN""),)"),"")</f>
        <v/>
      </c>
    </row>
    <row r="782" spans="1:5" ht="18">
      <c r="A782" s="3"/>
      <c r="B782" s="4" t="str">
        <f ca="1">IFERROR(__xludf.DUMMYFUNCTION("IFERROR(GOOGLETRANSLATE(A782,""ko"",""en""),)"),"")</f>
        <v/>
      </c>
      <c r="C782" s="4" t="str">
        <f ca="1">IFERROR(__xludf.DUMMYFUNCTION("IFERROR(GOOGLETRANSLATE(B782,""en"",""ja""),)"),"")</f>
        <v/>
      </c>
      <c r="D782" s="4" t="str">
        <f ca="1">IFERROR(__xludf.DUMMYFUNCTION("IFERROR(GOOGLETRANSLATE(B782,""en"",""zh-TW""),)"),"")</f>
        <v/>
      </c>
      <c r="E782" s="4" t="str">
        <f ca="1">IFERROR(__xludf.DUMMYFUNCTION("IFERROR(GOOGLETRANSLATE(B782,""en"",""zh-CN""),)"),"")</f>
        <v/>
      </c>
    </row>
    <row r="783" spans="1:5" ht="18">
      <c r="A783" s="3"/>
      <c r="B783" s="4" t="str">
        <f ca="1">IFERROR(__xludf.DUMMYFUNCTION("IFERROR(GOOGLETRANSLATE(A783,""ko"",""en""),)"),"")</f>
        <v/>
      </c>
      <c r="C783" s="4" t="str">
        <f ca="1">IFERROR(__xludf.DUMMYFUNCTION("IFERROR(GOOGLETRANSLATE(B783,""en"",""ja""),)"),"")</f>
        <v/>
      </c>
      <c r="D783" s="4" t="str">
        <f ca="1">IFERROR(__xludf.DUMMYFUNCTION("IFERROR(GOOGLETRANSLATE(B783,""en"",""zh-TW""),)"),"")</f>
        <v/>
      </c>
      <c r="E783" s="4" t="str">
        <f ca="1">IFERROR(__xludf.DUMMYFUNCTION("IFERROR(GOOGLETRANSLATE(B783,""en"",""zh-CN""),)"),"")</f>
        <v/>
      </c>
    </row>
    <row r="784" spans="1:5" ht="18">
      <c r="A784" s="3"/>
      <c r="B784" s="4" t="str">
        <f ca="1">IFERROR(__xludf.DUMMYFUNCTION("IFERROR(GOOGLETRANSLATE(A784,""ko"",""en""),)"),"")</f>
        <v/>
      </c>
      <c r="C784" s="4" t="str">
        <f ca="1">IFERROR(__xludf.DUMMYFUNCTION("IFERROR(GOOGLETRANSLATE(B784,""en"",""ja""),)"),"")</f>
        <v/>
      </c>
      <c r="D784" s="4" t="str">
        <f ca="1">IFERROR(__xludf.DUMMYFUNCTION("IFERROR(GOOGLETRANSLATE(B784,""en"",""zh-TW""),)"),"")</f>
        <v/>
      </c>
      <c r="E784" s="4" t="str">
        <f ca="1">IFERROR(__xludf.DUMMYFUNCTION("IFERROR(GOOGLETRANSLATE(B784,""en"",""zh-CN""),)"),"")</f>
        <v/>
      </c>
    </row>
    <row r="785" spans="1:5" ht="18">
      <c r="A785" s="3"/>
      <c r="B785" s="4" t="str">
        <f ca="1">IFERROR(__xludf.DUMMYFUNCTION("IFERROR(GOOGLETRANSLATE(A785,""ko"",""en""),)"),"")</f>
        <v/>
      </c>
      <c r="C785" s="4" t="str">
        <f ca="1">IFERROR(__xludf.DUMMYFUNCTION("IFERROR(GOOGLETRANSLATE(B785,""en"",""ja""),)"),"")</f>
        <v/>
      </c>
      <c r="D785" s="4" t="str">
        <f ca="1">IFERROR(__xludf.DUMMYFUNCTION("IFERROR(GOOGLETRANSLATE(B785,""en"",""zh-TW""),)"),"")</f>
        <v/>
      </c>
      <c r="E785" s="4" t="str">
        <f ca="1">IFERROR(__xludf.DUMMYFUNCTION("IFERROR(GOOGLETRANSLATE(B785,""en"",""zh-CN""),)"),"")</f>
        <v/>
      </c>
    </row>
    <row r="786" spans="1:5" ht="18">
      <c r="A786" s="3"/>
      <c r="B786" s="4" t="str">
        <f ca="1">IFERROR(__xludf.DUMMYFUNCTION("IFERROR(GOOGLETRANSLATE(A786,""ko"",""en""),)"),"")</f>
        <v/>
      </c>
      <c r="C786" s="4" t="str">
        <f ca="1">IFERROR(__xludf.DUMMYFUNCTION("IFERROR(GOOGLETRANSLATE(B786,""en"",""ja""),)"),"")</f>
        <v/>
      </c>
      <c r="D786" s="4" t="str">
        <f ca="1">IFERROR(__xludf.DUMMYFUNCTION("IFERROR(GOOGLETRANSLATE(B786,""en"",""zh-TW""),)"),"")</f>
        <v/>
      </c>
      <c r="E786" s="4" t="str">
        <f ca="1">IFERROR(__xludf.DUMMYFUNCTION("IFERROR(GOOGLETRANSLATE(B786,""en"",""zh-CN""),)"),"")</f>
        <v/>
      </c>
    </row>
    <row r="787" spans="1:5" ht="18">
      <c r="A787" s="3"/>
      <c r="B787" s="4" t="str">
        <f ca="1">IFERROR(__xludf.DUMMYFUNCTION("IFERROR(GOOGLETRANSLATE(A787,""ko"",""en""),)"),"")</f>
        <v/>
      </c>
      <c r="C787" s="4" t="str">
        <f ca="1">IFERROR(__xludf.DUMMYFUNCTION("IFERROR(GOOGLETRANSLATE(B787,""en"",""ja""),)"),"")</f>
        <v/>
      </c>
      <c r="D787" s="4" t="str">
        <f ca="1">IFERROR(__xludf.DUMMYFUNCTION("IFERROR(GOOGLETRANSLATE(B787,""en"",""zh-TW""),)"),"")</f>
        <v/>
      </c>
      <c r="E787" s="4" t="str">
        <f ca="1">IFERROR(__xludf.DUMMYFUNCTION("IFERROR(GOOGLETRANSLATE(B787,""en"",""zh-CN""),)"),"")</f>
        <v/>
      </c>
    </row>
    <row r="788" spans="1:5" ht="18">
      <c r="A788" s="3"/>
      <c r="B788" s="4" t="str">
        <f ca="1">IFERROR(__xludf.DUMMYFUNCTION("IFERROR(GOOGLETRANSLATE(A788,""ko"",""en""),)"),"")</f>
        <v/>
      </c>
      <c r="C788" s="4" t="str">
        <f ca="1">IFERROR(__xludf.DUMMYFUNCTION("IFERROR(GOOGLETRANSLATE(B788,""en"",""ja""),)"),"")</f>
        <v/>
      </c>
      <c r="D788" s="4" t="str">
        <f ca="1">IFERROR(__xludf.DUMMYFUNCTION("IFERROR(GOOGLETRANSLATE(B788,""en"",""zh-TW""),)"),"")</f>
        <v/>
      </c>
      <c r="E788" s="4" t="str">
        <f ca="1">IFERROR(__xludf.DUMMYFUNCTION("IFERROR(GOOGLETRANSLATE(B788,""en"",""zh-CN""),)"),"")</f>
        <v/>
      </c>
    </row>
    <row r="789" spans="1:5" ht="18">
      <c r="A789" s="3"/>
      <c r="B789" s="4" t="str">
        <f ca="1">IFERROR(__xludf.DUMMYFUNCTION("IFERROR(GOOGLETRANSLATE(A789,""ko"",""en""),)"),"")</f>
        <v/>
      </c>
      <c r="C789" s="4" t="str">
        <f ca="1">IFERROR(__xludf.DUMMYFUNCTION("IFERROR(GOOGLETRANSLATE(B789,""en"",""ja""),)"),"")</f>
        <v/>
      </c>
      <c r="D789" s="4" t="str">
        <f ca="1">IFERROR(__xludf.DUMMYFUNCTION("IFERROR(GOOGLETRANSLATE(B789,""en"",""zh-TW""),)"),"")</f>
        <v/>
      </c>
      <c r="E789" s="4" t="str">
        <f ca="1">IFERROR(__xludf.DUMMYFUNCTION("IFERROR(GOOGLETRANSLATE(B789,""en"",""zh-CN""),)"),"")</f>
        <v/>
      </c>
    </row>
    <row r="790" spans="1:5" ht="18">
      <c r="A790" s="3"/>
      <c r="B790" s="4" t="str">
        <f ca="1">IFERROR(__xludf.DUMMYFUNCTION("IFERROR(GOOGLETRANSLATE(A790,""ko"",""en""),)"),"")</f>
        <v/>
      </c>
      <c r="C790" s="4" t="str">
        <f ca="1">IFERROR(__xludf.DUMMYFUNCTION("IFERROR(GOOGLETRANSLATE(B790,""en"",""ja""),)"),"")</f>
        <v/>
      </c>
      <c r="D790" s="4" t="str">
        <f ca="1">IFERROR(__xludf.DUMMYFUNCTION("IFERROR(GOOGLETRANSLATE(B790,""en"",""zh-TW""),)"),"")</f>
        <v/>
      </c>
      <c r="E790" s="4" t="str">
        <f ca="1">IFERROR(__xludf.DUMMYFUNCTION("IFERROR(GOOGLETRANSLATE(B790,""en"",""zh-CN""),)"),"")</f>
        <v/>
      </c>
    </row>
    <row r="791" spans="1:5" ht="18">
      <c r="A791" s="3"/>
      <c r="B791" s="4" t="str">
        <f ca="1">IFERROR(__xludf.DUMMYFUNCTION("IFERROR(GOOGLETRANSLATE(A791,""ko"",""en""),)"),"")</f>
        <v/>
      </c>
      <c r="C791" s="4" t="str">
        <f ca="1">IFERROR(__xludf.DUMMYFUNCTION("IFERROR(GOOGLETRANSLATE(B791,""en"",""ja""),)"),"")</f>
        <v/>
      </c>
      <c r="D791" s="4" t="str">
        <f ca="1">IFERROR(__xludf.DUMMYFUNCTION("IFERROR(GOOGLETRANSLATE(B791,""en"",""zh-TW""),)"),"")</f>
        <v/>
      </c>
      <c r="E791" s="4" t="str">
        <f ca="1">IFERROR(__xludf.DUMMYFUNCTION("IFERROR(GOOGLETRANSLATE(B791,""en"",""zh-CN""),)"),"")</f>
        <v/>
      </c>
    </row>
    <row r="792" spans="1:5" ht="18">
      <c r="A792" s="3"/>
      <c r="B792" s="4" t="str">
        <f ca="1">IFERROR(__xludf.DUMMYFUNCTION("IFERROR(GOOGLETRANSLATE(A792,""ko"",""en""),)"),"")</f>
        <v/>
      </c>
      <c r="C792" s="4" t="str">
        <f ca="1">IFERROR(__xludf.DUMMYFUNCTION("IFERROR(GOOGLETRANSLATE(B792,""en"",""ja""),)"),"")</f>
        <v/>
      </c>
      <c r="D792" s="4" t="str">
        <f ca="1">IFERROR(__xludf.DUMMYFUNCTION("IFERROR(GOOGLETRANSLATE(B792,""en"",""zh-TW""),)"),"")</f>
        <v/>
      </c>
      <c r="E792" s="4" t="str">
        <f ca="1">IFERROR(__xludf.DUMMYFUNCTION("IFERROR(GOOGLETRANSLATE(B792,""en"",""zh-CN""),)"),"")</f>
        <v/>
      </c>
    </row>
    <row r="793" spans="1:5" ht="18">
      <c r="A793" s="3"/>
      <c r="B793" s="4" t="str">
        <f ca="1">IFERROR(__xludf.DUMMYFUNCTION("IFERROR(GOOGLETRANSLATE(A793,""ko"",""en""),)"),"")</f>
        <v/>
      </c>
      <c r="C793" s="4" t="str">
        <f ca="1">IFERROR(__xludf.DUMMYFUNCTION("IFERROR(GOOGLETRANSLATE(B793,""en"",""ja""),)"),"")</f>
        <v/>
      </c>
      <c r="D793" s="4" t="str">
        <f ca="1">IFERROR(__xludf.DUMMYFUNCTION("IFERROR(GOOGLETRANSLATE(B793,""en"",""zh-TW""),)"),"")</f>
        <v/>
      </c>
      <c r="E793" s="4" t="str">
        <f ca="1">IFERROR(__xludf.DUMMYFUNCTION("IFERROR(GOOGLETRANSLATE(B793,""en"",""zh-CN""),)"),"")</f>
        <v/>
      </c>
    </row>
    <row r="794" spans="1:5" ht="18">
      <c r="A794" s="3"/>
      <c r="B794" s="4" t="str">
        <f ca="1">IFERROR(__xludf.DUMMYFUNCTION("IFERROR(GOOGLETRANSLATE(A794,""ko"",""en""),)"),"")</f>
        <v/>
      </c>
      <c r="C794" s="4" t="str">
        <f ca="1">IFERROR(__xludf.DUMMYFUNCTION("IFERROR(GOOGLETRANSLATE(B794,""en"",""ja""),)"),"")</f>
        <v/>
      </c>
      <c r="D794" s="4" t="str">
        <f ca="1">IFERROR(__xludf.DUMMYFUNCTION("IFERROR(GOOGLETRANSLATE(B794,""en"",""zh-TW""),)"),"")</f>
        <v/>
      </c>
      <c r="E794" s="4" t="str">
        <f ca="1">IFERROR(__xludf.DUMMYFUNCTION("IFERROR(GOOGLETRANSLATE(B794,""en"",""zh-CN""),)"),"")</f>
        <v/>
      </c>
    </row>
    <row r="795" spans="1:5" ht="18">
      <c r="A795" s="3"/>
      <c r="B795" s="4" t="str">
        <f ca="1">IFERROR(__xludf.DUMMYFUNCTION("IFERROR(GOOGLETRANSLATE(A795,""ko"",""en""),)"),"")</f>
        <v/>
      </c>
      <c r="C795" s="4" t="str">
        <f ca="1">IFERROR(__xludf.DUMMYFUNCTION("IFERROR(GOOGLETRANSLATE(B795,""en"",""ja""),)"),"")</f>
        <v/>
      </c>
      <c r="D795" s="4" t="str">
        <f ca="1">IFERROR(__xludf.DUMMYFUNCTION("IFERROR(GOOGLETRANSLATE(B795,""en"",""zh-TW""),)"),"")</f>
        <v/>
      </c>
      <c r="E795" s="4" t="str">
        <f ca="1">IFERROR(__xludf.DUMMYFUNCTION("IFERROR(GOOGLETRANSLATE(B795,""en"",""zh-CN""),)"),"")</f>
        <v/>
      </c>
    </row>
    <row r="796" spans="1:5" ht="18">
      <c r="A796" s="3"/>
      <c r="B796" s="4" t="str">
        <f ca="1">IFERROR(__xludf.DUMMYFUNCTION("IFERROR(GOOGLETRANSLATE(A796,""ko"",""en""),)"),"")</f>
        <v/>
      </c>
      <c r="C796" s="4" t="str">
        <f ca="1">IFERROR(__xludf.DUMMYFUNCTION("IFERROR(GOOGLETRANSLATE(B796,""en"",""ja""),)"),"")</f>
        <v/>
      </c>
      <c r="D796" s="4" t="str">
        <f ca="1">IFERROR(__xludf.DUMMYFUNCTION("IFERROR(GOOGLETRANSLATE(B796,""en"",""zh-TW""),)"),"")</f>
        <v/>
      </c>
      <c r="E796" s="4" t="str">
        <f ca="1">IFERROR(__xludf.DUMMYFUNCTION("IFERROR(GOOGLETRANSLATE(B796,""en"",""zh-CN""),)"),"")</f>
        <v/>
      </c>
    </row>
    <row r="797" spans="1:5" ht="18">
      <c r="A797" s="3"/>
      <c r="B797" s="4" t="str">
        <f ca="1">IFERROR(__xludf.DUMMYFUNCTION("IFERROR(GOOGLETRANSLATE(A797,""ko"",""en""),)"),"")</f>
        <v/>
      </c>
      <c r="C797" s="4" t="str">
        <f ca="1">IFERROR(__xludf.DUMMYFUNCTION("IFERROR(GOOGLETRANSLATE(B797,""en"",""ja""),)"),"")</f>
        <v/>
      </c>
      <c r="D797" s="4" t="str">
        <f ca="1">IFERROR(__xludf.DUMMYFUNCTION("IFERROR(GOOGLETRANSLATE(B797,""en"",""zh-TW""),)"),"")</f>
        <v/>
      </c>
      <c r="E797" s="4" t="str">
        <f ca="1">IFERROR(__xludf.DUMMYFUNCTION("IFERROR(GOOGLETRANSLATE(B797,""en"",""zh-CN""),)"),"")</f>
        <v/>
      </c>
    </row>
    <row r="798" spans="1:5" ht="18">
      <c r="A798" s="3"/>
      <c r="B798" s="4" t="str">
        <f ca="1">IFERROR(__xludf.DUMMYFUNCTION("IFERROR(GOOGLETRANSLATE(A798,""ko"",""en""),)"),"")</f>
        <v/>
      </c>
      <c r="C798" s="4" t="str">
        <f ca="1">IFERROR(__xludf.DUMMYFUNCTION("IFERROR(GOOGLETRANSLATE(B798,""en"",""ja""),)"),"")</f>
        <v/>
      </c>
      <c r="D798" s="4" t="str">
        <f ca="1">IFERROR(__xludf.DUMMYFUNCTION("IFERROR(GOOGLETRANSLATE(B798,""en"",""zh-TW""),)"),"")</f>
        <v/>
      </c>
      <c r="E798" s="4" t="str">
        <f ca="1">IFERROR(__xludf.DUMMYFUNCTION("IFERROR(GOOGLETRANSLATE(B798,""en"",""zh-CN""),)"),"")</f>
        <v/>
      </c>
    </row>
    <row r="799" spans="1:5" ht="18">
      <c r="A799" s="3"/>
      <c r="B799" s="4" t="str">
        <f ca="1">IFERROR(__xludf.DUMMYFUNCTION("IFERROR(GOOGLETRANSLATE(A799,""ko"",""en""),)"),"")</f>
        <v/>
      </c>
      <c r="C799" s="4" t="str">
        <f ca="1">IFERROR(__xludf.DUMMYFUNCTION("IFERROR(GOOGLETRANSLATE(B799,""en"",""ja""),)"),"")</f>
        <v/>
      </c>
      <c r="D799" s="4" t="str">
        <f ca="1">IFERROR(__xludf.DUMMYFUNCTION("IFERROR(GOOGLETRANSLATE(B799,""en"",""zh-TW""),)"),"")</f>
        <v/>
      </c>
      <c r="E799" s="4" t="str">
        <f ca="1">IFERROR(__xludf.DUMMYFUNCTION("IFERROR(GOOGLETRANSLATE(B799,""en"",""zh-CN""),)"),"")</f>
        <v/>
      </c>
    </row>
    <row r="800" spans="1:5" ht="18">
      <c r="A800" s="3"/>
      <c r="B800" s="4" t="str">
        <f ca="1">IFERROR(__xludf.DUMMYFUNCTION("IFERROR(GOOGLETRANSLATE(A800,""ko"",""en""),)"),"")</f>
        <v/>
      </c>
      <c r="C800" s="4" t="str">
        <f ca="1">IFERROR(__xludf.DUMMYFUNCTION("IFERROR(GOOGLETRANSLATE(B800,""en"",""ja""),)"),"")</f>
        <v/>
      </c>
      <c r="D800" s="4" t="str">
        <f ca="1">IFERROR(__xludf.DUMMYFUNCTION("IFERROR(GOOGLETRANSLATE(B800,""en"",""zh-TW""),)"),"")</f>
        <v/>
      </c>
      <c r="E800" s="4" t="str">
        <f ca="1">IFERROR(__xludf.DUMMYFUNCTION("IFERROR(GOOGLETRANSLATE(B800,""en"",""zh-CN""),)"),"")</f>
        <v/>
      </c>
    </row>
    <row r="801" spans="1:5" ht="18">
      <c r="A801" s="3"/>
      <c r="B801" s="4" t="str">
        <f ca="1">IFERROR(__xludf.DUMMYFUNCTION("IFERROR(GOOGLETRANSLATE(A801,""ko"",""en""),)"),"")</f>
        <v/>
      </c>
      <c r="C801" s="4" t="str">
        <f ca="1">IFERROR(__xludf.DUMMYFUNCTION("IFERROR(GOOGLETRANSLATE(B801,""en"",""ja""),)"),"")</f>
        <v/>
      </c>
      <c r="D801" s="4" t="str">
        <f ca="1">IFERROR(__xludf.DUMMYFUNCTION("IFERROR(GOOGLETRANSLATE(B801,""en"",""zh-TW""),)"),"")</f>
        <v/>
      </c>
      <c r="E801" s="4" t="str">
        <f ca="1">IFERROR(__xludf.DUMMYFUNCTION("IFERROR(GOOGLETRANSLATE(B801,""en"",""zh-CN""),)"),"")</f>
        <v/>
      </c>
    </row>
    <row r="802" spans="1:5" ht="18">
      <c r="A802" s="3"/>
      <c r="B802" s="4" t="str">
        <f ca="1">IFERROR(__xludf.DUMMYFUNCTION("IFERROR(GOOGLETRANSLATE(A802,""ko"",""en""),)"),"")</f>
        <v/>
      </c>
      <c r="C802" s="4" t="str">
        <f ca="1">IFERROR(__xludf.DUMMYFUNCTION("IFERROR(GOOGLETRANSLATE(B802,""en"",""ja""),)"),"")</f>
        <v/>
      </c>
      <c r="D802" s="4" t="str">
        <f ca="1">IFERROR(__xludf.DUMMYFUNCTION("IFERROR(GOOGLETRANSLATE(B802,""en"",""zh-TW""),)"),"")</f>
        <v/>
      </c>
      <c r="E802" s="4" t="str">
        <f ca="1">IFERROR(__xludf.DUMMYFUNCTION("IFERROR(GOOGLETRANSLATE(B802,""en"",""zh-CN""),)"),"")</f>
        <v/>
      </c>
    </row>
    <row r="803" spans="1:5" ht="18">
      <c r="A803" s="3"/>
      <c r="B803" s="4" t="str">
        <f ca="1">IFERROR(__xludf.DUMMYFUNCTION("IFERROR(GOOGLETRANSLATE(A803,""ko"",""en""),)"),"")</f>
        <v/>
      </c>
      <c r="C803" s="4" t="str">
        <f ca="1">IFERROR(__xludf.DUMMYFUNCTION("IFERROR(GOOGLETRANSLATE(B803,""en"",""ja""),)"),"")</f>
        <v/>
      </c>
      <c r="D803" s="4" t="str">
        <f ca="1">IFERROR(__xludf.DUMMYFUNCTION("IFERROR(GOOGLETRANSLATE(B803,""en"",""zh-TW""),)"),"")</f>
        <v/>
      </c>
      <c r="E803" s="4" t="str">
        <f ca="1">IFERROR(__xludf.DUMMYFUNCTION("IFERROR(GOOGLETRANSLATE(B803,""en"",""zh-CN""),)"),"")</f>
        <v/>
      </c>
    </row>
    <row r="804" spans="1:5" ht="18">
      <c r="A804" s="3"/>
      <c r="B804" s="4" t="str">
        <f ca="1">IFERROR(__xludf.DUMMYFUNCTION("IFERROR(GOOGLETRANSLATE(A804,""ko"",""en""),)"),"")</f>
        <v/>
      </c>
      <c r="C804" s="4" t="str">
        <f ca="1">IFERROR(__xludf.DUMMYFUNCTION("IFERROR(GOOGLETRANSLATE(B804,""en"",""ja""),)"),"")</f>
        <v/>
      </c>
      <c r="D804" s="4" t="str">
        <f ca="1">IFERROR(__xludf.DUMMYFUNCTION("IFERROR(GOOGLETRANSLATE(B804,""en"",""zh-TW""),)"),"")</f>
        <v/>
      </c>
      <c r="E804" s="4" t="str">
        <f ca="1">IFERROR(__xludf.DUMMYFUNCTION("IFERROR(GOOGLETRANSLATE(B804,""en"",""zh-CN""),)"),"")</f>
        <v/>
      </c>
    </row>
    <row r="805" spans="1:5" ht="18">
      <c r="A805" s="3"/>
      <c r="B805" s="4" t="str">
        <f ca="1">IFERROR(__xludf.DUMMYFUNCTION("IFERROR(GOOGLETRANSLATE(A805,""ko"",""en""),)"),"")</f>
        <v/>
      </c>
      <c r="C805" s="4" t="str">
        <f ca="1">IFERROR(__xludf.DUMMYFUNCTION("IFERROR(GOOGLETRANSLATE(B805,""en"",""ja""),)"),"")</f>
        <v/>
      </c>
      <c r="D805" s="4" t="str">
        <f ca="1">IFERROR(__xludf.DUMMYFUNCTION("IFERROR(GOOGLETRANSLATE(B805,""en"",""zh-TW""),)"),"")</f>
        <v/>
      </c>
      <c r="E805" s="4" t="str">
        <f ca="1">IFERROR(__xludf.DUMMYFUNCTION("IFERROR(GOOGLETRANSLATE(B805,""en"",""zh-CN""),)"),"")</f>
        <v/>
      </c>
    </row>
    <row r="806" spans="1:5" ht="18">
      <c r="A806" s="3"/>
      <c r="B806" s="4" t="str">
        <f ca="1">IFERROR(__xludf.DUMMYFUNCTION("IFERROR(GOOGLETRANSLATE(A806,""ko"",""en""),)"),"")</f>
        <v/>
      </c>
      <c r="C806" s="4" t="str">
        <f ca="1">IFERROR(__xludf.DUMMYFUNCTION("IFERROR(GOOGLETRANSLATE(B806,""en"",""ja""),)"),"")</f>
        <v/>
      </c>
      <c r="D806" s="4" t="str">
        <f ca="1">IFERROR(__xludf.DUMMYFUNCTION("IFERROR(GOOGLETRANSLATE(B806,""en"",""zh-TW""),)"),"")</f>
        <v/>
      </c>
      <c r="E806" s="4" t="str">
        <f ca="1">IFERROR(__xludf.DUMMYFUNCTION("IFERROR(GOOGLETRANSLATE(B806,""en"",""zh-CN""),)"),"")</f>
        <v/>
      </c>
    </row>
    <row r="807" spans="1:5" ht="18">
      <c r="A807" s="3"/>
      <c r="B807" s="4" t="str">
        <f ca="1">IFERROR(__xludf.DUMMYFUNCTION("IFERROR(GOOGLETRANSLATE(A807,""ko"",""en""),)"),"")</f>
        <v/>
      </c>
      <c r="C807" s="4" t="str">
        <f ca="1">IFERROR(__xludf.DUMMYFUNCTION("IFERROR(GOOGLETRANSLATE(B807,""en"",""ja""),)"),"")</f>
        <v/>
      </c>
      <c r="D807" s="4" t="str">
        <f ca="1">IFERROR(__xludf.DUMMYFUNCTION("IFERROR(GOOGLETRANSLATE(B807,""en"",""zh-TW""),)"),"")</f>
        <v/>
      </c>
      <c r="E807" s="4" t="str">
        <f ca="1">IFERROR(__xludf.DUMMYFUNCTION("IFERROR(GOOGLETRANSLATE(B807,""en"",""zh-CN""),)"),"")</f>
        <v/>
      </c>
    </row>
    <row r="808" spans="1:5" ht="18">
      <c r="A808" s="3"/>
      <c r="B808" s="4" t="str">
        <f ca="1">IFERROR(__xludf.DUMMYFUNCTION("IFERROR(GOOGLETRANSLATE(A808,""ko"",""en""),)"),"")</f>
        <v/>
      </c>
      <c r="C808" s="4" t="str">
        <f ca="1">IFERROR(__xludf.DUMMYFUNCTION("IFERROR(GOOGLETRANSLATE(B808,""en"",""ja""),)"),"")</f>
        <v/>
      </c>
      <c r="D808" s="4" t="str">
        <f ca="1">IFERROR(__xludf.DUMMYFUNCTION("IFERROR(GOOGLETRANSLATE(B808,""en"",""zh-TW""),)"),"")</f>
        <v/>
      </c>
      <c r="E808" s="4" t="str">
        <f ca="1">IFERROR(__xludf.DUMMYFUNCTION("IFERROR(GOOGLETRANSLATE(B808,""en"",""zh-CN""),)"),"")</f>
        <v/>
      </c>
    </row>
    <row r="809" spans="1:5" ht="18">
      <c r="A809" s="3"/>
      <c r="B809" s="4" t="str">
        <f ca="1">IFERROR(__xludf.DUMMYFUNCTION("IFERROR(GOOGLETRANSLATE(A809,""ko"",""en""),)"),"")</f>
        <v/>
      </c>
      <c r="C809" s="4" t="str">
        <f ca="1">IFERROR(__xludf.DUMMYFUNCTION("IFERROR(GOOGLETRANSLATE(B809,""en"",""ja""),)"),"")</f>
        <v/>
      </c>
      <c r="D809" s="4" t="str">
        <f ca="1">IFERROR(__xludf.DUMMYFUNCTION("IFERROR(GOOGLETRANSLATE(B809,""en"",""zh-TW""),)"),"")</f>
        <v/>
      </c>
      <c r="E809" s="4" t="str">
        <f ca="1">IFERROR(__xludf.DUMMYFUNCTION("IFERROR(GOOGLETRANSLATE(B809,""en"",""zh-CN""),)"),"")</f>
        <v/>
      </c>
    </row>
    <row r="810" spans="1:5" ht="18">
      <c r="A810" s="3"/>
      <c r="B810" s="4" t="str">
        <f ca="1">IFERROR(__xludf.DUMMYFUNCTION("IFERROR(GOOGLETRANSLATE(A810,""ko"",""en""),)"),"")</f>
        <v/>
      </c>
      <c r="C810" s="4" t="str">
        <f ca="1">IFERROR(__xludf.DUMMYFUNCTION("IFERROR(GOOGLETRANSLATE(B810,""en"",""ja""),)"),"")</f>
        <v/>
      </c>
      <c r="D810" s="4" t="str">
        <f ca="1">IFERROR(__xludf.DUMMYFUNCTION("IFERROR(GOOGLETRANSLATE(B810,""en"",""zh-TW""),)"),"")</f>
        <v/>
      </c>
      <c r="E810" s="4" t="str">
        <f ca="1">IFERROR(__xludf.DUMMYFUNCTION("IFERROR(GOOGLETRANSLATE(B810,""en"",""zh-CN""),)"),"")</f>
        <v/>
      </c>
    </row>
    <row r="811" spans="1:5" ht="18">
      <c r="A811" s="3"/>
      <c r="B811" s="4" t="str">
        <f ca="1">IFERROR(__xludf.DUMMYFUNCTION("IFERROR(GOOGLETRANSLATE(A811,""ko"",""en""),)"),"")</f>
        <v/>
      </c>
      <c r="C811" s="4" t="str">
        <f ca="1">IFERROR(__xludf.DUMMYFUNCTION("IFERROR(GOOGLETRANSLATE(B811,""en"",""ja""),)"),"")</f>
        <v/>
      </c>
      <c r="D811" s="4" t="str">
        <f ca="1">IFERROR(__xludf.DUMMYFUNCTION("IFERROR(GOOGLETRANSLATE(B811,""en"",""zh-TW""),)"),"")</f>
        <v/>
      </c>
      <c r="E811" s="4" t="str">
        <f ca="1">IFERROR(__xludf.DUMMYFUNCTION("IFERROR(GOOGLETRANSLATE(B811,""en"",""zh-CN""),)"),"")</f>
        <v/>
      </c>
    </row>
    <row r="812" spans="1:5" ht="18">
      <c r="A812" s="3"/>
      <c r="B812" s="4" t="str">
        <f ca="1">IFERROR(__xludf.DUMMYFUNCTION("IFERROR(GOOGLETRANSLATE(A812,""ko"",""en""),)"),"")</f>
        <v/>
      </c>
      <c r="C812" s="4" t="str">
        <f ca="1">IFERROR(__xludf.DUMMYFUNCTION("IFERROR(GOOGLETRANSLATE(B812,""en"",""ja""),)"),"")</f>
        <v/>
      </c>
      <c r="D812" s="4" t="str">
        <f ca="1">IFERROR(__xludf.DUMMYFUNCTION("IFERROR(GOOGLETRANSLATE(B812,""en"",""zh-TW""),)"),"")</f>
        <v/>
      </c>
      <c r="E812" s="4" t="str">
        <f ca="1">IFERROR(__xludf.DUMMYFUNCTION("IFERROR(GOOGLETRANSLATE(B812,""en"",""zh-CN""),)"),"")</f>
        <v/>
      </c>
    </row>
    <row r="813" spans="1:5" ht="18">
      <c r="A813" s="3"/>
      <c r="B813" s="4" t="str">
        <f ca="1">IFERROR(__xludf.DUMMYFUNCTION("IFERROR(GOOGLETRANSLATE(A813,""ko"",""en""),)"),"")</f>
        <v/>
      </c>
      <c r="C813" s="4" t="str">
        <f ca="1">IFERROR(__xludf.DUMMYFUNCTION("IFERROR(GOOGLETRANSLATE(B813,""en"",""ja""),)"),"")</f>
        <v/>
      </c>
      <c r="D813" s="4" t="str">
        <f ca="1">IFERROR(__xludf.DUMMYFUNCTION("IFERROR(GOOGLETRANSLATE(B813,""en"",""zh-TW""),)"),"")</f>
        <v/>
      </c>
      <c r="E813" s="4" t="str">
        <f ca="1">IFERROR(__xludf.DUMMYFUNCTION("IFERROR(GOOGLETRANSLATE(B813,""en"",""zh-CN""),)"),"")</f>
        <v/>
      </c>
    </row>
    <row r="814" spans="1:5" ht="18">
      <c r="A814" s="3"/>
      <c r="B814" s="4" t="str">
        <f ca="1">IFERROR(__xludf.DUMMYFUNCTION("IFERROR(GOOGLETRANSLATE(A814,""ko"",""en""),)"),"")</f>
        <v/>
      </c>
      <c r="C814" s="4" t="str">
        <f ca="1">IFERROR(__xludf.DUMMYFUNCTION("IFERROR(GOOGLETRANSLATE(B814,""en"",""ja""),)"),"")</f>
        <v/>
      </c>
      <c r="D814" s="4" t="str">
        <f ca="1">IFERROR(__xludf.DUMMYFUNCTION("IFERROR(GOOGLETRANSLATE(B814,""en"",""zh-TW""),)"),"")</f>
        <v/>
      </c>
      <c r="E814" s="4" t="str">
        <f ca="1">IFERROR(__xludf.DUMMYFUNCTION("IFERROR(GOOGLETRANSLATE(B814,""en"",""zh-CN""),)"),"")</f>
        <v/>
      </c>
    </row>
    <row r="815" spans="1:5" ht="18">
      <c r="A815" s="3"/>
      <c r="B815" s="4" t="str">
        <f ca="1">IFERROR(__xludf.DUMMYFUNCTION("IFERROR(GOOGLETRANSLATE(A815,""ko"",""en""),)"),"")</f>
        <v/>
      </c>
      <c r="C815" s="4" t="str">
        <f ca="1">IFERROR(__xludf.DUMMYFUNCTION("IFERROR(GOOGLETRANSLATE(B815,""en"",""ja""),)"),"")</f>
        <v/>
      </c>
      <c r="D815" s="4" t="str">
        <f ca="1">IFERROR(__xludf.DUMMYFUNCTION("IFERROR(GOOGLETRANSLATE(B815,""en"",""zh-TW""),)"),"")</f>
        <v/>
      </c>
      <c r="E815" s="4" t="str">
        <f ca="1">IFERROR(__xludf.DUMMYFUNCTION("IFERROR(GOOGLETRANSLATE(B815,""en"",""zh-CN""),)"),"")</f>
        <v/>
      </c>
    </row>
    <row r="816" spans="1:5" ht="18">
      <c r="A816" s="3"/>
      <c r="B816" s="4" t="str">
        <f ca="1">IFERROR(__xludf.DUMMYFUNCTION("IFERROR(GOOGLETRANSLATE(A816,""ko"",""en""),)"),"")</f>
        <v/>
      </c>
      <c r="C816" s="4" t="str">
        <f ca="1">IFERROR(__xludf.DUMMYFUNCTION("IFERROR(GOOGLETRANSLATE(B816,""en"",""ja""),)"),"")</f>
        <v/>
      </c>
      <c r="D816" s="4" t="str">
        <f ca="1">IFERROR(__xludf.DUMMYFUNCTION("IFERROR(GOOGLETRANSLATE(B816,""en"",""zh-TW""),)"),"")</f>
        <v/>
      </c>
      <c r="E816" s="4" t="str">
        <f ca="1">IFERROR(__xludf.DUMMYFUNCTION("IFERROR(GOOGLETRANSLATE(B816,""en"",""zh-CN""),)"),"")</f>
        <v/>
      </c>
    </row>
    <row r="817" spans="1:5" ht="18">
      <c r="A817" s="3"/>
      <c r="B817" s="4" t="str">
        <f ca="1">IFERROR(__xludf.DUMMYFUNCTION("IFERROR(GOOGLETRANSLATE(A817,""ko"",""en""),)"),"")</f>
        <v/>
      </c>
      <c r="C817" s="4" t="str">
        <f ca="1">IFERROR(__xludf.DUMMYFUNCTION("IFERROR(GOOGLETRANSLATE(B817,""en"",""ja""),)"),"")</f>
        <v/>
      </c>
      <c r="D817" s="4" t="str">
        <f ca="1">IFERROR(__xludf.DUMMYFUNCTION("IFERROR(GOOGLETRANSLATE(B817,""en"",""zh-TW""),)"),"")</f>
        <v/>
      </c>
      <c r="E817" s="4" t="str">
        <f ca="1">IFERROR(__xludf.DUMMYFUNCTION("IFERROR(GOOGLETRANSLATE(B817,""en"",""zh-CN""),)"),"")</f>
        <v/>
      </c>
    </row>
    <row r="818" spans="1:5" ht="18">
      <c r="A818" s="3"/>
      <c r="B818" s="4" t="str">
        <f ca="1">IFERROR(__xludf.DUMMYFUNCTION("IFERROR(GOOGLETRANSLATE(A818,""ko"",""en""),)"),"")</f>
        <v/>
      </c>
      <c r="C818" s="4" t="str">
        <f ca="1">IFERROR(__xludf.DUMMYFUNCTION("IFERROR(GOOGLETRANSLATE(B818,""en"",""ja""),)"),"")</f>
        <v/>
      </c>
      <c r="D818" s="4" t="str">
        <f ca="1">IFERROR(__xludf.DUMMYFUNCTION("IFERROR(GOOGLETRANSLATE(B818,""en"",""zh-TW""),)"),"")</f>
        <v/>
      </c>
      <c r="E818" s="4" t="str">
        <f ca="1">IFERROR(__xludf.DUMMYFUNCTION("IFERROR(GOOGLETRANSLATE(B818,""en"",""zh-CN""),)"),"")</f>
        <v/>
      </c>
    </row>
    <row r="819" spans="1:5" ht="18">
      <c r="A819" s="3"/>
      <c r="B819" s="4" t="str">
        <f ca="1">IFERROR(__xludf.DUMMYFUNCTION("IFERROR(GOOGLETRANSLATE(A819,""ko"",""en""),)"),"")</f>
        <v/>
      </c>
      <c r="C819" s="4" t="str">
        <f ca="1">IFERROR(__xludf.DUMMYFUNCTION("IFERROR(GOOGLETRANSLATE(B819,""en"",""ja""),)"),"")</f>
        <v/>
      </c>
      <c r="D819" s="4" t="str">
        <f ca="1">IFERROR(__xludf.DUMMYFUNCTION("IFERROR(GOOGLETRANSLATE(B819,""en"",""zh-TW""),)"),"")</f>
        <v/>
      </c>
      <c r="E819" s="4" t="str">
        <f ca="1">IFERROR(__xludf.DUMMYFUNCTION("IFERROR(GOOGLETRANSLATE(B819,""en"",""zh-CN""),)"),"")</f>
        <v/>
      </c>
    </row>
    <row r="820" spans="1:5" ht="18">
      <c r="A820" s="3"/>
      <c r="B820" s="4" t="str">
        <f ca="1">IFERROR(__xludf.DUMMYFUNCTION("IFERROR(GOOGLETRANSLATE(A820,""ko"",""en""),)"),"")</f>
        <v/>
      </c>
      <c r="C820" s="4" t="str">
        <f ca="1">IFERROR(__xludf.DUMMYFUNCTION("IFERROR(GOOGLETRANSLATE(B820,""en"",""ja""),)"),"")</f>
        <v/>
      </c>
      <c r="D820" s="4" t="str">
        <f ca="1">IFERROR(__xludf.DUMMYFUNCTION("IFERROR(GOOGLETRANSLATE(B820,""en"",""zh-TW""),)"),"")</f>
        <v/>
      </c>
      <c r="E820" s="4" t="str">
        <f ca="1">IFERROR(__xludf.DUMMYFUNCTION("IFERROR(GOOGLETRANSLATE(B820,""en"",""zh-CN""),)"),"")</f>
        <v/>
      </c>
    </row>
    <row r="821" spans="1:5" ht="18">
      <c r="A821" s="3"/>
      <c r="B821" s="4" t="str">
        <f ca="1">IFERROR(__xludf.DUMMYFUNCTION("IFERROR(GOOGLETRANSLATE(A821,""ko"",""en""),)"),"")</f>
        <v/>
      </c>
      <c r="C821" s="4" t="str">
        <f ca="1">IFERROR(__xludf.DUMMYFUNCTION("IFERROR(GOOGLETRANSLATE(B821,""en"",""ja""),)"),"")</f>
        <v/>
      </c>
      <c r="D821" s="4" t="str">
        <f ca="1">IFERROR(__xludf.DUMMYFUNCTION("IFERROR(GOOGLETRANSLATE(B821,""en"",""zh-TW""),)"),"")</f>
        <v/>
      </c>
      <c r="E821" s="4" t="str">
        <f ca="1">IFERROR(__xludf.DUMMYFUNCTION("IFERROR(GOOGLETRANSLATE(B821,""en"",""zh-CN""),)"),"")</f>
        <v/>
      </c>
    </row>
    <row r="822" spans="1:5" ht="18">
      <c r="A822" s="3"/>
      <c r="B822" s="4" t="str">
        <f ca="1">IFERROR(__xludf.DUMMYFUNCTION("IFERROR(GOOGLETRANSLATE(A822,""ko"",""en""),)"),"")</f>
        <v/>
      </c>
      <c r="C822" s="4" t="str">
        <f ca="1">IFERROR(__xludf.DUMMYFUNCTION("IFERROR(GOOGLETRANSLATE(B822,""en"",""ja""),)"),"")</f>
        <v/>
      </c>
      <c r="D822" s="4" t="str">
        <f ca="1">IFERROR(__xludf.DUMMYFUNCTION("IFERROR(GOOGLETRANSLATE(B822,""en"",""zh-TW""),)"),"")</f>
        <v/>
      </c>
      <c r="E822" s="4" t="str">
        <f ca="1">IFERROR(__xludf.DUMMYFUNCTION("IFERROR(GOOGLETRANSLATE(B822,""en"",""zh-CN""),)"),"")</f>
        <v/>
      </c>
    </row>
    <row r="823" spans="1:5" ht="18">
      <c r="A823" s="3"/>
      <c r="B823" s="4" t="str">
        <f ca="1">IFERROR(__xludf.DUMMYFUNCTION("IFERROR(GOOGLETRANSLATE(A823,""ko"",""en""),)"),"")</f>
        <v/>
      </c>
      <c r="C823" s="4" t="str">
        <f ca="1">IFERROR(__xludf.DUMMYFUNCTION("IFERROR(GOOGLETRANSLATE(B823,""en"",""ja""),)"),"")</f>
        <v/>
      </c>
      <c r="D823" s="4" t="str">
        <f ca="1">IFERROR(__xludf.DUMMYFUNCTION("IFERROR(GOOGLETRANSLATE(B823,""en"",""zh-TW""),)"),"")</f>
        <v/>
      </c>
      <c r="E823" s="4" t="str">
        <f ca="1">IFERROR(__xludf.DUMMYFUNCTION("IFERROR(GOOGLETRANSLATE(B823,""en"",""zh-CN""),)"),"")</f>
        <v/>
      </c>
    </row>
    <row r="824" spans="1:5" ht="18">
      <c r="A824" s="3"/>
      <c r="B824" s="4" t="str">
        <f ca="1">IFERROR(__xludf.DUMMYFUNCTION("IFERROR(GOOGLETRANSLATE(A824,""ko"",""en""),)"),"")</f>
        <v/>
      </c>
      <c r="C824" s="4" t="str">
        <f ca="1">IFERROR(__xludf.DUMMYFUNCTION("IFERROR(GOOGLETRANSLATE(B824,""en"",""ja""),)"),"")</f>
        <v/>
      </c>
      <c r="D824" s="4" t="str">
        <f ca="1">IFERROR(__xludf.DUMMYFUNCTION("IFERROR(GOOGLETRANSLATE(B824,""en"",""zh-TW""),)"),"")</f>
        <v/>
      </c>
      <c r="E824" s="4" t="str">
        <f ca="1">IFERROR(__xludf.DUMMYFUNCTION("IFERROR(GOOGLETRANSLATE(B824,""en"",""zh-CN""),)"),"")</f>
        <v/>
      </c>
    </row>
    <row r="825" spans="1:5" ht="18">
      <c r="A825" s="3"/>
      <c r="B825" s="4" t="str">
        <f ca="1">IFERROR(__xludf.DUMMYFUNCTION("IFERROR(GOOGLETRANSLATE(A825,""ko"",""en""),)"),"")</f>
        <v/>
      </c>
      <c r="C825" s="4" t="str">
        <f ca="1">IFERROR(__xludf.DUMMYFUNCTION("IFERROR(GOOGLETRANSLATE(B825,""en"",""ja""),)"),"")</f>
        <v/>
      </c>
      <c r="D825" s="4" t="str">
        <f ca="1">IFERROR(__xludf.DUMMYFUNCTION("IFERROR(GOOGLETRANSLATE(B825,""en"",""zh-TW""),)"),"")</f>
        <v/>
      </c>
      <c r="E825" s="4" t="str">
        <f ca="1">IFERROR(__xludf.DUMMYFUNCTION("IFERROR(GOOGLETRANSLATE(B825,""en"",""zh-CN""),)"),"")</f>
        <v/>
      </c>
    </row>
    <row r="826" spans="1:5" ht="18">
      <c r="A826" s="3"/>
      <c r="B826" s="4" t="str">
        <f ca="1">IFERROR(__xludf.DUMMYFUNCTION("IFERROR(GOOGLETRANSLATE(A826,""ko"",""en""),)"),"")</f>
        <v/>
      </c>
      <c r="C826" s="4" t="str">
        <f ca="1">IFERROR(__xludf.DUMMYFUNCTION("IFERROR(GOOGLETRANSLATE(B826,""en"",""ja""),)"),"")</f>
        <v/>
      </c>
      <c r="D826" s="4" t="str">
        <f ca="1">IFERROR(__xludf.DUMMYFUNCTION("IFERROR(GOOGLETRANSLATE(B826,""en"",""zh-TW""),)"),"")</f>
        <v/>
      </c>
      <c r="E826" s="4" t="str">
        <f ca="1">IFERROR(__xludf.DUMMYFUNCTION("IFERROR(GOOGLETRANSLATE(B826,""en"",""zh-CN""),)"),"")</f>
        <v/>
      </c>
    </row>
    <row r="827" spans="1:5" ht="18">
      <c r="A827" s="3"/>
      <c r="B827" s="4" t="str">
        <f ca="1">IFERROR(__xludf.DUMMYFUNCTION("IFERROR(GOOGLETRANSLATE(A827,""ko"",""en""),)"),"")</f>
        <v/>
      </c>
      <c r="C827" s="4" t="str">
        <f ca="1">IFERROR(__xludf.DUMMYFUNCTION("IFERROR(GOOGLETRANSLATE(B827,""en"",""ja""),)"),"")</f>
        <v/>
      </c>
      <c r="D827" s="4" t="str">
        <f ca="1">IFERROR(__xludf.DUMMYFUNCTION("IFERROR(GOOGLETRANSLATE(B827,""en"",""zh-TW""),)"),"")</f>
        <v/>
      </c>
      <c r="E827" s="4" t="str">
        <f ca="1">IFERROR(__xludf.DUMMYFUNCTION("IFERROR(GOOGLETRANSLATE(B827,""en"",""zh-CN""),)"),"")</f>
        <v/>
      </c>
    </row>
    <row r="828" spans="1:5" ht="18">
      <c r="A828" s="3"/>
      <c r="B828" s="4" t="str">
        <f ca="1">IFERROR(__xludf.DUMMYFUNCTION("IFERROR(GOOGLETRANSLATE(A828,""ko"",""en""),)"),"")</f>
        <v/>
      </c>
      <c r="C828" s="4" t="str">
        <f ca="1">IFERROR(__xludf.DUMMYFUNCTION("IFERROR(GOOGLETRANSLATE(B828,""en"",""ja""),)"),"")</f>
        <v/>
      </c>
      <c r="D828" s="4" t="str">
        <f ca="1">IFERROR(__xludf.DUMMYFUNCTION("IFERROR(GOOGLETRANSLATE(B828,""en"",""zh-TW""),)"),"")</f>
        <v/>
      </c>
      <c r="E828" s="4" t="str">
        <f ca="1">IFERROR(__xludf.DUMMYFUNCTION("IFERROR(GOOGLETRANSLATE(B828,""en"",""zh-CN""),)"),"")</f>
        <v/>
      </c>
    </row>
    <row r="829" spans="1:5" ht="18">
      <c r="A829" s="3"/>
      <c r="B829" s="4" t="str">
        <f ca="1">IFERROR(__xludf.DUMMYFUNCTION("IFERROR(GOOGLETRANSLATE(A829,""ko"",""en""),)"),"")</f>
        <v/>
      </c>
      <c r="C829" s="4" t="str">
        <f ca="1">IFERROR(__xludf.DUMMYFUNCTION("IFERROR(GOOGLETRANSLATE(B829,""en"",""ja""),)"),"")</f>
        <v/>
      </c>
      <c r="D829" s="4" t="str">
        <f ca="1">IFERROR(__xludf.DUMMYFUNCTION("IFERROR(GOOGLETRANSLATE(B829,""en"",""zh-TW""),)"),"")</f>
        <v/>
      </c>
      <c r="E829" s="4" t="str">
        <f ca="1">IFERROR(__xludf.DUMMYFUNCTION("IFERROR(GOOGLETRANSLATE(B829,""en"",""zh-CN""),)"),"")</f>
        <v/>
      </c>
    </row>
    <row r="830" spans="1:5" ht="18">
      <c r="A830" s="3"/>
      <c r="B830" s="4" t="str">
        <f ca="1">IFERROR(__xludf.DUMMYFUNCTION("IFERROR(GOOGLETRANSLATE(A830,""ko"",""en""),)"),"")</f>
        <v/>
      </c>
      <c r="C830" s="4" t="str">
        <f ca="1">IFERROR(__xludf.DUMMYFUNCTION("IFERROR(GOOGLETRANSLATE(B830,""en"",""ja""),)"),"")</f>
        <v/>
      </c>
      <c r="D830" s="4" t="str">
        <f ca="1">IFERROR(__xludf.DUMMYFUNCTION("IFERROR(GOOGLETRANSLATE(B830,""en"",""zh-TW""),)"),"")</f>
        <v/>
      </c>
      <c r="E830" s="4" t="str">
        <f ca="1">IFERROR(__xludf.DUMMYFUNCTION("IFERROR(GOOGLETRANSLATE(B830,""en"",""zh-CN""),)"),"")</f>
        <v/>
      </c>
    </row>
    <row r="831" spans="1:5" ht="18">
      <c r="A831" s="3"/>
      <c r="B831" s="4" t="str">
        <f ca="1">IFERROR(__xludf.DUMMYFUNCTION("IFERROR(GOOGLETRANSLATE(A831,""ko"",""en""),)"),"")</f>
        <v/>
      </c>
      <c r="C831" s="4" t="str">
        <f ca="1">IFERROR(__xludf.DUMMYFUNCTION("IFERROR(GOOGLETRANSLATE(B831,""en"",""ja""),)"),"")</f>
        <v/>
      </c>
      <c r="D831" s="4" t="str">
        <f ca="1">IFERROR(__xludf.DUMMYFUNCTION("IFERROR(GOOGLETRANSLATE(B831,""en"",""zh-TW""),)"),"")</f>
        <v/>
      </c>
      <c r="E831" s="4" t="str">
        <f ca="1">IFERROR(__xludf.DUMMYFUNCTION("IFERROR(GOOGLETRANSLATE(B831,""en"",""zh-CN""),)"),"")</f>
        <v/>
      </c>
    </row>
    <row r="832" spans="1:5" ht="18">
      <c r="A832" s="3"/>
      <c r="B832" s="4" t="str">
        <f ca="1">IFERROR(__xludf.DUMMYFUNCTION("IFERROR(GOOGLETRANSLATE(A832,""ko"",""en""),)"),"")</f>
        <v/>
      </c>
      <c r="C832" s="4" t="str">
        <f ca="1">IFERROR(__xludf.DUMMYFUNCTION("IFERROR(GOOGLETRANSLATE(B832,""en"",""ja""),)"),"")</f>
        <v/>
      </c>
      <c r="D832" s="4" t="str">
        <f ca="1">IFERROR(__xludf.DUMMYFUNCTION("IFERROR(GOOGLETRANSLATE(B832,""en"",""zh-TW""),)"),"")</f>
        <v/>
      </c>
      <c r="E832" s="4" t="str">
        <f ca="1">IFERROR(__xludf.DUMMYFUNCTION("IFERROR(GOOGLETRANSLATE(B832,""en"",""zh-CN""),)"),"")</f>
        <v/>
      </c>
    </row>
    <row r="833" spans="1:5" ht="18">
      <c r="A833" s="3"/>
      <c r="B833" s="4" t="str">
        <f ca="1">IFERROR(__xludf.DUMMYFUNCTION("IFERROR(GOOGLETRANSLATE(A833,""ko"",""en""),)"),"")</f>
        <v/>
      </c>
      <c r="C833" s="4" t="str">
        <f ca="1">IFERROR(__xludf.DUMMYFUNCTION("IFERROR(GOOGLETRANSLATE(B833,""en"",""ja""),)"),"")</f>
        <v/>
      </c>
      <c r="D833" s="4" t="str">
        <f ca="1">IFERROR(__xludf.DUMMYFUNCTION("IFERROR(GOOGLETRANSLATE(B833,""en"",""zh-TW""),)"),"")</f>
        <v/>
      </c>
      <c r="E833" s="4" t="str">
        <f ca="1">IFERROR(__xludf.DUMMYFUNCTION("IFERROR(GOOGLETRANSLATE(B833,""en"",""zh-CN""),)"),"")</f>
        <v/>
      </c>
    </row>
    <row r="834" spans="1:5" ht="18">
      <c r="A834" s="3"/>
      <c r="B834" s="4" t="str">
        <f ca="1">IFERROR(__xludf.DUMMYFUNCTION("IFERROR(GOOGLETRANSLATE(A834,""ko"",""en""),)"),"")</f>
        <v/>
      </c>
      <c r="C834" s="4" t="str">
        <f ca="1">IFERROR(__xludf.DUMMYFUNCTION("IFERROR(GOOGLETRANSLATE(B834,""en"",""ja""),)"),"")</f>
        <v/>
      </c>
      <c r="D834" s="4" t="str">
        <f ca="1">IFERROR(__xludf.DUMMYFUNCTION("IFERROR(GOOGLETRANSLATE(B834,""en"",""zh-TW""),)"),"")</f>
        <v/>
      </c>
      <c r="E834" s="4" t="str">
        <f ca="1">IFERROR(__xludf.DUMMYFUNCTION("IFERROR(GOOGLETRANSLATE(B834,""en"",""zh-CN""),)"),"")</f>
        <v/>
      </c>
    </row>
    <row r="835" spans="1:5" ht="18">
      <c r="A835" s="3"/>
      <c r="B835" s="4" t="str">
        <f ca="1">IFERROR(__xludf.DUMMYFUNCTION("IFERROR(GOOGLETRANSLATE(A835,""ko"",""en""),)"),"")</f>
        <v/>
      </c>
      <c r="C835" s="4" t="str">
        <f ca="1">IFERROR(__xludf.DUMMYFUNCTION("IFERROR(GOOGLETRANSLATE(B835,""en"",""ja""),)"),"")</f>
        <v/>
      </c>
      <c r="D835" s="4" t="str">
        <f ca="1">IFERROR(__xludf.DUMMYFUNCTION("IFERROR(GOOGLETRANSLATE(B835,""en"",""zh-TW""),)"),"")</f>
        <v/>
      </c>
      <c r="E835" s="4" t="str">
        <f ca="1">IFERROR(__xludf.DUMMYFUNCTION("IFERROR(GOOGLETRANSLATE(B835,""en"",""zh-CN""),)"),"")</f>
        <v/>
      </c>
    </row>
    <row r="836" spans="1:5" ht="18">
      <c r="A836" s="3"/>
      <c r="B836" s="4" t="str">
        <f ca="1">IFERROR(__xludf.DUMMYFUNCTION("IFERROR(GOOGLETRANSLATE(A836,""ko"",""en""),)"),"")</f>
        <v/>
      </c>
      <c r="C836" s="4" t="str">
        <f ca="1">IFERROR(__xludf.DUMMYFUNCTION("IFERROR(GOOGLETRANSLATE(B836,""en"",""ja""),)"),"")</f>
        <v/>
      </c>
      <c r="D836" s="4" t="str">
        <f ca="1">IFERROR(__xludf.DUMMYFUNCTION("IFERROR(GOOGLETRANSLATE(B836,""en"",""zh-TW""),)"),"")</f>
        <v/>
      </c>
      <c r="E836" s="4" t="str">
        <f ca="1">IFERROR(__xludf.DUMMYFUNCTION("IFERROR(GOOGLETRANSLATE(B836,""en"",""zh-CN""),)"),"")</f>
        <v/>
      </c>
    </row>
    <row r="837" spans="1:5" ht="18">
      <c r="A837" s="3"/>
      <c r="B837" s="4" t="str">
        <f ca="1">IFERROR(__xludf.DUMMYFUNCTION("IFERROR(GOOGLETRANSLATE(A837,""ko"",""en""),)"),"")</f>
        <v/>
      </c>
      <c r="C837" s="4" t="str">
        <f ca="1">IFERROR(__xludf.DUMMYFUNCTION("IFERROR(GOOGLETRANSLATE(B837,""en"",""ja""),)"),"")</f>
        <v/>
      </c>
      <c r="D837" s="4" t="str">
        <f ca="1">IFERROR(__xludf.DUMMYFUNCTION("IFERROR(GOOGLETRANSLATE(B837,""en"",""zh-TW""),)"),"")</f>
        <v/>
      </c>
      <c r="E837" s="4" t="str">
        <f ca="1">IFERROR(__xludf.DUMMYFUNCTION("IFERROR(GOOGLETRANSLATE(B837,""en"",""zh-CN""),)"),"")</f>
        <v/>
      </c>
    </row>
    <row r="838" spans="1:5" ht="18">
      <c r="A838" s="3"/>
      <c r="B838" s="4" t="str">
        <f ca="1">IFERROR(__xludf.DUMMYFUNCTION("IFERROR(GOOGLETRANSLATE(A838,""ko"",""en""),)"),"")</f>
        <v/>
      </c>
      <c r="C838" s="4" t="str">
        <f ca="1">IFERROR(__xludf.DUMMYFUNCTION("IFERROR(GOOGLETRANSLATE(B838,""en"",""ja""),)"),"")</f>
        <v/>
      </c>
      <c r="D838" s="4" t="str">
        <f ca="1">IFERROR(__xludf.DUMMYFUNCTION("IFERROR(GOOGLETRANSLATE(B838,""en"",""zh-TW""),)"),"")</f>
        <v/>
      </c>
      <c r="E838" s="4" t="str">
        <f ca="1">IFERROR(__xludf.DUMMYFUNCTION("IFERROR(GOOGLETRANSLATE(B838,""en"",""zh-CN""),)"),"")</f>
        <v/>
      </c>
    </row>
    <row r="839" spans="1:5" ht="18">
      <c r="A839" s="3"/>
      <c r="B839" s="4" t="str">
        <f ca="1">IFERROR(__xludf.DUMMYFUNCTION("IFERROR(GOOGLETRANSLATE(A839,""ko"",""en""),)"),"")</f>
        <v/>
      </c>
      <c r="C839" s="4" t="str">
        <f ca="1">IFERROR(__xludf.DUMMYFUNCTION("IFERROR(GOOGLETRANSLATE(B839,""en"",""ja""),)"),"")</f>
        <v/>
      </c>
      <c r="D839" s="4" t="str">
        <f ca="1">IFERROR(__xludf.DUMMYFUNCTION("IFERROR(GOOGLETRANSLATE(B839,""en"",""zh-TW""),)"),"")</f>
        <v/>
      </c>
      <c r="E839" s="4" t="str">
        <f ca="1">IFERROR(__xludf.DUMMYFUNCTION("IFERROR(GOOGLETRANSLATE(B839,""en"",""zh-CN""),)"),"")</f>
        <v/>
      </c>
    </row>
    <row r="840" spans="1:5" ht="18">
      <c r="A840" s="3"/>
      <c r="B840" s="4" t="str">
        <f ca="1">IFERROR(__xludf.DUMMYFUNCTION("IFERROR(GOOGLETRANSLATE(A840,""ko"",""en""),)"),"")</f>
        <v/>
      </c>
      <c r="C840" s="4" t="str">
        <f ca="1">IFERROR(__xludf.DUMMYFUNCTION("IFERROR(GOOGLETRANSLATE(B840,""en"",""ja""),)"),"")</f>
        <v/>
      </c>
      <c r="D840" s="4" t="str">
        <f ca="1">IFERROR(__xludf.DUMMYFUNCTION("IFERROR(GOOGLETRANSLATE(B840,""en"",""zh-TW""),)"),"")</f>
        <v/>
      </c>
      <c r="E840" s="4" t="str">
        <f ca="1">IFERROR(__xludf.DUMMYFUNCTION("IFERROR(GOOGLETRANSLATE(B840,""en"",""zh-CN""),)"),"")</f>
        <v/>
      </c>
    </row>
    <row r="841" spans="1:5" ht="18">
      <c r="A841" s="3"/>
      <c r="B841" s="4" t="str">
        <f ca="1">IFERROR(__xludf.DUMMYFUNCTION("IFERROR(GOOGLETRANSLATE(A841,""ko"",""en""),)"),"")</f>
        <v/>
      </c>
      <c r="C841" s="4" t="str">
        <f ca="1">IFERROR(__xludf.DUMMYFUNCTION("IFERROR(GOOGLETRANSLATE(B841,""en"",""ja""),)"),"")</f>
        <v/>
      </c>
      <c r="D841" s="4" t="str">
        <f ca="1">IFERROR(__xludf.DUMMYFUNCTION("IFERROR(GOOGLETRANSLATE(B841,""en"",""zh-TW""),)"),"")</f>
        <v/>
      </c>
      <c r="E841" s="4" t="str">
        <f ca="1">IFERROR(__xludf.DUMMYFUNCTION("IFERROR(GOOGLETRANSLATE(B841,""en"",""zh-CN""),)"),"")</f>
        <v/>
      </c>
    </row>
    <row r="842" spans="1:5" ht="18">
      <c r="A842" s="3"/>
      <c r="B842" s="4" t="str">
        <f ca="1">IFERROR(__xludf.DUMMYFUNCTION("IFERROR(GOOGLETRANSLATE(A842,""ko"",""en""),)"),"")</f>
        <v/>
      </c>
      <c r="C842" s="4" t="str">
        <f ca="1">IFERROR(__xludf.DUMMYFUNCTION("IFERROR(GOOGLETRANSLATE(B842,""en"",""ja""),)"),"")</f>
        <v/>
      </c>
      <c r="D842" s="4" t="str">
        <f ca="1">IFERROR(__xludf.DUMMYFUNCTION("IFERROR(GOOGLETRANSLATE(B842,""en"",""zh-TW""),)"),"")</f>
        <v/>
      </c>
      <c r="E842" s="4" t="str">
        <f ca="1">IFERROR(__xludf.DUMMYFUNCTION("IFERROR(GOOGLETRANSLATE(B842,""en"",""zh-CN""),)"),"")</f>
        <v/>
      </c>
    </row>
    <row r="843" spans="1:5" ht="18">
      <c r="A843" s="3"/>
      <c r="B843" s="4" t="str">
        <f ca="1">IFERROR(__xludf.DUMMYFUNCTION("IFERROR(GOOGLETRANSLATE(A843,""ko"",""en""),)"),"")</f>
        <v/>
      </c>
      <c r="C843" s="4" t="str">
        <f ca="1">IFERROR(__xludf.DUMMYFUNCTION("IFERROR(GOOGLETRANSLATE(B843,""en"",""ja""),)"),"")</f>
        <v/>
      </c>
      <c r="D843" s="4" t="str">
        <f ca="1">IFERROR(__xludf.DUMMYFUNCTION("IFERROR(GOOGLETRANSLATE(B843,""en"",""zh-TW""),)"),"")</f>
        <v/>
      </c>
      <c r="E843" s="4" t="str">
        <f ca="1">IFERROR(__xludf.DUMMYFUNCTION("IFERROR(GOOGLETRANSLATE(B843,""en"",""zh-CN""),)"),"")</f>
        <v/>
      </c>
    </row>
    <row r="844" spans="1:5" ht="18">
      <c r="A844" s="3"/>
      <c r="B844" s="4" t="str">
        <f ca="1">IFERROR(__xludf.DUMMYFUNCTION("IFERROR(GOOGLETRANSLATE(A844,""ko"",""en""),)"),"")</f>
        <v/>
      </c>
      <c r="C844" s="4" t="str">
        <f ca="1">IFERROR(__xludf.DUMMYFUNCTION("IFERROR(GOOGLETRANSLATE(B844,""en"",""ja""),)"),"")</f>
        <v/>
      </c>
      <c r="D844" s="4" t="str">
        <f ca="1">IFERROR(__xludf.DUMMYFUNCTION("IFERROR(GOOGLETRANSLATE(B844,""en"",""zh-TW""),)"),"")</f>
        <v/>
      </c>
      <c r="E844" s="4" t="str">
        <f ca="1">IFERROR(__xludf.DUMMYFUNCTION("IFERROR(GOOGLETRANSLATE(B844,""en"",""zh-CN""),)"),"")</f>
        <v/>
      </c>
    </row>
    <row r="845" spans="1:5" ht="18">
      <c r="A845" s="3"/>
      <c r="B845" s="4" t="str">
        <f ca="1">IFERROR(__xludf.DUMMYFUNCTION("IFERROR(GOOGLETRANSLATE(A845,""ko"",""en""),)"),"")</f>
        <v/>
      </c>
      <c r="C845" s="4" t="str">
        <f ca="1">IFERROR(__xludf.DUMMYFUNCTION("IFERROR(GOOGLETRANSLATE(B845,""en"",""ja""),)"),"")</f>
        <v/>
      </c>
      <c r="D845" s="4" t="str">
        <f ca="1">IFERROR(__xludf.DUMMYFUNCTION("IFERROR(GOOGLETRANSLATE(B845,""en"",""zh-TW""),)"),"")</f>
        <v/>
      </c>
      <c r="E845" s="4" t="str">
        <f ca="1">IFERROR(__xludf.DUMMYFUNCTION("IFERROR(GOOGLETRANSLATE(B845,""en"",""zh-CN""),)"),"")</f>
        <v/>
      </c>
    </row>
    <row r="846" spans="1:5" ht="18">
      <c r="A846" s="3"/>
      <c r="B846" s="4" t="str">
        <f ca="1">IFERROR(__xludf.DUMMYFUNCTION("IFERROR(GOOGLETRANSLATE(A846,""ko"",""en""),)"),"")</f>
        <v/>
      </c>
      <c r="C846" s="4" t="str">
        <f ca="1">IFERROR(__xludf.DUMMYFUNCTION("IFERROR(GOOGLETRANSLATE(B846,""en"",""ja""),)"),"")</f>
        <v/>
      </c>
      <c r="D846" s="4" t="str">
        <f ca="1">IFERROR(__xludf.DUMMYFUNCTION("IFERROR(GOOGLETRANSLATE(B846,""en"",""zh-TW""),)"),"")</f>
        <v/>
      </c>
      <c r="E846" s="4" t="str">
        <f ca="1">IFERROR(__xludf.DUMMYFUNCTION("IFERROR(GOOGLETRANSLATE(B846,""en"",""zh-CN""),)"),"")</f>
        <v/>
      </c>
    </row>
    <row r="847" spans="1:5" ht="18">
      <c r="A847" s="3"/>
      <c r="B847" s="4" t="str">
        <f ca="1">IFERROR(__xludf.DUMMYFUNCTION("IFERROR(GOOGLETRANSLATE(A847,""ko"",""en""),)"),"")</f>
        <v/>
      </c>
      <c r="C847" s="4" t="str">
        <f ca="1">IFERROR(__xludf.DUMMYFUNCTION("IFERROR(GOOGLETRANSLATE(B847,""en"",""ja""),)"),"")</f>
        <v/>
      </c>
      <c r="D847" s="4" t="str">
        <f ca="1">IFERROR(__xludf.DUMMYFUNCTION("IFERROR(GOOGLETRANSLATE(B847,""en"",""zh-TW""),)"),"")</f>
        <v/>
      </c>
      <c r="E847" s="4" t="str">
        <f ca="1">IFERROR(__xludf.DUMMYFUNCTION("IFERROR(GOOGLETRANSLATE(B847,""en"",""zh-CN""),)"),"")</f>
        <v/>
      </c>
    </row>
    <row r="848" spans="1:5" ht="18">
      <c r="A848" s="3"/>
      <c r="B848" s="4" t="str">
        <f ca="1">IFERROR(__xludf.DUMMYFUNCTION("IFERROR(GOOGLETRANSLATE(A848,""ko"",""en""),)"),"")</f>
        <v/>
      </c>
      <c r="C848" s="4" t="str">
        <f ca="1">IFERROR(__xludf.DUMMYFUNCTION("IFERROR(GOOGLETRANSLATE(B848,""en"",""ja""),)"),"")</f>
        <v/>
      </c>
      <c r="D848" s="4" t="str">
        <f ca="1">IFERROR(__xludf.DUMMYFUNCTION("IFERROR(GOOGLETRANSLATE(B848,""en"",""zh-TW""),)"),"")</f>
        <v/>
      </c>
      <c r="E848" s="4" t="str">
        <f ca="1">IFERROR(__xludf.DUMMYFUNCTION("IFERROR(GOOGLETRANSLATE(B848,""en"",""zh-CN""),)"),"")</f>
        <v/>
      </c>
    </row>
    <row r="849" spans="1:5" ht="18">
      <c r="A849" s="3"/>
      <c r="B849" s="4" t="str">
        <f ca="1">IFERROR(__xludf.DUMMYFUNCTION("IFERROR(GOOGLETRANSLATE(A849,""ko"",""en""),)"),"")</f>
        <v/>
      </c>
      <c r="C849" s="4" t="str">
        <f ca="1">IFERROR(__xludf.DUMMYFUNCTION("IFERROR(GOOGLETRANSLATE(B849,""en"",""ja""),)"),"")</f>
        <v/>
      </c>
      <c r="D849" s="4" t="str">
        <f ca="1">IFERROR(__xludf.DUMMYFUNCTION("IFERROR(GOOGLETRANSLATE(B849,""en"",""zh-TW""),)"),"")</f>
        <v/>
      </c>
      <c r="E849" s="4" t="str">
        <f ca="1">IFERROR(__xludf.DUMMYFUNCTION("IFERROR(GOOGLETRANSLATE(B849,""en"",""zh-CN""),)"),"")</f>
        <v/>
      </c>
    </row>
    <row r="850" spans="1:5" ht="18">
      <c r="A850" s="3"/>
      <c r="B850" s="4" t="str">
        <f ca="1">IFERROR(__xludf.DUMMYFUNCTION("IFERROR(GOOGLETRANSLATE(A850,""ko"",""en""),)"),"")</f>
        <v/>
      </c>
      <c r="C850" s="4" t="str">
        <f ca="1">IFERROR(__xludf.DUMMYFUNCTION("IFERROR(GOOGLETRANSLATE(B850,""en"",""ja""),)"),"")</f>
        <v/>
      </c>
      <c r="D850" s="4" t="str">
        <f ca="1">IFERROR(__xludf.DUMMYFUNCTION("IFERROR(GOOGLETRANSLATE(B850,""en"",""zh-TW""),)"),"")</f>
        <v/>
      </c>
      <c r="E850" s="4" t="str">
        <f ca="1">IFERROR(__xludf.DUMMYFUNCTION("IFERROR(GOOGLETRANSLATE(B850,""en"",""zh-CN""),)"),"")</f>
        <v/>
      </c>
    </row>
    <row r="851" spans="1:5" ht="18">
      <c r="A851" s="3"/>
      <c r="B851" s="4" t="str">
        <f ca="1">IFERROR(__xludf.DUMMYFUNCTION("IFERROR(GOOGLETRANSLATE(A851,""ko"",""en""),)"),"")</f>
        <v/>
      </c>
      <c r="C851" s="4" t="str">
        <f ca="1">IFERROR(__xludf.DUMMYFUNCTION("IFERROR(GOOGLETRANSLATE(B851,""en"",""ja""),)"),"")</f>
        <v/>
      </c>
      <c r="D851" s="4" t="str">
        <f ca="1">IFERROR(__xludf.DUMMYFUNCTION("IFERROR(GOOGLETRANSLATE(B851,""en"",""zh-TW""),)"),"")</f>
        <v/>
      </c>
      <c r="E851" s="4" t="str">
        <f ca="1">IFERROR(__xludf.DUMMYFUNCTION("IFERROR(GOOGLETRANSLATE(B851,""en"",""zh-CN""),)"),"")</f>
        <v/>
      </c>
    </row>
    <row r="852" spans="1:5" ht="18">
      <c r="A852" s="3"/>
      <c r="B852" s="4" t="str">
        <f ca="1">IFERROR(__xludf.DUMMYFUNCTION("IFERROR(GOOGLETRANSLATE(A852,""ko"",""en""),)"),"")</f>
        <v/>
      </c>
      <c r="C852" s="4" t="str">
        <f ca="1">IFERROR(__xludf.DUMMYFUNCTION("IFERROR(GOOGLETRANSLATE(B852,""en"",""ja""),)"),"")</f>
        <v/>
      </c>
      <c r="D852" s="4" t="str">
        <f ca="1">IFERROR(__xludf.DUMMYFUNCTION("IFERROR(GOOGLETRANSLATE(B852,""en"",""zh-TW""),)"),"")</f>
        <v/>
      </c>
      <c r="E852" s="4" t="str">
        <f ca="1">IFERROR(__xludf.DUMMYFUNCTION("IFERROR(GOOGLETRANSLATE(B852,""en"",""zh-CN""),)"),"")</f>
        <v/>
      </c>
    </row>
    <row r="853" spans="1:5" ht="18">
      <c r="A853" s="3"/>
      <c r="B853" s="4" t="str">
        <f ca="1">IFERROR(__xludf.DUMMYFUNCTION("IFERROR(GOOGLETRANSLATE(A853,""ko"",""en""),)"),"")</f>
        <v/>
      </c>
      <c r="C853" s="4" t="str">
        <f ca="1">IFERROR(__xludf.DUMMYFUNCTION("IFERROR(GOOGLETRANSLATE(B853,""en"",""ja""),)"),"")</f>
        <v/>
      </c>
      <c r="D853" s="4" t="str">
        <f ca="1">IFERROR(__xludf.DUMMYFUNCTION("IFERROR(GOOGLETRANSLATE(B853,""en"",""zh-TW""),)"),"")</f>
        <v/>
      </c>
      <c r="E853" s="4" t="str">
        <f ca="1">IFERROR(__xludf.DUMMYFUNCTION("IFERROR(GOOGLETRANSLATE(B853,""en"",""zh-CN""),)"),"")</f>
        <v/>
      </c>
    </row>
    <row r="854" spans="1:5" ht="18">
      <c r="A854" s="3"/>
      <c r="B854" s="4" t="str">
        <f ca="1">IFERROR(__xludf.DUMMYFUNCTION("IFERROR(GOOGLETRANSLATE(A854,""ko"",""en""),)"),"")</f>
        <v/>
      </c>
      <c r="C854" s="4" t="str">
        <f ca="1">IFERROR(__xludf.DUMMYFUNCTION("IFERROR(GOOGLETRANSLATE(B854,""en"",""ja""),)"),"")</f>
        <v/>
      </c>
      <c r="D854" s="4" t="str">
        <f ca="1">IFERROR(__xludf.DUMMYFUNCTION("IFERROR(GOOGLETRANSLATE(B854,""en"",""zh-TW""),)"),"")</f>
        <v/>
      </c>
      <c r="E854" s="4" t="str">
        <f ca="1">IFERROR(__xludf.DUMMYFUNCTION("IFERROR(GOOGLETRANSLATE(B854,""en"",""zh-CN""),)"),"")</f>
        <v/>
      </c>
    </row>
    <row r="855" spans="1:5" ht="18">
      <c r="A855" s="3"/>
      <c r="B855" s="4" t="str">
        <f ca="1">IFERROR(__xludf.DUMMYFUNCTION("IFERROR(GOOGLETRANSLATE(A855,""ko"",""en""),)"),"")</f>
        <v/>
      </c>
      <c r="C855" s="4" t="str">
        <f ca="1">IFERROR(__xludf.DUMMYFUNCTION("IFERROR(GOOGLETRANSLATE(B855,""en"",""ja""),)"),"")</f>
        <v/>
      </c>
      <c r="D855" s="4" t="str">
        <f ca="1">IFERROR(__xludf.DUMMYFUNCTION("IFERROR(GOOGLETRANSLATE(B855,""en"",""zh-TW""),)"),"")</f>
        <v/>
      </c>
      <c r="E855" s="4" t="str">
        <f ca="1">IFERROR(__xludf.DUMMYFUNCTION("IFERROR(GOOGLETRANSLATE(B855,""en"",""zh-CN""),)"),"")</f>
        <v/>
      </c>
    </row>
    <row r="856" spans="1:5" ht="18">
      <c r="A856" s="3"/>
      <c r="B856" s="4" t="str">
        <f ca="1">IFERROR(__xludf.DUMMYFUNCTION("IFERROR(GOOGLETRANSLATE(A856,""ko"",""en""),)"),"")</f>
        <v/>
      </c>
      <c r="C856" s="4" t="str">
        <f ca="1">IFERROR(__xludf.DUMMYFUNCTION("IFERROR(GOOGLETRANSLATE(B856,""en"",""ja""),)"),"")</f>
        <v/>
      </c>
      <c r="D856" s="4" t="str">
        <f ca="1">IFERROR(__xludf.DUMMYFUNCTION("IFERROR(GOOGLETRANSLATE(B856,""en"",""zh-TW""),)"),"")</f>
        <v/>
      </c>
      <c r="E856" s="4" t="str">
        <f ca="1">IFERROR(__xludf.DUMMYFUNCTION("IFERROR(GOOGLETRANSLATE(B856,""en"",""zh-CN""),)"),"")</f>
        <v/>
      </c>
    </row>
    <row r="857" spans="1:5" ht="18">
      <c r="A857" s="3"/>
      <c r="B857" s="4" t="str">
        <f ca="1">IFERROR(__xludf.DUMMYFUNCTION("IFERROR(GOOGLETRANSLATE(A857,""ko"",""en""),)"),"")</f>
        <v/>
      </c>
      <c r="C857" s="4" t="str">
        <f ca="1">IFERROR(__xludf.DUMMYFUNCTION("IFERROR(GOOGLETRANSLATE(B857,""en"",""ja""),)"),"")</f>
        <v/>
      </c>
      <c r="D857" s="4" t="str">
        <f ca="1">IFERROR(__xludf.DUMMYFUNCTION("IFERROR(GOOGLETRANSLATE(B857,""en"",""zh-TW""),)"),"")</f>
        <v/>
      </c>
      <c r="E857" s="4" t="str">
        <f ca="1">IFERROR(__xludf.DUMMYFUNCTION("IFERROR(GOOGLETRANSLATE(B857,""en"",""zh-CN""),)"),"")</f>
        <v/>
      </c>
    </row>
    <row r="858" spans="1:5" ht="18">
      <c r="A858" s="3"/>
      <c r="B858" s="4" t="str">
        <f ca="1">IFERROR(__xludf.DUMMYFUNCTION("IFERROR(GOOGLETRANSLATE(A858,""ko"",""en""),)"),"")</f>
        <v/>
      </c>
      <c r="C858" s="4" t="str">
        <f ca="1">IFERROR(__xludf.DUMMYFUNCTION("IFERROR(GOOGLETRANSLATE(B858,""en"",""ja""),)"),"")</f>
        <v/>
      </c>
      <c r="D858" s="4" t="str">
        <f ca="1">IFERROR(__xludf.DUMMYFUNCTION("IFERROR(GOOGLETRANSLATE(B858,""en"",""zh-TW""),)"),"")</f>
        <v/>
      </c>
      <c r="E858" s="4" t="str">
        <f ca="1">IFERROR(__xludf.DUMMYFUNCTION("IFERROR(GOOGLETRANSLATE(B858,""en"",""zh-CN""),)"),"")</f>
        <v/>
      </c>
    </row>
    <row r="859" spans="1:5" ht="18">
      <c r="A859" s="3"/>
      <c r="B859" s="4" t="str">
        <f ca="1">IFERROR(__xludf.DUMMYFUNCTION("IFERROR(GOOGLETRANSLATE(A859,""ko"",""en""),)"),"")</f>
        <v/>
      </c>
      <c r="C859" s="4" t="str">
        <f ca="1">IFERROR(__xludf.DUMMYFUNCTION("IFERROR(GOOGLETRANSLATE(B859,""en"",""ja""),)"),"")</f>
        <v/>
      </c>
      <c r="D859" s="4" t="str">
        <f ca="1">IFERROR(__xludf.DUMMYFUNCTION("IFERROR(GOOGLETRANSLATE(B859,""en"",""zh-TW""),)"),"")</f>
        <v/>
      </c>
      <c r="E859" s="4" t="str">
        <f ca="1">IFERROR(__xludf.DUMMYFUNCTION("IFERROR(GOOGLETRANSLATE(B859,""en"",""zh-CN""),)"),"")</f>
        <v/>
      </c>
    </row>
    <row r="860" spans="1:5" ht="18">
      <c r="A860" s="3"/>
      <c r="B860" s="4" t="str">
        <f ca="1">IFERROR(__xludf.DUMMYFUNCTION("IFERROR(GOOGLETRANSLATE(A860,""ko"",""en""),)"),"")</f>
        <v/>
      </c>
      <c r="C860" s="4" t="str">
        <f ca="1">IFERROR(__xludf.DUMMYFUNCTION("IFERROR(GOOGLETRANSLATE(B860,""en"",""ja""),)"),"")</f>
        <v/>
      </c>
      <c r="D860" s="4" t="str">
        <f ca="1">IFERROR(__xludf.DUMMYFUNCTION("IFERROR(GOOGLETRANSLATE(B860,""en"",""zh-TW""),)"),"")</f>
        <v/>
      </c>
      <c r="E860" s="4" t="str">
        <f ca="1">IFERROR(__xludf.DUMMYFUNCTION("IFERROR(GOOGLETRANSLATE(B860,""en"",""zh-CN""),)"),"")</f>
        <v/>
      </c>
    </row>
    <row r="861" spans="1:5" ht="18">
      <c r="A861" s="3"/>
      <c r="B861" s="4" t="str">
        <f ca="1">IFERROR(__xludf.DUMMYFUNCTION("IFERROR(GOOGLETRANSLATE(A861,""ko"",""en""),)"),"")</f>
        <v/>
      </c>
      <c r="C861" s="4" t="str">
        <f ca="1">IFERROR(__xludf.DUMMYFUNCTION("IFERROR(GOOGLETRANSLATE(B861,""en"",""ja""),)"),"")</f>
        <v/>
      </c>
      <c r="D861" s="4" t="str">
        <f ca="1">IFERROR(__xludf.DUMMYFUNCTION("IFERROR(GOOGLETRANSLATE(B861,""en"",""zh-TW""),)"),"")</f>
        <v/>
      </c>
      <c r="E861" s="4" t="str">
        <f ca="1">IFERROR(__xludf.DUMMYFUNCTION("IFERROR(GOOGLETRANSLATE(B861,""en"",""zh-CN""),)"),"")</f>
        <v/>
      </c>
    </row>
    <row r="862" spans="1:5" ht="18">
      <c r="A862" s="3"/>
      <c r="B862" s="4" t="str">
        <f ca="1">IFERROR(__xludf.DUMMYFUNCTION("IFERROR(GOOGLETRANSLATE(A862,""ko"",""en""),)"),"")</f>
        <v/>
      </c>
      <c r="C862" s="4" t="str">
        <f ca="1">IFERROR(__xludf.DUMMYFUNCTION("IFERROR(GOOGLETRANSLATE(B862,""en"",""ja""),)"),"")</f>
        <v/>
      </c>
      <c r="D862" s="4" t="str">
        <f ca="1">IFERROR(__xludf.DUMMYFUNCTION("IFERROR(GOOGLETRANSLATE(B862,""en"",""zh-TW""),)"),"")</f>
        <v/>
      </c>
      <c r="E862" s="4" t="str">
        <f ca="1">IFERROR(__xludf.DUMMYFUNCTION("IFERROR(GOOGLETRANSLATE(B862,""en"",""zh-CN""),)"),"")</f>
        <v/>
      </c>
    </row>
    <row r="863" spans="1:5" ht="18">
      <c r="A863" s="3"/>
      <c r="B863" s="4" t="str">
        <f ca="1">IFERROR(__xludf.DUMMYFUNCTION("IFERROR(GOOGLETRANSLATE(A863,""ko"",""en""),)"),"")</f>
        <v/>
      </c>
      <c r="C863" s="4" t="str">
        <f ca="1">IFERROR(__xludf.DUMMYFUNCTION("IFERROR(GOOGLETRANSLATE(B863,""en"",""ja""),)"),"")</f>
        <v/>
      </c>
      <c r="D863" s="4" t="str">
        <f ca="1">IFERROR(__xludf.DUMMYFUNCTION("IFERROR(GOOGLETRANSLATE(B863,""en"",""zh-TW""),)"),"")</f>
        <v/>
      </c>
      <c r="E863" s="4" t="str">
        <f ca="1">IFERROR(__xludf.DUMMYFUNCTION("IFERROR(GOOGLETRANSLATE(B863,""en"",""zh-CN""),)"),"")</f>
        <v/>
      </c>
    </row>
    <row r="864" spans="1:5" ht="18">
      <c r="A864" s="3"/>
      <c r="B864" s="4" t="str">
        <f ca="1">IFERROR(__xludf.DUMMYFUNCTION("IFERROR(GOOGLETRANSLATE(A864,""ko"",""en""),)"),"")</f>
        <v/>
      </c>
      <c r="C864" s="4" t="str">
        <f ca="1">IFERROR(__xludf.DUMMYFUNCTION("IFERROR(GOOGLETRANSLATE(B864,""en"",""ja""),)"),"")</f>
        <v/>
      </c>
      <c r="D864" s="4" t="str">
        <f ca="1">IFERROR(__xludf.DUMMYFUNCTION("IFERROR(GOOGLETRANSLATE(B864,""en"",""zh-TW""),)"),"")</f>
        <v/>
      </c>
      <c r="E864" s="4" t="str">
        <f ca="1">IFERROR(__xludf.DUMMYFUNCTION("IFERROR(GOOGLETRANSLATE(B864,""en"",""zh-CN""),)"),"")</f>
        <v/>
      </c>
    </row>
    <row r="865" spans="1:5" ht="18">
      <c r="A865" s="3"/>
      <c r="B865" s="4" t="str">
        <f ca="1">IFERROR(__xludf.DUMMYFUNCTION("IFERROR(GOOGLETRANSLATE(A865,""ko"",""en""),)"),"")</f>
        <v/>
      </c>
      <c r="C865" s="4" t="str">
        <f ca="1">IFERROR(__xludf.DUMMYFUNCTION("IFERROR(GOOGLETRANSLATE(B865,""en"",""ja""),)"),"")</f>
        <v/>
      </c>
      <c r="D865" s="4" t="str">
        <f ca="1">IFERROR(__xludf.DUMMYFUNCTION("IFERROR(GOOGLETRANSLATE(B865,""en"",""zh-TW""),)"),"")</f>
        <v/>
      </c>
      <c r="E865" s="4" t="str">
        <f ca="1">IFERROR(__xludf.DUMMYFUNCTION("IFERROR(GOOGLETRANSLATE(B865,""en"",""zh-CN""),)"),"")</f>
        <v/>
      </c>
    </row>
    <row r="866" spans="1:5" ht="18">
      <c r="A866" s="3"/>
      <c r="B866" s="4" t="str">
        <f ca="1">IFERROR(__xludf.DUMMYFUNCTION("IFERROR(GOOGLETRANSLATE(A866,""ko"",""en""),)"),"")</f>
        <v/>
      </c>
      <c r="C866" s="4" t="str">
        <f ca="1">IFERROR(__xludf.DUMMYFUNCTION("IFERROR(GOOGLETRANSLATE(B866,""en"",""ja""),)"),"")</f>
        <v/>
      </c>
      <c r="D866" s="4" t="str">
        <f ca="1">IFERROR(__xludf.DUMMYFUNCTION("IFERROR(GOOGLETRANSLATE(B866,""en"",""zh-TW""),)"),"")</f>
        <v/>
      </c>
      <c r="E866" s="4" t="str">
        <f ca="1">IFERROR(__xludf.DUMMYFUNCTION("IFERROR(GOOGLETRANSLATE(B866,""en"",""zh-CN""),)"),"")</f>
        <v/>
      </c>
    </row>
    <row r="867" spans="1:5" ht="18">
      <c r="A867" s="3"/>
      <c r="B867" s="4" t="str">
        <f ca="1">IFERROR(__xludf.DUMMYFUNCTION("IFERROR(GOOGLETRANSLATE(A867,""ko"",""en""),)"),"")</f>
        <v/>
      </c>
      <c r="C867" s="4" t="str">
        <f ca="1">IFERROR(__xludf.DUMMYFUNCTION("IFERROR(GOOGLETRANSLATE(B867,""en"",""ja""),)"),"")</f>
        <v/>
      </c>
      <c r="D867" s="4" t="str">
        <f ca="1">IFERROR(__xludf.DUMMYFUNCTION("IFERROR(GOOGLETRANSLATE(B867,""en"",""zh-TW""),)"),"")</f>
        <v/>
      </c>
      <c r="E867" s="4" t="str">
        <f ca="1">IFERROR(__xludf.DUMMYFUNCTION("IFERROR(GOOGLETRANSLATE(B867,""en"",""zh-CN""),)"),"")</f>
        <v/>
      </c>
    </row>
    <row r="868" spans="1:5" ht="18">
      <c r="A868" s="3"/>
      <c r="B868" s="4" t="str">
        <f ca="1">IFERROR(__xludf.DUMMYFUNCTION("IFERROR(GOOGLETRANSLATE(A868,""ko"",""en""),)"),"")</f>
        <v/>
      </c>
      <c r="C868" s="4" t="str">
        <f ca="1">IFERROR(__xludf.DUMMYFUNCTION("IFERROR(GOOGLETRANSLATE(B868,""en"",""ja""),)"),"")</f>
        <v/>
      </c>
      <c r="D868" s="4" t="str">
        <f ca="1">IFERROR(__xludf.DUMMYFUNCTION("IFERROR(GOOGLETRANSLATE(B868,""en"",""zh-TW""),)"),"")</f>
        <v/>
      </c>
      <c r="E868" s="4" t="str">
        <f ca="1">IFERROR(__xludf.DUMMYFUNCTION("IFERROR(GOOGLETRANSLATE(B868,""en"",""zh-CN""),)"),"")</f>
        <v/>
      </c>
    </row>
    <row r="869" spans="1:5" ht="18">
      <c r="A869" s="3"/>
      <c r="B869" s="4" t="str">
        <f ca="1">IFERROR(__xludf.DUMMYFUNCTION("IFERROR(GOOGLETRANSLATE(A869,""ko"",""en""),)"),"")</f>
        <v/>
      </c>
      <c r="C869" s="4" t="str">
        <f ca="1">IFERROR(__xludf.DUMMYFUNCTION("IFERROR(GOOGLETRANSLATE(B869,""en"",""ja""),)"),"")</f>
        <v/>
      </c>
      <c r="D869" s="4" t="str">
        <f ca="1">IFERROR(__xludf.DUMMYFUNCTION("IFERROR(GOOGLETRANSLATE(B869,""en"",""zh-TW""),)"),"")</f>
        <v/>
      </c>
      <c r="E869" s="4" t="str">
        <f ca="1">IFERROR(__xludf.DUMMYFUNCTION("IFERROR(GOOGLETRANSLATE(B869,""en"",""zh-CN""),)"),"")</f>
        <v/>
      </c>
    </row>
    <row r="870" spans="1:5" ht="18">
      <c r="A870" s="3"/>
      <c r="B870" s="4" t="str">
        <f ca="1">IFERROR(__xludf.DUMMYFUNCTION("IFERROR(GOOGLETRANSLATE(A870,""ko"",""en""),)"),"")</f>
        <v/>
      </c>
      <c r="C870" s="4" t="str">
        <f ca="1">IFERROR(__xludf.DUMMYFUNCTION("IFERROR(GOOGLETRANSLATE(B870,""en"",""ja""),)"),"")</f>
        <v/>
      </c>
      <c r="D870" s="4" t="str">
        <f ca="1">IFERROR(__xludf.DUMMYFUNCTION("IFERROR(GOOGLETRANSLATE(B870,""en"",""zh-TW""),)"),"")</f>
        <v/>
      </c>
      <c r="E870" s="4" t="str">
        <f ca="1">IFERROR(__xludf.DUMMYFUNCTION("IFERROR(GOOGLETRANSLATE(B870,""en"",""zh-CN""),)"),"")</f>
        <v/>
      </c>
    </row>
    <row r="871" spans="1:5" ht="18">
      <c r="A871" s="3"/>
      <c r="B871" s="4" t="str">
        <f ca="1">IFERROR(__xludf.DUMMYFUNCTION("IFERROR(GOOGLETRANSLATE(A871,""ko"",""en""),)"),"")</f>
        <v/>
      </c>
      <c r="C871" s="4" t="str">
        <f ca="1">IFERROR(__xludf.DUMMYFUNCTION("IFERROR(GOOGLETRANSLATE(B871,""en"",""ja""),)"),"")</f>
        <v/>
      </c>
      <c r="D871" s="4" t="str">
        <f ca="1">IFERROR(__xludf.DUMMYFUNCTION("IFERROR(GOOGLETRANSLATE(B871,""en"",""zh-TW""),)"),"")</f>
        <v/>
      </c>
      <c r="E871" s="4" t="str">
        <f ca="1">IFERROR(__xludf.DUMMYFUNCTION("IFERROR(GOOGLETRANSLATE(B871,""en"",""zh-CN""),)"),"")</f>
        <v/>
      </c>
    </row>
    <row r="872" spans="1:5" ht="18">
      <c r="A872" s="3"/>
      <c r="B872" s="4" t="str">
        <f ca="1">IFERROR(__xludf.DUMMYFUNCTION("IFERROR(GOOGLETRANSLATE(A872,""ko"",""en""),)"),"")</f>
        <v/>
      </c>
      <c r="C872" s="4" t="str">
        <f ca="1">IFERROR(__xludf.DUMMYFUNCTION("IFERROR(GOOGLETRANSLATE(B872,""en"",""ja""),)"),"")</f>
        <v/>
      </c>
      <c r="D872" s="4" t="str">
        <f ca="1">IFERROR(__xludf.DUMMYFUNCTION("IFERROR(GOOGLETRANSLATE(B872,""en"",""zh-TW""),)"),"")</f>
        <v/>
      </c>
      <c r="E872" s="4" t="str">
        <f ca="1">IFERROR(__xludf.DUMMYFUNCTION("IFERROR(GOOGLETRANSLATE(B872,""en"",""zh-CN""),)"),"")</f>
        <v/>
      </c>
    </row>
    <row r="873" spans="1:5" ht="18">
      <c r="A873" s="3"/>
      <c r="B873" s="4" t="str">
        <f ca="1">IFERROR(__xludf.DUMMYFUNCTION("IFERROR(GOOGLETRANSLATE(A873,""ko"",""en""),)"),"")</f>
        <v/>
      </c>
      <c r="C873" s="4" t="str">
        <f ca="1">IFERROR(__xludf.DUMMYFUNCTION("IFERROR(GOOGLETRANSLATE(B873,""en"",""ja""),)"),"")</f>
        <v/>
      </c>
      <c r="D873" s="4" t="str">
        <f ca="1">IFERROR(__xludf.DUMMYFUNCTION("IFERROR(GOOGLETRANSLATE(B873,""en"",""zh-TW""),)"),"")</f>
        <v/>
      </c>
      <c r="E873" s="4" t="str">
        <f ca="1">IFERROR(__xludf.DUMMYFUNCTION("IFERROR(GOOGLETRANSLATE(B873,""en"",""zh-CN""),)"),"")</f>
        <v/>
      </c>
    </row>
    <row r="874" spans="1:5" ht="18">
      <c r="A874" s="3"/>
      <c r="B874" s="4" t="str">
        <f ca="1">IFERROR(__xludf.DUMMYFUNCTION("IFERROR(GOOGLETRANSLATE(A874,""ko"",""en""),)"),"")</f>
        <v/>
      </c>
      <c r="C874" s="4" t="str">
        <f ca="1">IFERROR(__xludf.DUMMYFUNCTION("IFERROR(GOOGLETRANSLATE(B874,""en"",""ja""),)"),"")</f>
        <v/>
      </c>
      <c r="D874" s="4" t="str">
        <f ca="1">IFERROR(__xludf.DUMMYFUNCTION("IFERROR(GOOGLETRANSLATE(B874,""en"",""zh-TW""),)"),"")</f>
        <v/>
      </c>
      <c r="E874" s="4" t="str">
        <f ca="1">IFERROR(__xludf.DUMMYFUNCTION("IFERROR(GOOGLETRANSLATE(B874,""en"",""zh-CN""),)"),"")</f>
        <v/>
      </c>
    </row>
    <row r="875" spans="1:5" ht="18">
      <c r="A875" s="3"/>
      <c r="B875" s="4" t="str">
        <f ca="1">IFERROR(__xludf.DUMMYFUNCTION("IFERROR(GOOGLETRANSLATE(A875,""ko"",""en""),)"),"")</f>
        <v/>
      </c>
      <c r="C875" s="4" t="str">
        <f ca="1">IFERROR(__xludf.DUMMYFUNCTION("IFERROR(GOOGLETRANSLATE(B875,""en"",""ja""),)"),"")</f>
        <v/>
      </c>
      <c r="D875" s="4" t="str">
        <f ca="1">IFERROR(__xludf.DUMMYFUNCTION("IFERROR(GOOGLETRANSLATE(B875,""en"",""zh-TW""),)"),"")</f>
        <v/>
      </c>
      <c r="E875" s="4" t="str">
        <f ca="1">IFERROR(__xludf.DUMMYFUNCTION("IFERROR(GOOGLETRANSLATE(B875,""en"",""zh-CN""),)"),"")</f>
        <v/>
      </c>
    </row>
    <row r="876" spans="1:5" ht="18">
      <c r="A876" s="3"/>
      <c r="B876" s="4" t="str">
        <f ca="1">IFERROR(__xludf.DUMMYFUNCTION("IFERROR(GOOGLETRANSLATE(A876,""ko"",""en""),)"),"")</f>
        <v/>
      </c>
      <c r="C876" s="4" t="str">
        <f ca="1">IFERROR(__xludf.DUMMYFUNCTION("IFERROR(GOOGLETRANSLATE(B876,""en"",""ja""),)"),"")</f>
        <v/>
      </c>
      <c r="D876" s="4" t="str">
        <f ca="1">IFERROR(__xludf.DUMMYFUNCTION("IFERROR(GOOGLETRANSLATE(B876,""en"",""zh-TW""),)"),"")</f>
        <v/>
      </c>
      <c r="E876" s="4" t="str">
        <f ca="1">IFERROR(__xludf.DUMMYFUNCTION("IFERROR(GOOGLETRANSLATE(B876,""en"",""zh-CN""),)"),"")</f>
        <v/>
      </c>
    </row>
    <row r="877" spans="1:5" ht="18">
      <c r="A877" s="3"/>
      <c r="B877" s="4" t="str">
        <f ca="1">IFERROR(__xludf.DUMMYFUNCTION("IFERROR(GOOGLETRANSLATE(A877,""ko"",""en""),)"),"")</f>
        <v/>
      </c>
      <c r="C877" s="4" t="str">
        <f ca="1">IFERROR(__xludf.DUMMYFUNCTION("IFERROR(GOOGLETRANSLATE(B877,""en"",""ja""),)"),"")</f>
        <v/>
      </c>
      <c r="D877" s="4" t="str">
        <f ca="1">IFERROR(__xludf.DUMMYFUNCTION("IFERROR(GOOGLETRANSLATE(B877,""en"",""zh-TW""),)"),"")</f>
        <v/>
      </c>
      <c r="E877" s="4" t="str">
        <f ca="1">IFERROR(__xludf.DUMMYFUNCTION("IFERROR(GOOGLETRANSLATE(B877,""en"",""zh-CN""),)"),"")</f>
        <v/>
      </c>
    </row>
    <row r="878" spans="1:5" ht="18">
      <c r="A878" s="3"/>
      <c r="B878" s="4" t="str">
        <f ca="1">IFERROR(__xludf.DUMMYFUNCTION("IFERROR(GOOGLETRANSLATE(A878,""ko"",""en""),)"),"")</f>
        <v/>
      </c>
      <c r="C878" s="4" t="str">
        <f ca="1">IFERROR(__xludf.DUMMYFUNCTION("IFERROR(GOOGLETRANSLATE(B878,""en"",""ja""),)"),"")</f>
        <v/>
      </c>
      <c r="D878" s="4" t="str">
        <f ca="1">IFERROR(__xludf.DUMMYFUNCTION("IFERROR(GOOGLETRANSLATE(B878,""en"",""zh-TW""),)"),"")</f>
        <v/>
      </c>
      <c r="E878" s="4" t="str">
        <f ca="1">IFERROR(__xludf.DUMMYFUNCTION("IFERROR(GOOGLETRANSLATE(B878,""en"",""zh-CN""),)"),"")</f>
        <v/>
      </c>
    </row>
    <row r="879" spans="1:5" ht="18">
      <c r="A879" s="3"/>
      <c r="B879" s="4" t="str">
        <f ca="1">IFERROR(__xludf.DUMMYFUNCTION("IFERROR(GOOGLETRANSLATE(A879,""ko"",""en""),)"),"")</f>
        <v/>
      </c>
      <c r="C879" s="4" t="str">
        <f ca="1">IFERROR(__xludf.DUMMYFUNCTION("IFERROR(GOOGLETRANSLATE(B879,""en"",""ja""),)"),"")</f>
        <v/>
      </c>
      <c r="D879" s="4" t="str">
        <f ca="1">IFERROR(__xludf.DUMMYFUNCTION("IFERROR(GOOGLETRANSLATE(B879,""en"",""zh-TW""),)"),"")</f>
        <v/>
      </c>
      <c r="E879" s="4" t="str">
        <f ca="1">IFERROR(__xludf.DUMMYFUNCTION("IFERROR(GOOGLETRANSLATE(B879,""en"",""zh-CN""),)"),"")</f>
        <v/>
      </c>
    </row>
    <row r="880" spans="1:5" ht="18">
      <c r="A880" s="3"/>
      <c r="B880" s="4" t="str">
        <f ca="1">IFERROR(__xludf.DUMMYFUNCTION("IFERROR(GOOGLETRANSLATE(A880,""ko"",""en""),)"),"")</f>
        <v/>
      </c>
      <c r="C880" s="4" t="str">
        <f ca="1">IFERROR(__xludf.DUMMYFUNCTION("IFERROR(GOOGLETRANSLATE(B880,""en"",""ja""),)"),"")</f>
        <v/>
      </c>
      <c r="D880" s="4" t="str">
        <f ca="1">IFERROR(__xludf.DUMMYFUNCTION("IFERROR(GOOGLETRANSLATE(B880,""en"",""zh-TW""),)"),"")</f>
        <v/>
      </c>
      <c r="E880" s="4" t="str">
        <f ca="1">IFERROR(__xludf.DUMMYFUNCTION("IFERROR(GOOGLETRANSLATE(B880,""en"",""zh-CN""),)"),"")</f>
        <v/>
      </c>
    </row>
    <row r="881" spans="1:5" ht="18">
      <c r="A881" s="3"/>
      <c r="B881" s="4" t="str">
        <f ca="1">IFERROR(__xludf.DUMMYFUNCTION("IFERROR(GOOGLETRANSLATE(A881,""ko"",""en""),)"),"")</f>
        <v/>
      </c>
      <c r="C881" s="4" t="str">
        <f ca="1">IFERROR(__xludf.DUMMYFUNCTION("IFERROR(GOOGLETRANSLATE(B881,""en"",""ja""),)"),"")</f>
        <v/>
      </c>
      <c r="D881" s="4" t="str">
        <f ca="1">IFERROR(__xludf.DUMMYFUNCTION("IFERROR(GOOGLETRANSLATE(B881,""en"",""zh-TW""),)"),"")</f>
        <v/>
      </c>
      <c r="E881" s="4" t="str">
        <f ca="1">IFERROR(__xludf.DUMMYFUNCTION("IFERROR(GOOGLETRANSLATE(B881,""en"",""zh-CN""),)"),"")</f>
        <v/>
      </c>
    </row>
    <row r="882" spans="1:5" ht="18">
      <c r="A882" s="3"/>
      <c r="B882" s="4" t="str">
        <f ca="1">IFERROR(__xludf.DUMMYFUNCTION("IFERROR(GOOGLETRANSLATE(A882,""ko"",""en""),)"),"")</f>
        <v/>
      </c>
      <c r="C882" s="4" t="str">
        <f ca="1">IFERROR(__xludf.DUMMYFUNCTION("IFERROR(GOOGLETRANSLATE(B882,""en"",""ja""),)"),"")</f>
        <v/>
      </c>
      <c r="D882" s="4" t="str">
        <f ca="1">IFERROR(__xludf.DUMMYFUNCTION("IFERROR(GOOGLETRANSLATE(B882,""en"",""zh-TW""),)"),"")</f>
        <v/>
      </c>
      <c r="E882" s="4" t="str">
        <f ca="1">IFERROR(__xludf.DUMMYFUNCTION("IFERROR(GOOGLETRANSLATE(B882,""en"",""zh-CN""),)"),"")</f>
        <v/>
      </c>
    </row>
    <row r="883" spans="1:5" ht="18">
      <c r="A883" s="3"/>
      <c r="B883" s="4" t="str">
        <f ca="1">IFERROR(__xludf.DUMMYFUNCTION("IFERROR(GOOGLETRANSLATE(A883,""ko"",""en""),)"),"")</f>
        <v/>
      </c>
      <c r="C883" s="4" t="str">
        <f ca="1">IFERROR(__xludf.DUMMYFUNCTION("IFERROR(GOOGLETRANSLATE(B883,""en"",""ja""),)"),"")</f>
        <v/>
      </c>
      <c r="D883" s="4" t="str">
        <f ca="1">IFERROR(__xludf.DUMMYFUNCTION("IFERROR(GOOGLETRANSLATE(B883,""en"",""zh-TW""),)"),"")</f>
        <v/>
      </c>
      <c r="E883" s="4" t="str">
        <f ca="1">IFERROR(__xludf.DUMMYFUNCTION("IFERROR(GOOGLETRANSLATE(B883,""en"",""zh-CN""),)"),"")</f>
        <v/>
      </c>
    </row>
    <row r="884" spans="1:5" ht="18">
      <c r="A884" s="3"/>
      <c r="B884" s="4" t="str">
        <f ca="1">IFERROR(__xludf.DUMMYFUNCTION("IFERROR(GOOGLETRANSLATE(A884,""ko"",""en""),)"),"")</f>
        <v/>
      </c>
      <c r="C884" s="4" t="str">
        <f ca="1">IFERROR(__xludf.DUMMYFUNCTION("IFERROR(GOOGLETRANSLATE(B884,""en"",""ja""),)"),"")</f>
        <v/>
      </c>
      <c r="D884" s="4" t="str">
        <f ca="1">IFERROR(__xludf.DUMMYFUNCTION("IFERROR(GOOGLETRANSLATE(B884,""en"",""zh-TW""),)"),"")</f>
        <v/>
      </c>
      <c r="E884" s="4" t="str">
        <f ca="1">IFERROR(__xludf.DUMMYFUNCTION("IFERROR(GOOGLETRANSLATE(B884,""en"",""zh-CN""),)"),"")</f>
        <v/>
      </c>
    </row>
    <row r="885" spans="1:5" ht="18">
      <c r="A885" s="3"/>
      <c r="B885" s="4" t="str">
        <f ca="1">IFERROR(__xludf.DUMMYFUNCTION("IFERROR(GOOGLETRANSLATE(A885,""ko"",""en""),)"),"")</f>
        <v/>
      </c>
      <c r="C885" s="4" t="str">
        <f ca="1">IFERROR(__xludf.DUMMYFUNCTION("IFERROR(GOOGLETRANSLATE(B885,""en"",""ja""),)"),"")</f>
        <v/>
      </c>
      <c r="D885" s="4" t="str">
        <f ca="1">IFERROR(__xludf.DUMMYFUNCTION("IFERROR(GOOGLETRANSLATE(B885,""en"",""zh-TW""),)"),"")</f>
        <v/>
      </c>
      <c r="E885" s="4" t="str">
        <f ca="1">IFERROR(__xludf.DUMMYFUNCTION("IFERROR(GOOGLETRANSLATE(B885,""en"",""zh-CN""),)"),"")</f>
        <v/>
      </c>
    </row>
    <row r="886" spans="1:5" ht="18">
      <c r="A886" s="3"/>
      <c r="B886" s="4" t="str">
        <f ca="1">IFERROR(__xludf.DUMMYFUNCTION("IFERROR(GOOGLETRANSLATE(A886,""ko"",""en""),)"),"")</f>
        <v/>
      </c>
      <c r="C886" s="4" t="str">
        <f ca="1">IFERROR(__xludf.DUMMYFUNCTION("IFERROR(GOOGLETRANSLATE(B886,""en"",""ja""),)"),"")</f>
        <v/>
      </c>
      <c r="D886" s="4" t="str">
        <f ca="1">IFERROR(__xludf.DUMMYFUNCTION("IFERROR(GOOGLETRANSLATE(B886,""en"",""zh-TW""),)"),"")</f>
        <v/>
      </c>
      <c r="E886" s="4" t="str">
        <f ca="1">IFERROR(__xludf.DUMMYFUNCTION("IFERROR(GOOGLETRANSLATE(B886,""en"",""zh-CN""),)"),"")</f>
        <v/>
      </c>
    </row>
    <row r="887" spans="1:5" ht="18">
      <c r="A887" s="3"/>
      <c r="B887" s="4" t="str">
        <f ca="1">IFERROR(__xludf.DUMMYFUNCTION("IFERROR(GOOGLETRANSLATE(A887,""ko"",""en""),)"),"")</f>
        <v/>
      </c>
      <c r="C887" s="4" t="str">
        <f ca="1">IFERROR(__xludf.DUMMYFUNCTION("IFERROR(GOOGLETRANSLATE(B887,""en"",""ja""),)"),"")</f>
        <v/>
      </c>
      <c r="D887" s="4" t="str">
        <f ca="1">IFERROR(__xludf.DUMMYFUNCTION("IFERROR(GOOGLETRANSLATE(B887,""en"",""zh-TW""),)"),"")</f>
        <v/>
      </c>
      <c r="E887" s="4" t="str">
        <f ca="1">IFERROR(__xludf.DUMMYFUNCTION("IFERROR(GOOGLETRANSLATE(B887,""en"",""zh-CN""),)"),"")</f>
        <v/>
      </c>
    </row>
    <row r="888" spans="1:5" ht="18">
      <c r="A888" s="3"/>
      <c r="B888" s="4" t="str">
        <f ca="1">IFERROR(__xludf.DUMMYFUNCTION("IFERROR(GOOGLETRANSLATE(A888,""ko"",""en""),)"),"")</f>
        <v/>
      </c>
      <c r="C888" s="4" t="str">
        <f ca="1">IFERROR(__xludf.DUMMYFUNCTION("IFERROR(GOOGLETRANSLATE(B888,""en"",""ja""),)"),"")</f>
        <v/>
      </c>
      <c r="D888" s="4" t="str">
        <f ca="1">IFERROR(__xludf.DUMMYFUNCTION("IFERROR(GOOGLETRANSLATE(B888,""en"",""zh-TW""),)"),"")</f>
        <v/>
      </c>
      <c r="E888" s="4" t="str">
        <f ca="1">IFERROR(__xludf.DUMMYFUNCTION("IFERROR(GOOGLETRANSLATE(B888,""en"",""zh-CN""),)"),"")</f>
        <v/>
      </c>
    </row>
    <row r="889" spans="1:5" ht="18">
      <c r="A889" s="3"/>
      <c r="B889" s="4" t="str">
        <f ca="1">IFERROR(__xludf.DUMMYFUNCTION("IFERROR(GOOGLETRANSLATE(A889,""ko"",""en""),)"),"")</f>
        <v/>
      </c>
      <c r="C889" s="4" t="str">
        <f ca="1">IFERROR(__xludf.DUMMYFUNCTION("IFERROR(GOOGLETRANSLATE(B889,""en"",""ja""),)"),"")</f>
        <v/>
      </c>
      <c r="D889" s="4" t="str">
        <f ca="1">IFERROR(__xludf.DUMMYFUNCTION("IFERROR(GOOGLETRANSLATE(B889,""en"",""zh-TW""),)"),"")</f>
        <v/>
      </c>
      <c r="E889" s="4" t="str">
        <f ca="1">IFERROR(__xludf.DUMMYFUNCTION("IFERROR(GOOGLETRANSLATE(B889,""en"",""zh-CN""),)"),"")</f>
        <v/>
      </c>
    </row>
    <row r="890" spans="1:5" ht="18">
      <c r="A890" s="3"/>
      <c r="B890" s="4" t="str">
        <f ca="1">IFERROR(__xludf.DUMMYFUNCTION("IFERROR(GOOGLETRANSLATE(A890,""ko"",""en""),)"),"")</f>
        <v/>
      </c>
      <c r="C890" s="4" t="str">
        <f ca="1">IFERROR(__xludf.DUMMYFUNCTION("IFERROR(GOOGLETRANSLATE(B890,""en"",""ja""),)"),"")</f>
        <v/>
      </c>
      <c r="D890" s="4" t="str">
        <f ca="1">IFERROR(__xludf.DUMMYFUNCTION("IFERROR(GOOGLETRANSLATE(B890,""en"",""zh-TW""),)"),"")</f>
        <v/>
      </c>
      <c r="E890" s="4" t="str">
        <f ca="1">IFERROR(__xludf.DUMMYFUNCTION("IFERROR(GOOGLETRANSLATE(B890,""en"",""zh-CN""),)"),"")</f>
        <v/>
      </c>
    </row>
    <row r="891" spans="1:5" ht="18">
      <c r="A891" s="3"/>
      <c r="B891" s="4" t="str">
        <f ca="1">IFERROR(__xludf.DUMMYFUNCTION("IFERROR(GOOGLETRANSLATE(A891,""ko"",""en""),)"),"")</f>
        <v/>
      </c>
      <c r="C891" s="4" t="str">
        <f ca="1">IFERROR(__xludf.DUMMYFUNCTION("IFERROR(GOOGLETRANSLATE(B891,""en"",""ja""),)"),"")</f>
        <v/>
      </c>
      <c r="D891" s="4" t="str">
        <f ca="1">IFERROR(__xludf.DUMMYFUNCTION("IFERROR(GOOGLETRANSLATE(B891,""en"",""zh-TW""),)"),"")</f>
        <v/>
      </c>
      <c r="E891" s="4" t="str">
        <f ca="1">IFERROR(__xludf.DUMMYFUNCTION("IFERROR(GOOGLETRANSLATE(B891,""en"",""zh-CN""),)"),"")</f>
        <v/>
      </c>
    </row>
    <row r="892" spans="1:5" ht="18">
      <c r="A892" s="3"/>
      <c r="B892" s="4" t="str">
        <f ca="1">IFERROR(__xludf.DUMMYFUNCTION("IFERROR(GOOGLETRANSLATE(A892,""ko"",""en""),)"),"")</f>
        <v/>
      </c>
      <c r="C892" s="4" t="str">
        <f ca="1">IFERROR(__xludf.DUMMYFUNCTION("IFERROR(GOOGLETRANSLATE(B892,""en"",""ja""),)"),"")</f>
        <v/>
      </c>
      <c r="D892" s="4" t="str">
        <f ca="1">IFERROR(__xludf.DUMMYFUNCTION("IFERROR(GOOGLETRANSLATE(B892,""en"",""zh-TW""),)"),"")</f>
        <v/>
      </c>
      <c r="E892" s="4" t="str">
        <f ca="1">IFERROR(__xludf.DUMMYFUNCTION("IFERROR(GOOGLETRANSLATE(B892,""en"",""zh-CN""),)"),"")</f>
        <v/>
      </c>
    </row>
    <row r="893" spans="1:5" ht="18">
      <c r="A893" s="3"/>
      <c r="B893" s="4" t="str">
        <f ca="1">IFERROR(__xludf.DUMMYFUNCTION("IFERROR(GOOGLETRANSLATE(A893,""ko"",""en""),)"),"")</f>
        <v/>
      </c>
      <c r="C893" s="4" t="str">
        <f ca="1">IFERROR(__xludf.DUMMYFUNCTION("IFERROR(GOOGLETRANSLATE(B893,""en"",""ja""),)"),"")</f>
        <v/>
      </c>
      <c r="D893" s="4" t="str">
        <f ca="1">IFERROR(__xludf.DUMMYFUNCTION("IFERROR(GOOGLETRANSLATE(B893,""en"",""zh-TW""),)"),"")</f>
        <v/>
      </c>
      <c r="E893" s="4" t="str">
        <f ca="1">IFERROR(__xludf.DUMMYFUNCTION("IFERROR(GOOGLETRANSLATE(B893,""en"",""zh-CN""),)"),"")</f>
        <v/>
      </c>
    </row>
    <row r="894" spans="1:5" ht="18">
      <c r="A894" s="3"/>
      <c r="B894" s="4" t="str">
        <f ca="1">IFERROR(__xludf.DUMMYFUNCTION("IFERROR(GOOGLETRANSLATE(A894,""ko"",""en""),)"),"")</f>
        <v/>
      </c>
      <c r="C894" s="4" t="str">
        <f ca="1">IFERROR(__xludf.DUMMYFUNCTION("IFERROR(GOOGLETRANSLATE(B894,""en"",""ja""),)"),"")</f>
        <v/>
      </c>
      <c r="D894" s="4" t="str">
        <f ca="1">IFERROR(__xludf.DUMMYFUNCTION("IFERROR(GOOGLETRANSLATE(B894,""en"",""zh-TW""),)"),"")</f>
        <v/>
      </c>
      <c r="E894" s="4" t="str">
        <f ca="1">IFERROR(__xludf.DUMMYFUNCTION("IFERROR(GOOGLETRANSLATE(B894,""en"",""zh-CN""),)"),"")</f>
        <v/>
      </c>
    </row>
    <row r="895" spans="1:5" ht="18">
      <c r="A895" s="3"/>
      <c r="B895" s="4" t="str">
        <f ca="1">IFERROR(__xludf.DUMMYFUNCTION("IFERROR(GOOGLETRANSLATE(A895,""ko"",""en""),)"),"")</f>
        <v/>
      </c>
      <c r="C895" s="4" t="str">
        <f ca="1">IFERROR(__xludf.DUMMYFUNCTION("IFERROR(GOOGLETRANSLATE(B895,""en"",""ja""),)"),"")</f>
        <v/>
      </c>
      <c r="D895" s="4" t="str">
        <f ca="1">IFERROR(__xludf.DUMMYFUNCTION("IFERROR(GOOGLETRANSLATE(B895,""en"",""zh-TW""),)"),"")</f>
        <v/>
      </c>
      <c r="E895" s="4" t="str">
        <f ca="1">IFERROR(__xludf.DUMMYFUNCTION("IFERROR(GOOGLETRANSLATE(B895,""en"",""zh-CN""),)"),"")</f>
        <v/>
      </c>
    </row>
    <row r="896" spans="1:5" ht="18">
      <c r="A896" s="3"/>
      <c r="B896" s="4" t="str">
        <f ca="1">IFERROR(__xludf.DUMMYFUNCTION("IFERROR(GOOGLETRANSLATE(A896,""ko"",""en""),)"),"")</f>
        <v/>
      </c>
      <c r="C896" s="4" t="str">
        <f ca="1">IFERROR(__xludf.DUMMYFUNCTION("IFERROR(GOOGLETRANSLATE(B896,""en"",""ja""),)"),"")</f>
        <v/>
      </c>
      <c r="D896" s="4" t="str">
        <f ca="1">IFERROR(__xludf.DUMMYFUNCTION("IFERROR(GOOGLETRANSLATE(B896,""en"",""zh-TW""),)"),"")</f>
        <v/>
      </c>
      <c r="E896" s="4" t="str">
        <f ca="1">IFERROR(__xludf.DUMMYFUNCTION("IFERROR(GOOGLETRANSLATE(B896,""en"",""zh-CN""),)"),"")</f>
        <v/>
      </c>
    </row>
    <row r="897" spans="1:5" ht="18">
      <c r="A897" s="3"/>
      <c r="B897" s="4" t="str">
        <f ca="1">IFERROR(__xludf.DUMMYFUNCTION("IFERROR(GOOGLETRANSLATE(A897,""ko"",""en""),)"),"")</f>
        <v/>
      </c>
      <c r="C897" s="4" t="str">
        <f ca="1">IFERROR(__xludf.DUMMYFUNCTION("IFERROR(GOOGLETRANSLATE(B897,""en"",""ja""),)"),"")</f>
        <v/>
      </c>
      <c r="D897" s="4" t="str">
        <f ca="1">IFERROR(__xludf.DUMMYFUNCTION("IFERROR(GOOGLETRANSLATE(B897,""en"",""zh-TW""),)"),"")</f>
        <v/>
      </c>
      <c r="E897" s="4" t="str">
        <f ca="1">IFERROR(__xludf.DUMMYFUNCTION("IFERROR(GOOGLETRANSLATE(B897,""en"",""zh-CN""),)"),"")</f>
        <v/>
      </c>
    </row>
    <row r="898" spans="1:5" ht="18">
      <c r="A898" s="3"/>
      <c r="B898" s="4" t="str">
        <f ca="1">IFERROR(__xludf.DUMMYFUNCTION("IFERROR(GOOGLETRANSLATE(A898,""ko"",""en""),)"),"")</f>
        <v/>
      </c>
      <c r="C898" s="4" t="str">
        <f ca="1">IFERROR(__xludf.DUMMYFUNCTION("IFERROR(GOOGLETRANSLATE(B898,""en"",""ja""),)"),"")</f>
        <v/>
      </c>
      <c r="D898" s="4" t="str">
        <f ca="1">IFERROR(__xludf.DUMMYFUNCTION("IFERROR(GOOGLETRANSLATE(B898,""en"",""zh-TW""),)"),"")</f>
        <v/>
      </c>
      <c r="E898" s="4" t="str">
        <f ca="1">IFERROR(__xludf.DUMMYFUNCTION("IFERROR(GOOGLETRANSLATE(B898,""en"",""zh-CN""),)"),"")</f>
        <v/>
      </c>
    </row>
    <row r="899" spans="1:5" ht="18">
      <c r="A899" s="3"/>
      <c r="B899" s="4" t="str">
        <f ca="1">IFERROR(__xludf.DUMMYFUNCTION("IFERROR(GOOGLETRANSLATE(A899,""ko"",""en""),)"),"")</f>
        <v/>
      </c>
      <c r="C899" s="4" t="str">
        <f ca="1">IFERROR(__xludf.DUMMYFUNCTION("IFERROR(GOOGLETRANSLATE(B899,""en"",""ja""),)"),"")</f>
        <v/>
      </c>
      <c r="D899" s="4" t="str">
        <f ca="1">IFERROR(__xludf.DUMMYFUNCTION("IFERROR(GOOGLETRANSLATE(B899,""en"",""zh-TW""),)"),"")</f>
        <v/>
      </c>
      <c r="E899" s="4" t="str">
        <f ca="1">IFERROR(__xludf.DUMMYFUNCTION("IFERROR(GOOGLETRANSLATE(B899,""en"",""zh-CN""),)"),"")</f>
        <v/>
      </c>
    </row>
    <row r="900" spans="1:5" ht="18">
      <c r="A900" s="3"/>
      <c r="B900" s="4" t="str">
        <f ca="1">IFERROR(__xludf.DUMMYFUNCTION("IFERROR(GOOGLETRANSLATE(A900,""ko"",""en""),)"),"")</f>
        <v/>
      </c>
      <c r="C900" s="4" t="str">
        <f ca="1">IFERROR(__xludf.DUMMYFUNCTION("IFERROR(GOOGLETRANSLATE(B900,""en"",""ja""),)"),"")</f>
        <v/>
      </c>
      <c r="D900" s="4" t="str">
        <f ca="1">IFERROR(__xludf.DUMMYFUNCTION("IFERROR(GOOGLETRANSLATE(B900,""en"",""zh-TW""),)"),"")</f>
        <v/>
      </c>
      <c r="E900" s="4" t="str">
        <f ca="1">IFERROR(__xludf.DUMMYFUNCTION("IFERROR(GOOGLETRANSLATE(B900,""en"",""zh-CN""),)"),"")</f>
        <v/>
      </c>
    </row>
    <row r="901" spans="1:5" ht="18">
      <c r="A901" s="3"/>
      <c r="B901" s="4" t="str">
        <f ca="1">IFERROR(__xludf.DUMMYFUNCTION("IFERROR(GOOGLETRANSLATE(A901,""ko"",""en""),)"),"")</f>
        <v/>
      </c>
      <c r="C901" s="4" t="str">
        <f ca="1">IFERROR(__xludf.DUMMYFUNCTION("IFERROR(GOOGLETRANSLATE(B901,""en"",""ja""),)"),"")</f>
        <v/>
      </c>
      <c r="D901" s="4" t="str">
        <f ca="1">IFERROR(__xludf.DUMMYFUNCTION("IFERROR(GOOGLETRANSLATE(B901,""en"",""zh-TW""),)"),"")</f>
        <v/>
      </c>
      <c r="E901" s="4" t="str">
        <f ca="1">IFERROR(__xludf.DUMMYFUNCTION("IFERROR(GOOGLETRANSLATE(B901,""en"",""zh-CN""),)"),"")</f>
        <v/>
      </c>
    </row>
    <row r="902" spans="1:5" ht="18">
      <c r="A902" s="3"/>
      <c r="B902" s="4" t="str">
        <f ca="1">IFERROR(__xludf.DUMMYFUNCTION("IFERROR(GOOGLETRANSLATE(A902,""ko"",""en""),)"),"")</f>
        <v/>
      </c>
      <c r="C902" s="4" t="str">
        <f ca="1">IFERROR(__xludf.DUMMYFUNCTION("IFERROR(GOOGLETRANSLATE(B902,""en"",""ja""),)"),"")</f>
        <v/>
      </c>
      <c r="D902" s="4" t="str">
        <f ca="1">IFERROR(__xludf.DUMMYFUNCTION("IFERROR(GOOGLETRANSLATE(B902,""en"",""zh-TW""),)"),"")</f>
        <v/>
      </c>
      <c r="E902" s="4" t="str">
        <f ca="1">IFERROR(__xludf.DUMMYFUNCTION("IFERROR(GOOGLETRANSLATE(B902,""en"",""zh-CN""),)"),"")</f>
        <v/>
      </c>
    </row>
    <row r="903" spans="1:5" ht="18">
      <c r="A903" s="3"/>
      <c r="B903" s="4" t="str">
        <f ca="1">IFERROR(__xludf.DUMMYFUNCTION("IFERROR(GOOGLETRANSLATE(A903,""ko"",""en""),)"),"")</f>
        <v/>
      </c>
      <c r="C903" s="4" t="str">
        <f ca="1">IFERROR(__xludf.DUMMYFUNCTION("IFERROR(GOOGLETRANSLATE(B903,""en"",""ja""),)"),"")</f>
        <v/>
      </c>
      <c r="D903" s="4" t="str">
        <f ca="1">IFERROR(__xludf.DUMMYFUNCTION("IFERROR(GOOGLETRANSLATE(B903,""en"",""zh-TW""),)"),"")</f>
        <v/>
      </c>
      <c r="E903" s="4" t="str">
        <f ca="1">IFERROR(__xludf.DUMMYFUNCTION("IFERROR(GOOGLETRANSLATE(B903,""en"",""zh-CN""),)"),"")</f>
        <v/>
      </c>
    </row>
    <row r="904" spans="1:5" ht="18">
      <c r="A904" s="3"/>
      <c r="B904" s="4" t="str">
        <f ca="1">IFERROR(__xludf.DUMMYFUNCTION("IFERROR(GOOGLETRANSLATE(A904,""ko"",""en""),)"),"")</f>
        <v/>
      </c>
      <c r="C904" s="4" t="str">
        <f ca="1">IFERROR(__xludf.DUMMYFUNCTION("IFERROR(GOOGLETRANSLATE(B904,""en"",""ja""),)"),"")</f>
        <v/>
      </c>
      <c r="D904" s="4" t="str">
        <f ca="1">IFERROR(__xludf.DUMMYFUNCTION("IFERROR(GOOGLETRANSLATE(B904,""en"",""zh-TW""),)"),"")</f>
        <v/>
      </c>
      <c r="E904" s="4" t="str">
        <f ca="1">IFERROR(__xludf.DUMMYFUNCTION("IFERROR(GOOGLETRANSLATE(B904,""en"",""zh-CN""),)"),"")</f>
        <v/>
      </c>
    </row>
    <row r="905" spans="1:5" ht="18">
      <c r="A905" s="3"/>
      <c r="B905" s="4" t="str">
        <f ca="1">IFERROR(__xludf.DUMMYFUNCTION("IFERROR(GOOGLETRANSLATE(A905,""ko"",""en""),)"),"")</f>
        <v/>
      </c>
      <c r="C905" s="4" t="str">
        <f ca="1">IFERROR(__xludf.DUMMYFUNCTION("IFERROR(GOOGLETRANSLATE(B905,""en"",""ja""),)"),"")</f>
        <v/>
      </c>
      <c r="D905" s="4" t="str">
        <f ca="1">IFERROR(__xludf.DUMMYFUNCTION("IFERROR(GOOGLETRANSLATE(B905,""en"",""zh-TW""),)"),"")</f>
        <v/>
      </c>
      <c r="E905" s="4" t="str">
        <f ca="1">IFERROR(__xludf.DUMMYFUNCTION("IFERROR(GOOGLETRANSLATE(B905,""en"",""zh-CN""),)"),"")</f>
        <v/>
      </c>
    </row>
    <row r="906" spans="1:5" ht="18">
      <c r="A906" s="3"/>
      <c r="B906" s="4" t="str">
        <f ca="1">IFERROR(__xludf.DUMMYFUNCTION("IFERROR(GOOGLETRANSLATE(A906,""ko"",""en""),)"),"")</f>
        <v/>
      </c>
      <c r="C906" s="4" t="str">
        <f ca="1">IFERROR(__xludf.DUMMYFUNCTION("IFERROR(GOOGLETRANSLATE(B906,""en"",""ja""),)"),"")</f>
        <v/>
      </c>
      <c r="D906" s="4" t="str">
        <f ca="1">IFERROR(__xludf.DUMMYFUNCTION("IFERROR(GOOGLETRANSLATE(B906,""en"",""zh-TW""),)"),"")</f>
        <v/>
      </c>
      <c r="E906" s="4" t="str">
        <f ca="1">IFERROR(__xludf.DUMMYFUNCTION("IFERROR(GOOGLETRANSLATE(B906,""en"",""zh-CN""),)"),"")</f>
        <v/>
      </c>
    </row>
    <row r="907" spans="1:5" ht="18">
      <c r="A907" s="3"/>
      <c r="B907" s="4" t="str">
        <f ca="1">IFERROR(__xludf.DUMMYFUNCTION("IFERROR(GOOGLETRANSLATE(A907,""ko"",""en""),)"),"")</f>
        <v/>
      </c>
      <c r="C907" s="4" t="str">
        <f ca="1">IFERROR(__xludf.DUMMYFUNCTION("IFERROR(GOOGLETRANSLATE(B907,""en"",""ja""),)"),"")</f>
        <v/>
      </c>
      <c r="D907" s="4" t="str">
        <f ca="1">IFERROR(__xludf.DUMMYFUNCTION("IFERROR(GOOGLETRANSLATE(B907,""en"",""zh-TW""),)"),"")</f>
        <v/>
      </c>
      <c r="E907" s="4" t="str">
        <f ca="1">IFERROR(__xludf.DUMMYFUNCTION("IFERROR(GOOGLETRANSLATE(B907,""en"",""zh-CN""),)"),"")</f>
        <v/>
      </c>
    </row>
    <row r="908" spans="1:5" ht="18">
      <c r="A908" s="3"/>
      <c r="B908" s="4" t="str">
        <f ca="1">IFERROR(__xludf.DUMMYFUNCTION("IFERROR(GOOGLETRANSLATE(A908,""ko"",""en""),)"),"")</f>
        <v/>
      </c>
      <c r="C908" s="4" t="str">
        <f ca="1">IFERROR(__xludf.DUMMYFUNCTION("IFERROR(GOOGLETRANSLATE(B908,""en"",""ja""),)"),"")</f>
        <v/>
      </c>
      <c r="D908" s="4" t="str">
        <f ca="1">IFERROR(__xludf.DUMMYFUNCTION("IFERROR(GOOGLETRANSLATE(B908,""en"",""zh-TW""),)"),"")</f>
        <v/>
      </c>
      <c r="E908" s="4" t="str">
        <f ca="1">IFERROR(__xludf.DUMMYFUNCTION("IFERROR(GOOGLETRANSLATE(B908,""en"",""zh-CN""),)"),"")</f>
        <v/>
      </c>
    </row>
    <row r="909" spans="1:5" ht="18">
      <c r="A909" s="3"/>
      <c r="B909" s="4" t="str">
        <f ca="1">IFERROR(__xludf.DUMMYFUNCTION("IFERROR(GOOGLETRANSLATE(A909,""ko"",""en""),)"),"")</f>
        <v/>
      </c>
      <c r="C909" s="4" t="str">
        <f ca="1">IFERROR(__xludf.DUMMYFUNCTION("IFERROR(GOOGLETRANSLATE(B909,""en"",""ja""),)"),"")</f>
        <v/>
      </c>
      <c r="D909" s="4" t="str">
        <f ca="1">IFERROR(__xludf.DUMMYFUNCTION("IFERROR(GOOGLETRANSLATE(B909,""en"",""zh-TW""),)"),"")</f>
        <v/>
      </c>
      <c r="E909" s="4" t="str">
        <f ca="1">IFERROR(__xludf.DUMMYFUNCTION("IFERROR(GOOGLETRANSLATE(B909,""en"",""zh-CN""),)"),"")</f>
        <v/>
      </c>
    </row>
    <row r="910" spans="1:5" ht="18">
      <c r="A910" s="3"/>
      <c r="B910" s="4" t="str">
        <f ca="1">IFERROR(__xludf.DUMMYFUNCTION("IFERROR(GOOGLETRANSLATE(A910,""ko"",""en""),)"),"")</f>
        <v/>
      </c>
      <c r="C910" s="4" t="str">
        <f ca="1">IFERROR(__xludf.DUMMYFUNCTION("IFERROR(GOOGLETRANSLATE(B910,""en"",""ja""),)"),"")</f>
        <v/>
      </c>
      <c r="D910" s="4" t="str">
        <f ca="1">IFERROR(__xludf.DUMMYFUNCTION("IFERROR(GOOGLETRANSLATE(B910,""en"",""zh-TW""),)"),"")</f>
        <v/>
      </c>
      <c r="E910" s="4" t="str">
        <f ca="1">IFERROR(__xludf.DUMMYFUNCTION("IFERROR(GOOGLETRANSLATE(B910,""en"",""zh-CN""),)"),"")</f>
        <v/>
      </c>
    </row>
    <row r="911" spans="1:5" ht="18">
      <c r="A911" s="3"/>
      <c r="B911" s="4" t="str">
        <f ca="1">IFERROR(__xludf.DUMMYFUNCTION("IFERROR(GOOGLETRANSLATE(A911,""ko"",""en""),)"),"")</f>
        <v/>
      </c>
      <c r="C911" s="4" t="str">
        <f ca="1">IFERROR(__xludf.DUMMYFUNCTION("IFERROR(GOOGLETRANSLATE(B911,""en"",""ja""),)"),"")</f>
        <v/>
      </c>
      <c r="D911" s="4" t="str">
        <f ca="1">IFERROR(__xludf.DUMMYFUNCTION("IFERROR(GOOGLETRANSLATE(B911,""en"",""zh-TW""),)"),"")</f>
        <v/>
      </c>
      <c r="E911" s="4" t="str">
        <f ca="1">IFERROR(__xludf.DUMMYFUNCTION("IFERROR(GOOGLETRANSLATE(B911,""en"",""zh-CN""),)"),"")</f>
        <v/>
      </c>
    </row>
    <row r="912" spans="1:5" ht="18">
      <c r="A912" s="3"/>
      <c r="B912" s="4" t="str">
        <f ca="1">IFERROR(__xludf.DUMMYFUNCTION("IFERROR(GOOGLETRANSLATE(A912,""ko"",""en""),)"),"")</f>
        <v/>
      </c>
      <c r="C912" s="4" t="str">
        <f ca="1">IFERROR(__xludf.DUMMYFUNCTION("IFERROR(GOOGLETRANSLATE(B912,""en"",""ja""),)"),"")</f>
        <v/>
      </c>
      <c r="D912" s="4" t="str">
        <f ca="1">IFERROR(__xludf.DUMMYFUNCTION("IFERROR(GOOGLETRANSLATE(B912,""en"",""zh-TW""),)"),"")</f>
        <v/>
      </c>
      <c r="E912" s="4" t="str">
        <f ca="1">IFERROR(__xludf.DUMMYFUNCTION("IFERROR(GOOGLETRANSLATE(B912,""en"",""zh-CN""),)"),"")</f>
        <v/>
      </c>
    </row>
    <row r="913" spans="1:5" ht="18">
      <c r="A913" s="3"/>
      <c r="B913" s="4" t="str">
        <f ca="1">IFERROR(__xludf.DUMMYFUNCTION("IFERROR(GOOGLETRANSLATE(A913,""ko"",""en""),)"),"")</f>
        <v/>
      </c>
      <c r="C913" s="4" t="str">
        <f ca="1">IFERROR(__xludf.DUMMYFUNCTION("IFERROR(GOOGLETRANSLATE(B913,""en"",""ja""),)"),"")</f>
        <v/>
      </c>
      <c r="D913" s="4" t="str">
        <f ca="1">IFERROR(__xludf.DUMMYFUNCTION("IFERROR(GOOGLETRANSLATE(B913,""en"",""zh-TW""),)"),"")</f>
        <v/>
      </c>
      <c r="E913" s="4" t="str">
        <f ca="1">IFERROR(__xludf.DUMMYFUNCTION("IFERROR(GOOGLETRANSLATE(B913,""en"",""zh-CN""),)"),"")</f>
        <v/>
      </c>
    </row>
    <row r="914" spans="1:5" ht="18">
      <c r="A914" s="3"/>
      <c r="B914" s="4" t="str">
        <f ca="1">IFERROR(__xludf.DUMMYFUNCTION("IFERROR(GOOGLETRANSLATE(A914,""ko"",""en""),)"),"")</f>
        <v/>
      </c>
      <c r="C914" s="4" t="str">
        <f ca="1">IFERROR(__xludf.DUMMYFUNCTION("IFERROR(GOOGLETRANSLATE(B914,""en"",""ja""),)"),"")</f>
        <v/>
      </c>
      <c r="D914" s="4" t="str">
        <f ca="1">IFERROR(__xludf.DUMMYFUNCTION("IFERROR(GOOGLETRANSLATE(B914,""en"",""zh-TW""),)"),"")</f>
        <v/>
      </c>
      <c r="E914" s="4" t="str">
        <f ca="1">IFERROR(__xludf.DUMMYFUNCTION("IFERROR(GOOGLETRANSLATE(B914,""en"",""zh-CN""),)"),"")</f>
        <v/>
      </c>
    </row>
    <row r="915" spans="1:5" ht="18">
      <c r="A915" s="3"/>
      <c r="B915" s="4" t="str">
        <f ca="1">IFERROR(__xludf.DUMMYFUNCTION("IFERROR(GOOGLETRANSLATE(A915,""ko"",""en""),)"),"")</f>
        <v/>
      </c>
      <c r="C915" s="4" t="str">
        <f ca="1">IFERROR(__xludf.DUMMYFUNCTION("IFERROR(GOOGLETRANSLATE(B915,""en"",""ja""),)"),"")</f>
        <v/>
      </c>
      <c r="D915" s="4" t="str">
        <f ca="1">IFERROR(__xludf.DUMMYFUNCTION("IFERROR(GOOGLETRANSLATE(B915,""en"",""zh-TW""),)"),"")</f>
        <v/>
      </c>
      <c r="E915" s="4" t="str">
        <f ca="1">IFERROR(__xludf.DUMMYFUNCTION("IFERROR(GOOGLETRANSLATE(B915,""en"",""zh-CN""),)"),"")</f>
        <v/>
      </c>
    </row>
    <row r="916" spans="1:5" ht="18">
      <c r="A916" s="3"/>
      <c r="B916" s="4" t="str">
        <f ca="1">IFERROR(__xludf.DUMMYFUNCTION("IFERROR(GOOGLETRANSLATE(A916,""ko"",""en""),)"),"")</f>
        <v/>
      </c>
      <c r="C916" s="4" t="str">
        <f ca="1">IFERROR(__xludf.DUMMYFUNCTION("IFERROR(GOOGLETRANSLATE(B916,""en"",""ja""),)"),"")</f>
        <v/>
      </c>
      <c r="D916" s="4" t="str">
        <f ca="1">IFERROR(__xludf.DUMMYFUNCTION("IFERROR(GOOGLETRANSLATE(B916,""en"",""zh-TW""),)"),"")</f>
        <v/>
      </c>
      <c r="E916" s="4" t="str">
        <f ca="1">IFERROR(__xludf.DUMMYFUNCTION("IFERROR(GOOGLETRANSLATE(B916,""en"",""zh-CN""),)"),"")</f>
        <v/>
      </c>
    </row>
    <row r="917" spans="1:5" ht="18">
      <c r="A917" s="3"/>
      <c r="B917" s="4" t="str">
        <f ca="1">IFERROR(__xludf.DUMMYFUNCTION("IFERROR(GOOGLETRANSLATE(A917,""ko"",""en""),)"),"")</f>
        <v/>
      </c>
      <c r="C917" s="4" t="str">
        <f ca="1">IFERROR(__xludf.DUMMYFUNCTION("IFERROR(GOOGLETRANSLATE(B917,""en"",""ja""),)"),"")</f>
        <v/>
      </c>
      <c r="D917" s="4" t="str">
        <f ca="1">IFERROR(__xludf.DUMMYFUNCTION("IFERROR(GOOGLETRANSLATE(B917,""en"",""zh-TW""),)"),"")</f>
        <v/>
      </c>
      <c r="E917" s="4" t="str">
        <f ca="1">IFERROR(__xludf.DUMMYFUNCTION("IFERROR(GOOGLETRANSLATE(B917,""en"",""zh-CN""),)"),"")</f>
        <v/>
      </c>
    </row>
    <row r="918" spans="1:5" ht="18">
      <c r="A918" s="3"/>
      <c r="B918" s="4" t="str">
        <f ca="1">IFERROR(__xludf.DUMMYFUNCTION("IFERROR(GOOGLETRANSLATE(A918,""ko"",""en""),)"),"")</f>
        <v/>
      </c>
      <c r="C918" s="4" t="str">
        <f ca="1">IFERROR(__xludf.DUMMYFUNCTION("IFERROR(GOOGLETRANSLATE(B918,""en"",""ja""),)"),"")</f>
        <v/>
      </c>
      <c r="D918" s="4" t="str">
        <f ca="1">IFERROR(__xludf.DUMMYFUNCTION("IFERROR(GOOGLETRANSLATE(B918,""en"",""zh-TW""),)"),"")</f>
        <v/>
      </c>
      <c r="E918" s="4" t="str">
        <f ca="1">IFERROR(__xludf.DUMMYFUNCTION("IFERROR(GOOGLETRANSLATE(B918,""en"",""zh-CN""),)"),"")</f>
        <v/>
      </c>
    </row>
    <row r="919" spans="1:5" ht="18">
      <c r="A919" s="3"/>
      <c r="B919" s="4" t="str">
        <f ca="1">IFERROR(__xludf.DUMMYFUNCTION("IFERROR(GOOGLETRANSLATE(A919,""ko"",""en""),)"),"")</f>
        <v/>
      </c>
      <c r="C919" s="4" t="str">
        <f ca="1">IFERROR(__xludf.DUMMYFUNCTION("IFERROR(GOOGLETRANSLATE(B919,""en"",""ja""),)"),"")</f>
        <v/>
      </c>
      <c r="D919" s="4" t="str">
        <f ca="1">IFERROR(__xludf.DUMMYFUNCTION("IFERROR(GOOGLETRANSLATE(B919,""en"",""zh-TW""),)"),"")</f>
        <v/>
      </c>
      <c r="E919" s="4" t="str">
        <f ca="1">IFERROR(__xludf.DUMMYFUNCTION("IFERROR(GOOGLETRANSLATE(B919,""en"",""zh-CN""),)"),"")</f>
        <v/>
      </c>
    </row>
    <row r="920" spans="1:5" ht="18">
      <c r="A920" s="3"/>
      <c r="B920" s="4" t="str">
        <f ca="1">IFERROR(__xludf.DUMMYFUNCTION("IFERROR(GOOGLETRANSLATE(A920,""ko"",""en""),)"),"")</f>
        <v/>
      </c>
      <c r="C920" s="4" t="str">
        <f ca="1">IFERROR(__xludf.DUMMYFUNCTION("IFERROR(GOOGLETRANSLATE(B920,""en"",""ja""),)"),"")</f>
        <v/>
      </c>
      <c r="D920" s="4" t="str">
        <f ca="1">IFERROR(__xludf.DUMMYFUNCTION("IFERROR(GOOGLETRANSLATE(B920,""en"",""zh-TW""),)"),"")</f>
        <v/>
      </c>
      <c r="E920" s="4" t="str">
        <f ca="1">IFERROR(__xludf.DUMMYFUNCTION("IFERROR(GOOGLETRANSLATE(B920,""en"",""zh-CN""),)"),"")</f>
        <v/>
      </c>
    </row>
    <row r="921" spans="1:5" ht="18">
      <c r="A921" s="3"/>
      <c r="B921" s="4" t="str">
        <f ca="1">IFERROR(__xludf.DUMMYFUNCTION("IFERROR(GOOGLETRANSLATE(A921,""ko"",""en""),)"),"")</f>
        <v/>
      </c>
      <c r="C921" s="4" t="str">
        <f ca="1">IFERROR(__xludf.DUMMYFUNCTION("IFERROR(GOOGLETRANSLATE(B921,""en"",""ja""),)"),"")</f>
        <v/>
      </c>
      <c r="D921" s="4" t="str">
        <f ca="1">IFERROR(__xludf.DUMMYFUNCTION("IFERROR(GOOGLETRANSLATE(B921,""en"",""zh-TW""),)"),"")</f>
        <v/>
      </c>
      <c r="E921" s="4" t="str">
        <f ca="1">IFERROR(__xludf.DUMMYFUNCTION("IFERROR(GOOGLETRANSLATE(B921,""en"",""zh-CN""),)"),"")</f>
        <v/>
      </c>
    </row>
    <row r="922" spans="1:5" ht="18">
      <c r="A922" s="3"/>
      <c r="B922" s="4" t="str">
        <f ca="1">IFERROR(__xludf.DUMMYFUNCTION("IFERROR(GOOGLETRANSLATE(A922,""ko"",""en""),)"),"")</f>
        <v/>
      </c>
      <c r="C922" s="4" t="str">
        <f ca="1">IFERROR(__xludf.DUMMYFUNCTION("IFERROR(GOOGLETRANSLATE(B922,""en"",""ja""),)"),"")</f>
        <v/>
      </c>
      <c r="D922" s="4" t="str">
        <f ca="1">IFERROR(__xludf.DUMMYFUNCTION("IFERROR(GOOGLETRANSLATE(B922,""en"",""zh-TW""),)"),"")</f>
        <v/>
      </c>
      <c r="E922" s="4" t="str">
        <f ca="1">IFERROR(__xludf.DUMMYFUNCTION("IFERROR(GOOGLETRANSLATE(B922,""en"",""zh-CN""),)"),"")</f>
        <v/>
      </c>
    </row>
    <row r="923" spans="1:5" ht="18">
      <c r="A923" s="3"/>
      <c r="B923" s="4" t="str">
        <f ca="1">IFERROR(__xludf.DUMMYFUNCTION("IFERROR(GOOGLETRANSLATE(A923,""ko"",""en""),)"),"")</f>
        <v/>
      </c>
      <c r="C923" s="4" t="str">
        <f ca="1">IFERROR(__xludf.DUMMYFUNCTION("IFERROR(GOOGLETRANSLATE(B923,""en"",""ja""),)"),"")</f>
        <v/>
      </c>
      <c r="D923" s="4" t="str">
        <f ca="1">IFERROR(__xludf.DUMMYFUNCTION("IFERROR(GOOGLETRANSLATE(B923,""en"",""zh-TW""),)"),"")</f>
        <v/>
      </c>
      <c r="E923" s="4" t="str">
        <f ca="1">IFERROR(__xludf.DUMMYFUNCTION("IFERROR(GOOGLETRANSLATE(B923,""en"",""zh-CN""),)"),"")</f>
        <v/>
      </c>
    </row>
    <row r="924" spans="1:5" ht="18">
      <c r="A924" s="3"/>
      <c r="B924" s="4" t="str">
        <f ca="1">IFERROR(__xludf.DUMMYFUNCTION("IFERROR(GOOGLETRANSLATE(A924,""ko"",""en""),)"),"")</f>
        <v/>
      </c>
      <c r="C924" s="4" t="str">
        <f ca="1">IFERROR(__xludf.DUMMYFUNCTION("IFERROR(GOOGLETRANSLATE(B924,""en"",""ja""),)"),"")</f>
        <v/>
      </c>
      <c r="D924" s="4" t="str">
        <f ca="1">IFERROR(__xludf.DUMMYFUNCTION("IFERROR(GOOGLETRANSLATE(B924,""en"",""zh-TW""),)"),"")</f>
        <v/>
      </c>
      <c r="E924" s="4" t="str">
        <f ca="1">IFERROR(__xludf.DUMMYFUNCTION("IFERROR(GOOGLETRANSLATE(B924,""en"",""zh-CN""),)"),"")</f>
        <v/>
      </c>
    </row>
    <row r="925" spans="1:5" ht="18">
      <c r="A925" s="3"/>
      <c r="B925" s="4" t="str">
        <f ca="1">IFERROR(__xludf.DUMMYFUNCTION("IFERROR(GOOGLETRANSLATE(A925,""ko"",""en""),)"),"")</f>
        <v/>
      </c>
      <c r="C925" s="4" t="str">
        <f ca="1">IFERROR(__xludf.DUMMYFUNCTION("IFERROR(GOOGLETRANSLATE(B925,""en"",""ja""),)"),"")</f>
        <v/>
      </c>
      <c r="D925" s="4" t="str">
        <f ca="1">IFERROR(__xludf.DUMMYFUNCTION("IFERROR(GOOGLETRANSLATE(B925,""en"",""zh-TW""),)"),"")</f>
        <v/>
      </c>
      <c r="E925" s="4" t="str">
        <f ca="1">IFERROR(__xludf.DUMMYFUNCTION("IFERROR(GOOGLETRANSLATE(B925,""en"",""zh-CN""),)"),"")</f>
        <v/>
      </c>
    </row>
    <row r="926" spans="1:5" ht="18">
      <c r="A926" s="3"/>
      <c r="B926" s="4" t="str">
        <f ca="1">IFERROR(__xludf.DUMMYFUNCTION("IFERROR(GOOGLETRANSLATE(A926,""ko"",""en""),)"),"")</f>
        <v/>
      </c>
      <c r="C926" s="4" t="str">
        <f ca="1">IFERROR(__xludf.DUMMYFUNCTION("IFERROR(GOOGLETRANSLATE(B926,""en"",""ja""),)"),"")</f>
        <v/>
      </c>
      <c r="D926" s="4" t="str">
        <f ca="1">IFERROR(__xludf.DUMMYFUNCTION("IFERROR(GOOGLETRANSLATE(B926,""en"",""zh-TW""),)"),"")</f>
        <v/>
      </c>
      <c r="E926" s="4" t="str">
        <f ca="1">IFERROR(__xludf.DUMMYFUNCTION("IFERROR(GOOGLETRANSLATE(B926,""en"",""zh-CN""),)"),"")</f>
        <v/>
      </c>
    </row>
    <row r="927" spans="1:5" ht="18">
      <c r="A927" s="3"/>
      <c r="B927" s="4" t="str">
        <f ca="1">IFERROR(__xludf.DUMMYFUNCTION("IFERROR(GOOGLETRANSLATE(A927,""ko"",""en""),)"),"")</f>
        <v/>
      </c>
      <c r="C927" s="4" t="str">
        <f ca="1">IFERROR(__xludf.DUMMYFUNCTION("IFERROR(GOOGLETRANSLATE(B927,""en"",""ja""),)"),"")</f>
        <v/>
      </c>
      <c r="D927" s="4" t="str">
        <f ca="1">IFERROR(__xludf.DUMMYFUNCTION("IFERROR(GOOGLETRANSLATE(B927,""en"",""zh-TW""),)"),"")</f>
        <v/>
      </c>
      <c r="E927" s="4" t="str">
        <f ca="1">IFERROR(__xludf.DUMMYFUNCTION("IFERROR(GOOGLETRANSLATE(B927,""en"",""zh-CN""),)"),"")</f>
        <v/>
      </c>
    </row>
    <row r="928" spans="1:5" ht="18">
      <c r="A928" s="3"/>
      <c r="B928" s="4" t="str">
        <f ca="1">IFERROR(__xludf.DUMMYFUNCTION("IFERROR(GOOGLETRANSLATE(A928,""ko"",""en""),)"),"")</f>
        <v/>
      </c>
      <c r="C928" s="4" t="str">
        <f ca="1">IFERROR(__xludf.DUMMYFUNCTION("IFERROR(GOOGLETRANSLATE(B928,""en"",""ja""),)"),"")</f>
        <v/>
      </c>
      <c r="D928" s="4" t="str">
        <f ca="1">IFERROR(__xludf.DUMMYFUNCTION("IFERROR(GOOGLETRANSLATE(B928,""en"",""zh-TW""),)"),"")</f>
        <v/>
      </c>
      <c r="E928" s="4" t="str">
        <f ca="1">IFERROR(__xludf.DUMMYFUNCTION("IFERROR(GOOGLETRANSLATE(B928,""en"",""zh-CN""),)"),"")</f>
        <v/>
      </c>
    </row>
    <row r="929" spans="1:5" ht="18">
      <c r="A929" s="3"/>
      <c r="B929" s="4" t="str">
        <f ca="1">IFERROR(__xludf.DUMMYFUNCTION("IFERROR(GOOGLETRANSLATE(A929,""ko"",""en""),)"),"")</f>
        <v/>
      </c>
      <c r="C929" s="4" t="str">
        <f ca="1">IFERROR(__xludf.DUMMYFUNCTION("IFERROR(GOOGLETRANSLATE(B929,""en"",""ja""),)"),"")</f>
        <v/>
      </c>
      <c r="D929" s="4" t="str">
        <f ca="1">IFERROR(__xludf.DUMMYFUNCTION("IFERROR(GOOGLETRANSLATE(B929,""en"",""zh-TW""),)"),"")</f>
        <v/>
      </c>
      <c r="E929" s="4" t="str">
        <f ca="1">IFERROR(__xludf.DUMMYFUNCTION("IFERROR(GOOGLETRANSLATE(B929,""en"",""zh-CN""),)"),"")</f>
        <v/>
      </c>
    </row>
    <row r="930" spans="1:5" ht="18">
      <c r="A930" s="3"/>
      <c r="B930" s="4" t="str">
        <f ca="1">IFERROR(__xludf.DUMMYFUNCTION("IFERROR(GOOGLETRANSLATE(A930,""ko"",""en""),)"),"")</f>
        <v/>
      </c>
      <c r="C930" s="4" t="str">
        <f ca="1">IFERROR(__xludf.DUMMYFUNCTION("IFERROR(GOOGLETRANSLATE(B930,""en"",""ja""),)"),"")</f>
        <v/>
      </c>
      <c r="D930" s="4" t="str">
        <f ca="1">IFERROR(__xludf.DUMMYFUNCTION("IFERROR(GOOGLETRANSLATE(B930,""en"",""zh-TW""),)"),"")</f>
        <v/>
      </c>
      <c r="E930" s="4" t="str">
        <f ca="1">IFERROR(__xludf.DUMMYFUNCTION("IFERROR(GOOGLETRANSLATE(B930,""en"",""zh-CN""),)"),"")</f>
        <v/>
      </c>
    </row>
    <row r="931" spans="1:5" ht="18">
      <c r="A931" s="3"/>
      <c r="B931" s="4" t="str">
        <f ca="1">IFERROR(__xludf.DUMMYFUNCTION("IFERROR(GOOGLETRANSLATE(A931,""ko"",""en""),)"),"")</f>
        <v/>
      </c>
      <c r="C931" s="4" t="str">
        <f ca="1">IFERROR(__xludf.DUMMYFUNCTION("IFERROR(GOOGLETRANSLATE(B931,""en"",""ja""),)"),"")</f>
        <v/>
      </c>
      <c r="D931" s="4" t="str">
        <f ca="1">IFERROR(__xludf.DUMMYFUNCTION("IFERROR(GOOGLETRANSLATE(B931,""en"",""zh-TW""),)"),"")</f>
        <v/>
      </c>
      <c r="E931" s="4" t="str">
        <f ca="1">IFERROR(__xludf.DUMMYFUNCTION("IFERROR(GOOGLETRANSLATE(B931,""en"",""zh-CN""),)"),"")</f>
        <v/>
      </c>
    </row>
    <row r="932" spans="1:5" ht="18">
      <c r="A932" s="3"/>
      <c r="B932" s="4" t="str">
        <f ca="1">IFERROR(__xludf.DUMMYFUNCTION("IFERROR(GOOGLETRANSLATE(A932,""ko"",""en""),)"),"")</f>
        <v/>
      </c>
      <c r="C932" s="4" t="str">
        <f ca="1">IFERROR(__xludf.DUMMYFUNCTION("IFERROR(GOOGLETRANSLATE(B932,""en"",""ja""),)"),"")</f>
        <v/>
      </c>
      <c r="D932" s="4" t="str">
        <f ca="1">IFERROR(__xludf.DUMMYFUNCTION("IFERROR(GOOGLETRANSLATE(B932,""en"",""zh-TW""),)"),"")</f>
        <v/>
      </c>
      <c r="E932" s="4" t="str">
        <f ca="1">IFERROR(__xludf.DUMMYFUNCTION("IFERROR(GOOGLETRANSLATE(B932,""en"",""zh-CN""),)"),"")</f>
        <v/>
      </c>
    </row>
    <row r="933" spans="1:5" ht="18">
      <c r="A933" s="3"/>
      <c r="B933" s="4" t="str">
        <f ca="1">IFERROR(__xludf.DUMMYFUNCTION("IFERROR(GOOGLETRANSLATE(A933,""ko"",""en""),)"),"")</f>
        <v/>
      </c>
      <c r="C933" s="4" t="str">
        <f ca="1">IFERROR(__xludf.DUMMYFUNCTION("IFERROR(GOOGLETRANSLATE(B933,""en"",""ja""),)"),"")</f>
        <v/>
      </c>
      <c r="D933" s="4" t="str">
        <f ca="1">IFERROR(__xludf.DUMMYFUNCTION("IFERROR(GOOGLETRANSLATE(B933,""en"",""zh-TW""),)"),"")</f>
        <v/>
      </c>
      <c r="E933" s="4" t="str">
        <f ca="1">IFERROR(__xludf.DUMMYFUNCTION("IFERROR(GOOGLETRANSLATE(B933,""en"",""zh-CN""),)"),"")</f>
        <v/>
      </c>
    </row>
    <row r="934" spans="1:5" ht="18">
      <c r="A934" s="3"/>
      <c r="B934" s="4" t="str">
        <f ca="1">IFERROR(__xludf.DUMMYFUNCTION("IFERROR(GOOGLETRANSLATE(A934,""ko"",""en""),)"),"")</f>
        <v/>
      </c>
      <c r="C934" s="4" t="str">
        <f ca="1">IFERROR(__xludf.DUMMYFUNCTION("IFERROR(GOOGLETRANSLATE(B934,""en"",""ja""),)"),"")</f>
        <v/>
      </c>
      <c r="D934" s="4" t="str">
        <f ca="1">IFERROR(__xludf.DUMMYFUNCTION("IFERROR(GOOGLETRANSLATE(B934,""en"",""zh-TW""),)"),"")</f>
        <v/>
      </c>
      <c r="E934" s="4" t="str">
        <f ca="1">IFERROR(__xludf.DUMMYFUNCTION("IFERROR(GOOGLETRANSLATE(B934,""en"",""zh-CN""),)"),"")</f>
        <v/>
      </c>
    </row>
    <row r="935" spans="1:5" ht="18">
      <c r="A935" s="3"/>
      <c r="B935" s="4" t="str">
        <f ca="1">IFERROR(__xludf.DUMMYFUNCTION("IFERROR(GOOGLETRANSLATE(A935,""ko"",""en""),)"),"")</f>
        <v/>
      </c>
      <c r="C935" s="4" t="str">
        <f ca="1">IFERROR(__xludf.DUMMYFUNCTION("IFERROR(GOOGLETRANSLATE(B935,""en"",""ja""),)"),"")</f>
        <v/>
      </c>
      <c r="D935" s="4" t="str">
        <f ca="1">IFERROR(__xludf.DUMMYFUNCTION("IFERROR(GOOGLETRANSLATE(B935,""en"",""zh-TW""),)"),"")</f>
        <v/>
      </c>
      <c r="E935" s="4" t="str">
        <f ca="1">IFERROR(__xludf.DUMMYFUNCTION("IFERROR(GOOGLETRANSLATE(B935,""en"",""zh-CN""),)"),"")</f>
        <v/>
      </c>
    </row>
    <row r="936" spans="1:5" ht="18">
      <c r="A936" s="3"/>
      <c r="B936" s="4" t="str">
        <f ca="1">IFERROR(__xludf.DUMMYFUNCTION("IFERROR(GOOGLETRANSLATE(A936,""ko"",""en""),)"),"")</f>
        <v/>
      </c>
      <c r="C936" s="4" t="str">
        <f ca="1">IFERROR(__xludf.DUMMYFUNCTION("IFERROR(GOOGLETRANSLATE(B936,""en"",""ja""),)"),"")</f>
        <v/>
      </c>
      <c r="D936" s="4" t="str">
        <f ca="1">IFERROR(__xludf.DUMMYFUNCTION("IFERROR(GOOGLETRANSLATE(B936,""en"",""zh-TW""),)"),"")</f>
        <v/>
      </c>
      <c r="E936" s="4" t="str">
        <f ca="1">IFERROR(__xludf.DUMMYFUNCTION("IFERROR(GOOGLETRANSLATE(B936,""en"",""zh-CN""),)"),"")</f>
        <v/>
      </c>
    </row>
    <row r="937" spans="1:5" ht="18">
      <c r="A937" s="3"/>
      <c r="B937" s="4" t="str">
        <f ca="1">IFERROR(__xludf.DUMMYFUNCTION("IFERROR(GOOGLETRANSLATE(A937,""ko"",""en""),)"),"")</f>
        <v/>
      </c>
      <c r="C937" s="4" t="str">
        <f ca="1">IFERROR(__xludf.DUMMYFUNCTION("IFERROR(GOOGLETRANSLATE(B937,""en"",""ja""),)"),"")</f>
        <v/>
      </c>
      <c r="D937" s="4" t="str">
        <f ca="1">IFERROR(__xludf.DUMMYFUNCTION("IFERROR(GOOGLETRANSLATE(B937,""en"",""zh-TW""),)"),"")</f>
        <v/>
      </c>
      <c r="E937" s="4" t="str">
        <f ca="1">IFERROR(__xludf.DUMMYFUNCTION("IFERROR(GOOGLETRANSLATE(B937,""en"",""zh-CN""),)"),"")</f>
        <v/>
      </c>
    </row>
    <row r="938" spans="1:5" ht="18">
      <c r="A938" s="3"/>
      <c r="B938" s="4" t="str">
        <f ca="1">IFERROR(__xludf.DUMMYFUNCTION("IFERROR(GOOGLETRANSLATE(A938,""ko"",""en""),)"),"")</f>
        <v/>
      </c>
      <c r="C938" s="4" t="str">
        <f ca="1">IFERROR(__xludf.DUMMYFUNCTION("IFERROR(GOOGLETRANSLATE(B938,""en"",""ja""),)"),"")</f>
        <v/>
      </c>
      <c r="D938" s="4" t="str">
        <f ca="1">IFERROR(__xludf.DUMMYFUNCTION("IFERROR(GOOGLETRANSLATE(B938,""en"",""zh-TW""),)"),"")</f>
        <v/>
      </c>
      <c r="E938" s="4" t="str">
        <f ca="1">IFERROR(__xludf.DUMMYFUNCTION("IFERROR(GOOGLETRANSLATE(B938,""en"",""zh-CN""),)"),"")</f>
        <v/>
      </c>
    </row>
    <row r="939" spans="1:5" ht="18">
      <c r="A939" s="3"/>
      <c r="B939" s="4" t="str">
        <f ca="1">IFERROR(__xludf.DUMMYFUNCTION("IFERROR(GOOGLETRANSLATE(A939,""ko"",""en""),)"),"")</f>
        <v/>
      </c>
      <c r="C939" s="4" t="str">
        <f ca="1">IFERROR(__xludf.DUMMYFUNCTION("IFERROR(GOOGLETRANSLATE(B939,""en"",""ja""),)"),"")</f>
        <v/>
      </c>
      <c r="D939" s="4" t="str">
        <f ca="1">IFERROR(__xludf.DUMMYFUNCTION("IFERROR(GOOGLETRANSLATE(B939,""en"",""zh-TW""),)"),"")</f>
        <v/>
      </c>
      <c r="E939" s="4" t="str">
        <f ca="1">IFERROR(__xludf.DUMMYFUNCTION("IFERROR(GOOGLETRANSLATE(B939,""en"",""zh-CN""),)"),"")</f>
        <v/>
      </c>
    </row>
    <row r="940" spans="1:5" ht="18">
      <c r="A940" s="3"/>
      <c r="B940" s="4" t="str">
        <f ca="1">IFERROR(__xludf.DUMMYFUNCTION("IFERROR(GOOGLETRANSLATE(A940,""ko"",""en""),)"),"")</f>
        <v/>
      </c>
      <c r="C940" s="4" t="str">
        <f ca="1">IFERROR(__xludf.DUMMYFUNCTION("IFERROR(GOOGLETRANSLATE(B940,""en"",""ja""),)"),"")</f>
        <v/>
      </c>
      <c r="D940" s="4" t="str">
        <f ca="1">IFERROR(__xludf.DUMMYFUNCTION("IFERROR(GOOGLETRANSLATE(B940,""en"",""zh-TW""),)"),"")</f>
        <v/>
      </c>
      <c r="E940" s="4" t="str">
        <f ca="1">IFERROR(__xludf.DUMMYFUNCTION("IFERROR(GOOGLETRANSLATE(B940,""en"",""zh-CN""),)"),"")</f>
        <v/>
      </c>
    </row>
    <row r="941" spans="1:5" ht="18">
      <c r="A941" s="3"/>
      <c r="B941" s="4" t="str">
        <f ca="1">IFERROR(__xludf.DUMMYFUNCTION("IFERROR(GOOGLETRANSLATE(A941,""ko"",""en""),)"),"")</f>
        <v/>
      </c>
      <c r="C941" s="4" t="str">
        <f ca="1">IFERROR(__xludf.DUMMYFUNCTION("IFERROR(GOOGLETRANSLATE(B941,""en"",""ja""),)"),"")</f>
        <v/>
      </c>
      <c r="D941" s="4" t="str">
        <f ca="1">IFERROR(__xludf.DUMMYFUNCTION("IFERROR(GOOGLETRANSLATE(B941,""en"",""zh-TW""),)"),"")</f>
        <v/>
      </c>
      <c r="E941" s="4" t="str">
        <f ca="1">IFERROR(__xludf.DUMMYFUNCTION("IFERROR(GOOGLETRANSLATE(B941,""en"",""zh-CN""),)"),"")</f>
        <v/>
      </c>
    </row>
    <row r="942" spans="1:5" ht="18">
      <c r="A942" s="3"/>
      <c r="B942" s="4" t="str">
        <f ca="1">IFERROR(__xludf.DUMMYFUNCTION("IFERROR(GOOGLETRANSLATE(A942,""ko"",""en""),)"),"")</f>
        <v/>
      </c>
      <c r="C942" s="4" t="str">
        <f ca="1">IFERROR(__xludf.DUMMYFUNCTION("IFERROR(GOOGLETRANSLATE(B942,""en"",""ja""),)"),"")</f>
        <v/>
      </c>
      <c r="D942" s="4" t="str">
        <f ca="1">IFERROR(__xludf.DUMMYFUNCTION("IFERROR(GOOGLETRANSLATE(B942,""en"",""zh-TW""),)"),"")</f>
        <v/>
      </c>
      <c r="E942" s="4" t="str">
        <f ca="1">IFERROR(__xludf.DUMMYFUNCTION("IFERROR(GOOGLETRANSLATE(B942,""en"",""zh-CN""),)"),"")</f>
        <v/>
      </c>
    </row>
    <row r="943" spans="1:5" ht="18">
      <c r="A943" s="3"/>
      <c r="B943" s="4" t="str">
        <f ca="1">IFERROR(__xludf.DUMMYFUNCTION("IFERROR(GOOGLETRANSLATE(A943,""ko"",""en""),)"),"")</f>
        <v/>
      </c>
      <c r="C943" s="4" t="str">
        <f ca="1">IFERROR(__xludf.DUMMYFUNCTION("IFERROR(GOOGLETRANSLATE(B943,""en"",""ja""),)"),"")</f>
        <v/>
      </c>
      <c r="D943" s="4" t="str">
        <f ca="1">IFERROR(__xludf.DUMMYFUNCTION("IFERROR(GOOGLETRANSLATE(B943,""en"",""zh-TW""),)"),"")</f>
        <v/>
      </c>
      <c r="E943" s="4" t="str">
        <f ca="1">IFERROR(__xludf.DUMMYFUNCTION("IFERROR(GOOGLETRANSLATE(B943,""en"",""zh-CN""),)"),"")</f>
        <v/>
      </c>
    </row>
    <row r="944" spans="1:5" ht="18">
      <c r="A944" s="3"/>
      <c r="B944" s="4" t="str">
        <f ca="1">IFERROR(__xludf.DUMMYFUNCTION("IFERROR(GOOGLETRANSLATE(A944,""ko"",""en""),)"),"")</f>
        <v/>
      </c>
      <c r="C944" s="4" t="str">
        <f ca="1">IFERROR(__xludf.DUMMYFUNCTION("IFERROR(GOOGLETRANSLATE(B944,""en"",""ja""),)"),"")</f>
        <v/>
      </c>
      <c r="D944" s="4" t="str">
        <f ca="1">IFERROR(__xludf.DUMMYFUNCTION("IFERROR(GOOGLETRANSLATE(B944,""en"",""zh-TW""),)"),"")</f>
        <v/>
      </c>
      <c r="E944" s="4" t="str">
        <f ca="1">IFERROR(__xludf.DUMMYFUNCTION("IFERROR(GOOGLETRANSLATE(B944,""en"",""zh-CN""),)"),"")</f>
        <v/>
      </c>
    </row>
    <row r="945" spans="1:5" ht="18">
      <c r="A945" s="3"/>
      <c r="B945" s="4" t="str">
        <f ca="1">IFERROR(__xludf.DUMMYFUNCTION("IFERROR(GOOGLETRANSLATE(A945,""ko"",""en""),)"),"")</f>
        <v/>
      </c>
      <c r="C945" s="4" t="str">
        <f ca="1">IFERROR(__xludf.DUMMYFUNCTION("IFERROR(GOOGLETRANSLATE(B945,""en"",""ja""),)"),"")</f>
        <v/>
      </c>
      <c r="D945" s="4" t="str">
        <f ca="1">IFERROR(__xludf.DUMMYFUNCTION("IFERROR(GOOGLETRANSLATE(B945,""en"",""zh-TW""),)"),"")</f>
        <v/>
      </c>
      <c r="E945" s="4" t="str">
        <f ca="1">IFERROR(__xludf.DUMMYFUNCTION("IFERROR(GOOGLETRANSLATE(B945,""en"",""zh-CN""),)"),"")</f>
        <v/>
      </c>
    </row>
    <row r="946" spans="1:5" ht="18">
      <c r="A946" s="3"/>
      <c r="B946" s="4" t="str">
        <f ca="1">IFERROR(__xludf.DUMMYFUNCTION("IFERROR(GOOGLETRANSLATE(A946,""ko"",""en""),)"),"")</f>
        <v/>
      </c>
      <c r="C946" s="4" t="str">
        <f ca="1">IFERROR(__xludf.DUMMYFUNCTION("IFERROR(GOOGLETRANSLATE(B946,""en"",""ja""),)"),"")</f>
        <v/>
      </c>
      <c r="D946" s="4" t="str">
        <f ca="1">IFERROR(__xludf.DUMMYFUNCTION("IFERROR(GOOGLETRANSLATE(B946,""en"",""zh-TW""),)"),"")</f>
        <v/>
      </c>
      <c r="E946" s="4" t="str">
        <f ca="1">IFERROR(__xludf.DUMMYFUNCTION("IFERROR(GOOGLETRANSLATE(B946,""en"",""zh-CN""),)"),"")</f>
        <v/>
      </c>
    </row>
    <row r="947" spans="1:5" ht="18">
      <c r="A947" s="3"/>
      <c r="B947" s="4" t="str">
        <f ca="1">IFERROR(__xludf.DUMMYFUNCTION("IFERROR(GOOGLETRANSLATE(A947,""ko"",""en""),)"),"")</f>
        <v/>
      </c>
      <c r="C947" s="4" t="str">
        <f ca="1">IFERROR(__xludf.DUMMYFUNCTION("IFERROR(GOOGLETRANSLATE(B947,""en"",""ja""),)"),"")</f>
        <v/>
      </c>
      <c r="D947" s="4" t="str">
        <f ca="1">IFERROR(__xludf.DUMMYFUNCTION("IFERROR(GOOGLETRANSLATE(B947,""en"",""zh-TW""),)"),"")</f>
        <v/>
      </c>
      <c r="E947" s="4" t="str">
        <f ca="1">IFERROR(__xludf.DUMMYFUNCTION("IFERROR(GOOGLETRANSLATE(B947,""en"",""zh-CN""),)"),"")</f>
        <v/>
      </c>
    </row>
    <row r="948" spans="1:5" ht="18">
      <c r="A948" s="3"/>
      <c r="B948" s="4" t="str">
        <f ca="1">IFERROR(__xludf.DUMMYFUNCTION("IFERROR(GOOGLETRANSLATE(A948,""ko"",""en""),)"),"")</f>
        <v/>
      </c>
      <c r="C948" s="4" t="str">
        <f ca="1">IFERROR(__xludf.DUMMYFUNCTION("IFERROR(GOOGLETRANSLATE(B948,""en"",""ja""),)"),"")</f>
        <v/>
      </c>
      <c r="D948" s="4" t="str">
        <f ca="1">IFERROR(__xludf.DUMMYFUNCTION("IFERROR(GOOGLETRANSLATE(B948,""en"",""zh-TW""),)"),"")</f>
        <v/>
      </c>
      <c r="E948" s="4" t="str">
        <f ca="1">IFERROR(__xludf.DUMMYFUNCTION("IFERROR(GOOGLETRANSLATE(B948,""en"",""zh-CN""),)"),"")</f>
        <v/>
      </c>
    </row>
    <row r="949" spans="1:5" ht="18">
      <c r="A949" s="3"/>
      <c r="B949" s="4" t="str">
        <f ca="1">IFERROR(__xludf.DUMMYFUNCTION("IFERROR(GOOGLETRANSLATE(A949,""ko"",""en""),)"),"")</f>
        <v/>
      </c>
      <c r="C949" s="4" t="str">
        <f ca="1">IFERROR(__xludf.DUMMYFUNCTION("IFERROR(GOOGLETRANSLATE(B949,""en"",""ja""),)"),"")</f>
        <v/>
      </c>
      <c r="D949" s="4" t="str">
        <f ca="1">IFERROR(__xludf.DUMMYFUNCTION("IFERROR(GOOGLETRANSLATE(B949,""en"",""zh-TW""),)"),"")</f>
        <v/>
      </c>
      <c r="E949" s="4" t="str">
        <f ca="1">IFERROR(__xludf.DUMMYFUNCTION("IFERROR(GOOGLETRANSLATE(B949,""en"",""zh-CN""),)"),"")</f>
        <v/>
      </c>
    </row>
    <row r="950" spans="1:5" ht="18">
      <c r="A950" s="3"/>
      <c r="B950" s="4" t="str">
        <f ca="1">IFERROR(__xludf.DUMMYFUNCTION("IFERROR(GOOGLETRANSLATE(A950,""ko"",""en""),)"),"")</f>
        <v/>
      </c>
      <c r="C950" s="4" t="str">
        <f ca="1">IFERROR(__xludf.DUMMYFUNCTION("IFERROR(GOOGLETRANSLATE(B950,""en"",""ja""),)"),"")</f>
        <v/>
      </c>
      <c r="D950" s="4" t="str">
        <f ca="1">IFERROR(__xludf.DUMMYFUNCTION("IFERROR(GOOGLETRANSLATE(B950,""en"",""zh-TW""),)"),"")</f>
        <v/>
      </c>
      <c r="E950" s="4" t="str">
        <f ca="1">IFERROR(__xludf.DUMMYFUNCTION("IFERROR(GOOGLETRANSLATE(B950,""en"",""zh-CN""),)"),"")</f>
        <v/>
      </c>
    </row>
    <row r="951" spans="1:5" ht="18">
      <c r="A951" s="3"/>
      <c r="B951" s="4" t="str">
        <f ca="1">IFERROR(__xludf.DUMMYFUNCTION("IFERROR(GOOGLETRANSLATE(A951,""ko"",""en""),)"),"")</f>
        <v/>
      </c>
      <c r="C951" s="4" t="str">
        <f ca="1">IFERROR(__xludf.DUMMYFUNCTION("IFERROR(GOOGLETRANSLATE(B951,""en"",""ja""),)"),"")</f>
        <v/>
      </c>
      <c r="D951" s="4" t="str">
        <f ca="1">IFERROR(__xludf.DUMMYFUNCTION("IFERROR(GOOGLETRANSLATE(B951,""en"",""zh-TW""),)"),"")</f>
        <v/>
      </c>
      <c r="E951" s="4" t="str">
        <f ca="1">IFERROR(__xludf.DUMMYFUNCTION("IFERROR(GOOGLETRANSLATE(B951,""en"",""zh-CN""),)"),"")</f>
        <v/>
      </c>
    </row>
    <row r="952" spans="1:5" ht="18">
      <c r="A952" s="3"/>
      <c r="B952" s="4" t="str">
        <f ca="1">IFERROR(__xludf.DUMMYFUNCTION("IFERROR(GOOGLETRANSLATE(A952,""ko"",""en""),)"),"")</f>
        <v/>
      </c>
      <c r="C952" s="4" t="str">
        <f ca="1">IFERROR(__xludf.DUMMYFUNCTION("IFERROR(GOOGLETRANSLATE(B952,""en"",""ja""),)"),"")</f>
        <v/>
      </c>
      <c r="D952" s="4" t="str">
        <f ca="1">IFERROR(__xludf.DUMMYFUNCTION("IFERROR(GOOGLETRANSLATE(B952,""en"",""zh-TW""),)"),"")</f>
        <v/>
      </c>
      <c r="E952" s="4" t="str">
        <f ca="1">IFERROR(__xludf.DUMMYFUNCTION("IFERROR(GOOGLETRANSLATE(B952,""en"",""zh-CN""),)"),"")</f>
        <v/>
      </c>
    </row>
    <row r="953" spans="1:5" ht="18">
      <c r="A953" s="3"/>
      <c r="B953" s="4" t="str">
        <f ca="1">IFERROR(__xludf.DUMMYFUNCTION("IFERROR(GOOGLETRANSLATE(A953,""ko"",""en""),)"),"")</f>
        <v/>
      </c>
      <c r="C953" s="4" t="str">
        <f ca="1">IFERROR(__xludf.DUMMYFUNCTION("IFERROR(GOOGLETRANSLATE(B953,""en"",""ja""),)"),"")</f>
        <v/>
      </c>
      <c r="D953" s="4" t="str">
        <f ca="1">IFERROR(__xludf.DUMMYFUNCTION("IFERROR(GOOGLETRANSLATE(B953,""en"",""zh-TW""),)"),"")</f>
        <v/>
      </c>
      <c r="E953" s="4" t="str">
        <f ca="1">IFERROR(__xludf.DUMMYFUNCTION("IFERROR(GOOGLETRANSLATE(B953,""en"",""zh-CN""),)"),"")</f>
        <v/>
      </c>
    </row>
    <row r="954" spans="1:5" ht="18">
      <c r="A954" s="3"/>
      <c r="B954" s="4" t="str">
        <f ca="1">IFERROR(__xludf.DUMMYFUNCTION("IFERROR(GOOGLETRANSLATE(A954,""ko"",""en""),)"),"")</f>
        <v/>
      </c>
      <c r="C954" s="4" t="str">
        <f ca="1">IFERROR(__xludf.DUMMYFUNCTION("IFERROR(GOOGLETRANSLATE(B954,""en"",""ja""),)"),"")</f>
        <v/>
      </c>
      <c r="D954" s="4" t="str">
        <f ca="1">IFERROR(__xludf.DUMMYFUNCTION("IFERROR(GOOGLETRANSLATE(B954,""en"",""zh-TW""),)"),"")</f>
        <v/>
      </c>
      <c r="E954" s="4" t="str">
        <f ca="1">IFERROR(__xludf.DUMMYFUNCTION("IFERROR(GOOGLETRANSLATE(B954,""en"",""zh-CN""),)"),"")</f>
        <v/>
      </c>
    </row>
    <row r="955" spans="1:5" ht="18">
      <c r="A955" s="3"/>
      <c r="B955" s="4" t="str">
        <f ca="1">IFERROR(__xludf.DUMMYFUNCTION("IFERROR(GOOGLETRANSLATE(A955,""ko"",""en""),)"),"")</f>
        <v/>
      </c>
      <c r="C955" s="4" t="str">
        <f ca="1">IFERROR(__xludf.DUMMYFUNCTION("IFERROR(GOOGLETRANSLATE(B955,""en"",""ja""),)"),"")</f>
        <v/>
      </c>
      <c r="D955" s="4" t="str">
        <f ca="1">IFERROR(__xludf.DUMMYFUNCTION("IFERROR(GOOGLETRANSLATE(B955,""en"",""zh-TW""),)"),"")</f>
        <v/>
      </c>
      <c r="E955" s="4" t="str">
        <f ca="1">IFERROR(__xludf.DUMMYFUNCTION("IFERROR(GOOGLETRANSLATE(B955,""en"",""zh-CN""),)"),"")</f>
        <v/>
      </c>
    </row>
    <row r="956" spans="1:5" ht="18">
      <c r="A956" s="3"/>
      <c r="B956" s="4" t="str">
        <f ca="1">IFERROR(__xludf.DUMMYFUNCTION("IFERROR(GOOGLETRANSLATE(A956,""ko"",""en""),)"),"")</f>
        <v/>
      </c>
      <c r="C956" s="4" t="str">
        <f ca="1">IFERROR(__xludf.DUMMYFUNCTION("IFERROR(GOOGLETRANSLATE(B956,""en"",""ja""),)"),"")</f>
        <v/>
      </c>
      <c r="D956" s="4" t="str">
        <f ca="1">IFERROR(__xludf.DUMMYFUNCTION("IFERROR(GOOGLETRANSLATE(B956,""en"",""zh-TW""),)"),"")</f>
        <v/>
      </c>
      <c r="E956" s="4" t="str">
        <f ca="1">IFERROR(__xludf.DUMMYFUNCTION("IFERROR(GOOGLETRANSLATE(B956,""en"",""zh-CN""),)"),"")</f>
        <v/>
      </c>
    </row>
    <row r="957" spans="1:5" ht="18">
      <c r="A957" s="3"/>
      <c r="B957" s="4" t="str">
        <f ca="1">IFERROR(__xludf.DUMMYFUNCTION("IFERROR(GOOGLETRANSLATE(A957,""ko"",""en""),)"),"")</f>
        <v/>
      </c>
      <c r="C957" s="4" t="str">
        <f ca="1">IFERROR(__xludf.DUMMYFUNCTION("IFERROR(GOOGLETRANSLATE(B957,""en"",""ja""),)"),"")</f>
        <v/>
      </c>
      <c r="D957" s="4" t="str">
        <f ca="1">IFERROR(__xludf.DUMMYFUNCTION("IFERROR(GOOGLETRANSLATE(B957,""en"",""zh-TW""),)"),"")</f>
        <v/>
      </c>
      <c r="E957" s="4" t="str">
        <f ca="1">IFERROR(__xludf.DUMMYFUNCTION("IFERROR(GOOGLETRANSLATE(B957,""en"",""zh-CN""),)"),"")</f>
        <v/>
      </c>
    </row>
    <row r="958" spans="1:5" ht="18">
      <c r="A958" s="3"/>
      <c r="B958" s="4" t="str">
        <f ca="1">IFERROR(__xludf.DUMMYFUNCTION("IFERROR(GOOGLETRANSLATE(A958,""ko"",""en""),)"),"")</f>
        <v/>
      </c>
      <c r="C958" s="4" t="str">
        <f ca="1">IFERROR(__xludf.DUMMYFUNCTION("IFERROR(GOOGLETRANSLATE(B958,""en"",""ja""),)"),"")</f>
        <v/>
      </c>
      <c r="D958" s="4" t="str">
        <f ca="1">IFERROR(__xludf.DUMMYFUNCTION("IFERROR(GOOGLETRANSLATE(B958,""en"",""zh-TW""),)"),"")</f>
        <v/>
      </c>
      <c r="E958" s="4" t="str">
        <f ca="1">IFERROR(__xludf.DUMMYFUNCTION("IFERROR(GOOGLETRANSLATE(B958,""en"",""zh-CN""),)"),"")</f>
        <v/>
      </c>
    </row>
    <row r="959" spans="1:5" ht="18">
      <c r="A959" s="3"/>
      <c r="B959" s="4" t="str">
        <f ca="1">IFERROR(__xludf.DUMMYFUNCTION("IFERROR(GOOGLETRANSLATE(A959,""ko"",""en""),)"),"")</f>
        <v/>
      </c>
      <c r="C959" s="4" t="str">
        <f ca="1">IFERROR(__xludf.DUMMYFUNCTION("IFERROR(GOOGLETRANSLATE(B959,""en"",""ja""),)"),"")</f>
        <v/>
      </c>
      <c r="D959" s="4" t="str">
        <f ca="1">IFERROR(__xludf.DUMMYFUNCTION("IFERROR(GOOGLETRANSLATE(B959,""en"",""zh-TW""),)"),"")</f>
        <v/>
      </c>
      <c r="E959" s="4" t="str">
        <f ca="1">IFERROR(__xludf.DUMMYFUNCTION("IFERROR(GOOGLETRANSLATE(B959,""en"",""zh-CN""),)"),"")</f>
        <v/>
      </c>
    </row>
    <row r="960" spans="1:5" ht="18">
      <c r="A960" s="3"/>
      <c r="B960" s="4" t="str">
        <f ca="1">IFERROR(__xludf.DUMMYFUNCTION("IFERROR(GOOGLETRANSLATE(A960,""ko"",""en""),)"),"")</f>
        <v/>
      </c>
      <c r="C960" s="4" t="str">
        <f ca="1">IFERROR(__xludf.DUMMYFUNCTION("IFERROR(GOOGLETRANSLATE(B960,""en"",""ja""),)"),"")</f>
        <v/>
      </c>
      <c r="D960" s="4" t="str">
        <f ca="1">IFERROR(__xludf.DUMMYFUNCTION("IFERROR(GOOGLETRANSLATE(B960,""en"",""zh-TW""),)"),"")</f>
        <v/>
      </c>
      <c r="E960" s="4" t="str">
        <f ca="1">IFERROR(__xludf.DUMMYFUNCTION("IFERROR(GOOGLETRANSLATE(B960,""en"",""zh-CN""),)"),"")</f>
        <v/>
      </c>
    </row>
    <row r="961" spans="1:5" ht="18">
      <c r="A961" s="3"/>
      <c r="B961" s="4" t="str">
        <f ca="1">IFERROR(__xludf.DUMMYFUNCTION("IFERROR(GOOGLETRANSLATE(A961,""ko"",""en""),)"),"")</f>
        <v/>
      </c>
      <c r="C961" s="4" t="str">
        <f ca="1">IFERROR(__xludf.DUMMYFUNCTION("IFERROR(GOOGLETRANSLATE(B961,""en"",""ja""),)"),"")</f>
        <v/>
      </c>
      <c r="D961" s="4" t="str">
        <f ca="1">IFERROR(__xludf.DUMMYFUNCTION("IFERROR(GOOGLETRANSLATE(B961,""en"",""zh-TW""),)"),"")</f>
        <v/>
      </c>
      <c r="E961" s="4" t="str">
        <f ca="1">IFERROR(__xludf.DUMMYFUNCTION("IFERROR(GOOGLETRANSLATE(B961,""en"",""zh-CN""),)"),"")</f>
        <v/>
      </c>
    </row>
    <row r="962" spans="1:5" ht="18">
      <c r="A962" s="3"/>
      <c r="B962" s="4" t="str">
        <f ca="1">IFERROR(__xludf.DUMMYFUNCTION("IFERROR(GOOGLETRANSLATE(A962,""ko"",""en""),)"),"")</f>
        <v/>
      </c>
      <c r="C962" s="4" t="str">
        <f ca="1">IFERROR(__xludf.DUMMYFUNCTION("IFERROR(GOOGLETRANSLATE(B962,""en"",""ja""),)"),"")</f>
        <v/>
      </c>
      <c r="D962" s="4" t="str">
        <f ca="1">IFERROR(__xludf.DUMMYFUNCTION("IFERROR(GOOGLETRANSLATE(B962,""en"",""zh-TW""),)"),"")</f>
        <v/>
      </c>
      <c r="E962" s="4" t="str">
        <f ca="1">IFERROR(__xludf.DUMMYFUNCTION("IFERROR(GOOGLETRANSLATE(B962,""en"",""zh-CN""),)"),"")</f>
        <v/>
      </c>
    </row>
    <row r="963" spans="1:5" ht="18">
      <c r="A963" s="3"/>
      <c r="B963" s="4" t="str">
        <f ca="1">IFERROR(__xludf.DUMMYFUNCTION("IFERROR(GOOGLETRANSLATE(A963,""ko"",""en""),)"),"")</f>
        <v/>
      </c>
      <c r="C963" s="4" t="str">
        <f ca="1">IFERROR(__xludf.DUMMYFUNCTION("IFERROR(GOOGLETRANSLATE(B963,""en"",""ja""),)"),"")</f>
        <v/>
      </c>
      <c r="D963" s="4" t="str">
        <f ca="1">IFERROR(__xludf.DUMMYFUNCTION("IFERROR(GOOGLETRANSLATE(B963,""en"",""zh-TW""),)"),"")</f>
        <v/>
      </c>
      <c r="E963" s="4" t="str">
        <f ca="1">IFERROR(__xludf.DUMMYFUNCTION("IFERROR(GOOGLETRANSLATE(B963,""en"",""zh-CN""),)"),"")</f>
        <v/>
      </c>
    </row>
    <row r="964" spans="1:5" ht="18">
      <c r="A964" s="3"/>
      <c r="B964" s="4" t="str">
        <f ca="1">IFERROR(__xludf.DUMMYFUNCTION("IFERROR(GOOGLETRANSLATE(A964,""ko"",""en""),)"),"")</f>
        <v/>
      </c>
      <c r="C964" s="4" t="str">
        <f ca="1">IFERROR(__xludf.DUMMYFUNCTION("IFERROR(GOOGLETRANSLATE(B964,""en"",""ja""),)"),"")</f>
        <v/>
      </c>
      <c r="D964" s="4" t="str">
        <f ca="1">IFERROR(__xludf.DUMMYFUNCTION("IFERROR(GOOGLETRANSLATE(B964,""en"",""zh-TW""),)"),"")</f>
        <v/>
      </c>
      <c r="E964" s="4" t="str">
        <f ca="1">IFERROR(__xludf.DUMMYFUNCTION("IFERROR(GOOGLETRANSLATE(B964,""en"",""zh-CN""),)"),"")</f>
        <v/>
      </c>
    </row>
    <row r="965" spans="1:5" ht="18">
      <c r="A965" s="3"/>
      <c r="B965" s="4" t="str">
        <f ca="1">IFERROR(__xludf.DUMMYFUNCTION("IFERROR(GOOGLETRANSLATE(A965,""ko"",""en""),)"),"")</f>
        <v/>
      </c>
      <c r="C965" s="4" t="str">
        <f ca="1">IFERROR(__xludf.DUMMYFUNCTION("IFERROR(GOOGLETRANSLATE(B965,""en"",""ja""),)"),"")</f>
        <v/>
      </c>
      <c r="D965" s="4" t="str">
        <f ca="1">IFERROR(__xludf.DUMMYFUNCTION("IFERROR(GOOGLETRANSLATE(B965,""en"",""zh-TW""),)"),"")</f>
        <v/>
      </c>
      <c r="E965" s="4" t="str">
        <f ca="1">IFERROR(__xludf.DUMMYFUNCTION("IFERROR(GOOGLETRANSLATE(B965,""en"",""zh-CN""),)"),"")</f>
        <v/>
      </c>
    </row>
    <row r="966" spans="1:5" ht="18">
      <c r="A966" s="3"/>
      <c r="B966" s="4" t="str">
        <f ca="1">IFERROR(__xludf.DUMMYFUNCTION("IFERROR(GOOGLETRANSLATE(A966,""ko"",""en""),)"),"")</f>
        <v/>
      </c>
      <c r="C966" s="4" t="str">
        <f ca="1">IFERROR(__xludf.DUMMYFUNCTION("IFERROR(GOOGLETRANSLATE(B966,""en"",""ja""),)"),"")</f>
        <v/>
      </c>
      <c r="D966" s="4" t="str">
        <f ca="1">IFERROR(__xludf.DUMMYFUNCTION("IFERROR(GOOGLETRANSLATE(B966,""en"",""zh-TW""),)"),"")</f>
        <v/>
      </c>
      <c r="E966" s="4" t="str">
        <f ca="1">IFERROR(__xludf.DUMMYFUNCTION("IFERROR(GOOGLETRANSLATE(B966,""en"",""zh-CN""),)"),"")</f>
        <v/>
      </c>
    </row>
    <row r="967" spans="1:5" ht="18">
      <c r="A967" s="3"/>
      <c r="B967" s="4" t="str">
        <f ca="1">IFERROR(__xludf.DUMMYFUNCTION("IFERROR(GOOGLETRANSLATE(A967,""ko"",""en""),)"),"")</f>
        <v/>
      </c>
      <c r="C967" s="4" t="str">
        <f ca="1">IFERROR(__xludf.DUMMYFUNCTION("IFERROR(GOOGLETRANSLATE(B967,""en"",""ja""),)"),"")</f>
        <v/>
      </c>
      <c r="D967" s="4" t="str">
        <f ca="1">IFERROR(__xludf.DUMMYFUNCTION("IFERROR(GOOGLETRANSLATE(B967,""en"",""zh-TW""),)"),"")</f>
        <v/>
      </c>
      <c r="E967" s="4" t="str">
        <f ca="1">IFERROR(__xludf.DUMMYFUNCTION("IFERROR(GOOGLETRANSLATE(B967,""en"",""zh-CN""),)"),"")</f>
        <v/>
      </c>
    </row>
    <row r="968" spans="1:5" ht="18">
      <c r="A968" s="3"/>
      <c r="B968" s="4" t="str">
        <f ca="1">IFERROR(__xludf.DUMMYFUNCTION("IFERROR(GOOGLETRANSLATE(A968,""ko"",""en""),)"),"")</f>
        <v/>
      </c>
      <c r="C968" s="4" t="str">
        <f ca="1">IFERROR(__xludf.DUMMYFUNCTION("IFERROR(GOOGLETRANSLATE(B968,""en"",""ja""),)"),"")</f>
        <v/>
      </c>
      <c r="D968" s="4" t="str">
        <f ca="1">IFERROR(__xludf.DUMMYFUNCTION("IFERROR(GOOGLETRANSLATE(B968,""en"",""zh-TW""),)"),"")</f>
        <v/>
      </c>
      <c r="E968" s="4" t="str">
        <f ca="1">IFERROR(__xludf.DUMMYFUNCTION("IFERROR(GOOGLETRANSLATE(B968,""en"",""zh-CN""),)"),"")</f>
        <v/>
      </c>
    </row>
    <row r="969" spans="1:5" ht="18">
      <c r="A969" s="3"/>
      <c r="B969" s="4" t="str">
        <f ca="1">IFERROR(__xludf.DUMMYFUNCTION("IFERROR(GOOGLETRANSLATE(A969,""ko"",""en""),)"),"")</f>
        <v/>
      </c>
      <c r="C969" s="4" t="str">
        <f ca="1">IFERROR(__xludf.DUMMYFUNCTION("IFERROR(GOOGLETRANSLATE(B969,""en"",""ja""),)"),"")</f>
        <v/>
      </c>
      <c r="D969" s="4" t="str">
        <f ca="1">IFERROR(__xludf.DUMMYFUNCTION("IFERROR(GOOGLETRANSLATE(B969,""en"",""zh-TW""),)"),"")</f>
        <v/>
      </c>
      <c r="E969" s="4" t="str">
        <f ca="1">IFERROR(__xludf.DUMMYFUNCTION("IFERROR(GOOGLETRANSLATE(B969,""en"",""zh-CN""),)"),"")</f>
        <v/>
      </c>
    </row>
    <row r="970" spans="1:5" ht="18">
      <c r="A970" s="3"/>
      <c r="B970" s="4" t="str">
        <f ca="1">IFERROR(__xludf.DUMMYFUNCTION("IFERROR(GOOGLETRANSLATE(A970,""ko"",""en""),)"),"")</f>
        <v/>
      </c>
      <c r="C970" s="4" t="str">
        <f ca="1">IFERROR(__xludf.DUMMYFUNCTION("IFERROR(GOOGLETRANSLATE(B970,""en"",""ja""),)"),"")</f>
        <v/>
      </c>
      <c r="D970" s="4" t="str">
        <f ca="1">IFERROR(__xludf.DUMMYFUNCTION("IFERROR(GOOGLETRANSLATE(B970,""en"",""zh-TW""),)"),"")</f>
        <v/>
      </c>
      <c r="E970" s="4" t="str">
        <f ca="1">IFERROR(__xludf.DUMMYFUNCTION("IFERROR(GOOGLETRANSLATE(B970,""en"",""zh-CN""),)"),"")</f>
        <v/>
      </c>
    </row>
    <row r="971" spans="1:5" ht="18">
      <c r="A971" s="3"/>
      <c r="B971" s="4" t="str">
        <f ca="1">IFERROR(__xludf.DUMMYFUNCTION("IFERROR(GOOGLETRANSLATE(A971,""ko"",""en""),)"),"")</f>
        <v/>
      </c>
      <c r="C971" s="4" t="str">
        <f ca="1">IFERROR(__xludf.DUMMYFUNCTION("IFERROR(GOOGLETRANSLATE(B971,""en"",""ja""),)"),"")</f>
        <v/>
      </c>
      <c r="D971" s="4" t="str">
        <f ca="1">IFERROR(__xludf.DUMMYFUNCTION("IFERROR(GOOGLETRANSLATE(B971,""en"",""zh-TW""),)"),"")</f>
        <v/>
      </c>
      <c r="E971" s="4" t="str">
        <f ca="1">IFERROR(__xludf.DUMMYFUNCTION("IFERROR(GOOGLETRANSLATE(B971,""en"",""zh-CN""),)"),"")</f>
        <v/>
      </c>
    </row>
    <row r="972" spans="1:5" ht="18">
      <c r="A972" s="3"/>
      <c r="B972" s="4" t="str">
        <f ca="1">IFERROR(__xludf.DUMMYFUNCTION("IFERROR(GOOGLETRANSLATE(A972,""ko"",""en""),)"),"")</f>
        <v/>
      </c>
      <c r="C972" s="4" t="str">
        <f ca="1">IFERROR(__xludf.DUMMYFUNCTION("IFERROR(GOOGLETRANSLATE(B972,""en"",""ja""),)"),"")</f>
        <v/>
      </c>
      <c r="D972" s="4" t="str">
        <f ca="1">IFERROR(__xludf.DUMMYFUNCTION("IFERROR(GOOGLETRANSLATE(B972,""en"",""zh-TW""),)"),"")</f>
        <v/>
      </c>
      <c r="E972" s="4" t="str">
        <f ca="1">IFERROR(__xludf.DUMMYFUNCTION("IFERROR(GOOGLETRANSLATE(B972,""en"",""zh-CN""),)"),"")</f>
        <v/>
      </c>
    </row>
    <row r="973" spans="1:5" ht="18">
      <c r="A973" s="3"/>
      <c r="B973" s="4" t="str">
        <f ca="1">IFERROR(__xludf.DUMMYFUNCTION("IFERROR(GOOGLETRANSLATE(A973,""ko"",""en""),)"),"")</f>
        <v/>
      </c>
      <c r="C973" s="4" t="str">
        <f ca="1">IFERROR(__xludf.DUMMYFUNCTION("IFERROR(GOOGLETRANSLATE(B973,""en"",""ja""),)"),"")</f>
        <v/>
      </c>
      <c r="D973" s="4" t="str">
        <f ca="1">IFERROR(__xludf.DUMMYFUNCTION("IFERROR(GOOGLETRANSLATE(B973,""en"",""zh-TW""),)"),"")</f>
        <v/>
      </c>
      <c r="E973" s="4" t="str">
        <f ca="1">IFERROR(__xludf.DUMMYFUNCTION("IFERROR(GOOGLETRANSLATE(B973,""en"",""zh-CN""),)"),"")</f>
        <v/>
      </c>
    </row>
    <row r="974" spans="1:5" ht="18">
      <c r="A974" s="3"/>
      <c r="B974" s="4" t="str">
        <f ca="1">IFERROR(__xludf.DUMMYFUNCTION("IFERROR(GOOGLETRANSLATE(A974,""ko"",""en""),)"),"")</f>
        <v/>
      </c>
      <c r="C974" s="4" t="str">
        <f ca="1">IFERROR(__xludf.DUMMYFUNCTION("IFERROR(GOOGLETRANSLATE(B974,""en"",""ja""),)"),"")</f>
        <v/>
      </c>
      <c r="D974" s="4" t="str">
        <f ca="1">IFERROR(__xludf.DUMMYFUNCTION("IFERROR(GOOGLETRANSLATE(B974,""en"",""zh-TW""),)"),"")</f>
        <v/>
      </c>
      <c r="E974" s="4" t="str">
        <f ca="1">IFERROR(__xludf.DUMMYFUNCTION("IFERROR(GOOGLETRANSLATE(B974,""en"",""zh-CN""),)"),"")</f>
        <v/>
      </c>
    </row>
    <row r="975" spans="1:5" ht="18">
      <c r="A975" s="3"/>
      <c r="B975" s="4" t="str">
        <f ca="1">IFERROR(__xludf.DUMMYFUNCTION("IFERROR(GOOGLETRANSLATE(A975,""ko"",""en""),)"),"")</f>
        <v/>
      </c>
      <c r="C975" s="4" t="str">
        <f ca="1">IFERROR(__xludf.DUMMYFUNCTION("IFERROR(GOOGLETRANSLATE(B975,""en"",""ja""),)"),"")</f>
        <v/>
      </c>
      <c r="D975" s="4" t="str">
        <f ca="1">IFERROR(__xludf.DUMMYFUNCTION("IFERROR(GOOGLETRANSLATE(B975,""en"",""zh-TW""),)"),"")</f>
        <v/>
      </c>
      <c r="E975" s="4" t="str">
        <f ca="1">IFERROR(__xludf.DUMMYFUNCTION("IFERROR(GOOGLETRANSLATE(B975,""en"",""zh-CN""),)"),"")</f>
        <v/>
      </c>
    </row>
    <row r="976" spans="1:5" ht="18">
      <c r="A976" s="3"/>
      <c r="B976" s="4" t="str">
        <f ca="1">IFERROR(__xludf.DUMMYFUNCTION("IFERROR(GOOGLETRANSLATE(A976,""ko"",""en""),)"),"")</f>
        <v/>
      </c>
      <c r="C976" s="4" t="str">
        <f ca="1">IFERROR(__xludf.DUMMYFUNCTION("IFERROR(GOOGLETRANSLATE(B976,""en"",""ja""),)"),"")</f>
        <v/>
      </c>
      <c r="D976" s="4" t="str">
        <f ca="1">IFERROR(__xludf.DUMMYFUNCTION("IFERROR(GOOGLETRANSLATE(B976,""en"",""zh-TW""),)"),"")</f>
        <v/>
      </c>
      <c r="E976" s="4" t="str">
        <f ca="1">IFERROR(__xludf.DUMMYFUNCTION("IFERROR(GOOGLETRANSLATE(B976,""en"",""zh-CN""),)"),"")</f>
        <v/>
      </c>
    </row>
    <row r="977" spans="1:5" ht="18">
      <c r="A977" s="3"/>
      <c r="B977" s="4" t="str">
        <f ca="1">IFERROR(__xludf.DUMMYFUNCTION("IFERROR(GOOGLETRANSLATE(A977,""ko"",""en""),)"),"")</f>
        <v/>
      </c>
      <c r="C977" s="4" t="str">
        <f ca="1">IFERROR(__xludf.DUMMYFUNCTION("IFERROR(GOOGLETRANSLATE(B977,""en"",""ja""),)"),"")</f>
        <v/>
      </c>
      <c r="D977" s="4" t="str">
        <f ca="1">IFERROR(__xludf.DUMMYFUNCTION("IFERROR(GOOGLETRANSLATE(B977,""en"",""zh-TW""),)"),"")</f>
        <v/>
      </c>
      <c r="E977" s="4" t="str">
        <f ca="1">IFERROR(__xludf.DUMMYFUNCTION("IFERROR(GOOGLETRANSLATE(B977,""en"",""zh-CN""),)"),"")</f>
        <v/>
      </c>
    </row>
    <row r="978" spans="1:5" ht="18">
      <c r="A978" s="3"/>
      <c r="B978" s="4" t="str">
        <f ca="1">IFERROR(__xludf.DUMMYFUNCTION("IFERROR(GOOGLETRANSLATE(A978,""ko"",""en""),)"),"")</f>
        <v/>
      </c>
      <c r="C978" s="4" t="str">
        <f ca="1">IFERROR(__xludf.DUMMYFUNCTION("IFERROR(GOOGLETRANSLATE(B978,""en"",""ja""),)"),"")</f>
        <v/>
      </c>
      <c r="D978" s="4" t="str">
        <f ca="1">IFERROR(__xludf.DUMMYFUNCTION("IFERROR(GOOGLETRANSLATE(B978,""en"",""zh-TW""),)"),"")</f>
        <v/>
      </c>
      <c r="E978" s="4" t="str">
        <f ca="1">IFERROR(__xludf.DUMMYFUNCTION("IFERROR(GOOGLETRANSLATE(B978,""en"",""zh-CN""),)"),"")</f>
        <v/>
      </c>
    </row>
    <row r="979" spans="1:5" ht="18">
      <c r="A979" s="3"/>
      <c r="B979" s="4" t="str">
        <f ca="1">IFERROR(__xludf.DUMMYFUNCTION("IFERROR(GOOGLETRANSLATE(A979,""ko"",""en""),)"),"")</f>
        <v/>
      </c>
      <c r="C979" s="4" t="str">
        <f ca="1">IFERROR(__xludf.DUMMYFUNCTION("IFERROR(GOOGLETRANSLATE(B979,""en"",""ja""),)"),"")</f>
        <v/>
      </c>
      <c r="D979" s="4" t="str">
        <f ca="1">IFERROR(__xludf.DUMMYFUNCTION("IFERROR(GOOGLETRANSLATE(B979,""en"",""zh-TW""),)"),"")</f>
        <v/>
      </c>
      <c r="E979" s="4" t="str">
        <f ca="1">IFERROR(__xludf.DUMMYFUNCTION("IFERROR(GOOGLETRANSLATE(B979,""en"",""zh-CN""),)"),"")</f>
        <v/>
      </c>
    </row>
    <row r="980" spans="1:5" ht="18">
      <c r="A980" s="3"/>
      <c r="B980" s="4" t="str">
        <f ca="1">IFERROR(__xludf.DUMMYFUNCTION("IFERROR(GOOGLETRANSLATE(A980,""ko"",""en""),)"),"")</f>
        <v/>
      </c>
      <c r="C980" s="4" t="str">
        <f ca="1">IFERROR(__xludf.DUMMYFUNCTION("IFERROR(GOOGLETRANSLATE(B980,""en"",""ja""),)"),"")</f>
        <v/>
      </c>
      <c r="D980" s="4" t="str">
        <f ca="1">IFERROR(__xludf.DUMMYFUNCTION("IFERROR(GOOGLETRANSLATE(B980,""en"",""zh-TW""),)"),"")</f>
        <v/>
      </c>
      <c r="E980" s="4" t="str">
        <f ca="1">IFERROR(__xludf.DUMMYFUNCTION("IFERROR(GOOGLETRANSLATE(B980,""en"",""zh-CN""),)"),"")</f>
        <v/>
      </c>
    </row>
    <row r="981" spans="1:5" ht="18">
      <c r="A981" s="3"/>
      <c r="B981" s="4" t="str">
        <f ca="1">IFERROR(__xludf.DUMMYFUNCTION("IFERROR(GOOGLETRANSLATE(A981,""ko"",""en""),)"),"")</f>
        <v/>
      </c>
      <c r="C981" s="4" t="str">
        <f ca="1">IFERROR(__xludf.DUMMYFUNCTION("IFERROR(GOOGLETRANSLATE(B981,""en"",""ja""),)"),"")</f>
        <v/>
      </c>
      <c r="D981" s="4" t="str">
        <f ca="1">IFERROR(__xludf.DUMMYFUNCTION("IFERROR(GOOGLETRANSLATE(B981,""en"",""zh-TW""),)"),"")</f>
        <v/>
      </c>
      <c r="E981" s="4" t="str">
        <f ca="1">IFERROR(__xludf.DUMMYFUNCTION("IFERROR(GOOGLETRANSLATE(B981,""en"",""zh-CN""),)"),"")</f>
        <v/>
      </c>
    </row>
    <row r="982" spans="1:5" ht="18">
      <c r="A982" s="3"/>
      <c r="B982" s="4" t="str">
        <f ca="1">IFERROR(__xludf.DUMMYFUNCTION("IFERROR(GOOGLETRANSLATE(A982,""ko"",""en""),)"),"")</f>
        <v/>
      </c>
      <c r="C982" s="4" t="str">
        <f ca="1">IFERROR(__xludf.DUMMYFUNCTION("IFERROR(GOOGLETRANSLATE(B982,""en"",""ja""),)"),"")</f>
        <v/>
      </c>
      <c r="D982" s="4" t="str">
        <f ca="1">IFERROR(__xludf.DUMMYFUNCTION("IFERROR(GOOGLETRANSLATE(B982,""en"",""zh-TW""),)"),"")</f>
        <v/>
      </c>
      <c r="E982" s="4" t="str">
        <f ca="1">IFERROR(__xludf.DUMMYFUNCTION("IFERROR(GOOGLETRANSLATE(B982,""en"",""zh-CN""),)"),"")</f>
        <v/>
      </c>
    </row>
    <row r="983" spans="1:5" ht="18">
      <c r="A983" s="3"/>
      <c r="B983" s="4" t="str">
        <f ca="1">IFERROR(__xludf.DUMMYFUNCTION("IFERROR(GOOGLETRANSLATE(A983,""ko"",""en""),)"),"")</f>
        <v/>
      </c>
      <c r="C983" s="4" t="str">
        <f ca="1">IFERROR(__xludf.DUMMYFUNCTION("IFERROR(GOOGLETRANSLATE(B983,""en"",""ja""),)"),"")</f>
        <v/>
      </c>
      <c r="D983" s="4" t="str">
        <f ca="1">IFERROR(__xludf.DUMMYFUNCTION("IFERROR(GOOGLETRANSLATE(B983,""en"",""zh-TW""),)"),"")</f>
        <v/>
      </c>
      <c r="E983" s="4" t="str">
        <f ca="1">IFERROR(__xludf.DUMMYFUNCTION("IFERROR(GOOGLETRANSLATE(B983,""en"",""zh-CN""),)"),"")</f>
        <v/>
      </c>
    </row>
    <row r="984" spans="1:5" ht="18">
      <c r="A984" s="3"/>
      <c r="B984" s="4" t="str">
        <f ca="1">IFERROR(__xludf.DUMMYFUNCTION("IFERROR(GOOGLETRANSLATE(A984,""ko"",""en""),)"),"")</f>
        <v/>
      </c>
      <c r="C984" s="4" t="str">
        <f ca="1">IFERROR(__xludf.DUMMYFUNCTION("IFERROR(GOOGLETRANSLATE(B984,""en"",""ja""),)"),"")</f>
        <v/>
      </c>
      <c r="D984" s="4" t="str">
        <f ca="1">IFERROR(__xludf.DUMMYFUNCTION("IFERROR(GOOGLETRANSLATE(B984,""en"",""zh-TW""),)"),"")</f>
        <v/>
      </c>
      <c r="E984" s="4" t="str">
        <f ca="1">IFERROR(__xludf.DUMMYFUNCTION("IFERROR(GOOGLETRANSLATE(B984,""en"",""zh-CN""),)"),"")</f>
        <v/>
      </c>
    </row>
    <row r="985" spans="1:5" ht="18">
      <c r="A985" s="3"/>
      <c r="B985" s="4" t="str">
        <f ca="1">IFERROR(__xludf.DUMMYFUNCTION("IFERROR(GOOGLETRANSLATE(A985,""ko"",""en""),)"),"")</f>
        <v/>
      </c>
      <c r="C985" s="4" t="str">
        <f ca="1">IFERROR(__xludf.DUMMYFUNCTION("IFERROR(GOOGLETRANSLATE(B985,""en"",""ja""),)"),"")</f>
        <v/>
      </c>
      <c r="D985" s="4" t="str">
        <f ca="1">IFERROR(__xludf.DUMMYFUNCTION("IFERROR(GOOGLETRANSLATE(B985,""en"",""zh-TW""),)"),"")</f>
        <v/>
      </c>
      <c r="E985" s="4" t="str">
        <f ca="1">IFERROR(__xludf.DUMMYFUNCTION("IFERROR(GOOGLETRANSLATE(B985,""en"",""zh-CN""),)"),"")</f>
        <v/>
      </c>
    </row>
    <row r="986" spans="1:5" ht="18">
      <c r="A986" s="3"/>
      <c r="B986" s="4" t="str">
        <f ca="1">IFERROR(__xludf.DUMMYFUNCTION("IFERROR(GOOGLETRANSLATE(A986,""ko"",""en""),)"),"")</f>
        <v/>
      </c>
      <c r="C986" s="4" t="str">
        <f ca="1">IFERROR(__xludf.DUMMYFUNCTION("IFERROR(GOOGLETRANSLATE(B986,""en"",""ja""),)"),"")</f>
        <v/>
      </c>
      <c r="D986" s="4" t="str">
        <f ca="1">IFERROR(__xludf.DUMMYFUNCTION("IFERROR(GOOGLETRANSLATE(B986,""en"",""zh-TW""),)"),"")</f>
        <v/>
      </c>
      <c r="E986" s="4" t="str">
        <f ca="1">IFERROR(__xludf.DUMMYFUNCTION("IFERROR(GOOGLETRANSLATE(B986,""en"",""zh-CN""),)"),"")</f>
        <v/>
      </c>
    </row>
    <row r="987" spans="1:5" ht="18">
      <c r="A987" s="3"/>
      <c r="B987" s="4" t="str">
        <f ca="1">IFERROR(__xludf.DUMMYFUNCTION("IFERROR(GOOGLETRANSLATE(A987,""ko"",""en""),)"),"")</f>
        <v/>
      </c>
      <c r="C987" s="4" t="str">
        <f ca="1">IFERROR(__xludf.DUMMYFUNCTION("IFERROR(GOOGLETRANSLATE(B987,""en"",""ja""),)"),"")</f>
        <v/>
      </c>
      <c r="D987" s="4" t="str">
        <f ca="1">IFERROR(__xludf.DUMMYFUNCTION("IFERROR(GOOGLETRANSLATE(B987,""en"",""zh-TW""),)"),"")</f>
        <v/>
      </c>
      <c r="E987" s="4" t="str">
        <f ca="1">IFERROR(__xludf.DUMMYFUNCTION("IFERROR(GOOGLETRANSLATE(B987,""en"",""zh-CN""),)"),"")</f>
        <v/>
      </c>
    </row>
    <row r="988" spans="1:5" ht="18">
      <c r="A988" s="3"/>
      <c r="B988" s="4" t="str">
        <f ca="1">IFERROR(__xludf.DUMMYFUNCTION("IFERROR(GOOGLETRANSLATE(A988,""ko"",""en""),)"),"")</f>
        <v/>
      </c>
      <c r="C988" s="4" t="str">
        <f ca="1">IFERROR(__xludf.DUMMYFUNCTION("IFERROR(GOOGLETRANSLATE(B988,""en"",""ja""),)"),"")</f>
        <v/>
      </c>
      <c r="D988" s="4" t="str">
        <f ca="1">IFERROR(__xludf.DUMMYFUNCTION("IFERROR(GOOGLETRANSLATE(B988,""en"",""zh-TW""),)"),"")</f>
        <v/>
      </c>
      <c r="E988" s="4" t="str">
        <f ca="1">IFERROR(__xludf.DUMMYFUNCTION("IFERROR(GOOGLETRANSLATE(B988,""en"",""zh-CN""),)"),"")</f>
        <v/>
      </c>
    </row>
    <row r="989" spans="1:5" ht="18">
      <c r="A989" s="3"/>
      <c r="B989" s="4" t="str">
        <f ca="1">IFERROR(__xludf.DUMMYFUNCTION("IFERROR(GOOGLETRANSLATE(A989,""ko"",""en""),)"),"")</f>
        <v/>
      </c>
      <c r="C989" s="4" t="str">
        <f ca="1">IFERROR(__xludf.DUMMYFUNCTION("IFERROR(GOOGLETRANSLATE(B989,""en"",""ja""),)"),"")</f>
        <v/>
      </c>
      <c r="D989" s="4" t="str">
        <f ca="1">IFERROR(__xludf.DUMMYFUNCTION("IFERROR(GOOGLETRANSLATE(B989,""en"",""zh-TW""),)"),"")</f>
        <v/>
      </c>
      <c r="E989" s="4" t="str">
        <f ca="1">IFERROR(__xludf.DUMMYFUNCTION("IFERROR(GOOGLETRANSLATE(B989,""en"",""zh-CN""),)"),"")</f>
        <v/>
      </c>
    </row>
    <row r="990" spans="1:5" ht="18">
      <c r="A990" s="3"/>
      <c r="B990" s="4" t="str">
        <f ca="1">IFERROR(__xludf.DUMMYFUNCTION("IFERROR(GOOGLETRANSLATE(A990,""ko"",""en""),)"),"")</f>
        <v/>
      </c>
      <c r="C990" s="4" t="str">
        <f ca="1">IFERROR(__xludf.DUMMYFUNCTION("IFERROR(GOOGLETRANSLATE(B990,""en"",""ja""),)"),"")</f>
        <v/>
      </c>
      <c r="D990" s="4" t="str">
        <f ca="1">IFERROR(__xludf.DUMMYFUNCTION("IFERROR(GOOGLETRANSLATE(B990,""en"",""zh-TW""),)"),"")</f>
        <v/>
      </c>
      <c r="E990" s="4" t="str">
        <f ca="1">IFERROR(__xludf.DUMMYFUNCTION("IFERROR(GOOGLETRANSLATE(B990,""en"",""zh-CN""),)"),"")</f>
        <v/>
      </c>
    </row>
    <row r="991" spans="1:5" ht="18">
      <c r="A991" s="3"/>
      <c r="B991" s="4" t="str">
        <f ca="1">IFERROR(__xludf.DUMMYFUNCTION("IFERROR(GOOGLETRANSLATE(A991,""ko"",""en""),)"),"")</f>
        <v/>
      </c>
      <c r="C991" s="4" t="str">
        <f ca="1">IFERROR(__xludf.DUMMYFUNCTION("IFERROR(GOOGLETRANSLATE(B991,""en"",""ja""),)"),"")</f>
        <v/>
      </c>
      <c r="D991" s="4" t="str">
        <f ca="1">IFERROR(__xludf.DUMMYFUNCTION("IFERROR(GOOGLETRANSLATE(B991,""en"",""zh-TW""),)"),"")</f>
        <v/>
      </c>
      <c r="E991" s="4" t="str">
        <f ca="1">IFERROR(__xludf.DUMMYFUNCTION("IFERROR(GOOGLETRANSLATE(B991,""en"",""zh-CN""),)"),"")</f>
        <v/>
      </c>
    </row>
    <row r="992" spans="1:5" ht="18">
      <c r="A992" s="3"/>
      <c r="B992" s="4" t="str">
        <f ca="1">IFERROR(__xludf.DUMMYFUNCTION("IFERROR(GOOGLETRANSLATE(A992,""ko"",""en""),)"),"")</f>
        <v/>
      </c>
      <c r="C992" s="4" t="str">
        <f ca="1">IFERROR(__xludf.DUMMYFUNCTION("IFERROR(GOOGLETRANSLATE(B992,""en"",""ja""),)"),"")</f>
        <v/>
      </c>
      <c r="D992" s="4" t="str">
        <f ca="1">IFERROR(__xludf.DUMMYFUNCTION("IFERROR(GOOGLETRANSLATE(B992,""en"",""zh-TW""),)"),"")</f>
        <v/>
      </c>
      <c r="E992" s="4" t="str">
        <f ca="1">IFERROR(__xludf.DUMMYFUNCTION("IFERROR(GOOGLETRANSLATE(B992,""en"",""zh-CN""),)"),"")</f>
        <v/>
      </c>
    </row>
    <row r="993" spans="1:5" ht="18">
      <c r="A993" s="3"/>
      <c r="B993" s="4" t="str">
        <f ca="1">IFERROR(__xludf.DUMMYFUNCTION("IFERROR(GOOGLETRANSLATE(A993,""ko"",""en""),)"),"")</f>
        <v/>
      </c>
      <c r="C993" s="4" t="str">
        <f ca="1">IFERROR(__xludf.DUMMYFUNCTION("IFERROR(GOOGLETRANSLATE(B993,""en"",""ja""),)"),"")</f>
        <v/>
      </c>
      <c r="D993" s="4" t="str">
        <f ca="1">IFERROR(__xludf.DUMMYFUNCTION("IFERROR(GOOGLETRANSLATE(B993,""en"",""zh-TW""),)"),"")</f>
        <v/>
      </c>
      <c r="E993" s="4" t="str">
        <f ca="1">IFERROR(__xludf.DUMMYFUNCTION("IFERROR(GOOGLETRANSLATE(B993,""en"",""zh-CN""),)"),"")</f>
        <v/>
      </c>
    </row>
    <row r="994" spans="1:5" ht="18">
      <c r="A994" s="3"/>
      <c r="B994" s="4" t="str">
        <f ca="1">IFERROR(__xludf.DUMMYFUNCTION("IFERROR(GOOGLETRANSLATE(A994,""ko"",""en""),)"),"")</f>
        <v/>
      </c>
      <c r="C994" s="4" t="str">
        <f ca="1">IFERROR(__xludf.DUMMYFUNCTION("IFERROR(GOOGLETRANSLATE(B994,""en"",""ja""),)"),"")</f>
        <v/>
      </c>
      <c r="D994" s="4" t="str">
        <f ca="1">IFERROR(__xludf.DUMMYFUNCTION("IFERROR(GOOGLETRANSLATE(B994,""en"",""zh-TW""),)"),"")</f>
        <v/>
      </c>
      <c r="E994" s="4" t="str">
        <f ca="1">IFERROR(__xludf.DUMMYFUNCTION("IFERROR(GOOGLETRANSLATE(B994,""en"",""zh-CN""),)"),"")</f>
        <v/>
      </c>
    </row>
    <row r="995" spans="1:5" ht="18">
      <c r="A995" s="3"/>
      <c r="B995" s="4" t="str">
        <f ca="1">IFERROR(__xludf.DUMMYFUNCTION("IFERROR(GOOGLETRANSLATE(A995,""ko"",""en""),)"),"")</f>
        <v/>
      </c>
      <c r="C995" s="4" t="str">
        <f ca="1">IFERROR(__xludf.DUMMYFUNCTION("IFERROR(GOOGLETRANSLATE(B995,""en"",""ja""),)"),"")</f>
        <v/>
      </c>
      <c r="D995" s="4" t="str">
        <f ca="1">IFERROR(__xludf.DUMMYFUNCTION("IFERROR(GOOGLETRANSLATE(B995,""en"",""zh-TW""),)"),"")</f>
        <v/>
      </c>
      <c r="E995" s="4" t="str">
        <f ca="1">IFERROR(__xludf.DUMMYFUNCTION("IFERROR(GOOGLETRANSLATE(B995,""en"",""zh-CN""),)"),"")</f>
        <v/>
      </c>
    </row>
    <row r="996" spans="1:5" ht="18">
      <c r="A996" s="3"/>
      <c r="B996" s="4" t="str">
        <f ca="1">IFERROR(__xludf.DUMMYFUNCTION("IFERROR(GOOGLETRANSLATE(A996,""ko"",""en""),)"),"")</f>
        <v/>
      </c>
      <c r="C996" s="4" t="str">
        <f ca="1">IFERROR(__xludf.DUMMYFUNCTION("IFERROR(GOOGLETRANSLATE(B996,""en"",""ja""),)"),"")</f>
        <v/>
      </c>
      <c r="D996" s="4" t="str">
        <f ca="1">IFERROR(__xludf.DUMMYFUNCTION("IFERROR(GOOGLETRANSLATE(B996,""en"",""zh-TW""),)"),"")</f>
        <v/>
      </c>
      <c r="E996" s="4" t="str">
        <f ca="1">IFERROR(__xludf.DUMMYFUNCTION("IFERROR(GOOGLETRANSLATE(B996,""en"",""zh-CN""),)"),"")</f>
        <v/>
      </c>
    </row>
    <row r="997" spans="1:5" ht="18">
      <c r="A997" s="3"/>
      <c r="B997" s="4" t="str">
        <f ca="1">IFERROR(__xludf.DUMMYFUNCTION("IFERROR(GOOGLETRANSLATE(A997,""ko"",""en""),)"),"")</f>
        <v/>
      </c>
      <c r="C997" s="4" t="str">
        <f ca="1">IFERROR(__xludf.DUMMYFUNCTION("IFERROR(GOOGLETRANSLATE(B997,""en"",""ja""),)"),"")</f>
        <v/>
      </c>
      <c r="D997" s="4" t="str">
        <f ca="1">IFERROR(__xludf.DUMMYFUNCTION("IFERROR(GOOGLETRANSLATE(B997,""en"",""zh-TW""),)"),"")</f>
        <v/>
      </c>
      <c r="E997" s="4" t="str">
        <f ca="1">IFERROR(__xludf.DUMMYFUNCTION("IFERROR(GOOGLETRANSLATE(B997,""en"",""zh-CN""),)"),"")</f>
        <v/>
      </c>
    </row>
    <row r="998" spans="1:5" ht="18">
      <c r="A998" s="3"/>
      <c r="B998" s="4" t="str">
        <f ca="1">IFERROR(__xludf.DUMMYFUNCTION("IFERROR(GOOGLETRANSLATE(A998,""ko"",""en""),)"),"")</f>
        <v/>
      </c>
      <c r="C998" s="4" t="str">
        <f ca="1">IFERROR(__xludf.DUMMYFUNCTION("IFERROR(GOOGLETRANSLATE(B998,""en"",""ja""),)"),"")</f>
        <v/>
      </c>
      <c r="D998" s="4" t="str">
        <f ca="1">IFERROR(__xludf.DUMMYFUNCTION("IFERROR(GOOGLETRANSLATE(B998,""en"",""zh-TW""),)"),"")</f>
        <v/>
      </c>
      <c r="E998" s="4" t="str">
        <f ca="1">IFERROR(__xludf.DUMMYFUNCTION("IFERROR(GOOGLETRANSLATE(B998,""en"",""zh-CN""),)"),"")</f>
        <v/>
      </c>
    </row>
    <row r="999" spans="1:5" ht="18">
      <c r="A999" s="3"/>
      <c r="B999" s="4" t="str">
        <f ca="1">IFERROR(__xludf.DUMMYFUNCTION("IFERROR(GOOGLETRANSLATE(A999,""ko"",""en""),)"),"")</f>
        <v/>
      </c>
      <c r="C999" s="4" t="str">
        <f ca="1">IFERROR(__xludf.DUMMYFUNCTION("IFERROR(GOOGLETRANSLATE(B999,""en"",""ja""),)"),"")</f>
        <v/>
      </c>
      <c r="D999" s="4" t="str">
        <f ca="1">IFERROR(__xludf.DUMMYFUNCTION("IFERROR(GOOGLETRANSLATE(B999,""en"",""zh-TW""),)"),"")</f>
        <v/>
      </c>
      <c r="E999" s="4" t="str">
        <f ca="1">IFERROR(__xludf.DUMMYFUNCTION("IFERROR(GOOGLETRANSLATE(B999,""en"",""zh-CN""),)"),"")</f>
        <v/>
      </c>
    </row>
    <row r="1000" spans="1:5" ht="18">
      <c r="A1000" s="3"/>
      <c r="B1000" s="4" t="str">
        <f ca="1">IFERROR(__xludf.DUMMYFUNCTION("IFERROR(GOOGLETRANSLATE(A1000,""ko"",""en""),)"),"")</f>
        <v/>
      </c>
      <c r="C1000" s="4" t="str">
        <f ca="1">IFERROR(__xludf.DUMMYFUNCTION("IFERROR(GOOGLETRANSLATE(B1000,""en"",""ja""),)"),"")</f>
        <v/>
      </c>
      <c r="D1000" s="4" t="str">
        <f ca="1">IFERROR(__xludf.DUMMYFUNCTION("IFERROR(GOOGLETRANSLATE(B1000,""en"",""zh-TW""),)"),"")</f>
        <v/>
      </c>
      <c r="E1000" s="4" t="str">
        <f ca="1">IFERROR(__xludf.DUMMYFUNCTION("IFERROR(GOOGLETRANSLATE(B1000,""en"",""zh-CN""),)"),"")</f>
        <v/>
      </c>
    </row>
    <row r="1001" spans="1:5" ht="18">
      <c r="A1001" s="3"/>
      <c r="B1001" s="4" t="str">
        <f ca="1">IFERROR(__xludf.DUMMYFUNCTION("IFERROR(GOOGLETRANSLATE(A1001,""ko"",""en""),)"),"")</f>
        <v/>
      </c>
      <c r="C1001" s="4" t="str">
        <f ca="1">IFERROR(__xludf.DUMMYFUNCTION("IFERROR(GOOGLETRANSLATE(B1001,""en"",""ja""),)"),"")</f>
        <v/>
      </c>
      <c r="D1001" s="4" t="str">
        <f ca="1">IFERROR(__xludf.DUMMYFUNCTION("IFERROR(GOOGLETRANSLATE(B1001,""en"",""zh-TW""),)"),"")</f>
        <v/>
      </c>
      <c r="E1001" s="4" t="str">
        <f ca="1">IFERROR(__xludf.DUMMYFUNCTION("IFERROR(GOOGLETRANSLATE(B1001,""en"",""zh-CN""),)"),"")</f>
        <v/>
      </c>
    </row>
    <row r="1002" spans="1:5" ht="18">
      <c r="A1002" s="3"/>
      <c r="B1002" s="4" t="str">
        <f ca="1">IFERROR(__xludf.DUMMYFUNCTION("IFERROR(GOOGLETRANSLATE(A1002,""ko"",""en""),)"),"")</f>
        <v/>
      </c>
      <c r="C1002" s="4" t="str">
        <f ca="1">IFERROR(__xludf.DUMMYFUNCTION("IFERROR(GOOGLETRANSLATE(B1002,""en"",""ja""),)"),"")</f>
        <v/>
      </c>
      <c r="D1002" s="4" t="str">
        <f ca="1">IFERROR(__xludf.DUMMYFUNCTION("IFERROR(GOOGLETRANSLATE(B1002,""en"",""zh-TW""),)"),"")</f>
        <v/>
      </c>
      <c r="E1002" s="4" t="str">
        <f ca="1">IFERROR(__xludf.DUMMYFUNCTION("IFERROR(GOOGLETRANSLATE(B1002,""en"",""zh-CN""),)"),"")</f>
        <v/>
      </c>
    </row>
    <row r="1003" spans="1:5" ht="18">
      <c r="A1003" s="3"/>
      <c r="B1003" s="4" t="str">
        <f ca="1">IFERROR(__xludf.DUMMYFUNCTION("IFERROR(GOOGLETRANSLATE(A1003,""ko"",""en""),)"),"")</f>
        <v/>
      </c>
      <c r="C1003" s="4" t="str">
        <f ca="1">IFERROR(__xludf.DUMMYFUNCTION("IFERROR(GOOGLETRANSLATE(B1003,""en"",""ja""),)"),"")</f>
        <v/>
      </c>
      <c r="D1003" s="4" t="str">
        <f ca="1">IFERROR(__xludf.DUMMYFUNCTION("IFERROR(GOOGLETRANSLATE(B1003,""en"",""zh-TW""),)"),"")</f>
        <v/>
      </c>
      <c r="E1003" s="4" t="str">
        <f ca="1">IFERROR(__xludf.DUMMYFUNCTION("IFERROR(GOOGLETRANSLATE(B1003,""en"",""zh-CN""),)"),"")</f>
        <v/>
      </c>
    </row>
    <row r="1004" spans="1:5" ht="18">
      <c r="A1004" s="3"/>
      <c r="B1004" s="4" t="str">
        <f ca="1">IFERROR(__xludf.DUMMYFUNCTION("IFERROR(GOOGLETRANSLATE(A1004,""ko"",""en""),)"),"")</f>
        <v/>
      </c>
      <c r="C1004" s="4" t="str">
        <f ca="1">IFERROR(__xludf.DUMMYFUNCTION("IFERROR(GOOGLETRANSLATE(B1004,""en"",""ja""),)"),"")</f>
        <v/>
      </c>
      <c r="D1004" s="4" t="str">
        <f ca="1">IFERROR(__xludf.DUMMYFUNCTION("IFERROR(GOOGLETRANSLATE(B1004,""en"",""zh-TW""),)"),"")</f>
        <v/>
      </c>
      <c r="E1004" s="4" t="str">
        <f ca="1">IFERROR(__xludf.DUMMYFUNCTION("IFERROR(GOOGLETRANSLATE(B1004,""en"",""zh-CN""),)"),"")</f>
        <v/>
      </c>
    </row>
    <row r="1005" spans="1:5" ht="18">
      <c r="A1005" s="3"/>
      <c r="B1005" s="4" t="str">
        <f ca="1">IFERROR(__xludf.DUMMYFUNCTION("IFERROR(GOOGLETRANSLATE(A1005,""ko"",""en""),)"),"")</f>
        <v/>
      </c>
      <c r="C1005" s="4" t="str">
        <f ca="1">IFERROR(__xludf.DUMMYFUNCTION("IFERROR(GOOGLETRANSLATE(B1005,""en"",""ja""),)"),"")</f>
        <v/>
      </c>
      <c r="D1005" s="4" t="str">
        <f ca="1">IFERROR(__xludf.DUMMYFUNCTION("IFERROR(GOOGLETRANSLATE(B1005,""en"",""zh-TW""),)"),"")</f>
        <v/>
      </c>
      <c r="E1005" s="4" t="str">
        <f ca="1">IFERROR(__xludf.DUMMYFUNCTION("IFERROR(GOOGLETRANSLATE(B1005,""en"",""zh-CN""),)"),"")</f>
        <v/>
      </c>
    </row>
    <row r="1006" spans="1:5" ht="18">
      <c r="A1006" s="3"/>
      <c r="B1006" s="4" t="str">
        <f ca="1">IFERROR(__xludf.DUMMYFUNCTION("IFERROR(GOOGLETRANSLATE(A1006,""ko"",""en""),)"),"")</f>
        <v/>
      </c>
      <c r="C1006" s="4" t="str">
        <f ca="1">IFERROR(__xludf.DUMMYFUNCTION("IFERROR(GOOGLETRANSLATE(B1006,""en"",""ja""),)"),"")</f>
        <v/>
      </c>
      <c r="D1006" s="4" t="str">
        <f ca="1">IFERROR(__xludf.DUMMYFUNCTION("IFERROR(GOOGLETRANSLATE(B1006,""en"",""zh-TW""),)"),"")</f>
        <v/>
      </c>
      <c r="E1006" s="4" t="str">
        <f ca="1">IFERROR(__xludf.DUMMYFUNCTION("IFERROR(GOOGLETRANSLATE(B1006,""en"",""zh-CN""),)"),"")</f>
        <v/>
      </c>
    </row>
    <row r="1007" spans="1:5" ht="18">
      <c r="A1007" s="3"/>
      <c r="B1007" s="4" t="str">
        <f ca="1">IFERROR(__xludf.DUMMYFUNCTION("IFERROR(GOOGLETRANSLATE(A1007,""ko"",""en""),)"),"")</f>
        <v/>
      </c>
      <c r="C1007" s="4" t="str">
        <f ca="1">IFERROR(__xludf.DUMMYFUNCTION("IFERROR(GOOGLETRANSLATE(B1007,""en"",""ja""),)"),"")</f>
        <v/>
      </c>
      <c r="D1007" s="4" t="str">
        <f ca="1">IFERROR(__xludf.DUMMYFUNCTION("IFERROR(GOOGLETRANSLATE(B1007,""en"",""zh-TW""),)"),"")</f>
        <v/>
      </c>
      <c r="E1007" s="4" t="str">
        <f ca="1">IFERROR(__xludf.DUMMYFUNCTION("IFERROR(GOOGLETRANSLATE(B1007,""en"",""zh-CN""),)"),"")</f>
        <v/>
      </c>
    </row>
    <row r="1008" spans="1:5" ht="18">
      <c r="A1008" s="3"/>
      <c r="B1008" s="4" t="str">
        <f ca="1">IFERROR(__xludf.DUMMYFUNCTION("IFERROR(GOOGLETRANSLATE(A1008,""ko"",""en""),)"),"")</f>
        <v/>
      </c>
      <c r="C1008" s="4" t="str">
        <f ca="1">IFERROR(__xludf.DUMMYFUNCTION("IFERROR(GOOGLETRANSLATE(B1008,""en"",""ja""),)"),"")</f>
        <v/>
      </c>
      <c r="D1008" s="4" t="str">
        <f ca="1">IFERROR(__xludf.DUMMYFUNCTION("IFERROR(GOOGLETRANSLATE(B1008,""en"",""zh-TW""),)"),"")</f>
        <v/>
      </c>
      <c r="E1008" s="4" t="str">
        <f ca="1">IFERROR(__xludf.DUMMYFUNCTION("IFERROR(GOOGLETRANSLATE(B1008,""en"",""zh-CN""),)"),"")</f>
        <v/>
      </c>
    </row>
    <row r="1009" spans="1:5" ht="18">
      <c r="A1009" s="3"/>
      <c r="B1009" s="4" t="str">
        <f ca="1">IFERROR(__xludf.DUMMYFUNCTION("IFERROR(GOOGLETRANSLATE(A1009,""ko"",""en""),)"),"")</f>
        <v/>
      </c>
      <c r="C1009" s="4" t="str">
        <f ca="1">IFERROR(__xludf.DUMMYFUNCTION("IFERROR(GOOGLETRANSLATE(B1009,""en"",""ja""),)"),"")</f>
        <v/>
      </c>
      <c r="D1009" s="4" t="str">
        <f ca="1">IFERROR(__xludf.DUMMYFUNCTION("IFERROR(GOOGLETRANSLATE(B1009,""en"",""zh-TW""),)"),"")</f>
        <v/>
      </c>
      <c r="E1009" s="4" t="str">
        <f ca="1">IFERROR(__xludf.DUMMYFUNCTION("IFERROR(GOOGLETRANSLATE(B1009,""en"",""zh-CN""),)"),"")</f>
        <v/>
      </c>
    </row>
    <row r="1010" spans="1:5" ht="18">
      <c r="A1010" s="3"/>
      <c r="B1010" s="4" t="str">
        <f ca="1">IFERROR(__xludf.DUMMYFUNCTION("IFERROR(GOOGLETRANSLATE(A1010,""ko"",""en""),)"),"")</f>
        <v/>
      </c>
      <c r="C1010" s="4" t="str">
        <f ca="1">IFERROR(__xludf.DUMMYFUNCTION("IFERROR(GOOGLETRANSLATE(B1010,""en"",""ja""),)"),"")</f>
        <v/>
      </c>
      <c r="D1010" s="4" t="str">
        <f ca="1">IFERROR(__xludf.DUMMYFUNCTION("IFERROR(GOOGLETRANSLATE(B1010,""en"",""zh-TW""),)"),"")</f>
        <v/>
      </c>
      <c r="E1010" s="4" t="str">
        <f ca="1">IFERROR(__xludf.DUMMYFUNCTION("IFERROR(GOOGLETRANSLATE(B1010,""en"",""zh-CN""),)"),"")</f>
        <v/>
      </c>
    </row>
    <row r="1011" spans="1:5" ht="18">
      <c r="A1011" s="3"/>
      <c r="B1011" s="4" t="str">
        <f ca="1">IFERROR(__xludf.DUMMYFUNCTION("IFERROR(GOOGLETRANSLATE(A1011,""ko"",""en""),)"),"")</f>
        <v/>
      </c>
      <c r="C1011" s="4" t="str">
        <f ca="1">IFERROR(__xludf.DUMMYFUNCTION("IFERROR(GOOGLETRANSLATE(B1011,""en"",""ja""),)"),"")</f>
        <v/>
      </c>
      <c r="D1011" s="4" t="str">
        <f ca="1">IFERROR(__xludf.DUMMYFUNCTION("IFERROR(GOOGLETRANSLATE(B1011,""en"",""zh-TW""),)"),"")</f>
        <v/>
      </c>
      <c r="E1011" s="4" t="str">
        <f ca="1">IFERROR(__xludf.DUMMYFUNCTION("IFERROR(GOOGLETRANSLATE(B1011,""en"",""zh-CN""),)"),"")</f>
        <v/>
      </c>
    </row>
    <row r="1012" spans="1:5" ht="18">
      <c r="A1012" s="3"/>
      <c r="B1012" s="4" t="str">
        <f ca="1">IFERROR(__xludf.DUMMYFUNCTION("IFERROR(GOOGLETRANSLATE(A1012,""ko"",""en""),)"),"")</f>
        <v/>
      </c>
      <c r="C1012" s="4" t="str">
        <f ca="1">IFERROR(__xludf.DUMMYFUNCTION("IFERROR(GOOGLETRANSLATE(B1012,""en"",""ja""),)"),"")</f>
        <v/>
      </c>
      <c r="D1012" s="4" t="str">
        <f ca="1">IFERROR(__xludf.DUMMYFUNCTION("IFERROR(GOOGLETRANSLATE(B1012,""en"",""zh-TW""),)"),"")</f>
        <v/>
      </c>
      <c r="E1012" s="4" t="str">
        <f ca="1">IFERROR(__xludf.DUMMYFUNCTION("IFERROR(GOOGLETRANSLATE(B1012,""en"",""zh-CN""),)"),"")</f>
        <v/>
      </c>
    </row>
    <row r="1013" spans="1:5" ht="18">
      <c r="A1013" s="3"/>
      <c r="B1013" s="4" t="str">
        <f ca="1">IFERROR(__xludf.DUMMYFUNCTION("IFERROR(GOOGLETRANSLATE(A1013,""ko"",""en""),)"),"")</f>
        <v/>
      </c>
      <c r="C1013" s="4" t="str">
        <f ca="1">IFERROR(__xludf.DUMMYFUNCTION("IFERROR(GOOGLETRANSLATE(B1013,""en"",""ja""),)"),"")</f>
        <v/>
      </c>
      <c r="D1013" s="4" t="str">
        <f ca="1">IFERROR(__xludf.DUMMYFUNCTION("IFERROR(GOOGLETRANSLATE(B1013,""en"",""zh-TW""),)"),"")</f>
        <v/>
      </c>
      <c r="E1013" s="4" t="str">
        <f ca="1">IFERROR(__xludf.DUMMYFUNCTION("IFERROR(GOOGLETRANSLATE(B1013,""en"",""zh-CN""),)"),"")</f>
        <v/>
      </c>
    </row>
    <row r="1014" spans="1:5" ht="18">
      <c r="A1014" s="3"/>
      <c r="B1014" s="4" t="str">
        <f ca="1">IFERROR(__xludf.DUMMYFUNCTION("IFERROR(GOOGLETRANSLATE(A1014,""ko"",""en""),)"),"")</f>
        <v/>
      </c>
      <c r="C1014" s="4" t="str">
        <f ca="1">IFERROR(__xludf.DUMMYFUNCTION("IFERROR(GOOGLETRANSLATE(B1014,""en"",""ja""),)"),"")</f>
        <v/>
      </c>
      <c r="D1014" s="4" t="str">
        <f ca="1">IFERROR(__xludf.DUMMYFUNCTION("IFERROR(GOOGLETRANSLATE(B1014,""en"",""zh-TW""),)"),"")</f>
        <v/>
      </c>
      <c r="E1014" s="4" t="str">
        <f ca="1">IFERROR(__xludf.DUMMYFUNCTION("IFERROR(GOOGLETRANSLATE(B1014,""en"",""zh-CN""),)"),"")</f>
        <v/>
      </c>
    </row>
    <row r="1015" spans="1:5" ht="18">
      <c r="A1015" s="3"/>
      <c r="B1015" s="4" t="str">
        <f ca="1">IFERROR(__xludf.DUMMYFUNCTION("IFERROR(GOOGLETRANSLATE(A1015,""ko"",""en""),)"),"")</f>
        <v/>
      </c>
      <c r="C1015" s="4" t="str">
        <f ca="1">IFERROR(__xludf.DUMMYFUNCTION("IFERROR(GOOGLETRANSLATE(B1015,""en"",""ja""),)"),"")</f>
        <v/>
      </c>
      <c r="D1015" s="4" t="str">
        <f ca="1">IFERROR(__xludf.DUMMYFUNCTION("IFERROR(GOOGLETRANSLATE(B1015,""en"",""zh-TW""),)"),"")</f>
        <v/>
      </c>
      <c r="E1015" s="4" t="str">
        <f ca="1">IFERROR(__xludf.DUMMYFUNCTION("IFERROR(GOOGLETRANSLATE(B1015,""en"",""zh-CN""),)"),"")</f>
        <v/>
      </c>
    </row>
    <row r="1016" spans="1:5" ht="18">
      <c r="A1016" s="3"/>
      <c r="B1016" s="4" t="str">
        <f ca="1">IFERROR(__xludf.DUMMYFUNCTION("IFERROR(GOOGLETRANSLATE(A1016,""ko"",""en""),)"),"")</f>
        <v/>
      </c>
      <c r="C1016" s="4" t="str">
        <f ca="1">IFERROR(__xludf.DUMMYFUNCTION("IFERROR(GOOGLETRANSLATE(B1016,""en"",""ja""),)"),"")</f>
        <v/>
      </c>
      <c r="D1016" s="4" t="str">
        <f ca="1">IFERROR(__xludf.DUMMYFUNCTION("IFERROR(GOOGLETRANSLATE(B1016,""en"",""zh-TW""),)"),"")</f>
        <v/>
      </c>
      <c r="E1016" s="4" t="str">
        <f ca="1">IFERROR(__xludf.DUMMYFUNCTION("IFERROR(GOOGLETRANSLATE(B1016,""en"",""zh-CN""),)"),"")</f>
        <v/>
      </c>
    </row>
    <row r="1017" spans="1:5" ht="18">
      <c r="A1017" s="3"/>
      <c r="B1017" s="4" t="str">
        <f ca="1">IFERROR(__xludf.DUMMYFUNCTION("IFERROR(GOOGLETRANSLATE(A1017,""ko"",""en""),)"),"")</f>
        <v/>
      </c>
      <c r="C1017" s="4" t="str">
        <f ca="1">IFERROR(__xludf.DUMMYFUNCTION("IFERROR(GOOGLETRANSLATE(B1017,""en"",""ja""),)"),"")</f>
        <v/>
      </c>
      <c r="D1017" s="4" t="str">
        <f ca="1">IFERROR(__xludf.DUMMYFUNCTION("IFERROR(GOOGLETRANSLATE(B1017,""en"",""zh-TW""),)"),"")</f>
        <v/>
      </c>
      <c r="E1017" s="4" t="str">
        <f ca="1">IFERROR(__xludf.DUMMYFUNCTION("IFERROR(GOOGLETRANSLATE(B1017,""en"",""zh-CN""),)"),"")</f>
        <v/>
      </c>
    </row>
    <row r="1018" spans="1:5" ht="18">
      <c r="A1018" s="3"/>
      <c r="B1018" s="4" t="str">
        <f ca="1">IFERROR(__xludf.DUMMYFUNCTION("IFERROR(GOOGLETRANSLATE(A1018,""ko"",""en""),)"),"")</f>
        <v/>
      </c>
      <c r="C1018" s="4" t="str">
        <f ca="1">IFERROR(__xludf.DUMMYFUNCTION("IFERROR(GOOGLETRANSLATE(B1018,""en"",""ja""),)"),"")</f>
        <v/>
      </c>
      <c r="D1018" s="4" t="str">
        <f ca="1">IFERROR(__xludf.DUMMYFUNCTION("IFERROR(GOOGLETRANSLATE(B1018,""en"",""zh-TW""),)"),"")</f>
        <v/>
      </c>
      <c r="E1018" s="4" t="str">
        <f ca="1">IFERROR(__xludf.DUMMYFUNCTION("IFERROR(GOOGLETRANSLATE(B1018,""en"",""zh-CN""),)"),"")</f>
        <v/>
      </c>
    </row>
    <row r="1019" spans="1:5" ht="18">
      <c r="A1019" s="3"/>
      <c r="B1019" s="4" t="str">
        <f ca="1">IFERROR(__xludf.DUMMYFUNCTION("IFERROR(GOOGLETRANSLATE(A1019,""ko"",""en""),)"),"")</f>
        <v/>
      </c>
      <c r="C1019" s="4" t="str">
        <f ca="1">IFERROR(__xludf.DUMMYFUNCTION("IFERROR(GOOGLETRANSLATE(B1019,""en"",""ja""),)"),"")</f>
        <v/>
      </c>
      <c r="D1019" s="4" t="str">
        <f ca="1">IFERROR(__xludf.DUMMYFUNCTION("IFERROR(GOOGLETRANSLATE(B1019,""en"",""zh-TW""),)"),"")</f>
        <v/>
      </c>
      <c r="E1019" s="4" t="str">
        <f ca="1">IFERROR(__xludf.DUMMYFUNCTION("IFERROR(GOOGLETRANSLATE(B1019,""en"",""zh-CN""),)"),"")</f>
        <v/>
      </c>
    </row>
    <row r="1020" spans="1:5" ht="18">
      <c r="A1020" s="3"/>
      <c r="B1020" s="4" t="str">
        <f ca="1">IFERROR(__xludf.DUMMYFUNCTION("IFERROR(GOOGLETRANSLATE(A1020,""ko"",""en""),)"),"")</f>
        <v/>
      </c>
      <c r="C1020" s="4" t="str">
        <f ca="1">IFERROR(__xludf.DUMMYFUNCTION("IFERROR(GOOGLETRANSLATE(B1020,""en"",""ja""),)"),"")</f>
        <v/>
      </c>
      <c r="D1020" s="4" t="str">
        <f ca="1">IFERROR(__xludf.DUMMYFUNCTION("IFERROR(GOOGLETRANSLATE(B1020,""en"",""zh-TW""),)"),"")</f>
        <v/>
      </c>
      <c r="E1020" s="4" t="str">
        <f ca="1">IFERROR(__xludf.DUMMYFUNCTION("IFERROR(GOOGLETRANSLATE(B1020,""en"",""zh-CN""),)"),"")</f>
        <v/>
      </c>
    </row>
    <row r="1021" spans="1:5" ht="18">
      <c r="A1021" s="3"/>
      <c r="B1021" s="4" t="str">
        <f ca="1">IFERROR(__xludf.DUMMYFUNCTION("IFERROR(GOOGLETRANSLATE(A1021,""ko"",""en""),)"),"")</f>
        <v/>
      </c>
      <c r="C1021" s="4" t="str">
        <f ca="1">IFERROR(__xludf.DUMMYFUNCTION("IFERROR(GOOGLETRANSLATE(B1021,""en"",""ja""),)"),"")</f>
        <v/>
      </c>
      <c r="D1021" s="4" t="str">
        <f ca="1">IFERROR(__xludf.DUMMYFUNCTION("IFERROR(GOOGLETRANSLATE(B1021,""en"",""zh-TW""),)"),"")</f>
        <v/>
      </c>
      <c r="E1021" s="4" t="str">
        <f ca="1">IFERROR(__xludf.DUMMYFUNCTION("IFERROR(GOOGLETRANSLATE(B1021,""en"",""zh-CN""),)"),"")</f>
        <v/>
      </c>
    </row>
    <row r="1022" spans="1:5" ht="18">
      <c r="A1022" s="3"/>
      <c r="B1022" s="4" t="str">
        <f ca="1">IFERROR(__xludf.DUMMYFUNCTION("IFERROR(GOOGLETRANSLATE(A1022,""ko"",""en""),)"),"")</f>
        <v/>
      </c>
      <c r="C1022" s="4" t="str">
        <f ca="1">IFERROR(__xludf.DUMMYFUNCTION("IFERROR(GOOGLETRANSLATE(B1022,""en"",""ja""),)"),"")</f>
        <v/>
      </c>
      <c r="D1022" s="4" t="str">
        <f ca="1">IFERROR(__xludf.DUMMYFUNCTION("IFERROR(GOOGLETRANSLATE(B1022,""en"",""zh-TW""),)"),"")</f>
        <v/>
      </c>
      <c r="E1022" s="4" t="str">
        <f ca="1">IFERROR(__xludf.DUMMYFUNCTION("IFERROR(GOOGLETRANSLATE(B1022,""en"",""zh-CN""),)"),"")</f>
        <v/>
      </c>
    </row>
    <row r="1023" spans="1:5" ht="18">
      <c r="A1023" s="3"/>
      <c r="B1023" s="4" t="str">
        <f ca="1">IFERROR(__xludf.DUMMYFUNCTION("IFERROR(GOOGLETRANSLATE(A1023,""ko"",""en""),)"),"")</f>
        <v/>
      </c>
      <c r="C1023" s="4" t="str">
        <f ca="1">IFERROR(__xludf.DUMMYFUNCTION("IFERROR(GOOGLETRANSLATE(B1023,""en"",""ja""),)"),"")</f>
        <v/>
      </c>
      <c r="D1023" s="4" t="str">
        <f ca="1">IFERROR(__xludf.DUMMYFUNCTION("IFERROR(GOOGLETRANSLATE(B1023,""en"",""zh-TW""),)"),"")</f>
        <v/>
      </c>
      <c r="E1023" s="4" t="str">
        <f ca="1">IFERROR(__xludf.DUMMYFUNCTION("IFERROR(GOOGLETRANSLATE(B1023,""en"",""zh-CN""),)"),"")</f>
        <v/>
      </c>
    </row>
    <row r="1024" spans="1:5" ht="18">
      <c r="A1024" s="3"/>
      <c r="B1024" s="4" t="str">
        <f ca="1">IFERROR(__xludf.DUMMYFUNCTION("IFERROR(GOOGLETRANSLATE(A1024,""ko"",""en""),)"),"")</f>
        <v/>
      </c>
      <c r="C1024" s="4" t="str">
        <f ca="1">IFERROR(__xludf.DUMMYFUNCTION("IFERROR(GOOGLETRANSLATE(B1024,""en"",""ja""),)"),"")</f>
        <v/>
      </c>
      <c r="D1024" s="4" t="str">
        <f ca="1">IFERROR(__xludf.DUMMYFUNCTION("IFERROR(GOOGLETRANSLATE(B1024,""en"",""zh-TW""),)"),"")</f>
        <v/>
      </c>
      <c r="E1024" s="4" t="str">
        <f ca="1">IFERROR(__xludf.DUMMYFUNCTION("IFERROR(GOOGLETRANSLATE(B1024,""en"",""zh-CN""),)"),"")</f>
        <v/>
      </c>
    </row>
    <row r="1025" spans="1:5" ht="18">
      <c r="A1025" s="3"/>
      <c r="B1025" s="4" t="str">
        <f ca="1">IFERROR(__xludf.DUMMYFUNCTION("IFERROR(GOOGLETRANSLATE(A1025,""ko"",""en""),)"),"")</f>
        <v/>
      </c>
      <c r="C1025" s="4" t="str">
        <f ca="1">IFERROR(__xludf.DUMMYFUNCTION("IFERROR(GOOGLETRANSLATE(B1025,""en"",""ja""),)"),"")</f>
        <v/>
      </c>
      <c r="D1025" s="4" t="str">
        <f ca="1">IFERROR(__xludf.DUMMYFUNCTION("IFERROR(GOOGLETRANSLATE(B1025,""en"",""zh-TW""),)"),"")</f>
        <v/>
      </c>
      <c r="E1025" s="4" t="str">
        <f ca="1">IFERROR(__xludf.DUMMYFUNCTION("IFERROR(GOOGLETRANSLATE(B1025,""en"",""zh-CN""),)"),"")</f>
        <v/>
      </c>
    </row>
    <row r="1026" spans="1:5" ht="18">
      <c r="A1026" s="3"/>
      <c r="B1026" s="4" t="str">
        <f ca="1">IFERROR(__xludf.DUMMYFUNCTION("IFERROR(GOOGLETRANSLATE(A1026,""ko"",""en""),)"),"")</f>
        <v/>
      </c>
      <c r="C1026" s="4" t="str">
        <f ca="1">IFERROR(__xludf.DUMMYFUNCTION("IFERROR(GOOGLETRANSLATE(B1026,""en"",""ja""),)"),"")</f>
        <v/>
      </c>
      <c r="D1026" s="4" t="str">
        <f ca="1">IFERROR(__xludf.DUMMYFUNCTION("IFERROR(GOOGLETRANSLATE(B1026,""en"",""zh-TW""),)"),"")</f>
        <v/>
      </c>
      <c r="E1026" s="4" t="str">
        <f ca="1">IFERROR(__xludf.DUMMYFUNCTION("IFERROR(GOOGLETRANSLATE(B1026,""en"",""zh-CN""),)"),"")</f>
        <v/>
      </c>
    </row>
    <row r="1027" spans="1:5" ht="18">
      <c r="A1027" s="3"/>
      <c r="B1027" s="4" t="str">
        <f ca="1">IFERROR(__xludf.DUMMYFUNCTION("IFERROR(GOOGLETRANSLATE(A1027,""ko"",""en""),)"),"")</f>
        <v/>
      </c>
      <c r="C1027" s="4" t="str">
        <f ca="1">IFERROR(__xludf.DUMMYFUNCTION("IFERROR(GOOGLETRANSLATE(B1027,""en"",""ja""),)"),"")</f>
        <v/>
      </c>
      <c r="D1027" s="4" t="str">
        <f ca="1">IFERROR(__xludf.DUMMYFUNCTION("IFERROR(GOOGLETRANSLATE(B1027,""en"",""zh-TW""),)"),"")</f>
        <v/>
      </c>
      <c r="E1027" s="4" t="str">
        <f ca="1">IFERROR(__xludf.DUMMYFUNCTION("IFERROR(GOOGLETRANSLATE(B1027,""en"",""zh-CN""),)"),"")</f>
        <v/>
      </c>
    </row>
    <row r="1028" spans="1:5" ht="18">
      <c r="A1028" s="3"/>
      <c r="B1028" s="4" t="str">
        <f ca="1">IFERROR(__xludf.DUMMYFUNCTION("IFERROR(GOOGLETRANSLATE(A1028,""ko"",""en""),)"),"")</f>
        <v/>
      </c>
      <c r="C1028" s="4" t="str">
        <f ca="1">IFERROR(__xludf.DUMMYFUNCTION("IFERROR(GOOGLETRANSLATE(B1028,""en"",""ja""),)"),"")</f>
        <v/>
      </c>
      <c r="D1028" s="4" t="str">
        <f ca="1">IFERROR(__xludf.DUMMYFUNCTION("IFERROR(GOOGLETRANSLATE(B1028,""en"",""zh-TW""),)"),"")</f>
        <v/>
      </c>
      <c r="E1028" s="4" t="str">
        <f ca="1">IFERROR(__xludf.DUMMYFUNCTION("IFERROR(GOOGLETRANSLATE(B1028,""en"",""zh-CN""),)"),"")</f>
        <v/>
      </c>
    </row>
    <row r="1029" spans="1:5" ht="18">
      <c r="A1029" s="3"/>
      <c r="B1029" s="4" t="str">
        <f ca="1">IFERROR(__xludf.DUMMYFUNCTION("IFERROR(GOOGLETRANSLATE(A1029,""ko"",""en""),)"),"")</f>
        <v/>
      </c>
      <c r="C1029" s="4" t="str">
        <f ca="1">IFERROR(__xludf.DUMMYFUNCTION("IFERROR(GOOGLETRANSLATE(B1029,""en"",""ja""),)"),"")</f>
        <v/>
      </c>
      <c r="D1029" s="4" t="str">
        <f ca="1">IFERROR(__xludf.DUMMYFUNCTION("IFERROR(GOOGLETRANSLATE(B1029,""en"",""zh-TW""),)"),"")</f>
        <v/>
      </c>
      <c r="E1029" s="4" t="str">
        <f ca="1">IFERROR(__xludf.DUMMYFUNCTION("IFERROR(GOOGLETRANSLATE(B1029,""en"",""zh-CN""),)"),"")</f>
        <v/>
      </c>
    </row>
    <row r="1030" spans="1:5" ht="18">
      <c r="A1030" s="3"/>
      <c r="B1030" s="4" t="str">
        <f ca="1">IFERROR(__xludf.DUMMYFUNCTION("IFERROR(GOOGLETRANSLATE(A1030,""ko"",""en""),)"),"")</f>
        <v/>
      </c>
      <c r="C1030" s="4" t="str">
        <f ca="1">IFERROR(__xludf.DUMMYFUNCTION("IFERROR(GOOGLETRANSLATE(B1030,""en"",""ja""),)"),"")</f>
        <v/>
      </c>
      <c r="D1030" s="4" t="str">
        <f ca="1">IFERROR(__xludf.DUMMYFUNCTION("IFERROR(GOOGLETRANSLATE(B1030,""en"",""zh-TW""),)"),"")</f>
        <v/>
      </c>
      <c r="E1030" s="4" t="str">
        <f ca="1">IFERROR(__xludf.DUMMYFUNCTION("IFERROR(GOOGLETRANSLATE(B1030,""en"",""zh-CN""),)"),"")</f>
        <v/>
      </c>
    </row>
    <row r="1031" spans="1:5" ht="18">
      <c r="A1031" s="3"/>
      <c r="B1031" s="4" t="str">
        <f ca="1">IFERROR(__xludf.DUMMYFUNCTION("IFERROR(GOOGLETRANSLATE(A1031,""ko"",""en""),)"),"")</f>
        <v/>
      </c>
      <c r="C1031" s="4" t="str">
        <f ca="1">IFERROR(__xludf.DUMMYFUNCTION("IFERROR(GOOGLETRANSLATE(B1031,""en"",""ja""),)"),"")</f>
        <v/>
      </c>
      <c r="D1031" s="4" t="str">
        <f ca="1">IFERROR(__xludf.DUMMYFUNCTION("IFERROR(GOOGLETRANSLATE(B1031,""en"",""zh-TW""),)"),"")</f>
        <v/>
      </c>
      <c r="E1031" s="4" t="str">
        <f ca="1">IFERROR(__xludf.DUMMYFUNCTION("IFERROR(GOOGLETRANSLATE(B1031,""en"",""zh-CN""),)"),"")</f>
        <v/>
      </c>
    </row>
    <row r="1032" spans="1:5" ht="18">
      <c r="A1032" s="3"/>
      <c r="B1032" s="4" t="str">
        <f ca="1">IFERROR(__xludf.DUMMYFUNCTION("IFERROR(GOOGLETRANSLATE(A1032,""ko"",""en""),)"),"")</f>
        <v/>
      </c>
      <c r="C1032" s="4" t="str">
        <f ca="1">IFERROR(__xludf.DUMMYFUNCTION("IFERROR(GOOGLETRANSLATE(B1032,""en"",""ja""),)"),"")</f>
        <v/>
      </c>
      <c r="D1032" s="4" t="str">
        <f ca="1">IFERROR(__xludf.DUMMYFUNCTION("IFERROR(GOOGLETRANSLATE(B1032,""en"",""zh-TW""),)"),"")</f>
        <v/>
      </c>
      <c r="E1032" s="4" t="str">
        <f ca="1">IFERROR(__xludf.DUMMYFUNCTION("IFERROR(GOOGLETRANSLATE(B1032,""en"",""zh-CN""),)"),"")</f>
        <v/>
      </c>
    </row>
    <row r="1033" spans="1:5" ht="18">
      <c r="A1033" s="3"/>
      <c r="B1033" s="4" t="str">
        <f ca="1">IFERROR(__xludf.DUMMYFUNCTION("IFERROR(GOOGLETRANSLATE(A1033,""ko"",""en""),)"),"")</f>
        <v/>
      </c>
      <c r="C1033" s="4" t="str">
        <f ca="1">IFERROR(__xludf.DUMMYFUNCTION("IFERROR(GOOGLETRANSLATE(B1033,""en"",""ja""),)"),"")</f>
        <v/>
      </c>
      <c r="D1033" s="4" t="str">
        <f ca="1">IFERROR(__xludf.DUMMYFUNCTION("IFERROR(GOOGLETRANSLATE(B1033,""en"",""zh-TW""),)"),"")</f>
        <v/>
      </c>
      <c r="E1033" s="4" t="str">
        <f ca="1">IFERROR(__xludf.DUMMYFUNCTION("IFERROR(GOOGLETRANSLATE(B1033,""en"",""zh-CN""),)"),"")</f>
        <v/>
      </c>
    </row>
    <row r="1034" spans="1:5" ht="18">
      <c r="A1034" s="3"/>
      <c r="B1034" s="4" t="str">
        <f ca="1">IFERROR(__xludf.DUMMYFUNCTION("IFERROR(GOOGLETRANSLATE(A1034,""ko"",""en""),)"),"")</f>
        <v/>
      </c>
      <c r="C1034" s="4" t="str">
        <f ca="1">IFERROR(__xludf.DUMMYFUNCTION("IFERROR(GOOGLETRANSLATE(B1034,""en"",""ja""),)"),"")</f>
        <v/>
      </c>
      <c r="D1034" s="4" t="str">
        <f ca="1">IFERROR(__xludf.DUMMYFUNCTION("IFERROR(GOOGLETRANSLATE(B1034,""en"",""zh-TW""),)"),"")</f>
        <v/>
      </c>
      <c r="E1034" s="4" t="str">
        <f ca="1">IFERROR(__xludf.DUMMYFUNCTION("IFERROR(GOOGLETRANSLATE(B1034,""en"",""zh-CN""),)"),"")</f>
        <v/>
      </c>
    </row>
    <row r="1035" spans="1:5" ht="18">
      <c r="A1035" s="3"/>
      <c r="B1035" s="4" t="str">
        <f ca="1">IFERROR(__xludf.DUMMYFUNCTION("IFERROR(GOOGLETRANSLATE(A1035,""ko"",""en""),)"),"")</f>
        <v/>
      </c>
      <c r="C1035" s="4" t="str">
        <f ca="1">IFERROR(__xludf.DUMMYFUNCTION("IFERROR(GOOGLETRANSLATE(B1035,""en"",""ja""),)"),"")</f>
        <v/>
      </c>
      <c r="D1035" s="4" t="str">
        <f ca="1">IFERROR(__xludf.DUMMYFUNCTION("IFERROR(GOOGLETRANSLATE(B1035,""en"",""zh-TW""),)"),"")</f>
        <v/>
      </c>
      <c r="E1035" s="4" t="str">
        <f ca="1">IFERROR(__xludf.DUMMYFUNCTION("IFERROR(GOOGLETRANSLATE(B1035,""en"",""zh-CN""),)"),"")</f>
        <v/>
      </c>
    </row>
    <row r="1036" spans="1:5" ht="18">
      <c r="A1036" s="3"/>
      <c r="B1036" s="4" t="str">
        <f ca="1">IFERROR(__xludf.DUMMYFUNCTION("IFERROR(GOOGLETRANSLATE(A1036,""ko"",""en""),)"),"")</f>
        <v/>
      </c>
      <c r="C1036" s="4" t="str">
        <f ca="1">IFERROR(__xludf.DUMMYFUNCTION("IFERROR(GOOGLETRANSLATE(B1036,""en"",""ja""),)"),"")</f>
        <v/>
      </c>
      <c r="D1036" s="4" t="str">
        <f ca="1">IFERROR(__xludf.DUMMYFUNCTION("IFERROR(GOOGLETRANSLATE(B1036,""en"",""zh-TW""),)"),"")</f>
        <v/>
      </c>
      <c r="E1036" s="4" t="str">
        <f ca="1">IFERROR(__xludf.DUMMYFUNCTION("IFERROR(GOOGLETRANSLATE(B1036,""en"",""zh-CN""),)"),"")</f>
        <v/>
      </c>
    </row>
    <row r="1037" spans="1:5" ht="18">
      <c r="A1037" s="3"/>
      <c r="B1037" s="4" t="str">
        <f ca="1">IFERROR(__xludf.DUMMYFUNCTION("IFERROR(GOOGLETRANSLATE(A1037,""ko"",""en""),)"),"")</f>
        <v/>
      </c>
      <c r="C1037" s="4" t="str">
        <f ca="1">IFERROR(__xludf.DUMMYFUNCTION("IFERROR(GOOGLETRANSLATE(B1037,""en"",""ja""),)"),"")</f>
        <v/>
      </c>
      <c r="D1037" s="4" t="str">
        <f ca="1">IFERROR(__xludf.DUMMYFUNCTION("IFERROR(GOOGLETRANSLATE(B1037,""en"",""zh-TW""),)"),"")</f>
        <v/>
      </c>
      <c r="E1037" s="4" t="str">
        <f ca="1">IFERROR(__xludf.DUMMYFUNCTION("IFERROR(GOOGLETRANSLATE(B1037,""en"",""zh-CN""),)"),"")</f>
        <v/>
      </c>
    </row>
    <row r="1038" spans="1:5" ht="18">
      <c r="A1038" s="3"/>
      <c r="B1038" s="4" t="str">
        <f ca="1">IFERROR(__xludf.DUMMYFUNCTION("IFERROR(GOOGLETRANSLATE(A1038,""ko"",""en""),)"),"")</f>
        <v/>
      </c>
      <c r="C1038" s="4" t="str">
        <f ca="1">IFERROR(__xludf.DUMMYFUNCTION("IFERROR(GOOGLETRANSLATE(B1038,""en"",""ja""),)"),"")</f>
        <v/>
      </c>
      <c r="D1038" s="4" t="str">
        <f ca="1">IFERROR(__xludf.DUMMYFUNCTION("IFERROR(GOOGLETRANSLATE(B1038,""en"",""zh-TW""),)"),"")</f>
        <v/>
      </c>
      <c r="E1038" s="4" t="str">
        <f ca="1">IFERROR(__xludf.DUMMYFUNCTION("IFERROR(GOOGLETRANSLATE(B1038,""en"",""zh-CN""),)"),"")</f>
        <v/>
      </c>
    </row>
    <row r="1039" spans="1:5" ht="18">
      <c r="A1039" s="3"/>
      <c r="B1039" s="4" t="str">
        <f ca="1">IFERROR(__xludf.DUMMYFUNCTION("IFERROR(GOOGLETRANSLATE(A1039,""ko"",""en""),)"),"")</f>
        <v/>
      </c>
      <c r="C1039" s="4" t="str">
        <f ca="1">IFERROR(__xludf.DUMMYFUNCTION("IFERROR(GOOGLETRANSLATE(B1039,""en"",""ja""),)"),"")</f>
        <v/>
      </c>
      <c r="D1039" s="4" t="str">
        <f ca="1">IFERROR(__xludf.DUMMYFUNCTION("IFERROR(GOOGLETRANSLATE(B1039,""en"",""zh-TW""),)"),"")</f>
        <v/>
      </c>
      <c r="E1039" s="4" t="str">
        <f ca="1">IFERROR(__xludf.DUMMYFUNCTION("IFERROR(GOOGLETRANSLATE(B1039,""en"",""zh-CN""),)"),"")</f>
        <v/>
      </c>
    </row>
    <row r="1040" spans="1:5" ht="18">
      <c r="A1040" s="3"/>
      <c r="B1040" s="4" t="str">
        <f ca="1">IFERROR(__xludf.DUMMYFUNCTION("IFERROR(GOOGLETRANSLATE(A1040,""ko"",""en""),)"),"")</f>
        <v/>
      </c>
      <c r="C1040" s="4" t="str">
        <f ca="1">IFERROR(__xludf.DUMMYFUNCTION("IFERROR(GOOGLETRANSLATE(B1040,""en"",""ja""),)"),"")</f>
        <v/>
      </c>
      <c r="D1040" s="4" t="str">
        <f ca="1">IFERROR(__xludf.DUMMYFUNCTION("IFERROR(GOOGLETRANSLATE(B1040,""en"",""zh-TW""),)"),"")</f>
        <v/>
      </c>
      <c r="E1040" s="4" t="str">
        <f ca="1">IFERROR(__xludf.DUMMYFUNCTION("IFERROR(GOOGLETRANSLATE(B1040,""en"",""zh-CN""),)"),"")</f>
        <v/>
      </c>
    </row>
    <row r="1041" spans="1:5" ht="18">
      <c r="A1041" s="3"/>
      <c r="B1041" s="4" t="str">
        <f ca="1">IFERROR(__xludf.DUMMYFUNCTION("IFERROR(GOOGLETRANSLATE(A1041,""ko"",""en""),)"),"")</f>
        <v/>
      </c>
      <c r="C1041" s="4" t="str">
        <f ca="1">IFERROR(__xludf.DUMMYFUNCTION("IFERROR(GOOGLETRANSLATE(B1041,""en"",""ja""),)"),"")</f>
        <v/>
      </c>
      <c r="D1041" s="4" t="str">
        <f ca="1">IFERROR(__xludf.DUMMYFUNCTION("IFERROR(GOOGLETRANSLATE(B1041,""en"",""zh-TW""),)"),"")</f>
        <v/>
      </c>
      <c r="E1041" s="4" t="str">
        <f ca="1">IFERROR(__xludf.DUMMYFUNCTION("IFERROR(GOOGLETRANSLATE(B1041,""en"",""zh-CN""),)"),"")</f>
        <v/>
      </c>
    </row>
    <row r="1042" spans="1:5" ht="18">
      <c r="A1042" s="3"/>
      <c r="B1042" s="4" t="str">
        <f ca="1">IFERROR(__xludf.DUMMYFUNCTION("IFERROR(GOOGLETRANSLATE(A1042,""ko"",""en""),)"),"")</f>
        <v/>
      </c>
      <c r="C1042" s="4" t="str">
        <f ca="1">IFERROR(__xludf.DUMMYFUNCTION("IFERROR(GOOGLETRANSLATE(B1042,""en"",""ja""),)"),"")</f>
        <v/>
      </c>
      <c r="D1042" s="4" t="str">
        <f ca="1">IFERROR(__xludf.DUMMYFUNCTION("IFERROR(GOOGLETRANSLATE(B1042,""en"",""zh-TW""),)"),"")</f>
        <v/>
      </c>
      <c r="E1042" s="4" t="str">
        <f ca="1">IFERROR(__xludf.DUMMYFUNCTION("IFERROR(GOOGLETRANSLATE(B1042,""en"",""zh-CN""),)"),"")</f>
        <v/>
      </c>
    </row>
    <row r="1043" spans="1:5" ht="18">
      <c r="A1043" s="3"/>
      <c r="B1043" s="4" t="str">
        <f ca="1">IFERROR(__xludf.DUMMYFUNCTION("IFERROR(GOOGLETRANSLATE(A1043,""ko"",""en""),)"),"")</f>
        <v/>
      </c>
      <c r="C1043" s="4" t="str">
        <f ca="1">IFERROR(__xludf.DUMMYFUNCTION("IFERROR(GOOGLETRANSLATE(B1043,""en"",""ja""),)"),"")</f>
        <v/>
      </c>
      <c r="D1043" s="4" t="str">
        <f ca="1">IFERROR(__xludf.DUMMYFUNCTION("IFERROR(GOOGLETRANSLATE(B1043,""en"",""zh-TW""),)"),"")</f>
        <v/>
      </c>
      <c r="E1043" s="4" t="str">
        <f ca="1">IFERROR(__xludf.DUMMYFUNCTION("IFERROR(GOOGLETRANSLATE(B1043,""en"",""zh-CN""),)"),"")</f>
        <v/>
      </c>
    </row>
    <row r="1044" spans="1:5" ht="18">
      <c r="A1044" s="3"/>
      <c r="B1044" s="4" t="str">
        <f ca="1">IFERROR(__xludf.DUMMYFUNCTION("IFERROR(GOOGLETRANSLATE(A1044,""ko"",""en""),)"),"")</f>
        <v/>
      </c>
      <c r="C1044" s="4" t="str">
        <f ca="1">IFERROR(__xludf.DUMMYFUNCTION("IFERROR(GOOGLETRANSLATE(B1044,""en"",""ja""),)"),"")</f>
        <v/>
      </c>
      <c r="D1044" s="4" t="str">
        <f ca="1">IFERROR(__xludf.DUMMYFUNCTION("IFERROR(GOOGLETRANSLATE(B1044,""en"",""zh-TW""),)"),"")</f>
        <v/>
      </c>
      <c r="E1044" s="4" t="str">
        <f ca="1">IFERROR(__xludf.DUMMYFUNCTION("IFERROR(GOOGLETRANSLATE(B1044,""en"",""zh-CN""),)"),"")</f>
        <v/>
      </c>
    </row>
    <row r="1045" spans="1:5" ht="18">
      <c r="A1045" s="3"/>
      <c r="B1045" s="4" t="str">
        <f ca="1">IFERROR(__xludf.DUMMYFUNCTION("IFERROR(GOOGLETRANSLATE(A1045,""ko"",""en""),)"),"")</f>
        <v/>
      </c>
      <c r="C1045" s="4" t="str">
        <f ca="1">IFERROR(__xludf.DUMMYFUNCTION("IFERROR(GOOGLETRANSLATE(B1045,""en"",""ja""),)"),"")</f>
        <v/>
      </c>
      <c r="D1045" s="4" t="str">
        <f ca="1">IFERROR(__xludf.DUMMYFUNCTION("IFERROR(GOOGLETRANSLATE(B1045,""en"",""zh-TW""),)"),"")</f>
        <v/>
      </c>
      <c r="E1045" s="4" t="str">
        <f ca="1">IFERROR(__xludf.DUMMYFUNCTION("IFERROR(GOOGLETRANSLATE(B1045,""en"",""zh-CN""),)"),"")</f>
        <v/>
      </c>
    </row>
    <row r="1046" spans="1:5" ht="18">
      <c r="A1046" s="3"/>
      <c r="B1046" s="4" t="str">
        <f ca="1">IFERROR(__xludf.DUMMYFUNCTION("IFERROR(GOOGLETRANSLATE(A1046,""ko"",""en""),)"),"")</f>
        <v/>
      </c>
      <c r="C1046" s="4" t="str">
        <f ca="1">IFERROR(__xludf.DUMMYFUNCTION("IFERROR(GOOGLETRANSLATE(B1046,""en"",""ja""),)"),"")</f>
        <v/>
      </c>
      <c r="D1046" s="4" t="str">
        <f ca="1">IFERROR(__xludf.DUMMYFUNCTION("IFERROR(GOOGLETRANSLATE(B1046,""en"",""zh-TW""),)"),"")</f>
        <v/>
      </c>
      <c r="E1046" s="4" t="str">
        <f ca="1">IFERROR(__xludf.DUMMYFUNCTION("IFERROR(GOOGLETRANSLATE(B1046,""en"",""zh-CN""),)"),"")</f>
        <v/>
      </c>
    </row>
    <row r="1047" spans="1:5" ht="18">
      <c r="A1047" s="3"/>
      <c r="B1047" s="4" t="str">
        <f ca="1">IFERROR(__xludf.DUMMYFUNCTION("IFERROR(GOOGLETRANSLATE(A1047,""ko"",""en""),)"),"")</f>
        <v/>
      </c>
      <c r="C1047" s="4" t="str">
        <f ca="1">IFERROR(__xludf.DUMMYFUNCTION("IFERROR(GOOGLETRANSLATE(B1047,""en"",""ja""),)"),"")</f>
        <v/>
      </c>
      <c r="D1047" s="4" t="str">
        <f ca="1">IFERROR(__xludf.DUMMYFUNCTION("IFERROR(GOOGLETRANSLATE(B1047,""en"",""zh-TW""),)"),"")</f>
        <v/>
      </c>
      <c r="E1047" s="4" t="str">
        <f ca="1">IFERROR(__xludf.DUMMYFUNCTION("IFERROR(GOOGLETRANSLATE(B1047,""en"",""zh-CN""),)"),"")</f>
        <v/>
      </c>
    </row>
    <row r="1048" spans="1:5" ht="18">
      <c r="A1048" s="3"/>
      <c r="B1048" s="4" t="str">
        <f ca="1">IFERROR(__xludf.DUMMYFUNCTION("IFERROR(GOOGLETRANSLATE(A1048,""ko"",""en""),)"),"")</f>
        <v/>
      </c>
      <c r="C1048" s="4" t="str">
        <f ca="1">IFERROR(__xludf.DUMMYFUNCTION("IFERROR(GOOGLETRANSLATE(B1048,""en"",""ja""),)"),"")</f>
        <v/>
      </c>
      <c r="D1048" s="4" t="str">
        <f ca="1">IFERROR(__xludf.DUMMYFUNCTION("IFERROR(GOOGLETRANSLATE(B1048,""en"",""zh-TW""),)"),"")</f>
        <v/>
      </c>
      <c r="E1048" s="4" t="str">
        <f ca="1">IFERROR(__xludf.DUMMYFUNCTION("IFERROR(GOOGLETRANSLATE(B1048,""en"",""zh-CN""),)"),"")</f>
        <v/>
      </c>
    </row>
    <row r="1049" spans="1:5" ht="18">
      <c r="A1049" s="3"/>
      <c r="B1049" s="4" t="str">
        <f ca="1">IFERROR(__xludf.DUMMYFUNCTION("IFERROR(GOOGLETRANSLATE(A1049,""ko"",""en""),)"),"")</f>
        <v/>
      </c>
      <c r="C1049" s="4" t="str">
        <f ca="1">IFERROR(__xludf.DUMMYFUNCTION("IFERROR(GOOGLETRANSLATE(B1049,""en"",""ja""),)"),"")</f>
        <v/>
      </c>
      <c r="D1049" s="4" t="str">
        <f ca="1">IFERROR(__xludf.DUMMYFUNCTION("IFERROR(GOOGLETRANSLATE(B1049,""en"",""zh-TW""),)"),"")</f>
        <v/>
      </c>
      <c r="E1049" s="4" t="str">
        <f ca="1">IFERROR(__xludf.DUMMYFUNCTION("IFERROR(GOOGLETRANSLATE(B1049,""en"",""zh-CN""),)"),"")</f>
        <v/>
      </c>
    </row>
    <row r="1050" spans="1:5" ht="18">
      <c r="A1050" s="3"/>
      <c r="B1050" s="4" t="str">
        <f ca="1">IFERROR(__xludf.DUMMYFUNCTION("IFERROR(GOOGLETRANSLATE(A1050,""ko"",""en""),)"),"")</f>
        <v/>
      </c>
      <c r="C1050" s="4" t="str">
        <f ca="1">IFERROR(__xludf.DUMMYFUNCTION("IFERROR(GOOGLETRANSLATE(B1050,""en"",""ja""),)"),"")</f>
        <v/>
      </c>
      <c r="D1050" s="4" t="str">
        <f ca="1">IFERROR(__xludf.DUMMYFUNCTION("IFERROR(GOOGLETRANSLATE(B1050,""en"",""zh-TW""),)"),"")</f>
        <v/>
      </c>
      <c r="E1050" s="4" t="str">
        <f ca="1">IFERROR(__xludf.DUMMYFUNCTION("IFERROR(GOOGLETRANSLATE(B1050,""en"",""zh-CN""),)"),"")</f>
        <v/>
      </c>
    </row>
    <row r="1051" spans="1:5" ht="18">
      <c r="A1051" s="3"/>
      <c r="B1051" s="4" t="str">
        <f ca="1">IFERROR(__xludf.DUMMYFUNCTION("IFERROR(GOOGLETRANSLATE(A1051,""ko"",""en""),)"),"")</f>
        <v/>
      </c>
      <c r="C1051" s="4" t="str">
        <f ca="1">IFERROR(__xludf.DUMMYFUNCTION("IFERROR(GOOGLETRANSLATE(B1051,""en"",""ja""),)"),"")</f>
        <v/>
      </c>
      <c r="D1051" s="4" t="str">
        <f ca="1">IFERROR(__xludf.DUMMYFUNCTION("IFERROR(GOOGLETRANSLATE(B1051,""en"",""zh-TW""),)"),"")</f>
        <v/>
      </c>
      <c r="E1051" s="4" t="str">
        <f ca="1">IFERROR(__xludf.DUMMYFUNCTION("IFERROR(GOOGLETRANSLATE(B1051,""en"",""zh-CN""),)"),"")</f>
        <v/>
      </c>
    </row>
    <row r="1052" spans="1:5" ht="18">
      <c r="A1052" s="3"/>
      <c r="B1052" s="4" t="str">
        <f ca="1">IFERROR(__xludf.DUMMYFUNCTION("IFERROR(GOOGLETRANSLATE(A1052,""ko"",""en""),)"),"")</f>
        <v/>
      </c>
      <c r="C1052" s="4" t="str">
        <f ca="1">IFERROR(__xludf.DUMMYFUNCTION("IFERROR(GOOGLETRANSLATE(B1052,""en"",""ja""),)"),"")</f>
        <v/>
      </c>
      <c r="D1052" s="4" t="str">
        <f ca="1">IFERROR(__xludf.DUMMYFUNCTION("IFERROR(GOOGLETRANSLATE(B1052,""en"",""zh-TW""),)"),"")</f>
        <v/>
      </c>
      <c r="E1052" s="4" t="str">
        <f ca="1">IFERROR(__xludf.DUMMYFUNCTION("IFERROR(GOOGLETRANSLATE(B1052,""en"",""zh-CN""),)"),"")</f>
        <v/>
      </c>
    </row>
    <row r="1053" spans="1:5" ht="18">
      <c r="A1053" s="3"/>
      <c r="B1053" s="4" t="str">
        <f ca="1">IFERROR(__xludf.DUMMYFUNCTION("IFERROR(GOOGLETRANSLATE(A1053,""ko"",""en""),)"),"")</f>
        <v/>
      </c>
      <c r="C1053" s="4" t="str">
        <f ca="1">IFERROR(__xludf.DUMMYFUNCTION("IFERROR(GOOGLETRANSLATE(B1053,""en"",""ja""),)"),"")</f>
        <v/>
      </c>
      <c r="D1053" s="4" t="str">
        <f ca="1">IFERROR(__xludf.DUMMYFUNCTION("IFERROR(GOOGLETRANSLATE(B1053,""en"",""zh-TW""),)"),"")</f>
        <v/>
      </c>
      <c r="E1053" s="4" t="str">
        <f ca="1">IFERROR(__xludf.DUMMYFUNCTION("IFERROR(GOOGLETRANSLATE(B1053,""en"",""zh-CN""),)"),"")</f>
        <v/>
      </c>
    </row>
    <row r="1054" spans="1:5" ht="18">
      <c r="A1054" s="3"/>
      <c r="B1054" s="4" t="str">
        <f ca="1">IFERROR(__xludf.DUMMYFUNCTION("IFERROR(GOOGLETRANSLATE(A1054,""ko"",""en""),)"),"")</f>
        <v/>
      </c>
      <c r="C1054" s="4" t="str">
        <f ca="1">IFERROR(__xludf.DUMMYFUNCTION("IFERROR(GOOGLETRANSLATE(B1054,""en"",""ja""),)"),"")</f>
        <v/>
      </c>
      <c r="D1054" s="4" t="str">
        <f ca="1">IFERROR(__xludf.DUMMYFUNCTION("IFERROR(GOOGLETRANSLATE(B1054,""en"",""zh-TW""),)"),"")</f>
        <v/>
      </c>
      <c r="E1054" s="4" t="str">
        <f ca="1">IFERROR(__xludf.DUMMYFUNCTION("IFERROR(GOOGLETRANSLATE(B1054,""en"",""zh-CN""),)"),"")</f>
        <v/>
      </c>
    </row>
    <row r="1055" spans="1:5" ht="18">
      <c r="A1055" s="3"/>
      <c r="B1055" s="4" t="str">
        <f ca="1">IFERROR(__xludf.DUMMYFUNCTION("IFERROR(GOOGLETRANSLATE(A1055,""ko"",""en""),)"),"")</f>
        <v/>
      </c>
      <c r="C1055" s="4" t="str">
        <f ca="1">IFERROR(__xludf.DUMMYFUNCTION("IFERROR(GOOGLETRANSLATE(B1055,""en"",""ja""),)"),"")</f>
        <v/>
      </c>
      <c r="D1055" s="4" t="str">
        <f ca="1">IFERROR(__xludf.DUMMYFUNCTION("IFERROR(GOOGLETRANSLATE(B1055,""en"",""zh-TW""),)"),"")</f>
        <v/>
      </c>
      <c r="E1055" s="4" t="str">
        <f ca="1">IFERROR(__xludf.DUMMYFUNCTION("IFERROR(GOOGLETRANSLATE(B1055,""en"",""zh-CN""),)"),"")</f>
        <v/>
      </c>
    </row>
    <row r="1056" spans="1:5" ht="18">
      <c r="A1056" s="3"/>
      <c r="B1056" s="4" t="str">
        <f ca="1">IFERROR(__xludf.DUMMYFUNCTION("IFERROR(GOOGLETRANSLATE(A1056,""ko"",""en""),)"),"")</f>
        <v/>
      </c>
      <c r="C1056" s="4" t="str">
        <f ca="1">IFERROR(__xludf.DUMMYFUNCTION("IFERROR(GOOGLETRANSLATE(B1056,""en"",""ja""),)"),"")</f>
        <v/>
      </c>
      <c r="D1056" s="4" t="str">
        <f ca="1">IFERROR(__xludf.DUMMYFUNCTION("IFERROR(GOOGLETRANSLATE(B1056,""en"",""zh-TW""),)"),"")</f>
        <v/>
      </c>
      <c r="E1056" s="4" t="str">
        <f ca="1">IFERROR(__xludf.DUMMYFUNCTION("IFERROR(GOOGLETRANSLATE(B1056,""en"",""zh-CN""),)"),"")</f>
        <v/>
      </c>
    </row>
    <row r="1057" spans="1:5" ht="18">
      <c r="A1057" s="3"/>
      <c r="B1057" s="4" t="str">
        <f ca="1">IFERROR(__xludf.DUMMYFUNCTION("IFERROR(GOOGLETRANSLATE(A1057,""ko"",""en""),)"),"")</f>
        <v/>
      </c>
      <c r="C1057" s="4" t="str">
        <f ca="1">IFERROR(__xludf.DUMMYFUNCTION("IFERROR(GOOGLETRANSLATE(B1057,""en"",""ja""),)"),"")</f>
        <v/>
      </c>
      <c r="D1057" s="4" t="str">
        <f ca="1">IFERROR(__xludf.DUMMYFUNCTION("IFERROR(GOOGLETRANSLATE(B1057,""en"",""zh-TW""),)"),"")</f>
        <v/>
      </c>
      <c r="E1057" s="4" t="str">
        <f ca="1">IFERROR(__xludf.DUMMYFUNCTION("IFERROR(GOOGLETRANSLATE(B1057,""en"",""zh-CN""),)"),"")</f>
        <v/>
      </c>
    </row>
    <row r="1058" spans="1:5" ht="18">
      <c r="A1058" s="3"/>
      <c r="B1058" s="4" t="str">
        <f ca="1">IFERROR(__xludf.DUMMYFUNCTION("IFERROR(GOOGLETRANSLATE(A1058,""ko"",""en""),)"),"")</f>
        <v/>
      </c>
      <c r="C1058" s="4" t="str">
        <f ca="1">IFERROR(__xludf.DUMMYFUNCTION("IFERROR(GOOGLETRANSLATE(B1058,""en"",""ja""),)"),"")</f>
        <v/>
      </c>
      <c r="D1058" s="4" t="str">
        <f ca="1">IFERROR(__xludf.DUMMYFUNCTION("IFERROR(GOOGLETRANSLATE(B1058,""en"",""zh-TW""),)"),"")</f>
        <v/>
      </c>
      <c r="E1058" s="4" t="str">
        <f ca="1">IFERROR(__xludf.DUMMYFUNCTION("IFERROR(GOOGLETRANSLATE(B1058,""en"",""zh-CN""),)"),"")</f>
        <v/>
      </c>
    </row>
    <row r="1059" spans="1:5" ht="18">
      <c r="A1059" s="3"/>
      <c r="B1059" s="4" t="str">
        <f ca="1">IFERROR(__xludf.DUMMYFUNCTION("IFERROR(GOOGLETRANSLATE(A1059,""ko"",""en""),)"),"")</f>
        <v/>
      </c>
      <c r="C1059" s="4" t="str">
        <f ca="1">IFERROR(__xludf.DUMMYFUNCTION("IFERROR(GOOGLETRANSLATE(B1059,""en"",""ja""),)"),"")</f>
        <v/>
      </c>
      <c r="D1059" s="4" t="str">
        <f ca="1">IFERROR(__xludf.DUMMYFUNCTION("IFERROR(GOOGLETRANSLATE(B1059,""en"",""zh-TW""),)"),"")</f>
        <v/>
      </c>
      <c r="E1059" s="4" t="str">
        <f ca="1">IFERROR(__xludf.DUMMYFUNCTION("IFERROR(GOOGLETRANSLATE(B1059,""en"",""zh-CN""),)"),"")</f>
        <v/>
      </c>
    </row>
    <row r="1060" spans="1:5" ht="18">
      <c r="A1060" s="3"/>
      <c r="B1060" s="4" t="str">
        <f ca="1">IFERROR(__xludf.DUMMYFUNCTION("IFERROR(GOOGLETRANSLATE(A1060,""ko"",""en""),)"),"")</f>
        <v/>
      </c>
      <c r="C1060" s="4" t="str">
        <f ca="1">IFERROR(__xludf.DUMMYFUNCTION("IFERROR(GOOGLETRANSLATE(B1060,""en"",""ja""),)"),"")</f>
        <v/>
      </c>
      <c r="D1060" s="4" t="str">
        <f ca="1">IFERROR(__xludf.DUMMYFUNCTION("IFERROR(GOOGLETRANSLATE(B1060,""en"",""zh-TW""),)"),"")</f>
        <v/>
      </c>
      <c r="E1060" s="4" t="str">
        <f ca="1">IFERROR(__xludf.DUMMYFUNCTION("IFERROR(GOOGLETRANSLATE(B1060,""en"",""zh-CN""),)"),"")</f>
        <v/>
      </c>
    </row>
  </sheetData>
  <autoFilter ref="A1:E764"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2089"/>
  <sheetViews>
    <sheetView workbookViewId="0"/>
  </sheetViews>
  <sheetFormatPr baseColWidth="10" defaultColWidth="12.6640625" defaultRowHeight="15.75" customHeight="1"/>
  <cols>
    <col min="1" max="1" width="56.1640625" customWidth="1"/>
    <col min="2" max="2" width="48.1640625" customWidth="1"/>
    <col min="3" max="3" width="53.83203125" customWidth="1"/>
    <col min="4" max="4" width="19.5" customWidth="1"/>
    <col min="5" max="5" width="45" customWidth="1"/>
  </cols>
  <sheetData>
    <row r="1" spans="1:5">
      <c r="A1" s="1" t="s">
        <v>0</v>
      </c>
      <c r="B1" s="1" t="s">
        <v>1</v>
      </c>
      <c r="C1" s="1" t="s">
        <v>2</v>
      </c>
      <c r="D1" s="1" t="s">
        <v>3</v>
      </c>
      <c r="E1" s="1" t="s">
        <v>4</v>
      </c>
    </row>
    <row r="2" spans="1:5">
      <c r="A2" s="3" t="s">
        <v>6</v>
      </c>
      <c r="B2" s="4" t="str">
        <f ca="1">IFERROR(__xludf.DUMMYFUNCTION("IFERROR(GOOGLETRANSLATE(A2,""ko"",""en""),)"),"Sorry")</f>
        <v>Sorry</v>
      </c>
      <c r="C2" s="4" t="str">
        <f ca="1">IFERROR(__xludf.DUMMYFUNCTION("IFERROR(GOOGLETRANSLATE(B2,""en"",""ja""),)"),"ごめん")</f>
        <v>ごめん</v>
      </c>
      <c r="D2" s="4" t="str">
        <f ca="1">IFERROR(__xludf.DUMMYFUNCTION("IFERROR(GOOGLETRANSLATE(B2,""en"",""zh-TW""),)"),"對不起")</f>
        <v>對不起</v>
      </c>
      <c r="E2" s="4" t="str">
        <f ca="1">IFERROR(__xludf.DUMMYFUNCTION("IFERROR(GOOGLETRANSLATE(B2,""en"",""zh-CN""),)"),"对不起")</f>
        <v>对不起</v>
      </c>
    </row>
    <row r="3" spans="1:5">
      <c r="A3" s="3" t="s">
        <v>10</v>
      </c>
      <c r="B3" s="4" t="str">
        <f ca="1">IFERROR(__xludf.DUMMYFUNCTION("IFERROR(GOOGLETRANSLATE(A3,""ko"",""en""),)"),"sorry.")</f>
        <v>sorry.</v>
      </c>
      <c r="C3" s="4" t="str">
        <f ca="1">IFERROR(__xludf.DUMMYFUNCTION("IFERROR(GOOGLETRANSLATE(B3,""en"",""ja""),)"),"ごめん。")</f>
        <v>ごめん。</v>
      </c>
      <c r="D3" s="4" t="str">
        <f ca="1">IFERROR(__xludf.DUMMYFUNCTION("IFERROR(GOOGLETRANSLATE(B3,""en"",""zh-TW""),)"),"對不起。")</f>
        <v>對不起。</v>
      </c>
      <c r="E3" s="4" t="str">
        <f ca="1">IFERROR(__xludf.DUMMYFUNCTION("IFERROR(GOOGLETRANSLATE(B3,""en"",""zh-CN""),)"),"对不起。")</f>
        <v>对不起。</v>
      </c>
    </row>
    <row r="4" spans="1:5">
      <c r="A4" s="3" t="s">
        <v>14</v>
      </c>
      <c r="B4" s="4" t="str">
        <f ca="1">IFERROR(__xludf.DUMMYFUNCTION("IFERROR(GOOGLETRANSLATE(A4,""ko"",""en""),)"),"thank you.")</f>
        <v>thank you.</v>
      </c>
      <c r="C4" s="4" t="str">
        <f ca="1">IFERROR(__xludf.DUMMYFUNCTION("IFERROR(GOOGLETRANSLATE(B4,""en"",""ja""),)"),"ありがとう。")</f>
        <v>ありがとう。</v>
      </c>
      <c r="D4" s="4" t="str">
        <f ca="1">IFERROR(__xludf.DUMMYFUNCTION("IFERROR(GOOGLETRANSLATE(B4,""en"",""zh-TW""),)"),"謝謝。")</f>
        <v>謝謝。</v>
      </c>
      <c r="E4" s="4" t="str">
        <f ca="1">IFERROR(__xludf.DUMMYFUNCTION("IFERROR(GOOGLETRANSLATE(B4,""en"",""zh-CN""),)"),"谢谢。")</f>
        <v>谢谢。</v>
      </c>
    </row>
    <row r="5" spans="1:5">
      <c r="A5" s="3" t="s">
        <v>18</v>
      </c>
      <c r="B5" s="4" t="str">
        <f ca="1">IFERROR(__xludf.DUMMYFUNCTION("IFERROR(GOOGLETRANSLATE(A5,""ko"",""en""),)"),"thank you.")</f>
        <v>thank you.</v>
      </c>
      <c r="C5" s="4" t="str">
        <f ca="1">IFERROR(__xludf.DUMMYFUNCTION("IFERROR(GOOGLETRANSLATE(B5,""en"",""ja""),)"),"ありがとう。")</f>
        <v>ありがとう。</v>
      </c>
      <c r="D5" s="4" t="str">
        <f ca="1">IFERROR(__xludf.DUMMYFUNCTION("IFERROR(GOOGLETRANSLATE(B5,""en"",""zh-TW""),)"),"謝謝。")</f>
        <v>謝謝。</v>
      </c>
      <c r="E5" s="4" t="str">
        <f ca="1">IFERROR(__xludf.DUMMYFUNCTION("IFERROR(GOOGLETRANSLATE(B5,""en"",""zh-CN""),)"),"谢谢。")</f>
        <v>谢谢。</v>
      </c>
    </row>
    <row r="6" spans="1:5">
      <c r="A6" s="2" t="s">
        <v>21</v>
      </c>
      <c r="B6" s="4" t="str">
        <f ca="1">IFERROR(__xludf.DUMMYFUNCTION("IFERROR(GOOGLETRANSLATE(A6,""ko"",""en""),)"),"Nice to meet you.")</f>
        <v>Nice to meet you.</v>
      </c>
      <c r="C6" s="4" t="str">
        <f ca="1">IFERROR(__xludf.DUMMYFUNCTION("IFERROR(GOOGLETRANSLATE(B6,""en"",""ja""),)"),"はじめまして。")</f>
        <v>はじめまして。</v>
      </c>
      <c r="D6" s="4" t="str">
        <f ca="1">IFERROR(__xludf.DUMMYFUNCTION("IFERROR(GOOGLETRANSLATE(B6,""en"",""zh-TW""),)"),"很高興見到你。")</f>
        <v>很高興見到你。</v>
      </c>
      <c r="E6" s="4" t="str">
        <f ca="1">IFERROR(__xludf.DUMMYFUNCTION("IFERROR(GOOGLETRANSLATE(B6,""en"",""zh-CN""),)"),"很高兴见到你。")</f>
        <v>很高兴见到你。</v>
      </c>
    </row>
    <row r="7" spans="1:5">
      <c r="A7" s="2" t="s">
        <v>26</v>
      </c>
      <c r="B7" s="4" t="str">
        <f ca="1">IFERROR(__xludf.DUMMYFUNCTION("IFERROR(GOOGLETRANSLATE(A7,""ko"",""en""),)"),"How have you all been?")</f>
        <v>How have you all been?</v>
      </c>
      <c r="C7" s="4" t="str">
        <f ca="1">IFERROR(__xludf.DUMMYFUNCTION("IFERROR(GOOGLETRANSLATE(B7,""en"",""ja""),)"),"皆さん、お元気でしたか？")</f>
        <v>皆さん、お元気でしたか？</v>
      </c>
      <c r="D7" s="4" t="str">
        <f ca="1">IFERROR(__xludf.DUMMYFUNCTION("IFERROR(GOOGLETRANSLATE(B7,""en"",""zh-TW""),)"),"你們最近怎麼樣？")</f>
        <v>你們最近怎麼樣？</v>
      </c>
      <c r="E7" s="4" t="str">
        <f ca="1">IFERROR(__xludf.DUMMYFUNCTION("IFERROR(GOOGLETRANSLATE(B7,""en"",""zh-CN""),)"),"你们最近怎么样？")</f>
        <v>你们最近怎么样？</v>
      </c>
    </row>
    <row r="8" spans="1:5">
      <c r="A8" s="3" t="s">
        <v>31</v>
      </c>
      <c r="B8" s="4" t="str">
        <f ca="1">IFERROR(__xludf.DUMMYFUNCTION("IFERROR(GOOGLETRANSLATE(A8,""ko"",""en""),)"),"Yes, I've been doing well.")</f>
        <v>Yes, I've been doing well.</v>
      </c>
      <c r="C8" s="4" t="str">
        <f ca="1">IFERROR(__xludf.DUMMYFUNCTION("IFERROR(GOOGLETRANSLATE(B8,""en"",""ja""),)"),"はい、順調です。")</f>
        <v>はい、順調です。</v>
      </c>
      <c r="D8" s="4" t="str">
        <f ca="1">IFERROR(__xludf.DUMMYFUNCTION("IFERROR(GOOGLETRANSLATE(B8,""en"",""zh-TW""),)"),"是的，我一切都好。")</f>
        <v>是的，我一切都好。</v>
      </c>
      <c r="E8" s="4" t="str">
        <f ca="1">IFERROR(__xludf.DUMMYFUNCTION("IFERROR(GOOGLETRANSLATE(B8,""en"",""zh-CN""),)"),"是的，我一切都好。")</f>
        <v>是的，我一切都好。</v>
      </c>
    </row>
    <row r="9" spans="1:5">
      <c r="A9" s="3" t="s">
        <v>37</v>
      </c>
      <c r="B9" s="4" t="str">
        <f ca="1">IFERROR(__xludf.DUMMYFUNCTION("IFERROR(GOOGLETRANSLATE(A9,""ko"",""en""),)"),"Yes, it's fine.")</f>
        <v>Yes, it's fine.</v>
      </c>
      <c r="C9" s="4" t="str">
        <f ca="1">IFERROR(__xludf.DUMMYFUNCTION("IFERROR(GOOGLETRANSLATE(B9,""en"",""ja""),)"),"はい、大丈夫です。")</f>
        <v>はい、大丈夫です。</v>
      </c>
      <c r="D9" s="4" t="str">
        <f ca="1">IFERROR(__xludf.DUMMYFUNCTION("IFERROR(GOOGLETRANSLATE(B9,""en"",""zh-TW""),)"),"是的，沒問題。")</f>
        <v>是的，沒問題。</v>
      </c>
      <c r="E9" s="4" t="str">
        <f ca="1">IFERROR(__xludf.DUMMYFUNCTION("IFERROR(GOOGLETRANSLATE(B9,""en"",""zh-CN""),)"),"是的，没问题。")</f>
        <v>是的，没问题。</v>
      </c>
    </row>
    <row r="10" spans="1:5">
      <c r="A10" s="3" t="s">
        <v>44</v>
      </c>
      <c r="B10" s="4" t="str">
        <f ca="1">IFERROR(__xludf.DUMMYFUNCTION("IFERROR(GOOGLETRANSLATE(A10,""ko"",""en""),)"),"Welcome.")</f>
        <v>Welcome.</v>
      </c>
      <c r="C10" s="4" t="str">
        <f ca="1">IFERROR(__xludf.DUMMYFUNCTION("IFERROR(GOOGLETRANSLATE(B10,""en"",""ja""),)"),"いらっしゃいませ。")</f>
        <v>いらっしゃいませ。</v>
      </c>
      <c r="D10" s="4" t="str">
        <f ca="1">IFERROR(__xludf.DUMMYFUNCTION("IFERROR(GOOGLETRANSLATE(B10,""en"",""zh-TW""),)"),"歡迎。")</f>
        <v>歡迎。</v>
      </c>
      <c r="E10" s="4" t="str">
        <f ca="1">IFERROR(__xludf.DUMMYFUNCTION("IFERROR(GOOGLETRANSLATE(B10,""en"",""zh-CN""),)"),"欢迎。")</f>
        <v>欢迎。</v>
      </c>
    </row>
    <row r="11" spans="1:5">
      <c r="A11" s="5" t="s">
        <v>48</v>
      </c>
      <c r="B11" s="4" t="str">
        <f ca="1">IFERROR(__xludf.DUMMYFUNCTION("IFERROR(GOOGLETRANSLATE(A11,""ko"",""en""),)"),"I'm sorry for being late.")</f>
        <v>I'm sorry for being late.</v>
      </c>
      <c r="C11" s="4" t="str">
        <f ca="1">IFERROR(__xludf.DUMMYFUNCTION("IFERROR(GOOGLETRANSLATE(B11,""en"",""ja""),)"),"遅れて申し訳ありません。")</f>
        <v>遅れて申し訳ありません。</v>
      </c>
      <c r="D11" s="4" t="str">
        <f ca="1">IFERROR(__xludf.DUMMYFUNCTION("IFERROR(GOOGLETRANSLATE(B11,""en"",""zh-TW""),)"),"很抱歉我遲到了。")</f>
        <v>很抱歉我遲到了。</v>
      </c>
      <c r="E11" s="4" t="str">
        <f ca="1">IFERROR(__xludf.DUMMYFUNCTION("IFERROR(GOOGLETRANSLATE(B11,""en"",""zh-CN""),)"),"很抱歉我迟到了。")</f>
        <v>很抱歉我迟到了。</v>
      </c>
    </row>
    <row r="12" spans="1:5">
      <c r="A12" s="5" t="s">
        <v>54</v>
      </c>
      <c r="B12" s="4" t="str">
        <f ca="1">IFERROR(__xludf.DUMMYFUNCTION("IFERROR(GOOGLETRANSLATE(A12,""ko"",""en""),)"),"Come in.")</f>
        <v>Come in.</v>
      </c>
      <c r="C12" s="4" t="str">
        <f ca="1">IFERROR(__xludf.DUMMYFUNCTION("IFERROR(GOOGLETRANSLATE(B12,""en"",""ja""),)"),"お入りください。")</f>
        <v>お入りください。</v>
      </c>
      <c r="D12" s="4" t="str">
        <f ca="1">IFERROR(__xludf.DUMMYFUNCTION("IFERROR(GOOGLETRANSLATE(B12,""en"",""zh-TW""),)"),"進來。")</f>
        <v>進來。</v>
      </c>
      <c r="E12" s="4" t="str">
        <f ca="1">IFERROR(__xludf.DUMMYFUNCTION("IFERROR(GOOGLETRANSLATE(B12,""en"",""zh-CN""),)"),"进来。")</f>
        <v>进来。</v>
      </c>
    </row>
    <row r="13" spans="1:5">
      <c r="A13" s="3" t="s">
        <v>57</v>
      </c>
      <c r="B13" s="4" t="str">
        <f ca="1">IFERROR(__xludf.DUMMYFUNCTION("IFERROR(GOOGLETRANSLATE(A13,""ko"",""en""),)"),"Please sit down.")</f>
        <v>Please sit down.</v>
      </c>
      <c r="C13" s="4" t="str">
        <f ca="1">IFERROR(__xludf.DUMMYFUNCTION("IFERROR(GOOGLETRANSLATE(B13,""en"",""ja""),)"),"どうぞお座りください。")</f>
        <v>どうぞお座りください。</v>
      </c>
      <c r="D13" s="4" t="str">
        <f ca="1">IFERROR(__xludf.DUMMYFUNCTION("IFERROR(GOOGLETRANSLATE(B13,""en"",""zh-TW""),)"),"請坐。")</f>
        <v>請坐。</v>
      </c>
      <c r="E13" s="4" t="str">
        <f ca="1">IFERROR(__xludf.DUMMYFUNCTION("IFERROR(GOOGLETRANSLATE(B13,""en"",""zh-CN""),)"),"请坐。")</f>
        <v>请坐。</v>
      </c>
    </row>
    <row r="14" spans="1:5">
      <c r="A14" s="3" t="s">
        <v>62</v>
      </c>
      <c r="B14" s="4" t="str">
        <f ca="1">IFERROR(__xludf.DUMMYFUNCTION("IFERROR(GOOGLETRANSLATE(A14,""ko"",""en""),)"),"Listen carefully.")</f>
        <v>Listen carefully.</v>
      </c>
      <c r="C14" s="4" t="str">
        <f ca="1">IFERROR(__xludf.DUMMYFUNCTION("IFERROR(GOOGLETRANSLATE(B14,""en"",""ja""),)"),"よく聞いてください。")</f>
        <v>よく聞いてください。</v>
      </c>
      <c r="D14" s="4" t="str">
        <f ca="1">IFERROR(__xludf.DUMMYFUNCTION("IFERROR(GOOGLETRANSLATE(B14,""en"",""zh-TW""),)"),"仔細聽。")</f>
        <v>仔細聽。</v>
      </c>
      <c r="E14" s="4" t="str">
        <f ca="1">IFERROR(__xludf.DUMMYFUNCTION("IFERROR(GOOGLETRANSLATE(B14,""en"",""zh-CN""),)"),"仔细听。")</f>
        <v>仔细听。</v>
      </c>
    </row>
    <row r="15" spans="1:5">
      <c r="A15" s="5" t="s">
        <v>66</v>
      </c>
      <c r="B15" s="4" t="str">
        <f ca="1">IFERROR(__xludf.DUMMYFUNCTION("IFERROR(GOOGLETRANSLATE(A15,""ko"",""en""),)"),"Open the door.")</f>
        <v>Open the door.</v>
      </c>
      <c r="C15" s="4" t="str">
        <f ca="1">IFERROR(__xludf.DUMMYFUNCTION("IFERROR(GOOGLETRANSLATE(B15,""en"",""ja""),)"),"ドアを開けてください。")</f>
        <v>ドアを開けてください。</v>
      </c>
      <c r="D15" s="4" t="str">
        <f ca="1">IFERROR(__xludf.DUMMYFUNCTION("IFERROR(GOOGLETRANSLATE(B15,""en"",""zh-TW""),)"),"開門。")</f>
        <v>開門。</v>
      </c>
      <c r="E15" s="4" t="str">
        <f ca="1">IFERROR(__xludf.DUMMYFUNCTION("IFERROR(GOOGLETRANSLATE(B15,""en"",""zh-CN""),)"),"开门。")</f>
        <v>开门。</v>
      </c>
    </row>
    <row r="16" spans="1:5">
      <c r="A16" s="5" t="s">
        <v>72</v>
      </c>
      <c r="B16" s="4" t="str">
        <f ca="1">IFERROR(__xludf.DUMMYFUNCTION("IFERROR(GOOGLETRANSLATE(A16,""ko"",""en""),)"),"Open the book.")</f>
        <v>Open the book.</v>
      </c>
      <c r="C16" s="4" t="str">
        <f ca="1">IFERROR(__xludf.DUMMYFUNCTION("IFERROR(GOOGLETRANSLATE(B16,""en"",""ja""),)"),"本を開いてください。")</f>
        <v>本を開いてください。</v>
      </c>
      <c r="D16" s="4" t="str">
        <f ca="1">IFERROR(__xludf.DUMMYFUNCTION("IFERROR(GOOGLETRANSLATE(B16,""en"",""zh-TW""),)"),"打開這本書。")</f>
        <v>打開這本書。</v>
      </c>
      <c r="E16" s="4" t="str">
        <f ca="1">IFERROR(__xludf.DUMMYFUNCTION("IFERROR(GOOGLETRANSLATE(B16,""en"",""zh-CN""),)"),"打开这本书。")</f>
        <v>打开这本书。</v>
      </c>
    </row>
    <row r="17" spans="1:5">
      <c r="A17" s="3" t="s">
        <v>77</v>
      </c>
      <c r="B17" s="4" t="str">
        <f ca="1">IFERROR(__xludf.DUMMYFUNCTION("IFERROR(GOOGLETRANSLATE(A17,""ko"",""en""),)"),"nurse")</f>
        <v>nurse</v>
      </c>
      <c r="C17" s="4" t="str">
        <f ca="1">IFERROR(__xludf.DUMMYFUNCTION("IFERROR(GOOGLETRANSLATE(B17,""en"",""ja""),)"),"看護師")</f>
        <v>看護師</v>
      </c>
      <c r="D17" s="4" t="str">
        <f ca="1">IFERROR(__xludf.DUMMYFUNCTION("IFERROR(GOOGLETRANSLATE(B17,""en"",""zh-TW""),)"),"護士")</f>
        <v>護士</v>
      </c>
      <c r="E17" s="4" t="str">
        <f ca="1">IFERROR(__xludf.DUMMYFUNCTION("IFERROR(GOOGLETRANSLATE(B17,""en"",""zh-CN""),)"),"护士")</f>
        <v>护士</v>
      </c>
    </row>
    <row r="18" spans="1:5">
      <c r="A18" s="3" t="s">
        <v>82</v>
      </c>
      <c r="B18" s="4" t="str">
        <f ca="1">IFERROR(__xludf.DUMMYFUNCTION("IFERROR(GOOGLETRANSLATE(A18,""ko"",""en""),)"),"I'm having dinner.")</f>
        <v>I'm having dinner.</v>
      </c>
      <c r="C18" s="4" t="str">
        <f ca="1">IFERROR(__xludf.DUMMYFUNCTION("IFERROR(GOOGLETRANSLATE(B18,""en"",""ja""),)"),"夕食を食べています。")</f>
        <v>夕食を食べています。</v>
      </c>
      <c r="D18" s="4" t="str">
        <f ca="1">IFERROR(__xludf.DUMMYFUNCTION("IFERROR(GOOGLETRANSLATE(B18,""en"",""zh-TW""),)"),"我正在吃晚餐。")</f>
        <v>我正在吃晚餐。</v>
      </c>
      <c r="E18" s="4" t="str">
        <f ca="1">IFERROR(__xludf.DUMMYFUNCTION("IFERROR(GOOGLETRANSLATE(B18,""en"",""zh-CN""),)"),"我正在吃晚饭。")</f>
        <v>我正在吃晚饭。</v>
      </c>
    </row>
    <row r="19" spans="1:5">
      <c r="A19" s="3" t="s">
        <v>85</v>
      </c>
      <c r="B19" s="4" t="str">
        <f ca="1">IFERROR(__xludf.DUMMYFUNCTION("IFERROR(GOOGLETRANSLATE(A19,""ko"",""en""),)"),"I'm eating kimchi stew.")</f>
        <v>I'm eating kimchi stew.</v>
      </c>
      <c r="C19" s="4" t="str">
        <f ca="1">IFERROR(__xludf.DUMMYFUNCTION("IFERROR(GOOGLETRANSLATE(B19,""en"",""ja""),)"),"キムチチゲを食べています。")</f>
        <v>キムチチゲを食べています。</v>
      </c>
      <c r="D19" s="4" t="str">
        <f ca="1">IFERROR(__xludf.DUMMYFUNCTION("IFERROR(GOOGLETRANSLATE(B19,""en"",""zh-TW""),)"),"我在吃泡菜湯。")</f>
        <v>我在吃泡菜湯。</v>
      </c>
      <c r="E19" s="4" t="str">
        <f ca="1">IFERROR(__xludf.DUMMYFUNCTION("IFERROR(GOOGLETRANSLATE(B19,""en"",""zh-CN""),)"),"我在吃泡菜汤。")</f>
        <v>我在吃泡菜汤。</v>
      </c>
    </row>
    <row r="20" spans="1:5">
      <c r="A20" s="3" t="s">
        <v>89</v>
      </c>
      <c r="B20" s="4" t="str">
        <f ca="1">IFERROR(__xludf.DUMMYFUNCTION("IFERROR(GOOGLETRANSLATE(A20,""ko"",""en""),)"),"Meet your family.")</f>
        <v>Meet your family.</v>
      </c>
      <c r="C20" s="4" t="str">
        <f ca="1">IFERROR(__xludf.DUMMYFUNCTION("IFERROR(GOOGLETRANSLATE(B20,""en"",""ja""),)"),"家族を紹介します。")</f>
        <v>家族を紹介します。</v>
      </c>
      <c r="D20" s="4" t="str">
        <f ca="1">IFERROR(__xludf.DUMMYFUNCTION("IFERROR(GOOGLETRANSLATE(B20,""en"",""zh-TW""),)"),"和家人見面。")</f>
        <v>和家人見面。</v>
      </c>
      <c r="E20" s="4" t="str">
        <f ca="1">IFERROR(__xludf.DUMMYFUNCTION("IFERROR(GOOGLETRANSLATE(B20,""en"",""zh-CN""),)"),"和家人见面。")</f>
        <v>和家人见面。</v>
      </c>
    </row>
    <row r="21" spans="1:5">
      <c r="A21" s="5" t="s">
        <v>94</v>
      </c>
      <c r="B21" s="4" t="str">
        <f ca="1">IFERROR(__xludf.DUMMYFUNCTION("IFERROR(GOOGLETRANSLATE(A21,""ko"",""en""),)"),"Places and food")</f>
        <v>Places and food</v>
      </c>
      <c r="C21" s="4" t="str">
        <f ca="1">IFERROR(__xludf.DUMMYFUNCTION("IFERROR(GOOGLETRANSLATE(B21,""en"",""ja""),)"),"場所と食べ物")</f>
        <v>場所と食べ物</v>
      </c>
      <c r="D21" s="4" t="str">
        <f ca="1">IFERROR(__xludf.DUMMYFUNCTION("IFERROR(GOOGLETRANSLATE(B21,""en"",""zh-TW""),)"),"地點和食物")</f>
        <v>地點和食物</v>
      </c>
      <c r="E21" s="4" t="str">
        <f ca="1">IFERROR(__xludf.DUMMYFUNCTION("IFERROR(GOOGLETRANSLATE(B21,""en"",""zh-CN""),)"),"地点和食物")</f>
        <v>地点和食物</v>
      </c>
    </row>
    <row r="22" spans="1:5">
      <c r="A22" s="3" t="s">
        <v>97</v>
      </c>
      <c r="B22" s="4" t="str">
        <f ca="1">IFERROR(__xludf.DUMMYFUNCTION("IFERROR(GOOGLETRANSLATE(A22,""ko"",""en""),)"),"high school")</f>
        <v>high school</v>
      </c>
      <c r="C22" s="4" t="str">
        <f ca="1">IFERROR(__xludf.DUMMYFUNCTION("IFERROR(GOOGLETRANSLATE(B22,""en"",""ja""),)"),"高校")</f>
        <v>高校</v>
      </c>
      <c r="D22" s="4" t="str">
        <f ca="1">IFERROR(__xludf.DUMMYFUNCTION("IFERROR(GOOGLETRANSLATE(B22,""en"",""zh-TW""),)"),"中學")</f>
        <v>中學</v>
      </c>
      <c r="E22" s="4" t="str">
        <f ca="1">IFERROR(__xludf.DUMMYFUNCTION("IFERROR(GOOGLETRANSLATE(B22,""en"",""zh-CN""),)"),"中学")</f>
        <v>中学</v>
      </c>
    </row>
    <row r="23" spans="1:5">
      <c r="A23" s="3" t="s">
        <v>101</v>
      </c>
      <c r="B23" s="4" t="str">
        <f ca="1">IFERROR(__xludf.DUMMYFUNCTION("IFERROR(GOOGLETRANSLATE(A23,""ko"",""en""),)"),"middle school")</f>
        <v>middle school</v>
      </c>
      <c r="C23" s="4" t="str">
        <f ca="1">IFERROR(__xludf.DUMMYFUNCTION("IFERROR(GOOGLETRANSLATE(B23,""en"",""ja""),)"),"中学校")</f>
        <v>中学校</v>
      </c>
      <c r="D23" s="4" t="str">
        <f ca="1">IFERROR(__xludf.DUMMYFUNCTION("IFERROR(GOOGLETRANSLATE(B23,""en"",""zh-TW""),)"),"中學")</f>
        <v>中學</v>
      </c>
      <c r="E23" s="4" t="str">
        <f ca="1">IFERROR(__xludf.DUMMYFUNCTION("IFERROR(GOOGLETRANSLATE(B23,""en"",""zh-CN""),)"),"中学")</f>
        <v>中学</v>
      </c>
    </row>
    <row r="24" spans="1:5">
      <c r="A24" s="3" t="s">
        <v>110</v>
      </c>
      <c r="B24" s="4" t="str">
        <f ca="1">IFERROR(__xludf.DUMMYFUNCTION("IFERROR(GOOGLETRANSLATE(A24,""ko"",""en""),)"),"elementary school")</f>
        <v>elementary school</v>
      </c>
      <c r="C24" s="4" t="str">
        <f ca="1">IFERROR(__xludf.DUMMYFUNCTION("IFERROR(GOOGLETRANSLATE(B24,""en"",""ja""),)"),"小学校")</f>
        <v>小学校</v>
      </c>
      <c r="D24" s="4" t="str">
        <f ca="1">IFERROR(__xludf.DUMMYFUNCTION("IFERROR(GOOGLETRANSLATE(B24,""en"",""zh-TW""),)"),"小學")</f>
        <v>小學</v>
      </c>
      <c r="E24" s="4" t="str">
        <f ca="1">IFERROR(__xludf.DUMMYFUNCTION("IFERROR(GOOGLETRANSLATE(B24,""en"",""zh-CN""),)"),"小学")</f>
        <v>小学</v>
      </c>
    </row>
    <row r="25" spans="1:5">
      <c r="A25" s="5" t="s">
        <v>115</v>
      </c>
      <c r="B25" s="4" t="str">
        <f ca="1">IFERROR(__xludf.DUMMYFUNCTION("IFERROR(GOOGLETRANSLATE(A25,""ko"",""en""),)"),"postgraduate student")</f>
        <v>postgraduate student</v>
      </c>
      <c r="C25" s="4" t="str">
        <f ca="1">IFERROR(__xludf.DUMMYFUNCTION("IFERROR(GOOGLETRANSLATE(B25,""en"",""ja""),)"),"大学院生")</f>
        <v>大学院生</v>
      </c>
      <c r="D25" s="4" t="str">
        <f ca="1">IFERROR(__xludf.DUMMYFUNCTION("IFERROR(GOOGLETRANSLATE(B25,""en"",""zh-TW""),)"),"研究生")</f>
        <v>研究生</v>
      </c>
      <c r="E25" s="4" t="str">
        <f ca="1">IFERROR(__xludf.DUMMYFUNCTION("IFERROR(GOOGLETRANSLATE(B25,""en"",""zh-CN""),)"),"研究生")</f>
        <v>研究生</v>
      </c>
    </row>
    <row r="26" spans="1:5">
      <c r="A26" s="5" t="s">
        <v>121</v>
      </c>
      <c r="B26" s="4" t="str">
        <f ca="1">IFERROR(__xludf.DUMMYFUNCTION("IFERROR(GOOGLETRANSLATE(A26,""ko"",""en""),)"),"office")</f>
        <v>office</v>
      </c>
      <c r="C26" s="4" t="str">
        <f ca="1">IFERROR(__xludf.DUMMYFUNCTION("IFERROR(GOOGLETRANSLATE(B26,""en"",""ja""),)"),"オフィス")</f>
        <v>オフィス</v>
      </c>
      <c r="D26" s="4" t="str">
        <f ca="1">IFERROR(__xludf.DUMMYFUNCTION("IFERROR(GOOGLETRANSLATE(B26,""en"",""zh-TW""),)"),"辦公室")</f>
        <v>辦公室</v>
      </c>
      <c r="E26" s="4" t="str">
        <f ca="1">IFERROR(__xludf.DUMMYFUNCTION("IFERROR(GOOGLETRANSLATE(B26,""en"",""zh-CN""),)"),"办公室")</f>
        <v>办公室</v>
      </c>
    </row>
    <row r="27" spans="1:5">
      <c r="A27" s="3" t="s">
        <v>125</v>
      </c>
      <c r="B27" s="4" t="str">
        <f ca="1">IFERROR(__xludf.DUMMYFUNCTION("IFERROR(GOOGLETRANSLATE(A27,""ko"",""en""),)"),"Do you go to Korean restaurants often?")</f>
        <v>Do you go to Korean restaurants often?</v>
      </c>
      <c r="C27" s="4" t="str">
        <f ca="1">IFERROR(__xludf.DUMMYFUNCTION("IFERROR(GOOGLETRANSLATE(B27,""en"",""ja""),)"),"あなたはよく韓国料理店に行きますか？")</f>
        <v>あなたはよく韓国料理店に行きますか？</v>
      </c>
      <c r="D27" s="4" t="str">
        <f ca="1">IFERROR(__xludf.DUMMYFUNCTION("IFERROR(GOOGLETRANSLATE(B27,""en"",""zh-TW""),)"),"你常去韓國餐廳嗎？")</f>
        <v>你常去韓國餐廳嗎？</v>
      </c>
      <c r="E27" s="4" t="str">
        <f ca="1">IFERROR(__xludf.DUMMYFUNCTION("IFERROR(GOOGLETRANSLATE(B27,""en"",""zh-CN""),)"),"你经常去韩国餐馆吗？")</f>
        <v>你经常去韩国餐馆吗？</v>
      </c>
    </row>
    <row r="28" spans="1:5">
      <c r="A28" s="3" t="s">
        <v>131</v>
      </c>
      <c r="B28" s="4" t="str">
        <f ca="1">IFERROR(__xludf.DUMMYFUNCTION("IFERROR(GOOGLETRANSLATE(A28,""ko"",""en""),)"),"often")</f>
        <v>often</v>
      </c>
      <c r="C28" s="4" t="str">
        <f ca="1">IFERROR(__xludf.DUMMYFUNCTION("IFERROR(GOOGLETRANSLATE(B28,""en"",""ja""),)"),"頻繁")</f>
        <v>頻繁</v>
      </c>
      <c r="D28" s="4" t="str">
        <f ca="1">IFERROR(__xludf.DUMMYFUNCTION("IFERROR(GOOGLETRANSLATE(B28,""en"",""zh-TW""),)"),"常")</f>
        <v>常</v>
      </c>
      <c r="E28" s="4" t="str">
        <f ca="1">IFERROR(__xludf.DUMMYFUNCTION("IFERROR(GOOGLETRANSLATE(B28,""en"",""zh-CN""),)"),"经常")</f>
        <v>经常</v>
      </c>
    </row>
    <row r="29" spans="1:5">
      <c r="A29" s="3" t="s">
        <v>136</v>
      </c>
      <c r="B29" s="4" t="str">
        <f ca="1">IFERROR(__xludf.DUMMYFUNCTION("IFERROR(GOOGLETRANSLATE(A29,""ko"",""en""),)"),"coffee shop")</f>
        <v>coffee shop</v>
      </c>
      <c r="C29" s="4" t="str">
        <f ca="1">IFERROR(__xludf.DUMMYFUNCTION("IFERROR(GOOGLETRANSLATE(B29,""en"",""ja""),)"),"コー​​ヒーショップ")</f>
        <v>コー​​ヒーショップ</v>
      </c>
      <c r="D29" s="4" t="str">
        <f ca="1">IFERROR(__xludf.DUMMYFUNCTION("IFERROR(GOOGLETRANSLATE(B29,""en"",""zh-TW""),)"),"咖啡廳")</f>
        <v>咖啡廳</v>
      </c>
      <c r="E29" s="4" t="str">
        <f ca="1">IFERROR(__xludf.DUMMYFUNCTION("IFERROR(GOOGLETRANSLATE(B29,""en"",""zh-CN""),)"),"咖啡馆")</f>
        <v>咖啡馆</v>
      </c>
    </row>
    <row r="30" spans="1:5">
      <c r="A30" s="3" t="s">
        <v>146</v>
      </c>
      <c r="B30" s="4" t="str">
        <f ca="1">IFERROR(__xludf.DUMMYFUNCTION("IFERROR(GOOGLETRANSLATE(A30,""ko"",""en""),)"),"What do you usually do?")</f>
        <v>What do you usually do?</v>
      </c>
      <c r="C30" s="4" t="str">
        <f ca="1">IFERROR(__xludf.DUMMYFUNCTION("IFERROR(GOOGLETRANSLATE(B30,""en"",""ja""),)"),"普段は何をしていますか？")</f>
        <v>普段は何をしていますか？</v>
      </c>
      <c r="D30" s="4" t="str">
        <f ca="1">IFERROR(__xludf.DUMMYFUNCTION("IFERROR(GOOGLETRANSLATE(B30,""en"",""zh-TW""),)"),"你通常做什麼？")</f>
        <v>你通常做什麼？</v>
      </c>
      <c r="E30" s="4" t="str">
        <f ca="1">IFERROR(__xludf.DUMMYFUNCTION("IFERROR(GOOGLETRANSLATE(B30,""en"",""zh-CN""),)"),"你通常做什么？")</f>
        <v>你通常做什么？</v>
      </c>
    </row>
    <row r="31" spans="1:5">
      <c r="A31" s="3" t="s">
        <v>151</v>
      </c>
      <c r="B31" s="4" t="str">
        <f ca="1">IFERROR(__xludf.DUMMYFUNCTION("IFERROR(GOOGLETRANSLATE(A31,""ko"",""en""),)"),"Let's go for a walk.")</f>
        <v>Let's go for a walk.</v>
      </c>
      <c r="C31" s="4" t="str">
        <f ca="1">IFERROR(__xludf.DUMMYFUNCTION("IFERROR(GOOGLETRANSLATE(B31,""en"",""ja""),)"),"散歩に行きましょう。")</f>
        <v>散歩に行きましょう。</v>
      </c>
      <c r="D31" s="4" t="str">
        <f ca="1">IFERROR(__xludf.DUMMYFUNCTION("IFERROR(GOOGLETRANSLATE(B31,""en"",""zh-TW""),)"),"我們去散步吧。")</f>
        <v>我們去散步吧。</v>
      </c>
      <c r="E31" s="4" t="str">
        <f ca="1">IFERROR(__xludf.DUMMYFUNCTION("IFERROR(GOOGLETRANSLATE(B31,""en"",""zh-CN""),)"),"我们去散步吧。")</f>
        <v>我们去散步吧。</v>
      </c>
    </row>
    <row r="32" spans="1:5">
      <c r="A32" s="3" t="s">
        <v>155</v>
      </c>
      <c r="B32" s="4" t="str">
        <f ca="1">IFERROR(__xludf.DUMMYFUNCTION("IFERROR(GOOGLETRANSLATE(A32,""ko"",""en""),)"),"mart")</f>
        <v>mart</v>
      </c>
      <c r="C32" s="4" t="str">
        <f ca="1">IFERROR(__xludf.DUMMYFUNCTION("IFERROR(GOOGLETRANSLATE(B32,""en"",""ja""),)"),"マート")</f>
        <v>マート</v>
      </c>
      <c r="D32" s="4" t="str">
        <f ca="1">IFERROR(__xludf.DUMMYFUNCTION("IFERROR(GOOGLETRANSLATE(B32,""en"",""zh-TW""),)"),"市場")</f>
        <v>市場</v>
      </c>
      <c r="E32" s="4" t="str">
        <f ca="1">IFERROR(__xludf.DUMMYFUNCTION("IFERROR(GOOGLETRANSLATE(B32,""en"",""zh-CN""),)"),"市场")</f>
        <v>市场</v>
      </c>
    </row>
    <row r="33" spans="1:5">
      <c r="A33" s="3" t="s">
        <v>160</v>
      </c>
      <c r="B33" s="4" t="s">
        <v>161</v>
      </c>
      <c r="C33" s="4" t="str">
        <f ca="1">IFERROR(__xludf.DUMMYFUNCTION("IFERROR(GOOGLETRANSLATE(B33,""en"",""ja""),)"),"食料品の買い物に行く")</f>
        <v>食料品の買い物に行く</v>
      </c>
      <c r="D33" s="4" t="str">
        <f ca="1">IFERROR(__xludf.DUMMYFUNCTION("IFERROR(GOOGLETRANSLATE(B33,""en"",""zh-TW""),)"),"去買菜")</f>
        <v>去買菜</v>
      </c>
      <c r="E33" s="4" t="str">
        <f ca="1">IFERROR(__xludf.DUMMYFUNCTION("IFERROR(GOOGLETRANSLATE(B33,""en"",""zh-CN""),)"),"去买菜")</f>
        <v>去买菜</v>
      </c>
    </row>
    <row r="34" spans="1:5">
      <c r="A34" s="3" t="s">
        <v>166</v>
      </c>
      <c r="B34" s="4" t="str">
        <f ca="1">IFERROR(__xludf.DUMMYFUNCTION("IFERROR(GOOGLETRANSLATE(A34,""ko"",""en""),)"),"I go grocery shopping.")</f>
        <v>I go grocery shopping.</v>
      </c>
      <c r="C34" s="4" t="str">
        <f ca="1">IFERROR(__xludf.DUMMYFUNCTION("IFERROR(GOOGLETRANSLATE(B34,""en"",""ja""),)"),"私は食料品の買い物に行く。")</f>
        <v>私は食料品の買い物に行く。</v>
      </c>
      <c r="D34" s="4" t="str">
        <f ca="1">IFERROR(__xludf.DUMMYFUNCTION("IFERROR(GOOGLETRANSLATE(B34,""en"",""zh-TW""),)"),"我去超市買菜。")</f>
        <v>我去超市買菜。</v>
      </c>
      <c r="E34" s="4" t="str">
        <f ca="1">IFERROR(__xludf.DUMMYFUNCTION("IFERROR(GOOGLETRANSLATE(B34,""en"",""zh-CN""),)"),"我去超市买菜。")</f>
        <v>我去超市买菜。</v>
      </c>
    </row>
    <row r="35" spans="1:5">
      <c r="A35" s="5" t="s">
        <v>171</v>
      </c>
      <c r="B35" s="4" t="str">
        <f ca="1">IFERROR(__xludf.DUMMYFUNCTION("IFERROR(GOOGLETRANSLATE(A35,""ko"",""en""),)"),"vegetable")</f>
        <v>vegetable</v>
      </c>
      <c r="C35" s="4" t="str">
        <f ca="1">IFERROR(__xludf.DUMMYFUNCTION("IFERROR(GOOGLETRANSLATE(B35,""en"",""ja""),)"),"野菜")</f>
        <v>野菜</v>
      </c>
      <c r="D35" s="4" t="str">
        <f ca="1">IFERROR(__xludf.DUMMYFUNCTION("IFERROR(GOOGLETRANSLATE(B35,""en"",""zh-TW""),)"),"蔬菜")</f>
        <v>蔬菜</v>
      </c>
      <c r="E35" s="4" t="str">
        <f ca="1">IFERROR(__xludf.DUMMYFUNCTION("IFERROR(GOOGLETRANSLATE(B35,""en"",""zh-CN""),)"),"蔬菜")</f>
        <v>蔬菜</v>
      </c>
    </row>
    <row r="36" spans="1:5">
      <c r="A36" s="5" t="s">
        <v>176</v>
      </c>
      <c r="B36" s="4" t="str">
        <f ca="1">IFERROR(__xludf.DUMMYFUNCTION("IFERROR(GOOGLETRANSLATE(A36,""ko"",""en""),)"),"vegetable")</f>
        <v>vegetable</v>
      </c>
      <c r="C36" s="4" t="str">
        <f ca="1">IFERROR(__xludf.DUMMYFUNCTION("IFERROR(GOOGLETRANSLATE(B36,""en"",""ja""),)"),"野菜")</f>
        <v>野菜</v>
      </c>
      <c r="D36" s="4" t="str">
        <f ca="1">IFERROR(__xludf.DUMMYFUNCTION("IFERROR(GOOGLETRANSLATE(B36,""en"",""zh-TW""),)"),"蔬菜")</f>
        <v>蔬菜</v>
      </c>
      <c r="E36" s="4" t="str">
        <f ca="1">IFERROR(__xludf.DUMMYFUNCTION("IFERROR(GOOGLETRANSLATE(B36,""en"",""zh-CN""),)"),"蔬菜")</f>
        <v>蔬菜</v>
      </c>
    </row>
    <row r="37" spans="1:5">
      <c r="A37" s="3" t="s">
        <v>181</v>
      </c>
      <c r="B37" s="4" t="str">
        <f ca="1">IFERROR(__xludf.DUMMYFUNCTION("IFERROR(GOOGLETRANSLATE(A37,""ko"",""en""),)"),"This is a restaurant.")</f>
        <v>This is a restaurant.</v>
      </c>
      <c r="C37" s="4" t="str">
        <f ca="1">IFERROR(__xludf.DUMMYFUNCTION("IFERROR(GOOGLETRANSLATE(B37,""en"",""ja""),)"),"ここはレストランです。")</f>
        <v>ここはレストランです。</v>
      </c>
      <c r="D37" s="4" t="str">
        <f ca="1">IFERROR(__xludf.DUMMYFUNCTION("IFERROR(GOOGLETRANSLATE(B37,""en"",""zh-TW""),)"),"這是一家餐廳。")</f>
        <v>這是一家餐廳。</v>
      </c>
      <c r="E37" s="4" t="str">
        <f ca="1">IFERROR(__xludf.DUMMYFUNCTION("IFERROR(GOOGLETRANSLATE(B37,""en"",""zh-CN""),)"),"这是一家餐厅。")</f>
        <v>这是一家餐厅。</v>
      </c>
    </row>
    <row r="38" spans="1:5">
      <c r="A38" s="3" t="s">
        <v>184</v>
      </c>
      <c r="B38" s="4" t="str">
        <f ca="1">IFERROR(__xludf.DUMMYFUNCTION("IFERROR(GOOGLETRANSLATE(A38,""ko"",""en""),)"),"I eat ramen.")</f>
        <v>I eat ramen.</v>
      </c>
      <c r="C38" s="4" t="str">
        <f ca="1">IFERROR(__xludf.DUMMYFUNCTION("IFERROR(GOOGLETRANSLATE(B38,""en"",""ja""),)"),"私はラーメンを食べます。")</f>
        <v>私はラーメンを食べます。</v>
      </c>
      <c r="D38" s="4" t="str">
        <f ca="1">IFERROR(__xludf.DUMMYFUNCTION("IFERROR(GOOGLETRANSLATE(B38,""en"",""zh-TW""),)"),"我吃拉麵。")</f>
        <v>我吃拉麵。</v>
      </c>
      <c r="E38" s="4" t="str">
        <f ca="1">IFERROR(__xludf.DUMMYFUNCTION("IFERROR(GOOGLETRANSLATE(B38,""en"",""zh-CN""),)"),"我吃拉面。")</f>
        <v>我吃拉面。</v>
      </c>
    </row>
    <row r="39" spans="1:5">
      <c r="A39" s="3" t="s">
        <v>186</v>
      </c>
      <c r="B39" s="4" t="str">
        <f ca="1">IFERROR(__xludf.DUMMYFUNCTION("IFERROR(GOOGLETRANSLATE(A39,""ko"",""en""),)"),"This is a cafe.")</f>
        <v>This is a cafe.</v>
      </c>
      <c r="C39" s="4" t="str">
        <f ca="1">IFERROR(__xludf.DUMMYFUNCTION("IFERROR(GOOGLETRANSLATE(B39,""en"",""ja""),)"),"ここはカフェです。")</f>
        <v>ここはカフェです。</v>
      </c>
      <c r="D39" s="4" t="str">
        <f ca="1">IFERROR(__xludf.DUMMYFUNCTION("IFERROR(GOOGLETRANSLATE(B39,""en"",""zh-TW""),)"),"這是一家咖啡館。")</f>
        <v>這是一家咖啡館。</v>
      </c>
      <c r="E39" s="4" t="str">
        <f ca="1">IFERROR(__xludf.DUMMYFUNCTION("IFERROR(GOOGLETRANSLATE(B39,""en"",""zh-CN""),)"),"这是一家咖啡馆。")</f>
        <v>这是一家咖啡馆。</v>
      </c>
    </row>
    <row r="40" spans="1:5">
      <c r="A40" s="3" t="s">
        <v>190</v>
      </c>
      <c r="B40" s="4" t="str">
        <f ca="1">IFERROR(__xludf.DUMMYFUNCTION("IFERROR(GOOGLETRANSLATE(A40,""ko"",""en""),)"),"I drink coffee.")</f>
        <v>I drink coffee.</v>
      </c>
      <c r="C40" s="4" t="str">
        <f ca="1">IFERROR(__xludf.DUMMYFUNCTION("IFERROR(GOOGLETRANSLATE(B40,""en"",""ja""),)"),"私はコーヒーを飲みます。")</f>
        <v>私はコーヒーを飲みます。</v>
      </c>
      <c r="D40" s="4" t="str">
        <f ca="1">IFERROR(__xludf.DUMMYFUNCTION("IFERROR(GOOGLETRANSLATE(B40,""en"",""zh-TW""),)"),"我喝咖啡。")</f>
        <v>我喝咖啡。</v>
      </c>
      <c r="E40" s="4" t="str">
        <f ca="1">IFERROR(__xludf.DUMMYFUNCTION("IFERROR(GOOGLETRANSLATE(B40,""en"",""zh-CN""),)"),"我喝咖啡。")</f>
        <v>我喝咖啡。</v>
      </c>
    </row>
    <row r="41" spans="1:5">
      <c r="A41" s="3" t="s">
        <v>193</v>
      </c>
      <c r="B41" s="4" t="str">
        <f ca="1">IFERROR(__xludf.DUMMYFUNCTION("IFERROR(GOOGLETRANSLATE(A41,""ko"",""en""),)"),"This is a park.")</f>
        <v>This is a park.</v>
      </c>
      <c r="C41" s="4" t="str">
        <f ca="1">IFERROR(__xludf.DUMMYFUNCTION("IFERROR(GOOGLETRANSLATE(B41,""en"",""ja""),)"),"ここは公園です。")</f>
        <v>ここは公園です。</v>
      </c>
      <c r="D41" s="4" t="str">
        <f ca="1">IFERROR(__xludf.DUMMYFUNCTION("IFERROR(GOOGLETRANSLATE(B41,""en"",""zh-TW""),)"),"這是一個公園。")</f>
        <v>這是一個公園。</v>
      </c>
      <c r="E41" s="4" t="str">
        <f ca="1">IFERROR(__xludf.DUMMYFUNCTION("IFERROR(GOOGLETRANSLATE(B41,""en"",""zh-CN""),)"),"这是一个公园。")</f>
        <v>这是一个公园。</v>
      </c>
    </row>
    <row r="42" spans="1:5">
      <c r="A42" s="3" t="s">
        <v>197</v>
      </c>
      <c r="B42" s="4" t="str">
        <f ca="1">IFERROR(__xludf.DUMMYFUNCTION("IFERROR(GOOGLETRANSLATE(A42,""ko"",""en""),)"),"I eat snacks.")</f>
        <v>I eat snacks.</v>
      </c>
      <c r="C42" s="4" t="str">
        <f ca="1">IFERROR(__xludf.DUMMYFUNCTION("IFERROR(GOOGLETRANSLATE(B42,""en"",""ja""),)"),"私はおやつを食べます。")</f>
        <v>私はおやつを食べます。</v>
      </c>
      <c r="D42" s="4" t="str">
        <f ca="1">IFERROR(__xludf.DUMMYFUNCTION("IFERROR(GOOGLETRANSLATE(B42,""en"",""zh-TW""),)"),"我吃零食。")</f>
        <v>我吃零食。</v>
      </c>
      <c r="E42" s="4" t="str">
        <f ca="1">IFERROR(__xludf.DUMMYFUNCTION("IFERROR(GOOGLETRANSLATE(B42,""en"",""zh-CN""),)"),"我吃零食。")</f>
        <v>我吃零食。</v>
      </c>
    </row>
    <row r="43" spans="1:5">
      <c r="A43" s="5" t="s">
        <v>203</v>
      </c>
      <c r="B43" s="4" t="str">
        <f ca="1">IFERROR(__xludf.DUMMYFUNCTION("IFERROR(GOOGLETRANSLATE(A43,""ko"",""en""),)"),"potato")</f>
        <v>potato</v>
      </c>
      <c r="C43" s="4" t="str">
        <f ca="1">IFERROR(__xludf.DUMMYFUNCTION("IFERROR(GOOGLETRANSLATE(B43,""en"",""ja""),)"),"じゃがいも")</f>
        <v>じゃがいも</v>
      </c>
      <c r="D43" s="4" t="str">
        <f ca="1">IFERROR(__xludf.DUMMYFUNCTION("IFERROR(GOOGLETRANSLATE(B43,""en"",""zh-TW""),)"),"馬鈴薯")</f>
        <v>馬鈴薯</v>
      </c>
      <c r="E43" s="4" t="str">
        <f ca="1">IFERROR(__xludf.DUMMYFUNCTION("IFERROR(GOOGLETRANSLATE(B43,""en"",""zh-CN""),)"),"土豆")</f>
        <v>土豆</v>
      </c>
    </row>
    <row r="44" spans="1:5">
      <c r="A44" s="3" t="s">
        <v>206</v>
      </c>
      <c r="B44" s="4" t="str">
        <f ca="1">IFERROR(__xludf.DUMMYFUNCTION("IFERROR(GOOGLETRANSLATE(A44,""ko"",""en""),)"),"potato chips")</f>
        <v>potato chips</v>
      </c>
      <c r="C44" s="4" t="str">
        <f ca="1">IFERROR(__xludf.DUMMYFUNCTION("IFERROR(GOOGLETRANSLATE(B44,""en"",""ja""),)"),"ポテトチップス")</f>
        <v>ポテトチップス</v>
      </c>
      <c r="D44" s="4" t="str">
        <f ca="1">IFERROR(__xludf.DUMMYFUNCTION("IFERROR(GOOGLETRANSLATE(B44,""en"",""zh-TW""),)"),"洋芋片")</f>
        <v>洋芋片</v>
      </c>
      <c r="E44" s="4" t="str">
        <f ca="1">IFERROR(__xludf.DUMMYFUNCTION("IFERROR(GOOGLETRANSLATE(B44,""en"",""zh-CN""),)"),"薯片")</f>
        <v>薯片</v>
      </c>
    </row>
    <row r="45" spans="1:5">
      <c r="A45" s="3" t="s">
        <v>211</v>
      </c>
      <c r="B45" s="4" t="str">
        <f ca="1">IFERROR(__xludf.DUMMYFUNCTION("IFERROR(GOOGLETRANSLATE(A45,""ko"",""en""),)"),"This is a supermarket.")</f>
        <v>This is a supermarket.</v>
      </c>
      <c r="C45" s="4" t="str">
        <f ca="1">IFERROR(__xludf.DUMMYFUNCTION("IFERROR(GOOGLETRANSLATE(B45,""en"",""ja""),)"),"ここはスーパーマーケットです。")</f>
        <v>ここはスーパーマーケットです。</v>
      </c>
      <c r="D45" s="4" t="str">
        <f ca="1">IFERROR(__xludf.DUMMYFUNCTION("IFERROR(GOOGLETRANSLATE(B45,""en"",""zh-TW""),)"),"這是一家超市。")</f>
        <v>這是一家超市。</v>
      </c>
      <c r="E45" s="4" t="str">
        <f ca="1">IFERROR(__xludf.DUMMYFUNCTION("IFERROR(GOOGLETRANSLATE(B45,""en"",""zh-CN""),)"),"这是一家超市。")</f>
        <v>这是一家超市。</v>
      </c>
    </row>
    <row r="46" spans="1:5">
      <c r="A46" s="3" t="s">
        <v>217</v>
      </c>
      <c r="B46" s="4" t="str">
        <f ca="1">IFERROR(__xludf.DUMMYFUNCTION("IFERROR(GOOGLETRANSLATE(A46,""ko"",""en""),)"),"Buy milk.")</f>
        <v>Buy milk.</v>
      </c>
      <c r="C46" s="4" t="str">
        <f ca="1">IFERROR(__xludf.DUMMYFUNCTION("IFERROR(GOOGLETRANSLATE(B46,""en"",""ja""),)"),"牛乳を買ってください。")</f>
        <v>牛乳を買ってください。</v>
      </c>
      <c r="D46" s="4" t="str">
        <f ca="1">IFERROR(__xludf.DUMMYFUNCTION("IFERROR(GOOGLETRANSLATE(B46,""en"",""zh-TW""),)"),"買牛奶。")</f>
        <v>買牛奶。</v>
      </c>
      <c r="E46" s="4" t="str">
        <f ca="1">IFERROR(__xludf.DUMMYFUNCTION("IFERROR(GOOGLETRANSLATE(B46,""en"",""zh-CN""),)"),"买牛奶。")</f>
        <v>买牛奶。</v>
      </c>
    </row>
    <row r="47" spans="1:5">
      <c r="A47" s="3" t="s">
        <v>222</v>
      </c>
      <c r="B47" s="4" t="str">
        <f ca="1">IFERROR(__xludf.DUMMYFUNCTION("IFERROR(GOOGLETRANSLATE(A47,""ko"",""en""),)"),"bicycle")</f>
        <v>bicycle</v>
      </c>
      <c r="C47" s="4" t="str">
        <f ca="1">IFERROR(__xludf.DUMMYFUNCTION("IFERROR(GOOGLETRANSLATE(B47,""en"",""ja""),)"),"自転車")</f>
        <v>自転車</v>
      </c>
      <c r="D47" s="4" t="str">
        <f ca="1">IFERROR(__xludf.DUMMYFUNCTION("IFERROR(GOOGLETRANSLATE(B47,""en"",""zh-TW""),)"),"自行車")</f>
        <v>自行車</v>
      </c>
      <c r="E47" s="4" t="str">
        <f ca="1">IFERROR(__xludf.DUMMYFUNCTION("IFERROR(GOOGLETRANSLATE(B47,""en"",""zh-CN""),)"),"自行车")</f>
        <v>自行车</v>
      </c>
    </row>
    <row r="48" spans="1:5">
      <c r="A48" s="2" t="s">
        <v>227</v>
      </c>
      <c r="B48" s="4" t="str">
        <f ca="1">IFERROR(__xludf.DUMMYFUNCTION("IFERROR(GOOGLETRANSLATE(A48,""ko"",""en""),)"),"I ride a bicycle.")</f>
        <v>I ride a bicycle.</v>
      </c>
      <c r="C48" s="4" t="str">
        <f ca="1">IFERROR(__xludf.DUMMYFUNCTION("IFERROR(GOOGLETRANSLATE(B48,""en"",""ja""),)"),"私は自転車に乗ります。")</f>
        <v>私は自転車に乗ります。</v>
      </c>
      <c r="D48" s="4" t="str">
        <f ca="1">IFERROR(__xludf.DUMMYFUNCTION("IFERROR(GOOGLETRANSLATE(B48,""en"",""zh-TW""),)"),"我騎自行車。")</f>
        <v>我騎自行車。</v>
      </c>
      <c r="E48" s="4" t="str">
        <f ca="1">IFERROR(__xludf.DUMMYFUNCTION("IFERROR(GOOGLETRANSLATE(B48,""en"",""zh-CN""),)"),"我骑自行车。")</f>
        <v>我骑自行车。</v>
      </c>
    </row>
    <row r="49" spans="1:5">
      <c r="A49" s="3" t="s">
        <v>230</v>
      </c>
      <c r="B49" s="4" t="str">
        <f ca="1">IFERROR(__xludf.DUMMYFUNCTION("IFERROR(GOOGLETRANSLATE(A49,""ko"",""en""),)"),"dinner")</f>
        <v>dinner</v>
      </c>
      <c r="C49" s="4" t="str">
        <f ca="1">IFERROR(__xludf.DUMMYFUNCTION("IFERROR(GOOGLETRANSLATE(B49,""en"",""ja""),)"),"夕食")</f>
        <v>夕食</v>
      </c>
      <c r="D49" s="4" t="str">
        <f ca="1">IFERROR(__xludf.DUMMYFUNCTION("IFERROR(GOOGLETRANSLATE(B49,""en"",""zh-TW""),)"),"晚餐")</f>
        <v>晚餐</v>
      </c>
      <c r="E49" s="4" t="str">
        <f ca="1">IFERROR(__xludf.DUMMYFUNCTION("IFERROR(GOOGLETRANSLATE(B49,""en"",""zh-CN""),)"),"晚餐")</f>
        <v>晚餐</v>
      </c>
    </row>
    <row r="50" spans="1:5">
      <c r="A50" s="3" t="s">
        <v>82</v>
      </c>
      <c r="B50" s="4" t="str">
        <f ca="1">IFERROR(__xludf.DUMMYFUNCTION("IFERROR(GOOGLETRANSLATE(A50,""ko"",""en""),)"),"I'm having dinner.")</f>
        <v>I'm having dinner.</v>
      </c>
      <c r="C50" s="4" t="str">
        <f ca="1">IFERROR(__xludf.DUMMYFUNCTION("IFERROR(GOOGLETRANSLATE(B50,""en"",""ja""),)"),"夕食を食べています。")</f>
        <v>夕食を食べています。</v>
      </c>
      <c r="D50" s="4" t="str">
        <f ca="1">IFERROR(__xludf.DUMMYFUNCTION("IFERROR(GOOGLETRANSLATE(B50,""en"",""zh-TW""),)"),"我正在吃晚餐。")</f>
        <v>我正在吃晚餐。</v>
      </c>
      <c r="E50" s="4" t="str">
        <f ca="1">IFERROR(__xludf.DUMMYFUNCTION("IFERROR(GOOGLETRANSLATE(B50,""en"",""zh-CN""),)"),"我正在吃晚饭。")</f>
        <v>我正在吃晚饭。</v>
      </c>
    </row>
    <row r="51" spans="1:5">
      <c r="A51" s="3" t="s">
        <v>235</v>
      </c>
      <c r="B51" s="4" t="str">
        <f ca="1">IFERROR(__xludf.DUMMYFUNCTION("IFERROR(GOOGLETRANSLATE(A51,""ko"",""en""),)"),"I like everything.")</f>
        <v>I like everything.</v>
      </c>
      <c r="C51" s="4" t="str">
        <f ca="1">IFERROR(__xludf.DUMMYFUNCTION("IFERROR(GOOGLETRANSLATE(B51,""en"",""ja""),)"),"全部好きです。")</f>
        <v>全部好きです。</v>
      </c>
      <c r="D51" s="4" t="str">
        <f ca="1">IFERROR(__xludf.DUMMYFUNCTION("IFERROR(GOOGLETRANSLATE(B51,""en"",""zh-TW""),)"),"我喜歡所有東西。")</f>
        <v>我喜歡所有東西。</v>
      </c>
      <c r="E51" s="4" t="str">
        <f ca="1">IFERROR(__xludf.DUMMYFUNCTION("IFERROR(GOOGLETRANSLATE(B51,""en"",""zh-CN""),)"),"我喜欢所有东西。")</f>
        <v>我喜欢所有东西。</v>
      </c>
    </row>
    <row r="52" spans="1:5">
      <c r="A52" s="3" t="s">
        <v>241</v>
      </c>
      <c r="B52" s="4" t="str">
        <f ca="1">IFERROR(__xludf.DUMMYFUNCTION("IFERROR(GOOGLETRANSLATE(A52,""ko"",""en""),)"),"Suzy, where are you going?")</f>
        <v>Suzy, where are you going?</v>
      </c>
      <c r="C52" s="4" t="str">
        <f ca="1">IFERROR(__xludf.DUMMYFUNCTION("IFERROR(GOOGLETRANSLATE(B52,""en"",""ja""),)"),"スージー、どこへ行くの？")</f>
        <v>スージー、どこへ行くの？</v>
      </c>
      <c r="D52" s="4" t="str">
        <f ca="1">IFERROR(__xludf.DUMMYFUNCTION("IFERROR(GOOGLETRANSLATE(B52,""en"",""zh-TW""),)"),"蘇西，你要去哪裡？")</f>
        <v>蘇西，你要去哪裡？</v>
      </c>
      <c r="E52" s="4" t="str">
        <f ca="1">IFERROR(__xludf.DUMMYFUNCTION("IFERROR(GOOGLETRANSLATE(B52,""en"",""zh-CN""),)"),"苏西，你要去哪里？")</f>
        <v>苏西，你要去哪里？</v>
      </c>
    </row>
    <row r="53" spans="1:5">
      <c r="A53" s="3" t="s">
        <v>245</v>
      </c>
      <c r="B53" s="4" t="str">
        <f ca="1">IFERROR(__xludf.DUMMYFUNCTION("IFERROR(GOOGLETRANSLATE(A53,""ko"",""en""),)"),"I go to the supermarket. I buy milk.")</f>
        <v>I go to the supermarket. I buy milk.</v>
      </c>
      <c r="C53" s="4" t="str">
        <f ca="1">IFERROR(__xludf.DUMMYFUNCTION("IFERROR(GOOGLETRANSLATE(B53,""en"",""ja""),)"),"私はスーパーマーケットに行く。牛乳を買う。")</f>
        <v>私はスーパーマーケットに行く。牛乳を買う。</v>
      </c>
      <c r="D53" s="4" t="str">
        <f ca="1">IFERROR(__xludf.DUMMYFUNCTION("IFERROR(GOOGLETRANSLATE(B53,""en"",""zh-TW""),)"),"我去超市，買牛奶。")</f>
        <v>我去超市，買牛奶。</v>
      </c>
      <c r="E53" s="4" t="str">
        <f ca="1">IFERROR(__xludf.DUMMYFUNCTION("IFERROR(GOOGLETRANSLATE(B53,""en"",""zh-CN""),)"),"我去超市，买牛奶。")</f>
        <v>我去超市，买牛奶。</v>
      </c>
    </row>
    <row r="54" spans="1:5">
      <c r="A54" s="5" t="s">
        <v>248</v>
      </c>
      <c r="B54" s="4" t="str">
        <f ca="1">IFERROR(__xludf.DUMMYFUNCTION("IFERROR(GOOGLETRANSLATE(A54,""ko"",""en""),)"),"Jaemin, do you have any fruit at home?")</f>
        <v>Jaemin, do you have any fruit at home?</v>
      </c>
      <c r="C54" s="4" t="str">
        <f ca="1">IFERROR(__xludf.DUMMYFUNCTION("IFERROR(GOOGLETRANSLATE(B54,""en"",""ja""),)"),"ジェミン、家に果物はある？")</f>
        <v>ジェミン、家に果物はある？</v>
      </c>
      <c r="D54" s="4" t="str">
        <f ca="1">IFERROR(__xludf.DUMMYFUNCTION("IFERROR(GOOGLETRANSLATE(B54,""en"",""zh-TW""),)"),"渽民，你家裡有水果嗎？")</f>
        <v>渽民，你家裡有水果嗎？</v>
      </c>
      <c r="E54" s="4" t="str">
        <f ca="1">IFERROR(__xludf.DUMMYFUNCTION("IFERROR(GOOGLETRANSLATE(B54,""en"",""zh-CN""),)"),"渽民，你家里有水果吗？")</f>
        <v>渽民，你家里有水果吗？</v>
      </c>
    </row>
    <row r="55" spans="1:5">
      <c r="A55" s="3" t="s">
        <v>252</v>
      </c>
      <c r="B55" s="4" t="str">
        <f ca="1">IFERROR(__xludf.DUMMYFUNCTION("IFERROR(GOOGLETRANSLATE(A55,""ko"",""en""),)"),"Yes, there is.")</f>
        <v>Yes, there is.</v>
      </c>
      <c r="C55" s="4" t="str">
        <f ca="1">IFERROR(__xludf.DUMMYFUNCTION("IFERROR(GOOGLETRANSLATE(B55,""en"",""ja""),)"),"はい、あります。")</f>
        <v>はい、あります。</v>
      </c>
      <c r="D55" s="4" t="str">
        <f ca="1">IFERROR(__xludf.DUMMYFUNCTION("IFERROR(GOOGLETRANSLATE(B55,""en"",""zh-TW""),)"),"是的，有。")</f>
        <v>是的，有。</v>
      </c>
      <c r="E55" s="4" t="str">
        <f ca="1">IFERROR(__xludf.DUMMYFUNCTION("IFERROR(GOOGLETRANSLATE(B55,""en"",""zh-CN""),)"),"是的，有。")</f>
        <v>是的，有。</v>
      </c>
    </row>
    <row r="56" spans="1:5">
      <c r="A56" s="5" t="s">
        <v>257</v>
      </c>
      <c r="B56" s="4" t="str">
        <f ca="1">IFERROR(__xludf.DUMMYFUNCTION("IFERROR(GOOGLETRANSLATE(A56,""ko"",""en""),)"),"Turtle Chips")</f>
        <v>Turtle Chips</v>
      </c>
      <c r="C56" s="4" t="str">
        <f ca="1">IFERROR(__xludf.DUMMYFUNCTION("IFERROR(GOOGLETRANSLATE(B56,""en"",""ja""),)"),"タートルチップス")</f>
        <v>タートルチップス</v>
      </c>
      <c r="D56" s="4" t="str">
        <f ca="1">IFERROR(__xludf.DUMMYFUNCTION("IFERROR(GOOGLETRANSLATE(B56,""en"",""zh-TW""),)"),"龜洋芋片")</f>
        <v>龜洋芋片</v>
      </c>
      <c r="E56" s="4" t="str">
        <f ca="1">IFERROR(__xludf.DUMMYFUNCTION("IFERROR(GOOGLETRANSLATE(B56,""en"",""zh-CN""),)"),"龟薯片")</f>
        <v>龟薯片</v>
      </c>
    </row>
    <row r="57" spans="1:5">
      <c r="A57" s="2" t="s">
        <v>262</v>
      </c>
      <c r="B57" s="4" t="str">
        <f ca="1">IFERROR(__xludf.DUMMYFUNCTION("IFERROR(GOOGLETRANSLATE(A57,""ko"",""en""),)"),"Does Marie like bread?")</f>
        <v>Does Marie like bread?</v>
      </c>
      <c r="C57" s="4" t="str">
        <f ca="1">IFERROR(__xludf.DUMMYFUNCTION("IFERROR(GOOGLETRANSLATE(B57,""en"",""ja""),)"),"マリーはパンが好きですか？")</f>
        <v>マリーはパンが好きですか？</v>
      </c>
      <c r="D57" s="4" t="str">
        <f ca="1">IFERROR(__xludf.DUMMYFUNCTION("IFERROR(GOOGLETRANSLATE(B57,""en"",""zh-TW""),)"),"瑪麗喜歡麵包嗎？")</f>
        <v>瑪麗喜歡麵包嗎？</v>
      </c>
      <c r="E57" s="4" t="str">
        <f ca="1">IFERROR(__xludf.DUMMYFUNCTION("IFERROR(GOOGLETRANSLATE(B57,""en"",""zh-CN""),)"),"玛丽喜欢面包吗？")</f>
        <v>玛丽喜欢面包吗？</v>
      </c>
    </row>
    <row r="58" spans="1:5">
      <c r="A58" s="3" t="s">
        <v>266</v>
      </c>
      <c r="B58" s="4" t="str">
        <f ca="1">IFERROR(__xludf.DUMMYFUNCTION("IFERROR(GOOGLETRANSLATE(A58,""ko"",""en""),)"),"Yes, I like it very much.")</f>
        <v>Yes, I like it very much.</v>
      </c>
      <c r="C58" s="4" t="str">
        <f ca="1">IFERROR(__xludf.DUMMYFUNCTION("IFERROR(GOOGLETRANSLATE(B58,""en"",""ja""),)"),"はい、とても気に入っています。")</f>
        <v>はい、とても気に入っています。</v>
      </c>
      <c r="D58" s="4" t="str">
        <f ca="1">IFERROR(__xludf.DUMMYFUNCTION("IFERROR(GOOGLETRANSLATE(B58,""en"",""zh-TW""),)"),"是的，我很喜歡。")</f>
        <v>是的，我很喜歡。</v>
      </c>
      <c r="E58" s="4" t="str">
        <f ca="1">IFERROR(__xludf.DUMMYFUNCTION("IFERROR(GOOGLETRANSLATE(B58,""en"",""zh-CN""),)"),"是的，我很喜欢。")</f>
        <v>是的，我很喜欢。</v>
      </c>
    </row>
    <row r="59" spans="1:5">
      <c r="A59" s="3" t="s">
        <v>274</v>
      </c>
      <c r="B59" s="4" t="str">
        <f ca="1">IFERROR(__xludf.DUMMYFUNCTION("IFERROR(GOOGLETRANSLATE(A59,""ko"",""en""),)"),"Juno, where are you?")</f>
        <v>Juno, where are you?</v>
      </c>
      <c r="C59" s="4" t="str">
        <f ca="1">IFERROR(__xludf.DUMMYFUNCTION("IFERROR(GOOGLETRANSLATE(B59,""en"",""ja""),)"),"ジュノ、君はどこにいるの？")</f>
        <v>ジュノ、君はどこにいるの？</v>
      </c>
      <c r="D59" s="4" t="str">
        <f ca="1">IFERROR(__xludf.DUMMYFUNCTION("IFERROR(GOOGLETRANSLATE(B59,""en"",""zh-TW""),)"),"朱諾，你在哪裡？")</f>
        <v>朱諾，你在哪裡？</v>
      </c>
      <c r="E59" s="4" t="str">
        <f ca="1">IFERROR(__xludf.DUMMYFUNCTION("IFERROR(GOOGLETRANSLATE(B59,""en"",""zh-CN""),)"),"朱诺，你在哪里？")</f>
        <v>朱诺，你在哪里？</v>
      </c>
    </row>
    <row r="60" spans="1:5">
      <c r="A60" s="10" t="s">
        <v>280</v>
      </c>
      <c r="B60" s="4" t="str">
        <f ca="1">IFERROR(__xludf.DUMMYFUNCTION("IFERROR(GOOGLETRANSLATE(A60,""ko"",""en""),)"),"are you okay?")</f>
        <v>are you okay?</v>
      </c>
      <c r="C60" s="4" t="str">
        <f ca="1">IFERROR(__xludf.DUMMYFUNCTION("IFERROR(GOOGLETRANSLATE(B60,""en"",""ja""),)"),"大丈夫ですか？")</f>
        <v>大丈夫ですか？</v>
      </c>
      <c r="D60" s="4" t="str">
        <f ca="1">IFERROR(__xludf.DUMMYFUNCTION("IFERROR(GOOGLETRANSLATE(B60,""en"",""zh-TW""),)"),"你還好嗎？")</f>
        <v>你還好嗎？</v>
      </c>
      <c r="E60" s="4" t="str">
        <f ca="1">IFERROR(__xludf.DUMMYFUNCTION("IFERROR(GOOGLETRANSLATE(B60,""en"",""zh-CN""),)"),"你还好吗？")</f>
        <v>你还好吗？</v>
      </c>
    </row>
    <row r="61" spans="1:5">
      <c r="A61" s="3" t="s">
        <v>287</v>
      </c>
      <c r="B61" s="4" t="s">
        <v>288</v>
      </c>
      <c r="C61" s="4" t="str">
        <f ca="1">IFERROR(__xludf.DUMMYFUNCTION("IFERROR(GOOGLETRANSLATE(B61,""en"",""ja""),)"),"韓国料理")</f>
        <v>韓国料理</v>
      </c>
      <c r="D61" s="4" t="str">
        <f ca="1">IFERROR(__xludf.DUMMYFUNCTION("IFERROR(GOOGLETRANSLATE(B61,""en"",""zh-TW""),)"),"韓國料理")</f>
        <v>韓國料理</v>
      </c>
      <c r="E61" s="4" t="str">
        <f ca="1">IFERROR(__xludf.DUMMYFUNCTION("IFERROR(GOOGLETRANSLATE(B61,""en"",""zh-CN""),)"),"韩国料理")</f>
        <v>韩国料理</v>
      </c>
    </row>
    <row r="62" spans="1:5">
      <c r="A62" s="3" t="s">
        <v>291</v>
      </c>
      <c r="B62" s="4" t="str">
        <f ca="1">IFERROR(__xludf.DUMMYFUNCTION("IFERROR(GOOGLETRANSLATE(A62,""ko"",""en""),)"),"Korean food")</f>
        <v>Korean food</v>
      </c>
      <c r="C62" s="4" t="str">
        <f ca="1">IFERROR(__xludf.DUMMYFUNCTION("IFERROR(GOOGLETRANSLATE(B62,""en"",""ja""),)"),"韓国料理")</f>
        <v>韓国料理</v>
      </c>
      <c r="D62" s="4" t="str">
        <f ca="1">IFERROR(__xludf.DUMMYFUNCTION("IFERROR(GOOGLETRANSLATE(B62,""en"",""zh-TW""),)"),"韓國料理")</f>
        <v>韓國料理</v>
      </c>
      <c r="E62" s="4" t="str">
        <f ca="1">IFERROR(__xludf.DUMMYFUNCTION("IFERROR(GOOGLETRANSLATE(B62,""en"",""zh-CN""),)"),"韩国料理")</f>
        <v>韩国料理</v>
      </c>
    </row>
    <row r="63" spans="1:5">
      <c r="A63" s="3" t="s">
        <v>296</v>
      </c>
      <c r="B63" s="4" t="s">
        <v>297</v>
      </c>
      <c r="C63" s="4" t="str">
        <f ca="1">IFERROR(__xludf.DUMMYFUNCTION("IFERROR(GOOGLETRANSLATE(B63,""en"",""ja""),)"),"食料品の買い物")</f>
        <v>食料品の買い物</v>
      </c>
      <c r="D63" s="4" t="str">
        <f ca="1">IFERROR(__xludf.DUMMYFUNCTION("IFERROR(GOOGLETRANSLATE(B63,""en"",""zh-TW""),)"),"雜貨採購")</f>
        <v>雜貨採購</v>
      </c>
      <c r="E63" s="4" t="str">
        <f ca="1">IFERROR(__xludf.DUMMYFUNCTION("IFERROR(GOOGLETRANSLATE(B63,""en"",""zh-CN""),)"),"杂货采购")</f>
        <v>杂货采购</v>
      </c>
    </row>
    <row r="64" spans="1:5">
      <c r="A64" s="5" t="s">
        <v>302</v>
      </c>
      <c r="B64" s="4" t="str">
        <f ca="1">IFERROR(__xludf.DUMMYFUNCTION("IFERROR(GOOGLETRANSLATE(A64,""ko"",""en""),)"),"Milk and bread")</f>
        <v>Milk and bread</v>
      </c>
      <c r="C64" s="4" t="str">
        <f ca="1">IFERROR(__xludf.DUMMYFUNCTION("IFERROR(GOOGLETRANSLATE(B64,""en"",""ja""),)"),"牛乳とパン")</f>
        <v>牛乳とパン</v>
      </c>
      <c r="D64" s="4" t="str">
        <f ca="1">IFERROR(__xludf.DUMMYFUNCTION("IFERROR(GOOGLETRANSLATE(B64,""en"",""zh-TW""),)"),"牛奶和麵包")</f>
        <v>牛奶和麵包</v>
      </c>
      <c r="E64" s="4" t="str">
        <f ca="1">IFERROR(__xludf.DUMMYFUNCTION("IFERROR(GOOGLETRANSLATE(B64,""en"",""zh-CN""),)"),"牛奶和面包")</f>
        <v>牛奶和面包</v>
      </c>
    </row>
    <row r="65" spans="1:5">
      <c r="A65" s="5" t="s">
        <v>307</v>
      </c>
      <c r="B65" s="4" t="str">
        <f ca="1">IFERROR(__xludf.DUMMYFUNCTION("IFERROR(GOOGLETRANSLATE(A65,""ko"",""en""),)"),"Bread and milk")</f>
        <v>Bread and milk</v>
      </c>
      <c r="C65" s="4" t="str">
        <f ca="1">IFERROR(__xludf.DUMMYFUNCTION("IFERROR(GOOGLETRANSLATE(B65,""en"",""ja""),)"),"パンと牛乳")</f>
        <v>パンと牛乳</v>
      </c>
      <c r="D65" s="4" t="str">
        <f ca="1">IFERROR(__xludf.DUMMYFUNCTION("IFERROR(GOOGLETRANSLATE(B65,""en"",""zh-TW""),)"),"麵包和牛奶")</f>
        <v>麵包和牛奶</v>
      </c>
      <c r="E65" s="4" t="str">
        <f ca="1">IFERROR(__xludf.DUMMYFUNCTION("IFERROR(GOOGLETRANSLATE(B65,""en"",""zh-CN""),)"),"面包和牛奶")</f>
        <v>面包和牛奶</v>
      </c>
    </row>
    <row r="66" spans="1:5">
      <c r="A66" s="5" t="s">
        <v>311</v>
      </c>
      <c r="B66" s="4" t="str">
        <f ca="1">IFERROR(__xludf.DUMMYFUNCTION("IFERROR(GOOGLETRANSLATE(A66,""ko"",""en""),)"),"Milk and bread")</f>
        <v>Milk and bread</v>
      </c>
      <c r="C66" s="4" t="str">
        <f ca="1">IFERROR(__xludf.DUMMYFUNCTION("IFERROR(GOOGLETRANSLATE(B66,""en"",""ja""),)"),"牛乳とパン")</f>
        <v>牛乳とパン</v>
      </c>
      <c r="D66" s="4" t="str">
        <f ca="1">IFERROR(__xludf.DUMMYFUNCTION("IFERROR(GOOGLETRANSLATE(B66,""en"",""zh-TW""),)"),"牛奶和麵包")</f>
        <v>牛奶和麵包</v>
      </c>
      <c r="E66" s="4" t="str">
        <f ca="1">IFERROR(__xludf.DUMMYFUNCTION("IFERROR(GOOGLETRANSLATE(B66,""en"",""zh-CN""),)"),"牛奶和面包")</f>
        <v>牛奶和面包</v>
      </c>
    </row>
    <row r="67" spans="1:5">
      <c r="A67" s="5" t="s">
        <v>315</v>
      </c>
      <c r="B67" s="4" t="str">
        <f ca="1">IFERROR(__xludf.DUMMYFUNCTION("IFERROR(GOOGLETRANSLATE(A67,""ko"",""en""),)"),"Bread and milk")</f>
        <v>Bread and milk</v>
      </c>
      <c r="C67" s="4" t="str">
        <f ca="1">IFERROR(__xludf.DUMMYFUNCTION("IFERROR(GOOGLETRANSLATE(B67,""en"",""ja""),)"),"パンと牛乳")</f>
        <v>パンと牛乳</v>
      </c>
      <c r="D67" s="4" t="str">
        <f ca="1">IFERROR(__xludf.DUMMYFUNCTION("IFERROR(GOOGLETRANSLATE(B67,""en"",""zh-TW""),)"),"麵包和牛奶")</f>
        <v>麵包和牛奶</v>
      </c>
      <c r="E67" s="4" t="str">
        <f ca="1">IFERROR(__xludf.DUMMYFUNCTION("IFERROR(GOOGLETRANSLATE(B67,""en"",""zh-CN""),)"),"面包和牛奶")</f>
        <v>面包和牛奶</v>
      </c>
    </row>
    <row r="68" spans="1:5">
      <c r="A68" s="5" t="s">
        <v>319</v>
      </c>
      <c r="B68" s="4" t="str">
        <f ca="1">IFERROR(__xludf.DUMMYFUNCTION("IFERROR(GOOGLETRANSLATE(A68,""ko"",""en""),)"),"Milk and bread")</f>
        <v>Milk and bread</v>
      </c>
      <c r="C68" s="4" t="str">
        <f ca="1">IFERROR(__xludf.DUMMYFUNCTION("IFERROR(GOOGLETRANSLATE(B68,""en"",""ja""),)"),"牛乳とパン")</f>
        <v>牛乳とパン</v>
      </c>
      <c r="D68" s="4" t="str">
        <f ca="1">IFERROR(__xludf.DUMMYFUNCTION("IFERROR(GOOGLETRANSLATE(B68,""en"",""zh-TW""),)"),"牛奶和麵包")</f>
        <v>牛奶和麵包</v>
      </c>
      <c r="E68" s="4" t="str">
        <f ca="1">IFERROR(__xludf.DUMMYFUNCTION("IFERROR(GOOGLETRANSLATE(B68,""en"",""zh-CN""),)"),"牛奶和面包")</f>
        <v>牛奶和面包</v>
      </c>
    </row>
    <row r="69" spans="1:5">
      <c r="A69" s="5" t="s">
        <v>323</v>
      </c>
      <c r="B69" s="4" t="str">
        <f ca="1">IFERROR(__xludf.DUMMYFUNCTION("IFERROR(GOOGLETRANSLATE(A69,""ko"",""en""),)"),"Bread and milk")</f>
        <v>Bread and milk</v>
      </c>
      <c r="C69" s="4" t="str">
        <f ca="1">IFERROR(__xludf.DUMMYFUNCTION("IFERROR(GOOGLETRANSLATE(B69,""en"",""ja""),)"),"パンと牛乳")</f>
        <v>パンと牛乳</v>
      </c>
      <c r="D69" s="4" t="str">
        <f ca="1">IFERROR(__xludf.DUMMYFUNCTION("IFERROR(GOOGLETRANSLATE(B69,""en"",""zh-TW""),)"),"麵包和牛奶")</f>
        <v>麵包和牛奶</v>
      </c>
      <c r="E69" s="4" t="str">
        <f ca="1">IFERROR(__xludf.DUMMYFUNCTION("IFERROR(GOOGLETRANSLATE(B69,""en"",""zh-CN""),)"),"面包和牛奶")</f>
        <v>面包和牛奶</v>
      </c>
    </row>
    <row r="70" spans="1:5">
      <c r="A70" s="3" t="s">
        <v>328</v>
      </c>
      <c r="B70" s="4" t="str">
        <f ca="1">IFERROR(__xludf.DUMMYFUNCTION("IFERROR(GOOGLETRANSLATE(A70,""ko"",""en""),)"),"It's a department store.")</f>
        <v>It's a department store.</v>
      </c>
      <c r="C70" s="4" t="str">
        <f ca="1">IFERROR(__xludf.DUMMYFUNCTION("IFERROR(GOOGLETRANSLATE(B70,""en"",""ja""),)"),"デパートです。")</f>
        <v>デパートです。</v>
      </c>
      <c r="D70" s="4" t="str">
        <f ca="1">IFERROR(__xludf.DUMMYFUNCTION("IFERROR(GOOGLETRANSLATE(B70,""en"",""zh-TW""),)"),"這是一家百貨公司。")</f>
        <v>這是一家百貨公司。</v>
      </c>
      <c r="E70" s="4" t="str">
        <f ca="1">IFERROR(__xludf.DUMMYFUNCTION("IFERROR(GOOGLETRANSLATE(B70,""en"",""zh-CN""),)"),"这是一家百货商店。")</f>
        <v>这是一家百货商店。</v>
      </c>
    </row>
    <row r="71" spans="1:5">
      <c r="A71" s="3" t="s">
        <v>334</v>
      </c>
      <c r="B71" s="4" t="str">
        <f ca="1">IFERROR(__xludf.DUMMYFUNCTION("IFERROR(GOOGLETRANSLATE(A71,""ko"",""en""),)"),"There are desks and chairs inside the classroom.")</f>
        <v>There are desks and chairs inside the classroom.</v>
      </c>
      <c r="C71" s="4" t="str">
        <f ca="1">IFERROR(__xludf.DUMMYFUNCTION("IFERROR(GOOGLETRANSLATE(B71,""en"",""ja""),)"),"教室の中には机と椅子があります。")</f>
        <v>教室の中には机と椅子があります。</v>
      </c>
      <c r="D71" s="4" t="str">
        <f ca="1">IFERROR(__xludf.DUMMYFUNCTION("IFERROR(GOOGLETRANSLATE(B71,""en"",""zh-TW""),)"),"教室裡有桌椅。")</f>
        <v>教室裡有桌椅。</v>
      </c>
      <c r="E71" s="4" t="str">
        <f ca="1">IFERROR(__xludf.DUMMYFUNCTION("IFERROR(GOOGLETRANSLATE(B71,""en"",""zh-CN""),)"),"教室里有桌椅。")</f>
        <v>教室里有桌椅。</v>
      </c>
    </row>
    <row r="72" spans="1:5">
      <c r="A72" s="2" t="s">
        <v>339</v>
      </c>
      <c r="B72" s="4" t="str">
        <f ca="1">IFERROR(__xludf.DUMMYFUNCTION("IFERROR(GOOGLETRANSLATE(A72,""ko"",""en""),)"),"I'm buying bananas and strawberries.")</f>
        <v>I'm buying bananas and strawberries.</v>
      </c>
      <c r="C72" s="4" t="str">
        <f ca="1">IFERROR(__xludf.DUMMYFUNCTION("IFERROR(GOOGLETRANSLATE(B72,""en"",""ja""),)"),"バナナとイチゴを買います。")</f>
        <v>バナナとイチゴを買います。</v>
      </c>
      <c r="D72" s="4" t="str">
        <f ca="1">IFERROR(__xludf.DUMMYFUNCTION("IFERROR(GOOGLETRANSLATE(B72,""en"",""zh-TW""),)"),"我要買香蕉和草莓。")</f>
        <v>我要買香蕉和草莓。</v>
      </c>
      <c r="E72" s="4" t="str">
        <f ca="1">IFERROR(__xludf.DUMMYFUNCTION("IFERROR(GOOGLETRANSLATE(B72,""en"",""zh-CN""),)"),"我要买香蕉和草莓。")</f>
        <v>我要买香蕉和草莓。</v>
      </c>
    </row>
    <row r="73" spans="1:5">
      <c r="A73" s="3" t="s">
        <v>344</v>
      </c>
      <c r="B73" s="4" t="str">
        <f ca="1">IFERROR(__xludf.DUMMYFUNCTION("IFERROR(GOOGLETRANSLATE(A73,""ko"",""en""),)"),"I eat cake and bread.")</f>
        <v>I eat cake and bread.</v>
      </c>
      <c r="C73" s="4" t="str">
        <f ca="1">IFERROR(__xludf.DUMMYFUNCTION("IFERROR(GOOGLETRANSLATE(B73,""en"",""ja""),)"),"私はケーキとパンを食べます。")</f>
        <v>私はケーキとパンを食べます。</v>
      </c>
      <c r="D73" s="4" t="str">
        <f ca="1">IFERROR(__xludf.DUMMYFUNCTION("IFERROR(GOOGLETRANSLATE(B73,""en"",""zh-TW""),)"),"我吃蛋糕和麵包。")</f>
        <v>我吃蛋糕和麵包。</v>
      </c>
      <c r="E73" s="4" t="str">
        <f ca="1">IFERROR(__xludf.DUMMYFUNCTION("IFERROR(GOOGLETRANSLATE(B73,""en"",""zh-CN""),)"),"我吃蛋糕和面包。")</f>
        <v>我吃蛋糕和面包。</v>
      </c>
    </row>
    <row r="74" spans="1:5">
      <c r="A74" s="3" t="s">
        <v>349</v>
      </c>
      <c r="B74" s="4" t="str">
        <f ca="1">IFERROR(__xludf.DUMMYFUNCTION("IFERROR(GOOGLETRANSLATE(A74,""ko"",""en""),)"),"I drink milk and tea.")</f>
        <v>I drink milk and tea.</v>
      </c>
      <c r="C74" s="4" t="str">
        <f ca="1">IFERROR(__xludf.DUMMYFUNCTION("IFERROR(GOOGLETRANSLATE(B74,""en"",""ja""),)"),"私は牛乳と紅茶を飲みます。")</f>
        <v>私は牛乳と紅茶を飲みます。</v>
      </c>
      <c r="D74" s="4" t="str">
        <f ca="1">IFERROR(__xludf.DUMMYFUNCTION("IFERROR(GOOGLETRANSLATE(B74,""en"",""zh-TW""),)"),"我喝牛奶和茶。")</f>
        <v>我喝牛奶和茶。</v>
      </c>
      <c r="E74" s="4" t="str">
        <f ca="1">IFERROR(__xludf.DUMMYFUNCTION("IFERROR(GOOGLETRANSLATE(B74,""en"",""zh-CN""),)"),"我喝牛奶和茶。")</f>
        <v>我喝牛奶和茶。</v>
      </c>
    </row>
    <row r="75" spans="1:5">
      <c r="A75" s="3" t="s">
        <v>354</v>
      </c>
      <c r="B75" s="4" t="str">
        <f ca="1">IFERROR(__xludf.DUMMYFUNCTION("IFERROR(GOOGLETRANSLATE(A75,""ko"",""en""),)"),"I go to the movie theater and a cafe.")</f>
        <v>I go to the movie theater and a cafe.</v>
      </c>
      <c r="C75" s="4" t="str">
        <f ca="1">IFERROR(__xludf.DUMMYFUNCTION("IFERROR(GOOGLETRANSLATE(B75,""en"",""ja""),)"),"私は映画館とカフェに行きます。")</f>
        <v>私は映画館とカフェに行きます。</v>
      </c>
      <c r="D75" s="4" t="str">
        <f ca="1">IFERROR(__xludf.DUMMYFUNCTION("IFERROR(GOOGLETRANSLATE(B75,""en"",""zh-TW""),)"),"我去了電影院和咖啡館。")</f>
        <v>我去了電影院和咖啡館。</v>
      </c>
      <c r="E75" s="4" t="str">
        <f ca="1">IFERROR(__xludf.DUMMYFUNCTION("IFERROR(GOOGLETRANSLATE(B75,""en"",""zh-CN""),)"),"我去了电影院和咖啡馆。")</f>
        <v>我去了电影院和咖啡馆。</v>
      </c>
    </row>
    <row r="76" spans="1:5">
      <c r="A76" s="3" t="s">
        <v>358</v>
      </c>
      <c r="B76" s="4" t="str">
        <f ca="1">IFERROR(__xludf.DUMMYFUNCTION("IFERROR(GOOGLETRANSLATE(A76,""ko"",""en""),)"),"I meet the teacher and Suji.")</f>
        <v>I meet the teacher and Suji.</v>
      </c>
      <c r="C76" s="4" t="str">
        <f ca="1">IFERROR(__xludf.DUMMYFUNCTION("IFERROR(GOOGLETRANSLATE(B76,""en"",""ja""),)"),"私は先生とスジに会いました。")</f>
        <v>私は先生とスジに会いました。</v>
      </c>
      <c r="D76" s="4" t="str">
        <f ca="1">IFERROR(__xludf.DUMMYFUNCTION("IFERROR(GOOGLETRANSLATE(B76,""en"",""zh-TW""),)"),"我見到了老師和蘇吉。")</f>
        <v>我見到了老師和蘇吉。</v>
      </c>
      <c r="E76" s="4" t="str">
        <f ca="1">IFERROR(__xludf.DUMMYFUNCTION("IFERROR(GOOGLETRANSLATE(B76,""en"",""zh-CN""),)"),"我见到了老师和苏吉。")</f>
        <v>我见到了老师和苏吉。</v>
      </c>
    </row>
    <row r="77" spans="1:5">
      <c r="A77" s="3" t="s">
        <v>362</v>
      </c>
      <c r="B77" s="4" t="str">
        <f ca="1">IFERROR(__xludf.DUMMYFUNCTION("IFERROR(GOOGLETRANSLATE(A77,""ko"",""en""),)"),"There is a clock and a blackboard.")</f>
        <v>There is a clock and a blackboard.</v>
      </c>
      <c r="C77" s="4" t="str">
        <f ca="1">IFERROR(__xludf.DUMMYFUNCTION("IFERROR(GOOGLETRANSLATE(B77,""en"",""ja""),)"),"時計と黒板がある。")</f>
        <v>時計と黒板がある。</v>
      </c>
      <c r="D77" s="4" t="str">
        <f ca="1">IFERROR(__xludf.DUMMYFUNCTION("IFERROR(GOOGLETRANSLATE(B77,""en"",""zh-TW""),)"),"這裡有一座鐘和一塊黑板。")</f>
        <v>這裡有一座鐘和一塊黑板。</v>
      </c>
      <c r="E77" s="4" t="str">
        <f ca="1">IFERROR(__xludf.DUMMYFUNCTION("IFERROR(GOOGLETRANSLATE(B77,""en"",""zh-CN""),)"),"这里有一座钟和一块黑板。")</f>
        <v>这里有一座钟和一块黑板。</v>
      </c>
    </row>
    <row r="78" spans="1:5">
      <c r="A78" s="3" t="s">
        <v>367</v>
      </c>
      <c r="B78" s="4" t="str">
        <f ca="1">IFERROR(__xludf.DUMMYFUNCTION("IFERROR(GOOGLETRANSLATE(A78,""ko"",""en""),)"),"I have a book and a pen.")</f>
        <v>I have a book and a pen.</v>
      </c>
      <c r="C78" s="4" t="str">
        <f ca="1">IFERROR(__xludf.DUMMYFUNCTION("IFERROR(GOOGLETRANSLATE(B78,""en"",""ja""),)"),"私は本とペンを持っています。")</f>
        <v>私は本とペンを持っています。</v>
      </c>
      <c r="D78" s="4" t="str">
        <f ca="1">IFERROR(__xludf.DUMMYFUNCTION("IFERROR(GOOGLETRANSLATE(B78,""en"",""zh-TW""),)"),"我有一本書和一支筆。")</f>
        <v>我有一本書和一支筆。</v>
      </c>
      <c r="E78" s="4" t="str">
        <f ca="1">IFERROR(__xludf.DUMMYFUNCTION("IFERROR(GOOGLETRANSLATE(B78,""en"",""zh-CN""),)"),"我有一本书和一支笔。")</f>
        <v>我有一本书和一支笔。</v>
      </c>
    </row>
    <row r="79" spans="1:5">
      <c r="A79" s="3" t="s">
        <v>372</v>
      </c>
      <c r="B79" s="4" t="str">
        <f ca="1">IFERROR(__xludf.DUMMYFUNCTION("IFERROR(GOOGLETRANSLATE(A79,""ko"",""en""),)"),"What is in the room?")</f>
        <v>What is in the room?</v>
      </c>
      <c r="C79" s="4" t="str">
        <f ca="1">IFERROR(__xludf.DUMMYFUNCTION("IFERROR(GOOGLETRANSLATE(B79,""en"",""ja""),)"),"部屋には何がありますか？")</f>
        <v>部屋には何がありますか？</v>
      </c>
      <c r="D79" s="4" t="str">
        <f ca="1">IFERROR(__xludf.DUMMYFUNCTION("IFERROR(GOOGLETRANSLATE(B79,""en"",""zh-TW""),)"),"房間裡有什麼？")</f>
        <v>房間裡有什麼？</v>
      </c>
      <c r="E79" s="4" t="str">
        <f ca="1">IFERROR(__xludf.DUMMYFUNCTION("IFERROR(GOOGLETRANSLATE(B79,""en"",""zh-CN""),)"),"房间里有什么？")</f>
        <v>房间里有什么？</v>
      </c>
    </row>
    <row r="80" spans="1:5">
      <c r="A80" s="3" t="s">
        <v>378</v>
      </c>
      <c r="B80" s="4" t="str">
        <f ca="1">IFERROR(__xludf.DUMMYFUNCTION("IFERROR(GOOGLETRANSLATE(A80,""ko"",""en""),)"),"There is a bed and a bag.")</f>
        <v>There is a bed and a bag.</v>
      </c>
      <c r="C80" s="4" t="str">
        <f ca="1">IFERROR(__xludf.DUMMYFUNCTION("IFERROR(GOOGLETRANSLATE(B80,""en"",""ja""),)"),"ベッドとバッグがあります。")</f>
        <v>ベッドとバッグがあります。</v>
      </c>
      <c r="D80" s="4" t="str">
        <f ca="1">IFERROR(__xludf.DUMMYFUNCTION("IFERROR(GOOGLETRANSLATE(B80,""en"",""zh-TW""),)"),"這裡有一張床和一個包包。")</f>
        <v>這裡有一張床和一個包包。</v>
      </c>
      <c r="E80" s="4" t="str">
        <f ca="1">IFERROR(__xludf.DUMMYFUNCTION("IFERROR(GOOGLETRANSLATE(B80,""en"",""zh-CN""),)"),"这里有一张床和一个包。")</f>
        <v>这里有一张床和一个包。</v>
      </c>
    </row>
    <row r="81" spans="1:5">
      <c r="A81" s="3" t="s">
        <v>383</v>
      </c>
      <c r="B81" s="4" t="str">
        <f ca="1">IFERROR(__xludf.DUMMYFUNCTION("IFERROR(GOOGLETRANSLATE(A81,""ko"",""en""),)"),"I have a cell phone and clothes.")</f>
        <v>I have a cell phone and clothes.</v>
      </c>
      <c r="C81" s="4" t="str">
        <f ca="1">IFERROR(__xludf.DUMMYFUNCTION("IFERROR(GOOGLETRANSLATE(B81,""en"",""ja""),)"),"私は携帯電話と服を持っています。")</f>
        <v>私は携帯電話と服を持っています。</v>
      </c>
      <c r="D81" s="4" t="str">
        <f ca="1">IFERROR(__xludf.DUMMYFUNCTION("IFERROR(GOOGLETRANSLATE(B81,""en"",""zh-TW""),)"),"我有一部手機和一些衣服。")</f>
        <v>我有一部手機和一些衣服。</v>
      </c>
      <c r="E81" s="4" t="str">
        <f ca="1">IFERROR(__xludf.DUMMYFUNCTION("IFERROR(GOOGLETRANSLATE(B81,""en"",""zh-CN""),)"),"我有一部手机和一些衣服。")</f>
        <v>我有一部手机和一些衣服。</v>
      </c>
    </row>
    <row r="82" spans="1:5">
      <c r="A82" s="5" t="s">
        <v>387</v>
      </c>
      <c r="B82" s="4" t="str">
        <f ca="1">IFERROR(__xludf.DUMMYFUNCTION("IFERROR(GOOGLETRANSLATE(A82,""ko"",""en""),)"),"There is a blanket and a hoodie.")</f>
        <v>There is a blanket and a hoodie.</v>
      </c>
      <c r="C82" s="4" t="str">
        <f ca="1">IFERROR(__xludf.DUMMYFUNCTION("IFERROR(GOOGLETRANSLATE(B82,""en"",""ja""),)"),"毛布とパーカーがあります。")</f>
        <v>毛布とパーカーがあります。</v>
      </c>
      <c r="D82" s="4" t="str">
        <f ca="1">IFERROR(__xludf.DUMMYFUNCTION("IFERROR(GOOGLETRANSLATE(B82,""en"",""zh-TW""),)"),"這裡有一條毯子和一件連帽衫。")</f>
        <v>這裡有一條毯子和一件連帽衫。</v>
      </c>
      <c r="E82" s="4" t="str">
        <f ca="1">IFERROR(__xludf.DUMMYFUNCTION("IFERROR(GOOGLETRANSLATE(B82,""en"",""zh-CN""),)"),"这里有一条毯子和一件连帽衫。")</f>
        <v>这里有一条毯子和一件连帽衫。</v>
      </c>
    </row>
    <row r="83" spans="1:5">
      <c r="A83" s="3" t="s">
        <v>390</v>
      </c>
      <c r="B83" s="4" t="str">
        <f ca="1">IFERROR(__xludf.DUMMYFUNCTION("IFERROR(GOOGLETRANSLATE(A83,""ko"",""en""),)"),"Is anyone at home?")</f>
        <v>Is anyone at home?</v>
      </c>
      <c r="C83" s="4" t="str">
        <f ca="1">IFERROR(__xludf.DUMMYFUNCTION("IFERROR(GOOGLETRANSLATE(B83,""en"",""ja""),)"),"誰か家にいますか？")</f>
        <v>誰か家にいますか？</v>
      </c>
      <c r="D83" s="4" t="str">
        <f ca="1">IFERROR(__xludf.DUMMYFUNCTION("IFERROR(GOOGLETRANSLATE(B83,""en"",""zh-TW""),)"),"有人在家嗎？")</f>
        <v>有人在家嗎？</v>
      </c>
      <c r="E83" s="4" t="str">
        <f ca="1">IFERROR(__xludf.DUMMYFUNCTION("IFERROR(GOOGLETRANSLATE(B83,""en"",""zh-CN""),)"),"有人在家吗？")</f>
        <v>有人在家吗？</v>
      </c>
    </row>
    <row r="84" spans="1:5">
      <c r="A84" s="5" t="s">
        <v>394</v>
      </c>
      <c r="B84" s="4" t="str">
        <f ca="1">IFERROR(__xludf.DUMMYFUNCTION("IFERROR(GOOGLETRANSLATE(A84,""ko"",""en""),)"),"I have a wife and children.")</f>
        <v>I have a wife and children.</v>
      </c>
      <c r="C84" s="4" t="str">
        <f ca="1">IFERROR(__xludf.DUMMYFUNCTION("IFERROR(GOOGLETRANSLATE(B84,""en"",""ja""),)"),"私には妻と子供がいます。")</f>
        <v>私には妻と子供がいます。</v>
      </c>
      <c r="D84" s="4" t="str">
        <f ca="1">IFERROR(__xludf.DUMMYFUNCTION("IFERROR(GOOGLETRANSLATE(B84,""en"",""zh-TW""),)"),"我有妻子和孩子。")</f>
        <v>我有妻子和孩子。</v>
      </c>
      <c r="E84" s="4" t="str">
        <f ca="1">IFERROR(__xludf.DUMMYFUNCTION("IFERROR(GOOGLETRANSLATE(B84,""en"",""zh-CN""),)"),"我有妻子和孩子。")</f>
        <v>我有妻子和孩子。</v>
      </c>
    </row>
    <row r="85" spans="1:5">
      <c r="A85" s="3" t="s">
        <v>404</v>
      </c>
      <c r="B85" s="4" t="str">
        <f ca="1">IFERROR(__xludf.DUMMYFUNCTION("IFERROR(GOOGLETRANSLATE(A85,""ko"",""en""),)"),"lover")</f>
        <v>lover</v>
      </c>
      <c r="C85" s="4" t="str">
        <f ca="1">IFERROR(__xludf.DUMMYFUNCTION("IFERROR(GOOGLETRANSLATE(B85,""en"",""ja""),)"),"愛人")</f>
        <v>愛人</v>
      </c>
      <c r="D85" s="4" t="str">
        <f ca="1">IFERROR(__xludf.DUMMYFUNCTION("IFERROR(GOOGLETRANSLATE(B85,""en"",""zh-TW""),)"),"情人")</f>
        <v>情人</v>
      </c>
      <c r="E85" s="4" t="str">
        <f ca="1">IFERROR(__xludf.DUMMYFUNCTION("IFERROR(GOOGLETRANSLATE(B85,""en"",""zh-CN""),)"),"情人")</f>
        <v>情人</v>
      </c>
    </row>
    <row r="86" spans="1:5">
      <c r="A86" s="3" t="s">
        <v>299</v>
      </c>
      <c r="B86" s="4" t="str">
        <f ca="1">IFERROR(__xludf.DUMMYFUNCTION("IFERROR(GOOGLETRANSLATE(A86,""ko"",""en""),)"),"refrigerator")</f>
        <v>refrigerator</v>
      </c>
      <c r="C86" s="4" t="str">
        <f ca="1">IFERROR(__xludf.DUMMYFUNCTION("IFERROR(GOOGLETRANSLATE(B86,""en"",""ja""),)"),"冷蔵庫")</f>
        <v>冷蔵庫</v>
      </c>
      <c r="D86" s="4" t="str">
        <f ca="1">IFERROR(__xludf.DUMMYFUNCTION("IFERROR(GOOGLETRANSLATE(B86,""en"",""zh-TW""),)"),"冰箱")</f>
        <v>冰箱</v>
      </c>
      <c r="E86" s="4" t="str">
        <f ca="1">IFERROR(__xludf.DUMMYFUNCTION("IFERROR(GOOGLETRANSLATE(B86,""en"",""zh-CN""),)"),"冰箱")</f>
        <v>冰箱</v>
      </c>
    </row>
    <row r="87" spans="1:5">
      <c r="A87" s="3" t="s">
        <v>410</v>
      </c>
      <c r="B87" s="4" t="str">
        <f ca="1">IFERROR(__xludf.DUMMYFUNCTION("IFERROR(GOOGLETRANSLATE(A87,""ko"",""en""),)"),"I eat water and cheese.")</f>
        <v>I eat water and cheese.</v>
      </c>
      <c r="C87" s="4" t="str">
        <f ca="1">IFERROR(__xludf.DUMMYFUNCTION("IFERROR(GOOGLETRANSLATE(B87,""en"",""ja""),)"),"私は水とチーズを食べます。")</f>
        <v>私は水とチーズを食べます。</v>
      </c>
      <c r="D87" s="4" t="str">
        <f ca="1">IFERROR(__xludf.DUMMYFUNCTION("IFERROR(GOOGLETRANSLATE(B87,""en"",""zh-TW""),)"),"我吃水和起司。")</f>
        <v>我吃水和起司。</v>
      </c>
      <c r="E87" s="4" t="str">
        <f ca="1">IFERROR(__xludf.DUMMYFUNCTION("IFERROR(GOOGLETRANSLATE(B87,""en"",""zh-CN""),)"),"我吃水和奶酪。")</f>
        <v>我吃水和奶酪。</v>
      </c>
    </row>
    <row r="88" spans="1:5">
      <c r="A88" s="3" t="s">
        <v>415</v>
      </c>
      <c r="B88" s="4" t="str">
        <f ca="1">IFERROR(__xludf.DUMMYFUNCTION("IFERROR(GOOGLETRANSLATE(A88,""ko"",""en""),)"),"I eat kimchi and salad.")</f>
        <v>I eat kimchi and salad.</v>
      </c>
      <c r="C88" s="4" t="str">
        <f ca="1">IFERROR(__xludf.DUMMYFUNCTION("IFERROR(GOOGLETRANSLATE(B88,""en"",""ja""),)"),"私はキムチとサラダを食べます。")</f>
        <v>私はキムチとサラダを食べます。</v>
      </c>
      <c r="D88" s="4" t="str">
        <f ca="1">IFERROR(__xludf.DUMMYFUNCTION("IFERROR(GOOGLETRANSLATE(B88,""en"",""zh-TW""),)"),"我吃泡菜和沙拉。")</f>
        <v>我吃泡菜和沙拉。</v>
      </c>
      <c r="E88" s="4" t="str">
        <f ca="1">IFERROR(__xludf.DUMMYFUNCTION("IFERROR(GOOGLETRANSLATE(B88,""en"",""zh-CN""),)"),"我吃泡菜和沙拉。")</f>
        <v>我吃泡菜和沙拉。</v>
      </c>
    </row>
    <row r="89" spans="1:5">
      <c r="A89" s="5" t="s">
        <v>419</v>
      </c>
      <c r="B89" s="4" t="str">
        <f ca="1">IFERROR(__xludf.DUMMYFUNCTION("IFERROR(GOOGLETRANSLATE(A89,""ko"",""en""),)"),"I have a cell phone, a pencil, a pencil case, and a book.")</f>
        <v>I have a cell phone, a pencil, a pencil case, and a book.</v>
      </c>
      <c r="C89" s="4" t="str">
        <f ca="1">IFERROR(__xludf.DUMMYFUNCTION("IFERROR(GOOGLETRANSLATE(B89,""en"",""ja""),)"),"私は携帯電話、鉛筆、筆箱、そして本を持っています。")</f>
        <v>私は携帯電話、鉛筆、筆箱、そして本を持っています。</v>
      </c>
      <c r="D89" s="4" t="str">
        <f ca="1">IFERROR(__xludf.DUMMYFUNCTION("IFERROR(GOOGLETRANSLATE(B89,""en"",""zh-TW""),)"),"我有一部手機、一支鉛筆、一個鉛筆盒和一本書。")</f>
        <v>我有一部手機、一支鉛筆、一個鉛筆盒和一本書。</v>
      </c>
      <c r="E89" s="4" t="str">
        <f ca="1">IFERROR(__xludf.DUMMYFUNCTION("IFERROR(GOOGLETRANSLATE(B89,""en"",""zh-CN""),)"),"我有一部手机、一支铅笔、一个铅笔盒和一本书。")</f>
        <v>我有一部手机、一支铅笔、一个铅笔盒和一本书。</v>
      </c>
    </row>
    <row r="90" spans="1:5">
      <c r="A90" s="2" t="s">
        <v>424</v>
      </c>
      <c r="B90" s="4" t="str">
        <f ca="1">IFERROR(__xludf.DUMMYFUNCTION("IFERROR(GOOGLETRANSLATE(A90,""ko"",""en""),)"),"I buy milk, ramen, bread, and snacks.")</f>
        <v>I buy milk, ramen, bread, and snacks.</v>
      </c>
      <c r="C90" s="4" t="str">
        <f ca="1">IFERROR(__xludf.DUMMYFUNCTION("IFERROR(GOOGLETRANSLATE(B90,""en"",""ja""),)"),"私は牛乳、ラーメン、パン、お菓子を買います。")</f>
        <v>私は牛乳、ラーメン、パン、お菓子を買います。</v>
      </c>
      <c r="D90" s="4" t="str">
        <f ca="1">IFERROR(__xludf.DUMMYFUNCTION("IFERROR(GOOGLETRANSLATE(B90,""en"",""zh-TW""),)"),"我買了牛奶、拉麵、麵包和零食。")</f>
        <v>我買了牛奶、拉麵、麵包和零食。</v>
      </c>
      <c r="E90" s="4" t="str">
        <f ca="1">IFERROR(__xludf.DUMMYFUNCTION("IFERROR(GOOGLETRANSLATE(B90,""en"",""zh-CN""),)"),"我买了牛奶、拉面、面包和零食。")</f>
        <v>我买了牛奶、拉面、面包和零食。</v>
      </c>
    </row>
    <row r="91" spans="1:5">
      <c r="A91" s="3" t="s">
        <v>427</v>
      </c>
      <c r="B91" s="4" t="str">
        <f ca="1">IFERROR(__xludf.DUMMYFUNCTION("IFERROR(GOOGLETRANSLATE(A91,""ko"",""en""),)"),"There are books and a pencil case in my bag.")</f>
        <v>There are books and a pencil case in my bag.</v>
      </c>
      <c r="C91" s="4" t="str">
        <f ca="1">IFERROR(__xludf.DUMMYFUNCTION("IFERROR(GOOGLETRANSLATE(B91,""en"",""ja""),)"),"私のカバンの中には本と筆箱が入っています。")</f>
        <v>私のカバンの中には本と筆箱が入っています。</v>
      </c>
      <c r="D91" s="4" t="str">
        <f ca="1">IFERROR(__xludf.DUMMYFUNCTION("IFERROR(GOOGLETRANSLATE(B91,""en"",""zh-TW""),)"),"我的包包裡有書和一個鉛筆盒。")</f>
        <v>我的包包裡有書和一個鉛筆盒。</v>
      </c>
      <c r="E91" s="4" t="str">
        <f ca="1">IFERROR(__xludf.DUMMYFUNCTION("IFERROR(GOOGLETRANSLATE(B91,""en"",""zh-CN""),)"),"我的包里有书和一个铅笔盒。")</f>
        <v>我的包里有书和一个铅笔盒。</v>
      </c>
    </row>
    <row r="92" spans="1:5">
      <c r="A92" s="3" t="s">
        <v>433</v>
      </c>
      <c r="B92" s="4" t="str">
        <f ca="1">IFERROR(__xludf.DUMMYFUNCTION("IFERROR(GOOGLETRANSLATE(A92,""ko"",""en""),)"),"I'm going to the movie theater and a restaurant today.")</f>
        <v>I'm going to the movie theater and a restaurant today.</v>
      </c>
      <c r="C92" s="4" t="str">
        <f ca="1">IFERROR(__xludf.DUMMYFUNCTION("IFERROR(GOOGLETRANSLATE(B92,""en"",""ja""),)"),"今日は映画館とレストランに行く予定です。")</f>
        <v>今日は映画館とレストランに行く予定です。</v>
      </c>
      <c r="D92" s="4" t="str">
        <f ca="1">IFERROR(__xludf.DUMMYFUNCTION("IFERROR(GOOGLETRANSLATE(B92,""en"",""zh-TW""),)"),"我今天要去電影院和餐廳。")</f>
        <v>我今天要去電影院和餐廳。</v>
      </c>
      <c r="E92" s="4" t="str">
        <f ca="1">IFERROR(__xludf.DUMMYFUNCTION("IFERROR(GOOGLETRANSLATE(B92,""en"",""zh-CN""),)"),"我今天要去电影院和餐厅。")</f>
        <v>我今天要去电影院和餐厅。</v>
      </c>
    </row>
    <row r="93" spans="1:5">
      <c r="A93" s="3" t="s">
        <v>438</v>
      </c>
      <c r="B93" s="4" t="str">
        <f ca="1">IFERROR(__xludf.DUMMYFUNCTION("IFERROR(GOOGLETRANSLATE(A93,""ko"",""en""),)"),"I meet Juno and Marie.")</f>
        <v>I meet Juno and Marie.</v>
      </c>
      <c r="C93" s="4" t="str">
        <f ca="1">IFERROR(__xludf.DUMMYFUNCTION("IFERROR(GOOGLETRANSLATE(B93,""en"",""ja""),)"),"私はジュノとマリーに会った。")</f>
        <v>私はジュノとマリーに会った。</v>
      </c>
      <c r="D93" s="4" t="str">
        <f ca="1">IFERROR(__xludf.DUMMYFUNCTION("IFERROR(GOOGLETRANSLATE(B93,""en"",""zh-TW""),)"),"我遇到了朱諾和瑪麗。")</f>
        <v>我遇到了朱諾和瑪麗。</v>
      </c>
      <c r="E93" s="4" t="str">
        <f ca="1">IFERROR(__xludf.DUMMYFUNCTION("IFERROR(GOOGLETRANSLATE(B93,""en"",""zh-CN""),)"),"我遇到了朱诺和玛丽。")</f>
        <v>我遇到了朱诺和玛丽。</v>
      </c>
    </row>
    <row r="94" spans="1:5">
      <c r="A94" s="3" t="s">
        <v>441</v>
      </c>
      <c r="B94" s="4" t="str">
        <f ca="1">IFERROR(__xludf.DUMMYFUNCTION("IFERROR(GOOGLETRANSLATE(A94,""ko"",""en""),)"),"I'm eating bread and milk today.")</f>
        <v>I'm eating bread and milk today.</v>
      </c>
      <c r="C94" s="4" t="str">
        <f ca="1">IFERROR(__xludf.DUMMYFUNCTION("IFERROR(GOOGLETRANSLATE(B94,""en"",""ja""),)"),"今日はパンと牛乳を食べます。")</f>
        <v>今日はパンと牛乳を食べます。</v>
      </c>
      <c r="D94" s="4" t="str">
        <f ca="1">IFERROR(__xludf.DUMMYFUNCTION("IFERROR(GOOGLETRANSLATE(B94,""en"",""zh-TW""),)"),"我今天吃麵包和牛奶。")</f>
        <v>我今天吃麵包和牛奶。</v>
      </c>
      <c r="E94" s="4" t="str">
        <f ca="1">IFERROR(__xludf.DUMMYFUNCTION("IFERROR(GOOGLETRANSLATE(B94,""en"",""zh-CN""),)"),"我今天吃面包和牛奶。")</f>
        <v>我今天吃面包和牛奶。</v>
      </c>
    </row>
    <row r="95" spans="1:5">
      <c r="A95" s="3" t="s">
        <v>445</v>
      </c>
      <c r="B95" s="4" t="str">
        <f ca="1">IFERROR(__xludf.DUMMYFUNCTION("IFERROR(GOOGLETRANSLATE(A95,""ko"",""en""),)"),"I drink coffee and juice at a cafe every day.")</f>
        <v>I drink coffee and juice at a cafe every day.</v>
      </c>
      <c r="C95" s="4" t="str">
        <f ca="1">IFERROR(__xludf.DUMMYFUNCTION("IFERROR(GOOGLETRANSLATE(B95,""en"",""ja""),)"),"私は毎日カフェでコーヒーとジュースを飲みます。")</f>
        <v>私は毎日カフェでコーヒーとジュースを飲みます。</v>
      </c>
      <c r="D95" s="4" t="str">
        <f ca="1">IFERROR(__xludf.DUMMYFUNCTION("IFERROR(GOOGLETRANSLATE(B95,""en"",""zh-TW""),)"),"我每天都在咖啡館喝咖啡和果汁。")</f>
        <v>我每天都在咖啡館喝咖啡和果汁。</v>
      </c>
      <c r="E95" s="4" t="str">
        <f ca="1">IFERROR(__xludf.DUMMYFUNCTION("IFERROR(GOOGLETRANSLATE(B95,""en"",""zh-CN""),)"),"我每天都在咖啡馆喝咖啡和果汁。")</f>
        <v>我每天都在咖啡馆喝咖啡和果汁。</v>
      </c>
    </row>
    <row r="96" spans="1:5">
      <c r="A96" s="3" t="s">
        <v>450</v>
      </c>
      <c r="B96" s="4" t="str">
        <f ca="1">IFERROR(__xludf.DUMMYFUNCTION("IFERROR(GOOGLETRANSLATE(A96,""ko"",""en""),)"),"What is in the room?")</f>
        <v>What is in the room?</v>
      </c>
      <c r="C96" s="4" t="str">
        <f ca="1">IFERROR(__xludf.DUMMYFUNCTION("IFERROR(GOOGLETRANSLATE(B96,""en"",""ja""),)"),"部屋には何がありますか？")</f>
        <v>部屋には何がありますか？</v>
      </c>
      <c r="D96" s="4" t="str">
        <f ca="1">IFERROR(__xludf.DUMMYFUNCTION("IFERROR(GOOGLETRANSLATE(B96,""en"",""zh-TW""),)"),"房間裡有什麼？")</f>
        <v>房間裡有什麼？</v>
      </c>
      <c r="E96" s="4" t="str">
        <f ca="1">IFERROR(__xludf.DUMMYFUNCTION("IFERROR(GOOGLETRANSLATE(B96,""en"",""zh-CN""),)"),"房间里有什么？")</f>
        <v>房间里有什么？</v>
      </c>
    </row>
    <row r="97" spans="1:5">
      <c r="A97" s="3" t="s">
        <v>457</v>
      </c>
      <c r="B97" s="4" t="str">
        <f ca="1">IFERROR(__xludf.DUMMYFUNCTION("IFERROR(GOOGLETRANSLATE(A97,""ko"",""en""),)"),"I have a laptop and a book.")</f>
        <v>I have a laptop and a book.</v>
      </c>
      <c r="C97" s="4" t="str">
        <f ca="1">IFERROR(__xludf.DUMMYFUNCTION("IFERROR(GOOGLETRANSLATE(B97,""en"",""ja""),)"),"私はノートパソコンと本を持っています。")</f>
        <v>私はノートパソコンと本を持っています。</v>
      </c>
      <c r="D97" s="4" t="str">
        <f ca="1">IFERROR(__xludf.DUMMYFUNCTION("IFERROR(GOOGLETRANSLATE(B97,""en"",""zh-TW""),)"),"我有一台筆記型電腦和一本書。")</f>
        <v>我有一台筆記型電腦和一本書。</v>
      </c>
      <c r="E97" s="4" t="str">
        <f ca="1">IFERROR(__xludf.DUMMYFUNCTION("IFERROR(GOOGLETRANSLATE(B97,""en"",""zh-CN""),)"),"我有一台笔记本电脑和一本书。")</f>
        <v>我有一台笔记本电脑和一本书。</v>
      </c>
    </row>
    <row r="98" spans="1:5">
      <c r="A98" s="3" t="s">
        <v>466</v>
      </c>
      <c r="B98" s="4" t="str">
        <f ca="1">IFERROR(__xludf.DUMMYFUNCTION("IFERROR(GOOGLETRANSLATE(A98,""ko"",""en""),)"),"Who are you meeting today?")</f>
        <v>Who are you meeting today?</v>
      </c>
      <c r="C98" s="4" t="str">
        <f ca="1">IFERROR(__xludf.DUMMYFUNCTION("IFERROR(GOOGLETRANSLATE(B98,""en"",""ja""),)"),"今日は誰と会う予定ですか？")</f>
        <v>今日は誰と会う予定ですか？</v>
      </c>
      <c r="D98" s="4" t="str">
        <f ca="1">IFERROR(__xludf.DUMMYFUNCTION("IFERROR(GOOGLETRANSLATE(B98,""en"",""zh-TW""),)"),"你今天要見誰？")</f>
        <v>你今天要見誰？</v>
      </c>
      <c r="E98" s="4" t="str">
        <f ca="1">IFERROR(__xludf.DUMMYFUNCTION("IFERROR(GOOGLETRANSLATE(B98,""en"",""zh-CN""),)"),"你今天要见谁？")</f>
        <v>你今天要见谁？</v>
      </c>
    </row>
    <row r="99" spans="1:5">
      <c r="A99" s="3" t="s">
        <v>470</v>
      </c>
      <c r="B99" s="4" t="str">
        <f ca="1">IFERROR(__xludf.DUMMYFUNCTION("IFERROR(GOOGLETRANSLATE(A99,""ko"",""en""),)"),"Meet Jaemin and Mari.")</f>
        <v>Meet Jaemin and Mari.</v>
      </c>
      <c r="C99" s="4" t="str">
        <f ca="1">IFERROR(__xludf.DUMMYFUNCTION("IFERROR(GOOGLETRANSLATE(B99,""en"",""ja""),)"),"ジェミンとマリをご紹介します。")</f>
        <v>ジェミンとマリをご紹介します。</v>
      </c>
      <c r="D99" s="4" t="str">
        <f ca="1">IFERROR(__xludf.DUMMYFUNCTION("IFERROR(GOOGLETRANSLATE(B99,""en"",""zh-TW""),)"),"認識渽民和瑪麗。")</f>
        <v>認識渽民和瑪麗。</v>
      </c>
      <c r="E99" s="4" t="str">
        <f ca="1">IFERROR(__xludf.DUMMYFUNCTION("IFERROR(GOOGLETRANSLATE(B99,""en"",""zh-CN""),)"),"认识一下渽民和玛丽。")</f>
        <v>认识一下渽民和玛丽。</v>
      </c>
    </row>
    <row r="100" spans="1:5">
      <c r="A100" s="3" t="s">
        <v>475</v>
      </c>
      <c r="B100" s="4" t="str">
        <f ca="1">IFERROR(__xludf.DUMMYFUNCTION("IFERROR(GOOGLETRANSLATE(A100,""ko"",""en""),)"),"Do you like fruit?")</f>
        <v>Do you like fruit?</v>
      </c>
      <c r="C100" s="4" t="str">
        <f ca="1">IFERROR(__xludf.DUMMYFUNCTION("IFERROR(GOOGLETRANSLATE(B100,""en"",""ja""),)"),"あなたは果物が好きですか？")</f>
        <v>あなたは果物が好きですか？</v>
      </c>
      <c r="D100" s="4" t="str">
        <f ca="1">IFERROR(__xludf.DUMMYFUNCTION("IFERROR(GOOGLETRANSLATE(B100,""en"",""zh-TW""),)"),"你喜歡水果嗎？")</f>
        <v>你喜歡水果嗎？</v>
      </c>
      <c r="E100" s="4" t="str">
        <f ca="1">IFERROR(__xludf.DUMMYFUNCTION("IFERROR(GOOGLETRANSLATE(B100,""en"",""zh-CN""),)"),"你喜欢水果吗？")</f>
        <v>你喜欢水果吗？</v>
      </c>
    </row>
    <row r="101" spans="1:5">
      <c r="A101" s="3" t="s">
        <v>479</v>
      </c>
      <c r="B101" s="4" t="str">
        <f ca="1">IFERROR(__xludf.DUMMYFUNCTION("IFERROR(GOOGLETRANSLATE(A101,""ko"",""en""),)"),"Yes, I like apples and bananas.")</f>
        <v>Yes, I like apples and bananas.</v>
      </c>
      <c r="C101" s="4" t="str">
        <f ca="1">IFERROR(__xludf.DUMMYFUNCTION("IFERROR(GOOGLETRANSLATE(B101,""en"",""ja""),)"),"はい、リンゴとバナナが好きです。")</f>
        <v>はい、リンゴとバナナが好きです。</v>
      </c>
      <c r="D101" s="4" t="str">
        <f ca="1">IFERROR(__xludf.DUMMYFUNCTION("IFERROR(GOOGLETRANSLATE(B101,""en"",""zh-TW""),)"),"是的，我喜歡蘋果和香蕉。")</f>
        <v>是的，我喜歡蘋果和香蕉。</v>
      </c>
      <c r="E101" s="4" t="str">
        <f ca="1">IFERROR(__xludf.DUMMYFUNCTION("IFERROR(GOOGLETRANSLATE(B101,""en"",""zh-CN""),)"),"是的，我喜欢苹果和香蕉。")</f>
        <v>是的，我喜欢苹果和香蕉。</v>
      </c>
    </row>
    <row r="102" spans="1:5">
      <c r="A102" s="3" t="s">
        <v>482</v>
      </c>
      <c r="B102" s="4" t="str">
        <f ca="1">IFERROR(__xludf.DUMMYFUNCTION("IFERROR(GOOGLETRANSLATE(A102,""ko"",""en""),)"),"Do you buy milk?")</f>
        <v>Do you buy milk?</v>
      </c>
      <c r="C102" s="4" t="str">
        <f ca="1">IFERROR(__xludf.DUMMYFUNCTION("IFERROR(GOOGLETRANSLATE(B102,""en"",""ja""),)"),"あなたは牛乳を買いますか？")</f>
        <v>あなたは牛乳を買いますか？</v>
      </c>
      <c r="D102" s="4" t="str">
        <f ca="1">IFERROR(__xludf.DUMMYFUNCTION("IFERROR(GOOGLETRANSLATE(B102,""en"",""zh-TW""),)"),"你買牛奶嗎？")</f>
        <v>你買牛奶嗎？</v>
      </c>
      <c r="E102" s="4" t="str">
        <f ca="1">IFERROR(__xludf.DUMMYFUNCTION("IFERROR(GOOGLETRANSLATE(B102,""en"",""zh-CN""),)"),"你买牛奶吗？")</f>
        <v>你买牛奶吗？</v>
      </c>
    </row>
    <row r="103" spans="1:5">
      <c r="A103" s="3" t="s">
        <v>485</v>
      </c>
      <c r="B103" s="4" t="str">
        <f ca="1">IFERROR(__xludf.DUMMYFUNCTION("IFERROR(GOOGLETRANSLATE(A103,""ko"",""en""),)"),"No, I'm buying water and ramen.")</f>
        <v>No, I'm buying water and ramen.</v>
      </c>
      <c r="C103" s="4" t="str">
        <f ca="1">IFERROR(__xludf.DUMMYFUNCTION("IFERROR(GOOGLETRANSLATE(B103,""en"",""ja""),)"),"いいえ、水とラーメンを買います。")</f>
        <v>いいえ、水とラーメンを買います。</v>
      </c>
      <c r="D103" s="4" t="str">
        <f ca="1">IFERROR(__xludf.DUMMYFUNCTION("IFERROR(GOOGLETRANSLATE(B103,""en"",""zh-TW""),)"),"不，我買的是水和拉麵。")</f>
        <v>不，我買的是水和拉麵。</v>
      </c>
      <c r="E103" s="4" t="str">
        <f ca="1">IFERROR(__xludf.DUMMYFUNCTION("IFERROR(GOOGLETRANSLATE(B103,""en"",""zh-CN""),)"),"不，我买的是水和拉面。")</f>
        <v>不，我买的是水和拉面。</v>
      </c>
    </row>
    <row r="104" spans="1:5">
      <c r="A104" s="5" t="s">
        <v>489</v>
      </c>
      <c r="B104" s="4" t="s">
        <v>492</v>
      </c>
      <c r="C104" s="4" t="str">
        <f ca="1">IFERROR(__xludf.DUMMYFUNCTION("IFERROR(GOOGLETRANSLATE(B104,""en"",""ja""),)"),"黄色い大根の漬物")</f>
        <v>黄色い大根の漬物</v>
      </c>
      <c r="D104" s="4" t="str">
        <f ca="1">IFERROR(__xludf.DUMMYFUNCTION("IFERROR(GOOGLETRANSLATE(B104,""en"",""zh-TW""),)"),"黃醃蘿蔔")</f>
        <v>黃醃蘿蔔</v>
      </c>
      <c r="E104" s="4" t="str">
        <f ca="1">IFERROR(__xludf.DUMMYFUNCTION("IFERROR(GOOGLETRANSLATE(B104,""en"",""zh-CN""),)"),"黄腌萝卜")</f>
        <v>黄腌萝卜</v>
      </c>
    </row>
    <row r="105" spans="1:5">
      <c r="A105" s="3" t="s">
        <v>496</v>
      </c>
      <c r="B105" s="4" t="str">
        <f ca="1">IFERROR(__xludf.DUMMYFUNCTION("IFERROR(GOOGLETRANSLATE(A105,""ko"",""en""),)"),"I study Korean and English.")</f>
        <v>I study Korean and English.</v>
      </c>
      <c r="C105" s="4" t="str">
        <f ca="1">IFERROR(__xludf.DUMMYFUNCTION("IFERROR(GOOGLETRANSLATE(B105,""en"",""ja""),)"),"私は韓国語と英語を勉強しています。")</f>
        <v>私は韓国語と英語を勉強しています。</v>
      </c>
      <c r="D105" s="4" t="str">
        <f ca="1">IFERROR(__xludf.DUMMYFUNCTION("IFERROR(GOOGLETRANSLATE(B105,""en"",""zh-TW""),)"),"我學習韓語和英語。")</f>
        <v>我學習韓語和英語。</v>
      </c>
      <c r="E105" s="4" t="str">
        <f ca="1">IFERROR(__xludf.DUMMYFUNCTION("IFERROR(GOOGLETRANSLATE(B105,""en"",""zh-CN""),)"),"我学习韩语和英语。")</f>
        <v>我学习韩语和英语。</v>
      </c>
    </row>
    <row r="106" spans="1:5">
      <c r="A106" s="5" t="s">
        <v>55</v>
      </c>
      <c r="B106" s="4" t="str">
        <f ca="1">IFERROR(__xludf.DUMMYFUNCTION("IFERROR(GOOGLETRANSLATE(A106,""ko"",""en""),)"),"cosmetics")</f>
        <v>cosmetics</v>
      </c>
      <c r="C106" s="4" t="str">
        <f ca="1">IFERROR(__xludf.DUMMYFUNCTION("IFERROR(GOOGLETRANSLATE(B106,""en"",""ja""),)"),"化粧品")</f>
        <v>化粧品</v>
      </c>
      <c r="D106" s="4" t="str">
        <f ca="1">IFERROR(__xludf.DUMMYFUNCTION("IFERROR(GOOGLETRANSLATE(B106,""en"",""zh-TW""),)"),"化妝品")</f>
        <v>化妝品</v>
      </c>
      <c r="E106" s="4" t="str">
        <f ca="1">IFERROR(__xludf.DUMMYFUNCTION("IFERROR(GOOGLETRANSLATE(B106,""en"",""zh-CN""),)"),"化妆品")</f>
        <v>化妆品</v>
      </c>
    </row>
    <row r="107" spans="1:5">
      <c r="A107" s="3" t="s">
        <v>507</v>
      </c>
      <c r="B107" s="4" t="str">
        <f ca="1">IFERROR(__xludf.DUMMYFUNCTION("IFERROR(GOOGLETRANSLATE(A107,""ko"",""en""),)"),"I have no money or time.")</f>
        <v>I have no money or time.</v>
      </c>
      <c r="C107" s="4" t="str">
        <f ca="1">IFERROR(__xludf.DUMMYFUNCTION("IFERROR(GOOGLETRANSLATE(B107,""en"",""ja""),)"),"私にはお金も時間もありません。")</f>
        <v>私にはお金も時間もありません。</v>
      </c>
      <c r="D107" s="4" t="str">
        <f ca="1">IFERROR(__xludf.DUMMYFUNCTION("IFERROR(GOOGLETRANSLATE(B107,""en"",""zh-TW""),)"),"我既沒錢也沒時間。")</f>
        <v>我既沒錢也沒時間。</v>
      </c>
      <c r="E107" s="4" t="str">
        <f ca="1">IFERROR(__xludf.DUMMYFUNCTION("IFERROR(GOOGLETRANSLATE(B107,""en"",""zh-CN""),)"),"我既没钱也没时间。")</f>
        <v>我既没钱也没时间。</v>
      </c>
    </row>
    <row r="108" spans="1:5">
      <c r="A108" s="3" t="s">
        <v>131</v>
      </c>
      <c r="B108" s="4" t="str">
        <f ca="1">IFERROR(__xludf.DUMMYFUNCTION("IFERROR(GOOGLETRANSLATE(A108,""ko"",""en""),)"),"often")</f>
        <v>often</v>
      </c>
      <c r="C108" s="4" t="str">
        <f ca="1">IFERROR(__xludf.DUMMYFUNCTION("IFERROR(GOOGLETRANSLATE(B108,""en"",""ja""),)"),"頻繁")</f>
        <v>頻繁</v>
      </c>
      <c r="D108" s="4" t="str">
        <f ca="1">IFERROR(__xludf.DUMMYFUNCTION("IFERROR(GOOGLETRANSLATE(B108,""en"",""zh-TW""),)"),"常")</f>
        <v>常</v>
      </c>
      <c r="E108" s="4" t="str">
        <f ca="1">IFERROR(__xludf.DUMMYFUNCTION("IFERROR(GOOGLETRANSLATE(B108,""en"",""zh-CN""),)"),"经常")</f>
        <v>经常</v>
      </c>
    </row>
    <row r="109" spans="1:5">
      <c r="A109" s="5" t="s">
        <v>514</v>
      </c>
      <c r="B109" s="4" t="str">
        <f ca="1">IFERROR(__xludf.DUMMYFUNCTION("IFERROR(GOOGLETRANSLATE(A109,""ko"",""en""),)"),"mostly")</f>
        <v>mostly</v>
      </c>
      <c r="C109" s="4" t="str">
        <f ca="1">IFERROR(__xludf.DUMMYFUNCTION("IFERROR(GOOGLETRANSLATE(B109,""en"",""ja""),)"),"たいてい")</f>
        <v>たいてい</v>
      </c>
      <c r="D109" s="4" t="str">
        <f ca="1">IFERROR(__xludf.DUMMYFUNCTION("IFERROR(GOOGLETRANSLATE(B109,""en"",""zh-TW""),)"),"大多")</f>
        <v>大多</v>
      </c>
      <c r="E109" s="4" t="str">
        <f ca="1">IFERROR(__xludf.DUMMYFUNCTION("IFERROR(GOOGLETRANSLATE(B109,""en"",""zh-CN""),)"),"大多")</f>
        <v>大多</v>
      </c>
    </row>
    <row r="110" spans="1:5">
      <c r="A110" s="3" t="s">
        <v>519</v>
      </c>
      <c r="B110" s="4" t="str">
        <f ca="1">IFERROR(__xludf.DUMMYFUNCTION("IFERROR(GOOGLETRANSLATE(A110,""ko"",""en""),)"),"I'm buying a gift for a friend.")</f>
        <v>I'm buying a gift for a friend.</v>
      </c>
      <c r="C110" s="4" t="str">
        <f ca="1">IFERROR(__xludf.DUMMYFUNCTION("IFERROR(GOOGLETRANSLATE(B110,""en"",""ja""),)"),"友達へのプレゼントを買っています。")</f>
        <v>友達へのプレゼントを買っています。</v>
      </c>
      <c r="D110" s="4" t="str">
        <f ca="1">IFERROR(__xludf.DUMMYFUNCTION("IFERROR(GOOGLETRANSLATE(B110,""en"",""zh-TW""),)"),"我正在買禮物給朋友。")</f>
        <v>我正在買禮物給朋友。</v>
      </c>
      <c r="E110" s="4" t="str">
        <f ca="1">IFERROR(__xludf.DUMMYFUNCTION("IFERROR(GOOGLETRANSLATE(B110,""en"",""zh-CN""),)"),"我正在给朋友买礼物。")</f>
        <v>我正在给朋友买礼物。</v>
      </c>
    </row>
    <row r="111" spans="1:5">
      <c r="A111" s="3" t="s">
        <v>525</v>
      </c>
      <c r="B111" s="4" t="str">
        <f ca="1">IFERROR(__xludf.DUMMYFUNCTION("IFERROR(GOOGLETRANSLATE(A111,""ko"",""en""),)"),"gift")</f>
        <v>gift</v>
      </c>
      <c r="C111" s="4" t="str">
        <f ca="1">IFERROR(__xludf.DUMMYFUNCTION("IFERROR(GOOGLETRANSLATE(B111,""en"",""ja""),)"),"贈り物")</f>
        <v>贈り物</v>
      </c>
      <c r="D111" s="4" t="str">
        <f ca="1">IFERROR(__xludf.DUMMYFUNCTION("IFERROR(GOOGLETRANSLATE(B111,""en"",""zh-TW""),)"),"禮物")</f>
        <v>禮物</v>
      </c>
      <c r="E111" s="4" t="str">
        <f ca="1">IFERROR(__xludf.DUMMYFUNCTION("IFERROR(GOOGLETRANSLATE(B111,""en"",""zh-CN""),)"),"礼物")</f>
        <v>礼物</v>
      </c>
    </row>
    <row r="112" spans="1:5">
      <c r="A112" s="3" t="s">
        <v>531</v>
      </c>
      <c r="B112" s="4" t="str">
        <f ca="1">IFERROR(__xludf.DUMMYFUNCTION("IFERROR(GOOGLETRANSLATE(A112,""ko"",""en""),)"),"I drink coffee and tea.")</f>
        <v>I drink coffee and tea.</v>
      </c>
      <c r="C112" s="4" t="str">
        <f ca="1">IFERROR(__xludf.DUMMYFUNCTION("IFERROR(GOOGLETRANSLATE(B112,""en"",""ja""),)"),"私はコーヒーと紅茶を飲みます。")</f>
        <v>私はコーヒーと紅茶を飲みます。</v>
      </c>
      <c r="D112" s="4" t="str">
        <f ca="1">IFERROR(__xludf.DUMMYFUNCTION("IFERROR(GOOGLETRANSLATE(B112,""en"",""zh-TW""),)"),"我喝咖啡和茶。")</f>
        <v>我喝咖啡和茶。</v>
      </c>
      <c r="E112" s="4" t="str">
        <f ca="1">IFERROR(__xludf.DUMMYFUNCTION("IFERROR(GOOGLETRANSLATE(B112,""en"",""zh-CN""),)"),"我喝咖啡和茶。")</f>
        <v>我喝咖啡和茶。</v>
      </c>
    </row>
    <row r="113" spans="1:5">
      <c r="A113" s="3" t="s">
        <v>536</v>
      </c>
      <c r="B113" s="4" t="str">
        <f ca="1">IFERROR(__xludf.DUMMYFUNCTION("IFERROR(GOOGLETRANSLATE(A113,""ko"",""en""),)"),"Boyfriend")</f>
        <v>Boyfriend</v>
      </c>
      <c r="C113" s="4" t="str">
        <f ca="1">IFERROR(__xludf.DUMMYFUNCTION("IFERROR(GOOGLETRANSLATE(B113,""en"",""ja""),)"),"彼氏")</f>
        <v>彼氏</v>
      </c>
      <c r="D113" s="4" t="str">
        <f ca="1">IFERROR(__xludf.DUMMYFUNCTION("IFERROR(GOOGLETRANSLATE(B113,""en"",""zh-TW""),)"),"男友")</f>
        <v>男友</v>
      </c>
      <c r="E113" s="4" t="str">
        <f ca="1">IFERROR(__xludf.DUMMYFUNCTION("IFERROR(GOOGLETRANSLATE(B113,""en"",""zh-CN""),)"),"男朋友")</f>
        <v>男朋友</v>
      </c>
    </row>
    <row r="114" spans="1:5">
      <c r="A114" s="5" t="s">
        <v>539</v>
      </c>
      <c r="B114" s="4" t="str">
        <f ca="1">IFERROR(__xludf.DUMMYFUNCTION("IFERROR(GOOGLETRANSLATE(A114,""ko"",""en""),)"),"male friend")</f>
        <v>male friend</v>
      </c>
      <c r="C114" s="4" t="str">
        <f ca="1">IFERROR(__xludf.DUMMYFUNCTION("IFERROR(GOOGLETRANSLATE(B114,""en"",""ja""),)"),"男友達")</f>
        <v>男友達</v>
      </c>
      <c r="D114" s="4" t="str">
        <f ca="1">IFERROR(__xludf.DUMMYFUNCTION("IFERROR(GOOGLETRANSLATE(B114,""en"",""zh-TW""),)"),"男性朋友")</f>
        <v>男性朋友</v>
      </c>
      <c r="E114" s="4" t="str">
        <f ca="1">IFERROR(__xludf.DUMMYFUNCTION("IFERROR(GOOGLETRANSLATE(B114,""en"",""zh-CN""),)"),"男性朋友")</f>
        <v>男性朋友</v>
      </c>
    </row>
    <row r="115" spans="1:5">
      <c r="A115" s="3" t="s">
        <v>544</v>
      </c>
      <c r="B115" s="4" t="str">
        <f ca="1">IFERROR(__xludf.DUMMYFUNCTION("IFERROR(GOOGLETRANSLATE(A115,""ko"",""en""),)"),"Girlfriend")</f>
        <v>Girlfriend</v>
      </c>
      <c r="C115" s="4" t="str">
        <f ca="1">IFERROR(__xludf.DUMMYFUNCTION("IFERROR(GOOGLETRANSLATE(B115,""en"",""ja""),)"),"彼女")</f>
        <v>彼女</v>
      </c>
      <c r="D115" s="4" t="str">
        <f ca="1">IFERROR(__xludf.DUMMYFUNCTION("IFERROR(GOOGLETRANSLATE(B115,""en"",""zh-TW""),)"),"女朋友")</f>
        <v>女朋友</v>
      </c>
      <c r="E115" s="4" t="str">
        <f ca="1">IFERROR(__xludf.DUMMYFUNCTION("IFERROR(GOOGLETRANSLATE(B115,""en"",""zh-CN""),)"),"女朋友")</f>
        <v>女朋友</v>
      </c>
    </row>
    <row r="116" spans="1:5">
      <c r="A116" s="5" t="s">
        <v>548</v>
      </c>
      <c r="B116" s="4" t="s">
        <v>550</v>
      </c>
      <c r="C116" s="4" t="str">
        <f ca="1">IFERROR(__xludf.DUMMYFUNCTION("IFERROR(GOOGLETRANSLATE(B116,""en"",""ja""),)"),"女友達")</f>
        <v>女友達</v>
      </c>
      <c r="D116" s="4" t="str">
        <f ca="1">IFERROR(__xludf.DUMMYFUNCTION("IFERROR(GOOGLETRANSLATE(B116,""en"",""zh-TW""),)"),"女性朋友")</f>
        <v>女性朋友</v>
      </c>
      <c r="E116" s="4" t="str">
        <f ca="1">IFERROR(__xludf.DUMMYFUNCTION("IFERROR(GOOGLETRANSLATE(B116,""en"",""zh-CN""),)"),"女性朋友")</f>
        <v>女性朋友</v>
      </c>
    </row>
    <row r="117" spans="1:5">
      <c r="A117" s="3" t="s">
        <v>554</v>
      </c>
      <c r="B117" s="4" t="str">
        <f ca="1">IFERROR(__xludf.DUMMYFUNCTION("IFERROR(GOOGLETRANSLATE(A117,""ko"",""en""),)"),"fruit store")</f>
        <v>fruit store</v>
      </c>
      <c r="C117" s="4" t="str">
        <f ca="1">IFERROR(__xludf.DUMMYFUNCTION("IFERROR(GOOGLETRANSLATE(B117,""en"",""ja""),)"),"果物店")</f>
        <v>果物店</v>
      </c>
      <c r="D117" s="4" t="str">
        <f ca="1">IFERROR(__xludf.DUMMYFUNCTION("IFERROR(GOOGLETRANSLATE(B117,""en"",""zh-TW""),)"),"水果店")</f>
        <v>水果店</v>
      </c>
      <c r="E117" s="4" t="str">
        <f ca="1">IFERROR(__xludf.DUMMYFUNCTION("IFERROR(GOOGLETRANSLATE(B117,""en"",""zh-CN""),)"),"水果店")</f>
        <v>水果店</v>
      </c>
    </row>
    <row r="118" spans="1:5">
      <c r="A118" s="5" t="s">
        <v>559</v>
      </c>
      <c r="B118" s="4" t="str">
        <f ca="1">IFERROR(__xludf.DUMMYFUNCTION("IFERROR(GOOGLETRANSLATE(A118,""ko"",""en""),)"),"Unit noun")</f>
        <v>Unit noun</v>
      </c>
      <c r="C118" s="4" t="str">
        <f ca="1">IFERROR(__xludf.DUMMYFUNCTION("IFERROR(GOOGLETRANSLATE(B118,""en"",""ja""),)"),"単位名詞")</f>
        <v>単位名詞</v>
      </c>
      <c r="D118" s="4" t="str">
        <f ca="1">IFERROR(__xludf.DUMMYFUNCTION("IFERROR(GOOGLETRANSLATE(B118,""en"",""zh-TW""),)"),"單位名詞")</f>
        <v>單位名詞</v>
      </c>
      <c r="E118" s="4" t="str">
        <f ca="1">IFERROR(__xludf.DUMMYFUNCTION("IFERROR(GOOGLETRANSLATE(B118,""en"",""zh-CN""),)"),"单位名词")</f>
        <v>单位名词</v>
      </c>
    </row>
    <row r="119" spans="1:5">
      <c r="A119" s="3" t="s">
        <v>564</v>
      </c>
      <c r="B119" s="4" t="str">
        <f ca="1">IFERROR(__xludf.DUMMYFUNCTION("IFERROR(GOOGLETRANSLATE(A119,""ko"",""en""),)"),"Please give me five cups of coffee.")</f>
        <v>Please give me five cups of coffee.</v>
      </c>
      <c r="C119" s="4" t="str">
        <f ca="1">IFERROR(__xludf.DUMMYFUNCTION("IFERROR(GOOGLETRANSLATE(B119,""en"",""ja""),)"),"コーヒーを5杯ください。")</f>
        <v>コーヒーを5杯ください。</v>
      </c>
      <c r="D119" s="4" t="str">
        <f ca="1">IFERROR(__xludf.DUMMYFUNCTION("IFERROR(GOOGLETRANSLATE(B119,""en"",""zh-TW""),)"),"請給我五杯咖啡。")</f>
        <v>請給我五杯咖啡。</v>
      </c>
      <c r="E119" s="4" t="str">
        <f ca="1">IFERROR(__xludf.DUMMYFUNCTION("IFERROR(GOOGLETRANSLATE(B119,""en"",""zh-CN""),)"),"请给我五杯咖啡。")</f>
        <v>请给我五杯咖啡。</v>
      </c>
    </row>
    <row r="120" spans="1:5">
      <c r="A120" s="3" t="s">
        <v>569</v>
      </c>
      <c r="B120" s="4" t="str">
        <f ca="1">IFERROR(__xludf.DUMMYFUNCTION("IFERROR(GOOGLETRANSLATE(A120,""ko"",""en""),)"),"Please give me a cup of coffee.")</f>
        <v>Please give me a cup of coffee.</v>
      </c>
      <c r="C120" s="4" t="str">
        <f ca="1">IFERROR(__xludf.DUMMYFUNCTION("IFERROR(GOOGLETRANSLATE(B120,""en"",""ja""),)"),"コーヒーを一杯ください。")</f>
        <v>コーヒーを一杯ください。</v>
      </c>
      <c r="D120" s="4" t="str">
        <f ca="1">IFERROR(__xludf.DUMMYFUNCTION("IFERROR(GOOGLETRANSLATE(B120,""en"",""zh-TW""),)"),"請給我一杯咖啡。")</f>
        <v>請給我一杯咖啡。</v>
      </c>
      <c r="E120" s="4" t="str">
        <f ca="1">IFERROR(__xludf.DUMMYFUNCTION("IFERROR(GOOGLETRANSLATE(B120,""en"",""zh-CN""),)"),"请给我一杯咖啡。")</f>
        <v>请给我一杯咖啡。</v>
      </c>
    </row>
    <row r="121" spans="1:5">
      <c r="A121" s="2" t="s">
        <v>575</v>
      </c>
      <c r="B121" s="4" t="str">
        <f ca="1">IFERROR(__xludf.DUMMYFUNCTION("IFERROR(GOOGLETRANSLATE(A121,""ko"",""en""),)"),"one")</f>
        <v>one</v>
      </c>
      <c r="C121" s="4" t="str">
        <f ca="1">IFERROR(__xludf.DUMMYFUNCTION("IFERROR(GOOGLETRANSLATE(B121,""en"",""ja""),)"),"1つ")</f>
        <v>1つ</v>
      </c>
      <c r="D121" s="4" t="str">
        <f ca="1">IFERROR(__xludf.DUMMYFUNCTION("IFERROR(GOOGLETRANSLATE(B121,""en"",""zh-TW""),)"),"一")</f>
        <v>一</v>
      </c>
      <c r="E121" s="4" t="str">
        <f ca="1">IFERROR(__xludf.DUMMYFUNCTION("IFERROR(GOOGLETRANSLATE(B121,""en"",""zh-CN""),)"),"一")</f>
        <v>一</v>
      </c>
    </row>
    <row r="122" spans="1:5">
      <c r="A122" s="2" t="s">
        <v>579</v>
      </c>
      <c r="B122" s="4" t="str">
        <f ca="1">IFERROR(__xludf.DUMMYFUNCTION("IFERROR(GOOGLETRANSLATE(A122,""ko"",""en""),)"),"two")</f>
        <v>two</v>
      </c>
      <c r="C122" s="4" t="str">
        <f ca="1">IFERROR(__xludf.DUMMYFUNCTION("IFERROR(GOOGLETRANSLATE(B122,""en"",""ja""),)"),"二")</f>
        <v>二</v>
      </c>
      <c r="D122" s="4" t="str">
        <f ca="1">IFERROR(__xludf.DUMMYFUNCTION("IFERROR(GOOGLETRANSLATE(B122,""en"",""zh-TW""),)"),"二")</f>
        <v>二</v>
      </c>
      <c r="E122" s="4" t="str">
        <f ca="1">IFERROR(__xludf.DUMMYFUNCTION("IFERROR(GOOGLETRANSLATE(B122,""en"",""zh-CN""),)"),"二")</f>
        <v>二</v>
      </c>
    </row>
    <row r="123" spans="1:5">
      <c r="A123" s="2" t="s">
        <v>583</v>
      </c>
      <c r="B123" s="4" t="str">
        <f ca="1">IFERROR(__xludf.DUMMYFUNCTION("IFERROR(GOOGLETRANSLATE(A123,""ko"",""en""),)"),"three")</f>
        <v>three</v>
      </c>
      <c r="C123" s="4" t="str">
        <f ca="1">IFERROR(__xludf.DUMMYFUNCTION("IFERROR(GOOGLETRANSLATE(B123,""en"",""ja""),)"),"三つ")</f>
        <v>三つ</v>
      </c>
      <c r="D123" s="4" t="str">
        <f ca="1">IFERROR(__xludf.DUMMYFUNCTION("IFERROR(GOOGLETRANSLATE(B123,""en"",""zh-TW""),)"),"三")</f>
        <v>三</v>
      </c>
      <c r="E123" s="4" t="str">
        <f ca="1">IFERROR(__xludf.DUMMYFUNCTION("IFERROR(GOOGLETRANSLATE(B123,""en"",""zh-CN""),)"),"三")</f>
        <v>三</v>
      </c>
    </row>
    <row r="124" spans="1:5">
      <c r="A124" s="5" t="s">
        <v>588</v>
      </c>
      <c r="B124" s="4" t="str">
        <f ca="1">IFERROR(__xludf.DUMMYFUNCTION("IFERROR(GOOGLETRANSLATE(A124,""ko"",""en""),)"),"four")</f>
        <v>four</v>
      </c>
      <c r="C124" s="4" t="str">
        <f ca="1">IFERROR(__xludf.DUMMYFUNCTION("IFERROR(GOOGLETRANSLATE(B124,""en"",""ja""),)"),"4")</f>
        <v>4</v>
      </c>
      <c r="D124" s="4" t="str">
        <f ca="1">IFERROR(__xludf.DUMMYFUNCTION("IFERROR(GOOGLETRANSLATE(B124,""en"",""zh-TW""),)"),"四")</f>
        <v>四</v>
      </c>
      <c r="E124" s="4" t="str">
        <f ca="1">IFERROR(__xludf.DUMMYFUNCTION("IFERROR(GOOGLETRANSLATE(B124,""en"",""zh-CN""),)"),"四")</f>
        <v>四</v>
      </c>
    </row>
    <row r="125" spans="1:5">
      <c r="A125" s="2" t="s">
        <v>592</v>
      </c>
      <c r="B125" s="4" t="str">
        <f ca="1">IFERROR(__xludf.DUMMYFUNCTION("IFERROR(GOOGLETRANSLATE(A125,""ko"",""en""),)"),"five")</f>
        <v>five</v>
      </c>
      <c r="C125" s="4" t="str">
        <f ca="1">IFERROR(__xludf.DUMMYFUNCTION("IFERROR(GOOGLETRANSLATE(B125,""en"",""ja""),)"),"五")</f>
        <v>五</v>
      </c>
      <c r="D125" s="4" t="str">
        <f ca="1">IFERROR(__xludf.DUMMYFUNCTION("IFERROR(GOOGLETRANSLATE(B125,""en"",""zh-TW""),)"),"五")</f>
        <v>五</v>
      </c>
      <c r="E125" s="4" t="str">
        <f ca="1">IFERROR(__xludf.DUMMYFUNCTION("IFERROR(GOOGLETRANSLATE(B125,""en"",""zh-CN""),)"),"五")</f>
        <v>五</v>
      </c>
    </row>
    <row r="126" spans="1:5">
      <c r="A126" s="5" t="s">
        <v>596</v>
      </c>
      <c r="B126" s="4" t="str">
        <f ca="1">IFERROR(__xludf.DUMMYFUNCTION("IFERROR(GOOGLETRANSLATE(A126,""ko"",""en""),)"),"six")</f>
        <v>six</v>
      </c>
      <c r="C126" s="4" t="str">
        <f ca="1">IFERROR(__xludf.DUMMYFUNCTION("IFERROR(GOOGLETRANSLATE(B126,""en"",""ja""),)"),"六")</f>
        <v>六</v>
      </c>
      <c r="D126" s="4" t="str">
        <f ca="1">IFERROR(__xludf.DUMMYFUNCTION("IFERROR(GOOGLETRANSLATE(B126,""en"",""zh-TW""),)"),"六")</f>
        <v>六</v>
      </c>
      <c r="E126" s="4" t="str">
        <f ca="1">IFERROR(__xludf.DUMMYFUNCTION("IFERROR(GOOGLETRANSLATE(B126,""en"",""zh-CN""),)"),"六")</f>
        <v>六</v>
      </c>
    </row>
    <row r="127" spans="1:5">
      <c r="A127" s="5" t="s">
        <v>599</v>
      </c>
      <c r="B127" s="4" t="str">
        <f ca="1">IFERROR(__xludf.DUMMYFUNCTION("IFERROR(GOOGLETRANSLATE(A127,""ko"",""en""),)"),"seven")</f>
        <v>seven</v>
      </c>
      <c r="C127" s="4" t="str">
        <f ca="1">IFERROR(__xludf.DUMMYFUNCTION("IFERROR(GOOGLETRANSLATE(B127,""en"",""ja""),)"),"セブン")</f>
        <v>セブン</v>
      </c>
      <c r="D127" s="4" t="str">
        <f ca="1">IFERROR(__xludf.DUMMYFUNCTION("IFERROR(GOOGLETRANSLATE(B127,""en"",""zh-TW""),)"),"七")</f>
        <v>七</v>
      </c>
      <c r="E127" s="4" t="str">
        <f ca="1">IFERROR(__xludf.DUMMYFUNCTION("IFERROR(GOOGLETRANSLATE(B127,""en"",""zh-CN""),)"),"七")</f>
        <v>七</v>
      </c>
    </row>
    <row r="128" spans="1:5">
      <c r="A128" s="5" t="s">
        <v>602</v>
      </c>
      <c r="B128" s="4" t="str">
        <f ca="1">IFERROR(__xludf.DUMMYFUNCTION("IFERROR(GOOGLETRANSLATE(A128,""ko"",""en""),)"),"eight")</f>
        <v>eight</v>
      </c>
      <c r="C128" s="4" t="str">
        <f ca="1">IFERROR(__xludf.DUMMYFUNCTION("IFERROR(GOOGLETRANSLATE(B128,""en"",""ja""),)"),"八")</f>
        <v>八</v>
      </c>
      <c r="D128" s="4" t="str">
        <f ca="1">IFERROR(__xludf.DUMMYFUNCTION("IFERROR(GOOGLETRANSLATE(B128,""en"",""zh-TW""),)"),"八")</f>
        <v>八</v>
      </c>
      <c r="E128" s="4" t="str">
        <f ca="1">IFERROR(__xludf.DUMMYFUNCTION("IFERROR(GOOGLETRANSLATE(B128,""en"",""zh-CN""),)"),"八")</f>
        <v>八</v>
      </c>
    </row>
    <row r="129" spans="1:5">
      <c r="A129" s="5" t="s">
        <v>606</v>
      </c>
      <c r="B129" s="4" t="str">
        <f ca="1">IFERROR(__xludf.DUMMYFUNCTION("IFERROR(GOOGLETRANSLATE(A129,""ko"",""en""),)"),"nine")</f>
        <v>nine</v>
      </c>
      <c r="C129" s="4" t="str">
        <f ca="1">IFERROR(__xludf.DUMMYFUNCTION("IFERROR(GOOGLETRANSLATE(B129,""en"",""ja""),)"),"九")</f>
        <v>九</v>
      </c>
      <c r="D129" s="4" t="str">
        <f ca="1">IFERROR(__xludf.DUMMYFUNCTION("IFERROR(GOOGLETRANSLATE(B129,""en"",""zh-TW""),)"),"九")</f>
        <v>九</v>
      </c>
      <c r="E129" s="4" t="str">
        <f ca="1">IFERROR(__xludf.DUMMYFUNCTION("IFERROR(GOOGLETRANSLATE(B129,""en"",""zh-CN""),)"),"九")</f>
        <v>九</v>
      </c>
    </row>
    <row r="130" spans="1:5">
      <c r="A130" s="5" t="s">
        <v>611</v>
      </c>
      <c r="B130" s="4" t="s">
        <v>612</v>
      </c>
      <c r="C130" s="4" t="str">
        <f ca="1">IFERROR(__xludf.DUMMYFUNCTION("IFERROR(GOOGLETRANSLATE(B130,""en"",""ja""),)"),"10")</f>
        <v>10</v>
      </c>
      <c r="D130" s="4" t="str">
        <f ca="1">IFERROR(__xludf.DUMMYFUNCTION("IFERROR(GOOGLETRANSLATE(B130,""en"",""zh-TW""),)"),"十")</f>
        <v>十</v>
      </c>
      <c r="E130" s="4" t="str">
        <f ca="1">IFERROR(__xludf.DUMMYFUNCTION("IFERROR(GOOGLETRANSLATE(B130,""en"",""zh-CN""),)"),"十")</f>
        <v>十</v>
      </c>
    </row>
    <row r="131" spans="1:5">
      <c r="A131" s="2" t="s">
        <v>618</v>
      </c>
      <c r="B131" s="4" t="str">
        <f ca="1">IFERROR(__xludf.DUMMYFUNCTION("IFERROR(GOOGLETRANSLATE(A131,""ko"",""en""),)"),"eleven")</f>
        <v>eleven</v>
      </c>
      <c r="C131" s="4" t="str">
        <f ca="1">IFERROR(__xludf.DUMMYFUNCTION("IFERROR(GOOGLETRANSLATE(B131,""en"",""ja""),)"),"11")</f>
        <v>11</v>
      </c>
      <c r="D131" s="4" t="str">
        <f ca="1">IFERROR(__xludf.DUMMYFUNCTION("IFERROR(GOOGLETRANSLATE(B131,""en"",""zh-TW""),)"),"十一")</f>
        <v>十一</v>
      </c>
      <c r="E131" s="4" t="str">
        <f ca="1">IFERROR(__xludf.DUMMYFUNCTION("IFERROR(GOOGLETRANSLATE(B131,""en"",""zh-CN""),)"),"十一")</f>
        <v>十一</v>
      </c>
    </row>
    <row r="132" spans="1:5">
      <c r="A132" s="2" t="s">
        <v>621</v>
      </c>
      <c r="B132" s="4" t="str">
        <f ca="1">IFERROR(__xludf.DUMMYFUNCTION("IFERROR(GOOGLETRANSLATE(A132,""ko"",""en""),)"),"twelve")</f>
        <v>twelve</v>
      </c>
      <c r="C132" s="4" t="str">
        <f ca="1">IFERROR(__xludf.DUMMYFUNCTION("IFERROR(GOOGLETRANSLATE(B132,""en"",""ja""),)"),"12")</f>
        <v>12</v>
      </c>
      <c r="D132" s="4" t="str">
        <f ca="1">IFERROR(__xludf.DUMMYFUNCTION("IFERROR(GOOGLETRANSLATE(B132,""en"",""zh-TW""),)"),"十二")</f>
        <v>十二</v>
      </c>
      <c r="E132" s="4" t="str">
        <f ca="1">IFERROR(__xludf.DUMMYFUNCTION("IFERROR(GOOGLETRANSLATE(B132,""en"",""zh-CN""),)"),"十二")</f>
        <v>十二</v>
      </c>
    </row>
    <row r="133" spans="1:5">
      <c r="A133" s="5" t="s">
        <v>625</v>
      </c>
      <c r="B133" s="4" t="str">
        <f ca="1">IFERROR(__xludf.DUMMYFUNCTION("IFERROR(GOOGLETRANSLATE(A133,""ko"",""en""),)"),"twenty")</f>
        <v>twenty</v>
      </c>
      <c r="C133" s="4" t="str">
        <f ca="1">IFERROR(__xludf.DUMMYFUNCTION("IFERROR(GOOGLETRANSLATE(B133,""en"",""ja""),)"),"二十")</f>
        <v>二十</v>
      </c>
      <c r="D133" s="4" t="str">
        <f ca="1">IFERROR(__xludf.DUMMYFUNCTION("IFERROR(GOOGLETRANSLATE(B133,""en"",""zh-TW""),)"),"二十")</f>
        <v>二十</v>
      </c>
      <c r="E133" s="4" t="str">
        <f ca="1">IFERROR(__xludf.DUMMYFUNCTION("IFERROR(GOOGLETRANSLATE(B133,""en"",""zh-CN""),)"),"二十")</f>
        <v>二十</v>
      </c>
    </row>
    <row r="134" spans="1:5">
      <c r="A134" s="5" t="s">
        <v>630</v>
      </c>
      <c r="B134" s="4" t="str">
        <f ca="1">IFERROR(__xludf.DUMMYFUNCTION("IFERROR(GOOGLETRANSLATE(A134,""ko"",""en""),)"),"thirty")</f>
        <v>thirty</v>
      </c>
      <c r="C134" s="4" t="str">
        <f ca="1">IFERROR(__xludf.DUMMYFUNCTION("IFERROR(GOOGLETRANSLATE(B134,""en"",""ja""),)"),"30")</f>
        <v>30</v>
      </c>
      <c r="D134" s="4" t="str">
        <f ca="1">IFERROR(__xludf.DUMMYFUNCTION("IFERROR(GOOGLETRANSLATE(B134,""en"",""zh-TW""),)"),"三十")</f>
        <v>三十</v>
      </c>
      <c r="E134" s="4" t="str">
        <f ca="1">IFERROR(__xludf.DUMMYFUNCTION("IFERROR(GOOGLETRANSLATE(B134,""en"",""zh-CN""),)"),"三十")</f>
        <v>三十</v>
      </c>
    </row>
    <row r="135" spans="1:5">
      <c r="A135" s="5" t="s">
        <v>634</v>
      </c>
      <c r="B135" s="4" t="str">
        <f ca="1">IFERROR(__xludf.DUMMYFUNCTION("IFERROR(GOOGLETRANSLATE(A135,""ko"",""en""),)"),"forty")</f>
        <v>forty</v>
      </c>
      <c r="C135" s="4" t="str">
        <f ca="1">IFERROR(__xludf.DUMMYFUNCTION("IFERROR(GOOGLETRANSLATE(B135,""en"",""ja""),)"),"40")</f>
        <v>40</v>
      </c>
      <c r="D135" s="4" t="str">
        <f ca="1">IFERROR(__xludf.DUMMYFUNCTION("IFERROR(GOOGLETRANSLATE(B135,""en"",""zh-TW""),)"),"四十")</f>
        <v>四十</v>
      </c>
      <c r="E135" s="4" t="str">
        <f ca="1">IFERROR(__xludf.DUMMYFUNCTION("IFERROR(GOOGLETRANSLATE(B135,""en"",""zh-CN""),)"),"四十")</f>
        <v>四十</v>
      </c>
    </row>
    <row r="136" spans="1:5">
      <c r="A136" s="5" t="s">
        <v>638</v>
      </c>
      <c r="B136" s="4" t="s">
        <v>639</v>
      </c>
      <c r="C136" s="4" t="str">
        <f ca="1">IFERROR(__xludf.DUMMYFUNCTION("IFERROR(GOOGLETRANSLATE(B136,""en"",""ja""),)"),"50")</f>
        <v>50</v>
      </c>
      <c r="D136" s="4" t="str">
        <f ca="1">IFERROR(__xludf.DUMMYFUNCTION("IFERROR(GOOGLETRANSLATE(B136,""en"",""zh-TW""),)"),"五十")</f>
        <v>五十</v>
      </c>
      <c r="E136" s="4" t="str">
        <f ca="1">IFERROR(__xludf.DUMMYFUNCTION("IFERROR(GOOGLETRANSLATE(B136,""en"",""zh-CN""),)"),"五十")</f>
        <v>五十</v>
      </c>
    </row>
    <row r="137" spans="1:5">
      <c r="A137" s="5" t="s">
        <v>644</v>
      </c>
      <c r="B137" s="4" t="str">
        <f ca="1">IFERROR(__xludf.DUMMYFUNCTION("IFERROR(GOOGLETRANSLATE(A137,""ko"",""en""),)"),"sixty")</f>
        <v>sixty</v>
      </c>
      <c r="C137" s="4" t="str">
        <f ca="1">IFERROR(__xludf.DUMMYFUNCTION("IFERROR(GOOGLETRANSLATE(B137,""en"",""ja""),)"),"60")</f>
        <v>60</v>
      </c>
      <c r="D137" s="4" t="str">
        <f ca="1">IFERROR(__xludf.DUMMYFUNCTION("IFERROR(GOOGLETRANSLATE(B137,""en"",""zh-TW""),)"),"六十")</f>
        <v>六十</v>
      </c>
      <c r="E137" s="4" t="str">
        <f ca="1">IFERROR(__xludf.DUMMYFUNCTION("IFERROR(GOOGLETRANSLATE(B137,""en"",""zh-CN""),)"),"六十")</f>
        <v>六十</v>
      </c>
    </row>
    <row r="138" spans="1:5">
      <c r="A138" s="5" t="s">
        <v>650</v>
      </c>
      <c r="B138" s="4" t="str">
        <f ca="1">IFERROR(__xludf.DUMMYFUNCTION("IFERROR(GOOGLETRANSLATE(A138,""ko"",""en""),)"),"seventy")</f>
        <v>seventy</v>
      </c>
      <c r="C138" s="4" t="str">
        <f ca="1">IFERROR(__xludf.DUMMYFUNCTION("IFERROR(GOOGLETRANSLATE(B138,""en"",""ja""),)"),"70")</f>
        <v>70</v>
      </c>
      <c r="D138" s="4" t="str">
        <f ca="1">IFERROR(__xludf.DUMMYFUNCTION("IFERROR(GOOGLETRANSLATE(B138,""en"",""zh-TW""),)"),"七十")</f>
        <v>七十</v>
      </c>
      <c r="E138" s="4" t="str">
        <f ca="1">IFERROR(__xludf.DUMMYFUNCTION("IFERROR(GOOGLETRANSLATE(B138,""en"",""zh-CN""),)"),"七十")</f>
        <v>七十</v>
      </c>
    </row>
    <row r="139" spans="1:5">
      <c r="A139" s="5" t="s">
        <v>655</v>
      </c>
      <c r="B139" s="4" t="str">
        <f ca="1">IFERROR(__xludf.DUMMYFUNCTION("IFERROR(GOOGLETRANSLATE(A139,""ko"",""en""),)"),"eighty")</f>
        <v>eighty</v>
      </c>
      <c r="C139" s="4" t="str">
        <f ca="1">IFERROR(__xludf.DUMMYFUNCTION("IFERROR(GOOGLETRANSLATE(B139,""en"",""ja""),)"),"80")</f>
        <v>80</v>
      </c>
      <c r="D139" s="4" t="str">
        <f ca="1">IFERROR(__xludf.DUMMYFUNCTION("IFERROR(GOOGLETRANSLATE(B139,""en"",""zh-TW""),)"),"八十")</f>
        <v>八十</v>
      </c>
      <c r="E139" s="4" t="str">
        <f ca="1">IFERROR(__xludf.DUMMYFUNCTION("IFERROR(GOOGLETRANSLATE(B139,""en"",""zh-CN""),)"),"八十")</f>
        <v>八十</v>
      </c>
    </row>
    <row r="140" spans="1:5">
      <c r="A140" s="5" t="s">
        <v>658</v>
      </c>
      <c r="B140" s="4" t="str">
        <f ca="1">IFERROR(__xludf.DUMMYFUNCTION("IFERROR(GOOGLETRANSLATE(A140,""ko"",""en""),)"),"ninety")</f>
        <v>ninety</v>
      </c>
      <c r="C140" s="4" t="str">
        <f ca="1">IFERROR(__xludf.DUMMYFUNCTION("IFERROR(GOOGLETRANSLATE(B140,""en"",""ja""),)"),"90")</f>
        <v>90</v>
      </c>
      <c r="D140" s="4" t="str">
        <f ca="1">IFERROR(__xludf.DUMMYFUNCTION("IFERROR(GOOGLETRANSLATE(B140,""en"",""zh-TW""),)"),"九十")</f>
        <v>九十</v>
      </c>
      <c r="E140" s="4" t="str">
        <f ca="1">IFERROR(__xludf.DUMMYFUNCTION("IFERROR(GOOGLETRANSLATE(B140,""en"",""zh-CN""),)"),"九十")</f>
        <v>九十</v>
      </c>
    </row>
    <row r="141" spans="1:5">
      <c r="A141" s="2" t="s">
        <v>662</v>
      </c>
      <c r="B141" s="4" t="str">
        <f ca="1">IFERROR(__xludf.DUMMYFUNCTION("IFERROR(GOOGLETRANSLATE(A141,""ko"",""en""),)"),"hundred")</f>
        <v>hundred</v>
      </c>
      <c r="C141" s="4" t="str">
        <f ca="1">IFERROR(__xludf.DUMMYFUNCTION("IFERROR(GOOGLETRANSLATE(B141,""en"",""ja""),)"),"百")</f>
        <v>百</v>
      </c>
      <c r="D141" s="4" t="str">
        <f ca="1">IFERROR(__xludf.DUMMYFUNCTION("IFERROR(GOOGLETRANSLATE(B141,""en"",""zh-TW""),)"),"百")</f>
        <v>百</v>
      </c>
      <c r="E141" s="4" t="str">
        <f ca="1">IFERROR(__xludf.DUMMYFUNCTION("IFERROR(GOOGLETRANSLATE(B141,""en"",""zh-CN""),)"),"百")</f>
        <v>百</v>
      </c>
    </row>
    <row r="142" spans="1:5">
      <c r="A142" s="3" t="s">
        <v>669</v>
      </c>
      <c r="B142" s="4" t="str">
        <f ca="1">IFERROR(__xludf.DUMMYFUNCTION("IFERROR(GOOGLETRANSLATE(A142,""ko"",""en""),)"),"secret?")</f>
        <v>secret?</v>
      </c>
      <c r="C142" s="4" t="str">
        <f ca="1">IFERROR(__xludf.DUMMYFUNCTION("IFERROR(GOOGLETRANSLATE(B142,""en"",""ja""),)"),"秘密？")</f>
        <v>秘密？</v>
      </c>
      <c r="D142" s="4" t="str">
        <f ca="1">IFERROR(__xludf.DUMMYFUNCTION("IFERROR(GOOGLETRANSLATE(B142,""en"",""zh-TW""),)"),"秘密？")</f>
        <v>秘密？</v>
      </c>
      <c r="E142" s="4" t="str">
        <f ca="1">IFERROR(__xludf.DUMMYFUNCTION("IFERROR(GOOGLETRANSLATE(B142,""en"",""zh-CN""),)"),"秘密？")</f>
        <v>秘密？</v>
      </c>
    </row>
    <row r="143" spans="1:5">
      <c r="A143" s="3" t="s">
        <v>674</v>
      </c>
      <c r="B143" s="4" t="str">
        <f ca="1">IFERROR(__xludf.DUMMYFUNCTION("IFERROR(GOOGLETRANSLATE(A143,""ko"",""en""),)"),"One strawberry")</f>
        <v>One strawberry</v>
      </c>
      <c r="C143" s="4" t="str">
        <f ca="1">IFERROR(__xludf.DUMMYFUNCTION("IFERROR(GOOGLETRANSLATE(B143,""en"",""ja""),)"),"いちご1個")</f>
        <v>いちご1個</v>
      </c>
      <c r="D143" s="4" t="str">
        <f ca="1">IFERROR(__xludf.DUMMYFUNCTION("IFERROR(GOOGLETRANSLATE(B143,""en"",""zh-TW""),)"),"一顆草莓")</f>
        <v>一顆草莓</v>
      </c>
      <c r="E143" s="4" t="str">
        <f ca="1">IFERROR(__xludf.DUMMYFUNCTION("IFERROR(GOOGLETRANSLATE(B143,""en"",""zh-CN""),)"),"一颗草莓")</f>
        <v>一颗草莓</v>
      </c>
    </row>
    <row r="144" spans="1:5">
      <c r="A144" s="5" t="s">
        <v>678</v>
      </c>
      <c r="B144" s="4" t="str">
        <f ca="1">IFERROR(__xludf.DUMMYFUNCTION("IFERROR(GOOGLETRANSLATE(A144,""ko"",""en""),)"),"Two strawberries")</f>
        <v>Two strawberries</v>
      </c>
      <c r="C144" s="4" t="str">
        <f ca="1">IFERROR(__xludf.DUMMYFUNCTION("IFERROR(GOOGLETRANSLATE(B144,""en"",""ja""),)"),"イチゴ2個")</f>
        <v>イチゴ2個</v>
      </c>
      <c r="D144" s="4" t="str">
        <f ca="1">IFERROR(__xludf.DUMMYFUNCTION("IFERROR(GOOGLETRANSLATE(B144,""en"",""zh-TW""),)"),"兩顆草莓")</f>
        <v>兩顆草莓</v>
      </c>
      <c r="E144" s="4" t="str">
        <f ca="1">IFERROR(__xludf.DUMMYFUNCTION("IFERROR(GOOGLETRANSLATE(B144,""en"",""zh-CN""),)"),"两颗草莓")</f>
        <v>两颗草莓</v>
      </c>
    </row>
    <row r="145" spans="1:5">
      <c r="A145" s="3" t="s">
        <v>683</v>
      </c>
      <c r="B145" s="4" t="str">
        <f ca="1">IFERROR(__xludf.DUMMYFUNCTION("IFERROR(GOOGLETRANSLATE(A145,""ko"",""en""),)"),"Two strawberries")</f>
        <v>Two strawberries</v>
      </c>
      <c r="C145" s="4" t="str">
        <f ca="1">IFERROR(__xludf.DUMMYFUNCTION("IFERROR(GOOGLETRANSLATE(B145,""en"",""ja""),)"),"イチゴ2個")</f>
        <v>イチゴ2個</v>
      </c>
      <c r="D145" s="4" t="str">
        <f ca="1">IFERROR(__xludf.DUMMYFUNCTION("IFERROR(GOOGLETRANSLATE(B145,""en"",""zh-TW""),)"),"兩顆草莓")</f>
        <v>兩顆草莓</v>
      </c>
      <c r="E145" s="4" t="str">
        <f ca="1">IFERROR(__xludf.DUMMYFUNCTION("IFERROR(GOOGLETRANSLATE(B145,""en"",""zh-CN""),)"),"两颗草莓")</f>
        <v>两颗草莓</v>
      </c>
    </row>
    <row r="146" spans="1:5">
      <c r="A146" s="3" t="s">
        <v>688</v>
      </c>
      <c r="B146" s="4" t="str">
        <f ca="1">IFERROR(__xludf.DUMMYFUNCTION("IFERROR(GOOGLETRANSLATE(A146,""ko"",""en""),)"),"How old are you?")</f>
        <v>How old are you?</v>
      </c>
      <c r="C146" s="4" t="str">
        <f ca="1">IFERROR(__xludf.DUMMYFUNCTION("IFERROR(GOOGLETRANSLATE(B146,""en"",""ja""),)"),"何歳ですか？")</f>
        <v>何歳ですか？</v>
      </c>
      <c r="D146" s="4" t="str">
        <f ca="1">IFERROR(__xludf.DUMMYFUNCTION("IFERROR(GOOGLETRANSLATE(B146,""en"",""zh-TW""),)"),"你今年多大？")</f>
        <v>你今年多大？</v>
      </c>
      <c r="E146" s="4" t="str">
        <f ca="1">IFERROR(__xludf.DUMMYFUNCTION("IFERROR(GOOGLETRANSLATE(B146,""en"",""zh-CN""),)"),"你今年多大？")</f>
        <v>你今年多大？</v>
      </c>
    </row>
    <row r="147" spans="1:5">
      <c r="A147" s="3" t="s">
        <v>693</v>
      </c>
      <c r="B147" s="4" t="str">
        <f ca="1">IFERROR(__xludf.DUMMYFUNCTION("IFERROR(GOOGLETRANSLATE(A147,""ko"",""en""),)"),"I'm twenty-four years old.")</f>
        <v>I'm twenty-four years old.</v>
      </c>
      <c r="C147" s="4" t="str">
        <f ca="1">IFERROR(__xludf.DUMMYFUNCTION("IFERROR(GOOGLETRANSLATE(B147,""en"",""ja""),)"),"私は24歳です。")</f>
        <v>私は24歳です。</v>
      </c>
      <c r="D147" s="4" t="str">
        <f ca="1">IFERROR(__xludf.DUMMYFUNCTION("IFERROR(GOOGLETRANSLATE(B147,""en"",""zh-TW""),)"),"我今年二十四歲。")</f>
        <v>我今年二十四歲。</v>
      </c>
      <c r="E147" s="4" t="str">
        <f ca="1">IFERROR(__xludf.DUMMYFUNCTION("IFERROR(GOOGLETRANSLATE(B147,""en"",""zh-CN""),)"),"我今年二十四岁。")</f>
        <v>我今年二十四岁。</v>
      </c>
    </row>
    <row r="148" spans="1:5">
      <c r="A148" s="3" t="s">
        <v>700</v>
      </c>
      <c r="B148" s="4" t="str">
        <f ca="1">IFERROR(__xludf.DUMMYFUNCTION("IFERROR(GOOGLETRANSLATE(A148,""ko"",""en""),)"),"I am thirty-eight years old.")</f>
        <v>I am thirty-eight years old.</v>
      </c>
      <c r="C148" s="4" t="str">
        <f ca="1">IFERROR(__xludf.DUMMYFUNCTION("IFERROR(GOOGLETRANSLATE(B148,""en"",""ja""),)"),"私は38歳です。")</f>
        <v>私は38歳です。</v>
      </c>
      <c r="D148" s="4" t="str">
        <f ca="1">IFERROR(__xludf.DUMMYFUNCTION("IFERROR(GOOGLETRANSLATE(B148,""en"",""zh-TW""),)"),"我今年三十八歲。")</f>
        <v>我今年三十八歲。</v>
      </c>
      <c r="E148" s="4" t="str">
        <f ca="1">IFERROR(__xludf.DUMMYFUNCTION("IFERROR(GOOGLETRANSLATE(B148,""en"",""zh-CN""),)"),"我今年三十八岁。")</f>
        <v>我今年三十八岁。</v>
      </c>
    </row>
    <row r="149" spans="1:5">
      <c r="A149" s="3" t="s">
        <v>704</v>
      </c>
      <c r="B149" s="4" t="str">
        <f ca="1">IFERROR(__xludf.DUMMYFUNCTION("IFERROR(GOOGLETRANSLATE(A149,""ko"",""en""),)"),"certain")</f>
        <v>certain</v>
      </c>
      <c r="C149" s="4" t="str">
        <f ca="1">IFERROR(__xludf.DUMMYFUNCTION("IFERROR(GOOGLETRANSLATE(B149,""en"",""ja""),)"),"ある")</f>
        <v>ある</v>
      </c>
      <c r="D149" s="4" t="str">
        <f ca="1">IFERROR(__xludf.DUMMYFUNCTION("IFERROR(GOOGLETRANSLATE(B149,""en"",""zh-TW""),)"),"肯定")</f>
        <v>肯定</v>
      </c>
      <c r="E149" s="4" t="str">
        <f ca="1">IFERROR(__xludf.DUMMYFUNCTION("IFERROR(GOOGLETRANSLATE(B149,""en"",""zh-CN""),)"),"肯定")</f>
        <v>肯定</v>
      </c>
    </row>
    <row r="150" spans="1:5">
      <c r="A150" s="3" t="s">
        <v>710</v>
      </c>
      <c r="B150" s="4" t="str">
        <f ca="1">IFERROR(__xludf.DUMMYFUNCTION("IFERROR(GOOGLETRANSLATE(A150,""ko"",""en""),)"),"soccer ball")</f>
        <v>soccer ball</v>
      </c>
      <c r="C150" s="4" t="str">
        <f ca="1">IFERROR(__xludf.DUMMYFUNCTION("IFERROR(GOOGLETRANSLATE(B150,""en"",""ja""),)"),"サッカーボール")</f>
        <v>サッカーボール</v>
      </c>
      <c r="D150" s="4" t="str">
        <f ca="1">IFERROR(__xludf.DUMMYFUNCTION("IFERROR(GOOGLETRANSLATE(B150,""en"",""zh-TW""),)"),"足球")</f>
        <v>足球</v>
      </c>
      <c r="E150" s="4" t="str">
        <f ca="1">IFERROR(__xludf.DUMMYFUNCTION("IFERROR(GOOGLETRANSLATE(B150,""en"",""zh-CN""),)"),"足球")</f>
        <v>足球</v>
      </c>
    </row>
    <row r="151" spans="1:5">
      <c r="A151" s="3" t="s">
        <v>714</v>
      </c>
      <c r="B151" s="4" t="str">
        <f ca="1">IFERROR(__xludf.DUMMYFUNCTION("IFERROR(GOOGLETRANSLATE(A151,""ko"",""en""),)"),"baseball")</f>
        <v>baseball</v>
      </c>
      <c r="C151" s="4" t="str">
        <f ca="1">IFERROR(__xludf.DUMMYFUNCTION("IFERROR(GOOGLETRANSLATE(B151,""en"",""ja""),)"),"野球")</f>
        <v>野球</v>
      </c>
      <c r="D151" s="4" t="str">
        <f ca="1">IFERROR(__xludf.DUMMYFUNCTION("IFERROR(GOOGLETRANSLATE(B151,""en"",""zh-TW""),)"),"棒球")</f>
        <v>棒球</v>
      </c>
      <c r="E151" s="4" t="str">
        <f ca="1">IFERROR(__xludf.DUMMYFUNCTION("IFERROR(GOOGLETRANSLATE(B151,""en"",""zh-CN""),)"),"棒球")</f>
        <v>棒球</v>
      </c>
    </row>
    <row r="152" spans="1:5">
      <c r="A152" s="3" t="s">
        <v>719</v>
      </c>
      <c r="B152" s="4" t="str">
        <f ca="1">IFERROR(__xludf.DUMMYFUNCTION("IFERROR(GOOGLETRANSLATE(A152,""ko"",""en""),)"),"tennis ball")</f>
        <v>tennis ball</v>
      </c>
      <c r="C152" s="4" t="str">
        <f ca="1">IFERROR(__xludf.DUMMYFUNCTION("IFERROR(GOOGLETRANSLATE(B152,""en"",""ja""),)"),"テニスボール")</f>
        <v>テニスボール</v>
      </c>
      <c r="D152" s="4" t="str">
        <f ca="1">IFERROR(__xludf.DUMMYFUNCTION("IFERROR(GOOGLETRANSLATE(B152,""en"",""zh-TW""),)"),"網球")</f>
        <v>網球</v>
      </c>
      <c r="E152" s="4" t="str">
        <f ca="1">IFERROR(__xludf.DUMMYFUNCTION("IFERROR(GOOGLETRANSLATE(B152,""en"",""zh-CN""),)"),"网球")</f>
        <v>网球</v>
      </c>
    </row>
    <row r="153" spans="1:5">
      <c r="A153" s="5" t="s">
        <v>724</v>
      </c>
      <c r="B153" s="4" t="str">
        <f ca="1">IFERROR(__xludf.DUMMYFUNCTION("IFERROR(GOOGLETRANSLATE(A153,""ko"",""en""),)"),"golf ball")</f>
        <v>golf ball</v>
      </c>
      <c r="C153" s="4" t="str">
        <f ca="1">IFERROR(__xludf.DUMMYFUNCTION("IFERROR(GOOGLETRANSLATE(B153,""en"",""ja""),)"),"ゴルフボール")</f>
        <v>ゴルフボール</v>
      </c>
      <c r="D153" s="4" t="str">
        <f ca="1">IFERROR(__xludf.DUMMYFUNCTION("IFERROR(GOOGLETRANSLATE(B153,""en"",""zh-TW""),)"),"高爾夫球")</f>
        <v>高爾夫球</v>
      </c>
      <c r="E153" s="4" t="str">
        <f ca="1">IFERROR(__xludf.DUMMYFUNCTION("IFERROR(GOOGLETRANSLATE(B153,""en"",""zh-CN""),)"),"高尔夫球")</f>
        <v>高尔夫球</v>
      </c>
    </row>
    <row r="154" spans="1:5">
      <c r="A154" s="3" t="s">
        <v>729</v>
      </c>
      <c r="B154" s="4" t="str">
        <f ca="1">IFERROR(__xludf.DUMMYFUNCTION("IFERROR(GOOGLETRANSLATE(A154,""ko"",""en""),)"),"How many are there?")</f>
        <v>How many are there?</v>
      </c>
      <c r="C154" s="4" t="str">
        <f ca="1">IFERROR(__xludf.DUMMYFUNCTION("IFERROR(GOOGLETRANSLATE(B154,""en"",""ja""),)"),"いくつありますか？")</f>
        <v>いくつありますか？</v>
      </c>
      <c r="D154" s="4" t="str">
        <f ca="1">IFERROR(__xludf.DUMMYFUNCTION("IFERROR(GOOGLETRANSLATE(B154,""en"",""zh-TW""),)"),"一共有幾個？")</f>
        <v>一共有幾個？</v>
      </c>
      <c r="E154" s="4" t="str">
        <f ca="1">IFERROR(__xludf.DUMMYFUNCTION("IFERROR(GOOGLETRANSLATE(B154,""en"",""zh-CN""),)"),"一共有多少个？")</f>
        <v>一共有多少个？</v>
      </c>
    </row>
    <row r="155" spans="1:5">
      <c r="A155" s="3" t="s">
        <v>732</v>
      </c>
      <c r="B155" s="4" t="str">
        <f ca="1">IFERROR(__xludf.DUMMYFUNCTION("IFERROR(GOOGLETRANSLATE(A155,""ko"",""en""),)"),"How many apples are there?")</f>
        <v>How many apples are there?</v>
      </c>
      <c r="C155" s="4" t="str">
        <f ca="1">IFERROR(__xludf.DUMMYFUNCTION("IFERROR(GOOGLETRANSLATE(B155,""en"",""ja""),)"),"リンゴは何個ありますか？")</f>
        <v>リンゴは何個ありますか？</v>
      </c>
      <c r="D155" s="4" t="str">
        <f ca="1">IFERROR(__xludf.DUMMYFUNCTION("IFERROR(GOOGLETRANSLATE(B155,""en"",""zh-TW""),)"),"一共有多少個蘋果？")</f>
        <v>一共有多少個蘋果？</v>
      </c>
      <c r="E155" s="4" t="str">
        <f ca="1">IFERROR(__xludf.DUMMYFUNCTION("IFERROR(GOOGLETRANSLATE(B155,""en"",""zh-CN""),)"),"一共有多少个苹果？")</f>
        <v>一共有多少个苹果？</v>
      </c>
    </row>
    <row r="156" spans="1:5">
      <c r="A156" s="3" t="s">
        <v>741</v>
      </c>
      <c r="B156" s="4" t="str">
        <f ca="1">IFERROR(__xludf.DUMMYFUNCTION("IFERROR(GOOGLETRANSLATE(A156,""ko"",""en""),)"),"There are two apples.")</f>
        <v>There are two apples.</v>
      </c>
      <c r="C156" s="4" t="str">
        <f ca="1">IFERROR(__xludf.DUMMYFUNCTION("IFERROR(GOOGLETRANSLATE(B156,""en"",""ja""),)"),"リンゴが2個あります。")</f>
        <v>リンゴが2個あります。</v>
      </c>
      <c r="D156" s="4" t="str">
        <f ca="1">IFERROR(__xludf.DUMMYFUNCTION("IFERROR(GOOGLETRANSLATE(B156,""en"",""zh-TW""),)"),"這裡有兩顆蘋果。")</f>
        <v>這裡有兩顆蘋果。</v>
      </c>
      <c r="E156" s="4" t="str">
        <f ca="1">IFERROR(__xludf.DUMMYFUNCTION("IFERROR(GOOGLETRANSLATE(B156,""en"",""zh-CN""),)"),"这里有两颗苹果。")</f>
        <v>这里有两颗苹果。</v>
      </c>
    </row>
    <row r="157" spans="1:5">
      <c r="A157" s="3" t="s">
        <v>46</v>
      </c>
      <c r="B157" s="4" t="str">
        <f ca="1">IFERROR(__xludf.DUMMYFUNCTION("IFERROR(GOOGLETRANSLATE(A157,""ko"",""en""),)"),"umbrella")</f>
        <v>umbrella</v>
      </c>
      <c r="C157" s="4" t="str">
        <f ca="1">IFERROR(__xludf.DUMMYFUNCTION("IFERROR(GOOGLETRANSLATE(B157,""en"",""ja""),)"),"傘")</f>
        <v>傘</v>
      </c>
      <c r="D157" s="4" t="str">
        <f ca="1">IFERROR(__xludf.DUMMYFUNCTION("IFERROR(GOOGLETRANSLATE(B157,""en"",""zh-TW""),)"),"傘")</f>
        <v>傘</v>
      </c>
      <c r="E157" s="4" t="str">
        <f ca="1">IFERROR(__xludf.DUMMYFUNCTION("IFERROR(GOOGLETRANSLATE(B157,""en"",""zh-CN""),)"),"伞")</f>
        <v>伞</v>
      </c>
    </row>
    <row r="158" spans="1:5">
      <c r="A158" s="3" t="s">
        <v>749</v>
      </c>
      <c r="B158" s="4" t="str">
        <f ca="1">IFERROR(__xludf.DUMMYFUNCTION("IFERROR(GOOGLETRANSLATE(A158,""ko"",""en""),)"),"How many pens do you buy?")</f>
        <v>How many pens do you buy?</v>
      </c>
      <c r="C158" s="4" t="str">
        <f ca="1">IFERROR(__xludf.DUMMYFUNCTION("IFERROR(GOOGLETRANSLATE(B158,""en"",""ja""),)"),"あなたはペンを何本買いますか？")</f>
        <v>あなたはペンを何本買いますか？</v>
      </c>
      <c r="D158" s="4" t="str">
        <f ca="1">IFERROR(__xludf.DUMMYFUNCTION("IFERROR(GOOGLETRANSLATE(B158,""en"",""zh-TW""),)"),"你買了多少支筆？")</f>
        <v>你買了多少支筆？</v>
      </c>
      <c r="E158" s="4" t="str">
        <f ca="1">IFERROR(__xludf.DUMMYFUNCTION("IFERROR(GOOGLETRANSLATE(B158,""en"",""zh-CN""),)"),"你买了多少支笔？")</f>
        <v>你买了多少支笔？</v>
      </c>
    </row>
    <row r="159" spans="1:5">
      <c r="A159" s="3" t="s">
        <v>755</v>
      </c>
      <c r="B159" s="4" t="str">
        <f ca="1">IFERROR(__xludf.DUMMYFUNCTION("IFERROR(GOOGLETRANSLATE(A159,""ko"",""en""),)"),"Buy four pens.")</f>
        <v>Buy four pens.</v>
      </c>
      <c r="C159" s="4" t="str">
        <f ca="1">IFERROR(__xludf.DUMMYFUNCTION("IFERROR(GOOGLETRANSLATE(B159,""en"",""ja""),)"),"ペンを4本買ってください。")</f>
        <v>ペンを4本買ってください。</v>
      </c>
      <c r="D159" s="4" t="str">
        <f ca="1">IFERROR(__xludf.DUMMYFUNCTION("IFERROR(GOOGLETRANSLATE(B159,""en"",""zh-TW""),)"),"買四支筆。")</f>
        <v>買四支筆。</v>
      </c>
      <c r="E159" s="4" t="str">
        <f ca="1">IFERROR(__xludf.DUMMYFUNCTION("IFERROR(GOOGLETRANSLATE(B159,""en"",""zh-CN""),)"),"买四支笔。")</f>
        <v>买四支笔。</v>
      </c>
    </row>
    <row r="160" spans="1:5">
      <c r="A160" s="3" t="s">
        <v>759</v>
      </c>
      <c r="B160" s="4" t="str">
        <f ca="1">IFERROR(__xludf.DUMMYFUNCTION("IFERROR(GOOGLETRANSLATE(A160,""ko"",""en""),)"),"How many erasers do you buy?")</f>
        <v>How many erasers do you buy?</v>
      </c>
      <c r="C160" s="4" t="str">
        <f ca="1">IFERROR(__xludf.DUMMYFUNCTION("IFERROR(GOOGLETRANSLATE(B160,""en"",""ja""),)"),"あなたは消しゴムをいくつ買いますか？")</f>
        <v>あなたは消しゴムをいくつ買いますか？</v>
      </c>
      <c r="D160" s="4" t="str">
        <f ca="1">IFERROR(__xludf.DUMMYFUNCTION("IFERROR(GOOGLETRANSLATE(B160,""en"",""zh-TW""),)"),"你買過多少橡皮擦？")</f>
        <v>你買過多少橡皮擦？</v>
      </c>
      <c r="E160" s="4" t="str">
        <f ca="1">IFERROR(__xludf.DUMMYFUNCTION("IFERROR(GOOGLETRANSLATE(B160,""en"",""zh-CN""),)"),"你买过多少橡皮擦？")</f>
        <v>你买过多少橡皮擦？</v>
      </c>
    </row>
    <row r="161" spans="1:5">
      <c r="A161" s="3" t="s">
        <v>764</v>
      </c>
      <c r="B161" s="4" t="str">
        <f ca="1">IFERROR(__xludf.DUMMYFUNCTION("IFERROR(GOOGLETRANSLATE(A161,""ko"",""en""),)"),"Buy two erasers.")</f>
        <v>Buy two erasers.</v>
      </c>
      <c r="C161" s="4" t="str">
        <f ca="1">IFERROR(__xludf.DUMMYFUNCTION("IFERROR(GOOGLETRANSLATE(B161,""en"",""ja""),)"),"消しゴムを2個買ってください。")</f>
        <v>消しゴムを2個買ってください。</v>
      </c>
      <c r="D161" s="4" t="str">
        <f ca="1">IFERROR(__xludf.DUMMYFUNCTION("IFERROR(GOOGLETRANSLATE(B161,""en"",""zh-TW""),)"),"買兩個橡皮擦。")</f>
        <v>買兩個橡皮擦。</v>
      </c>
      <c r="E161" s="4" t="str">
        <f ca="1">IFERROR(__xludf.DUMMYFUNCTION("IFERROR(GOOGLETRANSLATE(B161,""en"",""zh-CN""),)"),"买两个橡皮擦。")</f>
        <v>买两个橡皮擦。</v>
      </c>
    </row>
    <row r="162" spans="1:5">
      <c r="A162" s="3" t="s">
        <v>768</v>
      </c>
      <c r="B162" s="4" t="str">
        <f ca="1">IFERROR(__xludf.DUMMYFUNCTION("IFERROR(GOOGLETRANSLATE(A162,""ko"",""en""),)"),"How many packs of ramen do you buy?")</f>
        <v>How many packs of ramen do you buy?</v>
      </c>
      <c r="C162" s="4" t="str">
        <f ca="1">IFERROR(__xludf.DUMMYFUNCTION("IFERROR(GOOGLETRANSLATE(B162,""en"",""ja""),)"),"あなたはラーメンを何袋買いますか？")</f>
        <v>あなたはラーメンを何袋買いますか？</v>
      </c>
      <c r="D162" s="4" t="str">
        <f ca="1">IFERROR(__xludf.DUMMYFUNCTION("IFERROR(GOOGLETRANSLATE(B162,""en"",""zh-TW""),)"),"你買多少包拉麵？")</f>
        <v>你買多少包拉麵？</v>
      </c>
      <c r="E162" s="4" t="str">
        <f ca="1">IFERROR(__xludf.DUMMYFUNCTION("IFERROR(GOOGLETRANSLATE(B162,""en"",""zh-CN""),)"),"你买多少包拉面？")</f>
        <v>你买多少包拉面？</v>
      </c>
    </row>
    <row r="163" spans="1:5">
      <c r="A163" s="3" t="s">
        <v>772</v>
      </c>
      <c r="B163" s="4" t="str">
        <f ca="1">IFERROR(__xludf.DUMMYFUNCTION("IFERROR(GOOGLETRANSLATE(A163,""ko"",""en""),)"),"I buy five packs of ramen.")</f>
        <v>I buy five packs of ramen.</v>
      </c>
      <c r="C163" s="4" t="str">
        <f ca="1">IFERROR(__xludf.DUMMYFUNCTION("IFERROR(GOOGLETRANSLATE(B163,""en"",""ja""),)"),"私はラーメンを5袋買います。")</f>
        <v>私はラーメンを5袋買います。</v>
      </c>
      <c r="D163" s="4" t="str">
        <f ca="1">IFERROR(__xludf.DUMMYFUNCTION("IFERROR(GOOGLETRANSLATE(B163,""en"",""zh-TW""),)"),"我買了五包拉麵。")</f>
        <v>我買了五包拉麵。</v>
      </c>
      <c r="E163" s="4" t="str">
        <f ca="1">IFERROR(__xludf.DUMMYFUNCTION("IFERROR(GOOGLETRANSLATE(B163,""en"",""zh-CN""),)"),"我买了五包拉面。")</f>
        <v>我买了五包拉面。</v>
      </c>
    </row>
    <row r="164" spans="1:5">
      <c r="A164" s="5" t="s">
        <v>775</v>
      </c>
      <c r="B164" s="4" t="str">
        <f ca="1">IFERROR(__xludf.DUMMYFUNCTION("IFERROR(GOOGLETRANSLATE(A164,""ko"",""en""),)"),"How many eggs do you buy?")</f>
        <v>How many eggs do you buy?</v>
      </c>
      <c r="C164" s="4" t="str">
        <f ca="1">IFERROR(__xludf.DUMMYFUNCTION("IFERROR(GOOGLETRANSLATE(B164,""en"",""ja""),)"),"あなたは卵を何個買いますか？")</f>
        <v>あなたは卵を何個買いますか？</v>
      </c>
      <c r="D164" s="4" t="str">
        <f ca="1">IFERROR(__xludf.DUMMYFUNCTION("IFERROR(GOOGLETRANSLATE(B164,""en"",""zh-TW""),)"),"你一次買幾顆雞蛋？")</f>
        <v>你一次買幾顆雞蛋？</v>
      </c>
      <c r="E164" s="4" t="str">
        <f ca="1">IFERROR(__xludf.DUMMYFUNCTION("IFERROR(GOOGLETRANSLATE(B164,""en"",""zh-CN""),)"),"你一次买多少个鸡蛋？")</f>
        <v>你一次买多少个鸡蛋？</v>
      </c>
    </row>
    <row r="165" spans="1:5">
      <c r="A165" s="3" t="s">
        <v>781</v>
      </c>
      <c r="B165" s="4" t="str">
        <f ca="1">IFERROR(__xludf.DUMMYFUNCTION("IFERROR(GOOGLETRANSLATE(A165,""ko"",""en""),)"),"I buy nine eggs.")</f>
        <v>I buy nine eggs.</v>
      </c>
      <c r="C165" s="4" t="str">
        <f ca="1">IFERROR(__xludf.DUMMYFUNCTION("IFERROR(GOOGLETRANSLATE(B165,""en"",""ja""),)"),"私は卵を9個買います。")</f>
        <v>私は卵を9個買います。</v>
      </c>
      <c r="D165" s="4" t="str">
        <f ca="1">IFERROR(__xludf.DUMMYFUNCTION("IFERROR(GOOGLETRANSLATE(B165,""en"",""zh-TW""),)"),"我買了九顆雞蛋。")</f>
        <v>我買了九顆雞蛋。</v>
      </c>
      <c r="E165" s="4" t="str">
        <f ca="1">IFERROR(__xludf.DUMMYFUNCTION("IFERROR(GOOGLETRANSLATE(B165,""en"",""zh-CN""),)"),"我买了九个鸡蛋。")</f>
        <v>我买了九个鸡蛋。</v>
      </c>
    </row>
    <row r="166" spans="1:5">
      <c r="A166" s="3" t="s">
        <v>784</v>
      </c>
      <c r="B166" s="4" t="str">
        <f ca="1">IFERROR(__xludf.DUMMYFUNCTION("IFERROR(GOOGLETRANSLATE(A166,""ko"",""en""),)"),"convenience store")</f>
        <v>convenience store</v>
      </c>
      <c r="C166" s="4" t="str">
        <f ca="1">IFERROR(__xludf.DUMMYFUNCTION("IFERROR(GOOGLETRANSLATE(B166,""en"",""ja""),)"),"コンビニエンスストア")</f>
        <v>コンビニエンスストア</v>
      </c>
      <c r="D166" s="4" t="str">
        <f ca="1">IFERROR(__xludf.DUMMYFUNCTION("IFERROR(GOOGLETRANSLATE(B166,""en"",""zh-TW""),)"),"便利商店")</f>
        <v>便利商店</v>
      </c>
      <c r="E166" s="4" t="str">
        <f ca="1">IFERROR(__xludf.DUMMYFUNCTION("IFERROR(GOOGLETRANSLATE(B166,""en"",""zh-CN""),)"),"便利店")</f>
        <v>便利店</v>
      </c>
    </row>
    <row r="167" spans="1:5">
      <c r="A167" s="3" t="s">
        <v>787</v>
      </c>
      <c r="B167" s="4" t="str">
        <f ca="1">IFERROR(__xludf.DUMMYFUNCTION("IFERROR(GOOGLETRANSLATE(A167,""ko"",""en""),)"),"How many loaves of bread are there?")</f>
        <v>How many loaves of bread are there?</v>
      </c>
      <c r="C167" s="4" t="str">
        <f ca="1">IFERROR(__xludf.DUMMYFUNCTION("IFERROR(GOOGLETRANSLATE(B167,""en"",""ja""),)"),"パンは何斤ありますか？")</f>
        <v>パンは何斤ありますか？</v>
      </c>
      <c r="D167" s="4" t="str">
        <f ca="1">IFERROR(__xludf.DUMMYFUNCTION("IFERROR(GOOGLETRANSLATE(B167,""en"",""zh-TW""),)"),"一共有多少條麵包？")</f>
        <v>一共有多少條麵包？</v>
      </c>
      <c r="E167" s="4" t="str">
        <f ca="1">IFERROR(__xludf.DUMMYFUNCTION("IFERROR(GOOGLETRANSLATE(B167,""en"",""zh-CN""),)"),"一共有多少条面包？")</f>
        <v>一共有多少条面包？</v>
      </c>
    </row>
    <row r="168" spans="1:5">
      <c r="A168" s="3" t="s">
        <v>791</v>
      </c>
      <c r="B168" s="4" t="str">
        <f ca="1">IFERROR(__xludf.DUMMYFUNCTION("IFERROR(GOOGLETRANSLATE(A168,""ko"",""en""),)"),"There are three.")</f>
        <v>There are three.</v>
      </c>
      <c r="C168" s="4" t="str">
        <f ca="1">IFERROR(__xludf.DUMMYFUNCTION("IFERROR(GOOGLETRANSLATE(B168,""en"",""ja""),)"),"３つあります。")</f>
        <v>３つあります。</v>
      </c>
      <c r="D168" s="4" t="str">
        <f ca="1">IFERROR(__xludf.DUMMYFUNCTION("IFERROR(GOOGLETRANSLATE(B168,""en"",""zh-TW""),)"),"共有三個。")</f>
        <v>共有三個。</v>
      </c>
      <c r="E168" s="4" t="str">
        <f ca="1">IFERROR(__xludf.DUMMYFUNCTION("IFERROR(GOOGLETRANSLATE(B168,""en"",""zh-CN""),)"),"共有三个。")</f>
        <v>共有三个。</v>
      </c>
    </row>
    <row r="169" spans="1:5">
      <c r="A169" s="3" t="s">
        <v>795</v>
      </c>
      <c r="B169" s="4" t="str">
        <f ca="1">IFERROR(__xludf.DUMMYFUNCTION("IFERROR(GOOGLETRANSLATE(A169,""ko"",""en""),)"),"How many snacks do you have?")</f>
        <v>How many snacks do you have?</v>
      </c>
      <c r="C169" s="4" t="str">
        <f ca="1">IFERROR(__xludf.DUMMYFUNCTION("IFERROR(GOOGLETRANSLATE(B169,""en"",""ja""),)"),"おやつはいくつありますか？")</f>
        <v>おやつはいくつありますか？</v>
      </c>
      <c r="D169" s="4" t="str">
        <f ca="1">IFERROR(__xludf.DUMMYFUNCTION("IFERROR(GOOGLETRANSLATE(B169,""en"",""zh-TW""),)"),"你有多少零食？")</f>
        <v>你有多少零食？</v>
      </c>
      <c r="E169" s="4" t="str">
        <f ca="1">IFERROR(__xludf.DUMMYFUNCTION("IFERROR(GOOGLETRANSLATE(B169,""en"",""zh-CN""),)"),"你有多少零食？")</f>
        <v>你有多少零食？</v>
      </c>
    </row>
    <row r="170" spans="1:5">
      <c r="A170" s="3" t="s">
        <v>801</v>
      </c>
      <c r="B170" s="4" t="s">
        <v>802</v>
      </c>
      <c r="C170" s="4" t="str">
        <f ca="1">IFERROR(__xludf.DUMMYFUNCTION("IFERROR(GOOGLETRANSLATE(B170,""en"",""ja""),)"),"おやつは1つあります。")</f>
        <v>おやつは1つあります。</v>
      </c>
      <c r="D170" s="4" t="str">
        <f ca="1">IFERROR(__xludf.DUMMYFUNCTION("IFERROR(GOOGLETRANSLATE(B170,""en"",""zh-TW""),)"),"有一份零食。")</f>
        <v>有一份零食。</v>
      </c>
      <c r="E170" s="4" t="str">
        <f ca="1">IFERROR(__xludf.DUMMYFUNCTION("IFERROR(GOOGLETRANSLATE(B170,""en"",""zh-CN""),)"),"有一份零食。")</f>
        <v>有一份零食。</v>
      </c>
    </row>
    <row r="171" spans="1:5">
      <c r="A171" s="3" t="s">
        <v>805</v>
      </c>
      <c r="B171" s="4" t="str">
        <f ca="1">IFERROR(__xludf.DUMMYFUNCTION("IFERROR(GOOGLETRANSLATE(A171,""ko"",""en""),)"),"How many packets of ramen do you have?")</f>
        <v>How many packets of ramen do you have?</v>
      </c>
      <c r="C171" s="4" t="str">
        <f ca="1">IFERROR(__xludf.DUMMYFUNCTION("IFERROR(GOOGLETRANSLATE(B171,""en"",""ja""),)"),"ラーメンは何袋ありますか？")</f>
        <v>ラーメンは何袋ありますか？</v>
      </c>
      <c r="D171" s="4" t="str">
        <f ca="1">IFERROR(__xludf.DUMMYFUNCTION("IFERROR(GOOGLETRANSLATE(B171,""en"",""zh-TW""),)"),"你手邊有多少包泡麵？")</f>
        <v>你手邊有多少包泡麵？</v>
      </c>
      <c r="E171" s="4" t="str">
        <f ca="1">IFERROR(__xludf.DUMMYFUNCTION("IFERROR(GOOGLETRANSLATE(B171,""en"",""zh-CN""),)"),"你手头有多少包方便面？")</f>
        <v>你手头有多少包方便面？</v>
      </c>
    </row>
    <row r="172" spans="1:5">
      <c r="A172" s="3" t="s">
        <v>809</v>
      </c>
      <c r="B172" s="4" t="str">
        <f ca="1">IFERROR(__xludf.DUMMYFUNCTION("IFERROR(GOOGLETRANSLATE(A172,""ko"",""en""),)"),"There are four packets of ramen.")</f>
        <v>There are four packets of ramen.</v>
      </c>
      <c r="C172" s="4" t="str">
        <f ca="1">IFERROR(__xludf.DUMMYFUNCTION("IFERROR(GOOGLETRANSLATE(B172,""en"",""ja""),)"),"ラーメンは4袋入っています。")</f>
        <v>ラーメンは4袋入っています。</v>
      </c>
      <c r="D172" s="4" t="str">
        <f ca="1">IFERROR(__xludf.DUMMYFUNCTION("IFERROR(GOOGLETRANSLATE(B172,""en"",""zh-TW""),)"),"這裡有四包拉麵。")</f>
        <v>這裡有四包拉麵。</v>
      </c>
      <c r="E172" s="4" t="str">
        <f ca="1">IFERROR(__xludf.DUMMYFUNCTION("IFERROR(GOOGLETRANSLATE(B172,""en"",""zh-CN""),)"),"这里有四包拉面。")</f>
        <v>这里有四包拉面。</v>
      </c>
    </row>
    <row r="173" spans="1:5">
      <c r="A173" s="3" t="s">
        <v>812</v>
      </c>
      <c r="B173" s="4" t="str">
        <f ca="1">IFERROR(__xludf.DUMMYFUNCTION("IFERROR(GOOGLETRANSLATE(A173,""ko"",""en""),)"),"How many eggs do you have?")</f>
        <v>How many eggs do you have?</v>
      </c>
      <c r="C173" s="4" t="str">
        <f ca="1">IFERROR(__xludf.DUMMYFUNCTION("IFERROR(GOOGLETRANSLATE(B173,""en"",""ja""),)"),"卵は何個ありますか？")</f>
        <v>卵は何個ありますか？</v>
      </c>
      <c r="D173" s="4" t="str">
        <f ca="1">IFERROR(__xludf.DUMMYFUNCTION("IFERROR(GOOGLETRANSLATE(B173,""en"",""zh-TW""),)"),"你有多少雞蛋？")</f>
        <v>你有多少雞蛋？</v>
      </c>
      <c r="E173" s="4" t="str">
        <f ca="1">IFERROR(__xludf.DUMMYFUNCTION("IFERROR(GOOGLETRANSLATE(B173,""en"",""zh-CN""),)"),"你有多少个鸡蛋？")</f>
        <v>你有多少个鸡蛋？</v>
      </c>
    </row>
    <row r="174" spans="1:5">
      <c r="A174" s="3" t="s">
        <v>817</v>
      </c>
      <c r="B174" s="4" t="str">
        <f ca="1">IFERROR(__xludf.DUMMYFUNCTION("IFERROR(GOOGLETRANSLATE(A174,""ko"",""en""),)"),"There are twelve eggs.")</f>
        <v>There are twelve eggs.</v>
      </c>
      <c r="C174" s="4" t="str">
        <f ca="1">IFERROR(__xludf.DUMMYFUNCTION("IFERROR(GOOGLETRANSLATE(B174,""en"",""ja""),)"),"卵は12個あります。")</f>
        <v>卵は12個あります。</v>
      </c>
      <c r="D174" s="4" t="str">
        <f ca="1">IFERROR(__xludf.DUMMYFUNCTION("IFERROR(GOOGLETRANSLATE(B174,""en"",""zh-TW""),)"),"共有十二顆雞蛋。")</f>
        <v>共有十二顆雞蛋。</v>
      </c>
      <c r="E174" s="4" t="str">
        <f ca="1">IFERROR(__xludf.DUMMYFUNCTION("IFERROR(GOOGLETRANSLATE(B174,""en"",""zh-CN""),)"),"共有十二个鸡蛋。")</f>
        <v>共有十二个鸡蛋。</v>
      </c>
    </row>
    <row r="175" spans="1:5">
      <c r="A175" s="3" t="s">
        <v>821</v>
      </c>
      <c r="B175" s="4" t="str">
        <f ca="1">IFERROR(__xludf.DUMMYFUNCTION("IFERROR(GOOGLETRANSLATE(A175,""ko"",""en""),)"),"How many chocolates are there?")</f>
        <v>How many chocolates are there?</v>
      </c>
      <c r="C175" s="4" t="str">
        <f ca="1">IFERROR(__xludf.DUMMYFUNCTION("IFERROR(GOOGLETRANSLATE(B175,""en"",""ja""),)"),"チョコレートはいくつありますか？")</f>
        <v>チョコレートはいくつありますか？</v>
      </c>
      <c r="D175" s="4" t="str">
        <f ca="1">IFERROR(__xludf.DUMMYFUNCTION("IFERROR(GOOGLETRANSLATE(B175,""en"",""zh-TW""),)"),"一共有多少塊巧克力？")</f>
        <v>一共有多少塊巧克力？</v>
      </c>
      <c r="E175" s="4" t="str">
        <f ca="1">IFERROR(__xludf.DUMMYFUNCTION("IFERROR(GOOGLETRANSLATE(B175,""en"",""zh-CN""),)"),"一共有多少块巧克力？")</f>
        <v>一共有多少块巧克力？</v>
      </c>
    </row>
    <row r="176" spans="1:5">
      <c r="A176" s="3" t="s">
        <v>826</v>
      </c>
      <c r="B176" s="4" t="str">
        <f ca="1">IFERROR(__xludf.DUMMYFUNCTION("IFERROR(GOOGLETRANSLATE(A176,""ko"",""en""),)"),"How many cartons of milk do you have?")</f>
        <v>How many cartons of milk do you have?</v>
      </c>
      <c r="C176" s="4" t="str">
        <f ca="1">IFERROR(__xludf.DUMMYFUNCTION("IFERROR(GOOGLETRANSLATE(B176,""en"",""ja""),)"),"牛乳パックは何個ありますか？")</f>
        <v>牛乳パックは何個ありますか？</v>
      </c>
      <c r="D176" s="4" t="str">
        <f ca="1">IFERROR(__xludf.DUMMYFUNCTION("IFERROR(GOOGLETRANSLATE(B176,""en"",""zh-TW""),)"),"你有多少盒牛奶？")</f>
        <v>你有多少盒牛奶？</v>
      </c>
      <c r="E176" s="4" t="str">
        <f ca="1">IFERROR(__xludf.DUMMYFUNCTION("IFERROR(GOOGLETRANSLATE(B176,""en"",""zh-CN""),)"),"你有多少盒牛奶？")</f>
        <v>你有多少盒牛奶？</v>
      </c>
    </row>
    <row r="177" spans="1:5">
      <c r="A177" s="3" t="s">
        <v>830</v>
      </c>
      <c r="B177" s="4" t="str">
        <f ca="1">IFERROR(__xludf.DUMMYFUNCTION("IFERROR(GOOGLETRANSLATE(A177,""ko"",""en""),)"),"There are five cartons of milk.")</f>
        <v>There are five cartons of milk.</v>
      </c>
      <c r="C177" s="4" t="str">
        <f ca="1">IFERROR(__xludf.DUMMYFUNCTION("IFERROR(GOOGLETRANSLATE(B177,""en"",""ja""),)"),"牛乳パックが5つあります。")</f>
        <v>牛乳パックが5つあります。</v>
      </c>
      <c r="D177" s="4" t="str">
        <f ca="1">IFERROR(__xludf.DUMMYFUNCTION("IFERROR(GOOGLETRANSLATE(B177,""en"",""zh-TW""),)"),"這裡有五盒牛奶。")</f>
        <v>這裡有五盒牛奶。</v>
      </c>
      <c r="E177" s="4" t="str">
        <f ca="1">IFERROR(__xludf.DUMMYFUNCTION("IFERROR(GOOGLETRANSLATE(B177,""en"",""zh-CN""),)"),"这里有五盒牛奶。")</f>
        <v>这里有五盒牛奶。</v>
      </c>
    </row>
    <row r="178" spans="1:5">
      <c r="A178" s="5" t="s">
        <v>835</v>
      </c>
      <c r="B178" s="4" t="str">
        <f ca="1">IFERROR(__xludf.DUMMYFUNCTION("IFERROR(GOOGLETRANSLATE(A178,""ko"",""en""),)"),"candy")</f>
        <v>candy</v>
      </c>
      <c r="C178" s="4" t="str">
        <f ca="1">IFERROR(__xludf.DUMMYFUNCTION("IFERROR(GOOGLETRANSLATE(B178,""en"",""ja""),)"),"あめ")</f>
        <v>あめ</v>
      </c>
      <c r="D178" s="4" t="str">
        <f ca="1">IFERROR(__xludf.DUMMYFUNCTION("IFERROR(GOOGLETRANSLATE(B178,""en"",""zh-TW""),)"),"糖果")</f>
        <v>糖果</v>
      </c>
      <c r="E178" s="4" t="str">
        <f ca="1">IFERROR(__xludf.DUMMYFUNCTION("IFERROR(GOOGLETRANSLATE(B178,""en"",""zh-CN""),)"),"糖果")</f>
        <v>糖果</v>
      </c>
    </row>
    <row r="179" spans="1:5">
      <c r="A179" s="3" t="s">
        <v>840</v>
      </c>
      <c r="B179" s="4" t="str">
        <f ca="1">IFERROR(__xludf.DUMMYFUNCTION("IFERROR(GOOGLETRANSLATE(A179,""ko"",""en""),)"),"How many candies are there?")</f>
        <v>How many candies are there?</v>
      </c>
      <c r="C179" s="4" t="str">
        <f ca="1">IFERROR(__xludf.DUMMYFUNCTION("IFERROR(GOOGLETRANSLATE(B179,""en"",""ja""),)"),"キャンディーはいくつありますか？")</f>
        <v>キャンディーはいくつありますか？</v>
      </c>
      <c r="D179" s="4" t="str">
        <f ca="1">IFERROR(__xludf.DUMMYFUNCTION("IFERROR(GOOGLETRANSLATE(B179,""en"",""zh-TW""),)"),"一共有多少顆糖果？")</f>
        <v>一共有多少顆糖果？</v>
      </c>
      <c r="E179" s="4" t="str">
        <f ca="1">IFERROR(__xludf.DUMMYFUNCTION("IFERROR(GOOGLETRANSLATE(B179,""en"",""zh-CN""),)"),"一共有多少颗糖果？")</f>
        <v>一共有多少颗糖果？</v>
      </c>
    </row>
    <row r="180" spans="1:5">
      <c r="A180" s="3" t="s">
        <v>787</v>
      </c>
      <c r="B180" s="4" t="str">
        <f ca="1">IFERROR(__xludf.DUMMYFUNCTION("IFERROR(GOOGLETRANSLATE(A180,""ko"",""en""),)"),"How many loaves of bread are there?")</f>
        <v>How many loaves of bread are there?</v>
      </c>
      <c r="C180" s="4" t="str">
        <f ca="1">IFERROR(__xludf.DUMMYFUNCTION("IFERROR(GOOGLETRANSLATE(B180,""en"",""ja""),)"),"パンは何斤ありますか？")</f>
        <v>パンは何斤ありますか？</v>
      </c>
      <c r="D180" s="4" t="str">
        <f ca="1">IFERROR(__xludf.DUMMYFUNCTION("IFERROR(GOOGLETRANSLATE(B180,""en"",""zh-TW""),)"),"一共有多少條麵包？")</f>
        <v>一共有多少條麵包？</v>
      </c>
      <c r="E180" s="4" t="str">
        <f ca="1">IFERROR(__xludf.DUMMYFUNCTION("IFERROR(GOOGLETRANSLATE(B180,""en"",""zh-CN""),)"),"一共有多少条面包？")</f>
        <v>一共有多少条面包？</v>
      </c>
    </row>
    <row r="181" spans="1:5">
      <c r="A181" s="3" t="s">
        <v>848</v>
      </c>
      <c r="B181" s="4" t="str">
        <f ca="1">IFERROR(__xludf.DUMMYFUNCTION("IFERROR(GOOGLETRANSLATE(A181,""ko"",""en""),)"),"There are three loaves of bread.")</f>
        <v>There are three loaves of bread.</v>
      </c>
      <c r="C181" s="4" t="str">
        <f ca="1">IFERROR(__xludf.DUMMYFUNCTION("IFERROR(GOOGLETRANSLATE(B181,""en"",""ja""),)"),"パンが3つあります。")</f>
        <v>パンが3つあります。</v>
      </c>
      <c r="D181" s="4" t="str">
        <f ca="1">IFERROR(__xludf.DUMMYFUNCTION("IFERROR(GOOGLETRANSLATE(B181,""en"",""zh-TW""),)"),"這裡有三塊麵包。")</f>
        <v>這裡有三塊麵包。</v>
      </c>
      <c r="E181" s="4" t="str">
        <f ca="1">IFERROR(__xludf.DUMMYFUNCTION("IFERROR(GOOGLETRANSLATE(B181,""en"",""zh-CN""),)"),"这里有三块面包。")</f>
        <v>这里有三块面包。</v>
      </c>
    </row>
    <row r="182" spans="1:5">
      <c r="A182" s="3" t="s">
        <v>851</v>
      </c>
      <c r="B182" s="4" t="str">
        <f ca="1">IFERROR(__xludf.DUMMYFUNCTION("IFERROR(GOOGLETRANSLATE(A182,""ko"",""en""),)"),"How many cartons of milk do you buy?")</f>
        <v>How many cartons of milk do you buy?</v>
      </c>
      <c r="C182" s="4" t="str">
        <f ca="1">IFERROR(__xludf.DUMMYFUNCTION("IFERROR(GOOGLETRANSLATE(B182,""en"",""ja""),)"),"あなたは牛乳を何パック買いますか？")</f>
        <v>あなたは牛乳を何パック買いますか？</v>
      </c>
      <c r="D182" s="4" t="str">
        <f ca="1">IFERROR(__xludf.DUMMYFUNCTION("IFERROR(GOOGLETRANSLATE(B182,""en"",""zh-TW""),)"),"你買多少盒牛奶？")</f>
        <v>你買多少盒牛奶？</v>
      </c>
      <c r="E182" s="4" t="str">
        <f ca="1">IFERROR(__xludf.DUMMYFUNCTION("IFERROR(GOOGLETRANSLATE(B182,""en"",""zh-CN""),)"),"你买多少盒牛奶？")</f>
        <v>你买多少盒牛奶？</v>
      </c>
    </row>
    <row r="183" spans="1:5">
      <c r="A183" s="3" t="s">
        <v>856</v>
      </c>
      <c r="B183" s="4" t="str">
        <f ca="1">IFERROR(__xludf.DUMMYFUNCTION("IFERROR(GOOGLETRANSLATE(A183,""ko"",""en""),)"),"I buy eight cartons of milk.")</f>
        <v>I buy eight cartons of milk.</v>
      </c>
      <c r="C183" s="4" t="str">
        <f ca="1">IFERROR(__xludf.DUMMYFUNCTION("IFERROR(GOOGLETRANSLATE(B183,""en"",""ja""),)"),"私は牛乳を8パック買います。")</f>
        <v>私は牛乳を8パック買います。</v>
      </c>
      <c r="D183" s="4" t="str">
        <f ca="1">IFERROR(__xludf.DUMMYFUNCTION("IFERROR(GOOGLETRANSLATE(B183,""en"",""zh-TW""),)"),"我買了八盒牛奶。")</f>
        <v>我買了八盒牛奶。</v>
      </c>
      <c r="E183" s="4" t="str">
        <f ca="1">IFERROR(__xludf.DUMMYFUNCTION("IFERROR(GOOGLETRANSLATE(B183,""en"",""zh-CN""),)"),"我买了八盒牛奶。")</f>
        <v>我买了八盒牛奶。</v>
      </c>
    </row>
    <row r="184" spans="1:5">
      <c r="A184" s="3" t="s">
        <v>861</v>
      </c>
      <c r="B184" s="4" t="s">
        <v>863</v>
      </c>
      <c r="C184" s="4" t="str">
        <f ca="1">IFERROR(__xludf.DUMMYFUNCTION("IFERROR(GOOGLETRANSLATE(B184,""en"",""ja""),)"),"おやつは6種類ありますか？")</f>
        <v>おやつは6種類ありますか？</v>
      </c>
      <c r="D184" s="4" t="str">
        <f ca="1">IFERROR(__xludf.DUMMYFUNCTION("IFERROR(GOOGLETRANSLATE(B184,""en"",""zh-TW""),)"),"有六份零食嗎？")</f>
        <v>有六份零食嗎？</v>
      </c>
      <c r="E184" s="4" t="str">
        <f ca="1">IFERROR(__xludf.DUMMYFUNCTION("IFERROR(GOOGLETRANSLATE(B184,""en"",""zh-CN""),)"),"有六份零食吗？")</f>
        <v>有六份零食吗？</v>
      </c>
    </row>
    <row r="185" spans="1:5">
      <c r="A185" s="3" t="s">
        <v>867</v>
      </c>
      <c r="B185" s="4" t="s">
        <v>868</v>
      </c>
      <c r="C185" s="4" t="str">
        <f ca="1">IFERROR(__xludf.DUMMYFUNCTION("IFERROR(GOOGLETRANSLATE(B185,""en"",""ja""),)"),"いいえ、おやつは1種類だけです。")</f>
        <v>いいえ、おやつは1種類だけです。</v>
      </c>
      <c r="D185" s="4" t="str">
        <f ca="1">IFERROR(__xludf.DUMMYFUNCTION("IFERROR(GOOGLETRANSLATE(B185,""en"",""zh-TW""),)"),"不，只有一份零食。")</f>
        <v>不，只有一份零食。</v>
      </c>
      <c r="E185" s="4" t="str">
        <f ca="1">IFERROR(__xludf.DUMMYFUNCTION("IFERROR(GOOGLETRANSLATE(B185,""en"",""zh-CN""),)"),"不，只有一份零食。")</f>
        <v>不，只有一份零食。</v>
      </c>
    </row>
    <row r="186" spans="1:5">
      <c r="A186" s="3" t="s">
        <v>871</v>
      </c>
      <c r="B186" s="4" t="str">
        <f ca="1">IFERROR(__xludf.DUMMYFUNCTION("IFERROR(GOOGLETRANSLATE(A186,""ko"",""en""),)"),"How many people are there?")</f>
        <v>How many people are there?</v>
      </c>
      <c r="C186" s="4" t="str">
        <f ca="1">IFERROR(__xludf.DUMMYFUNCTION("IFERROR(GOOGLETRANSLATE(B186,""en"",""ja""),)"),"何人いますか？")</f>
        <v>何人いますか？</v>
      </c>
      <c r="D186" s="4" t="str">
        <f ca="1">IFERROR(__xludf.DUMMYFUNCTION("IFERROR(GOOGLETRANSLATE(B186,""en"",""zh-TW""),)"),"這裡有多少人？")</f>
        <v>這裡有多少人？</v>
      </c>
      <c r="E186" s="4" t="str">
        <f ca="1">IFERROR(__xludf.DUMMYFUNCTION("IFERROR(GOOGLETRANSLATE(B186,""en"",""zh-CN""),)"),"这里有多少人？")</f>
        <v>这里有多少人？</v>
      </c>
    </row>
    <row r="187" spans="1:5">
      <c r="A187" s="3" t="s">
        <v>877</v>
      </c>
      <c r="B187" s="4" t="str">
        <f ca="1">IFERROR(__xludf.DUMMYFUNCTION("IFERROR(GOOGLETRANSLATE(A187,""ko"",""en""),)"),"How many students are there?")</f>
        <v>How many students are there?</v>
      </c>
      <c r="C187" s="4" t="str">
        <f ca="1">IFERROR(__xludf.DUMMYFUNCTION("IFERROR(GOOGLETRANSLATE(B187,""en"",""ja""),)"),"生徒は何人いますか？")</f>
        <v>生徒は何人いますか？</v>
      </c>
      <c r="D187" s="4" t="str">
        <f ca="1">IFERROR(__xludf.DUMMYFUNCTION("IFERROR(GOOGLETRANSLATE(B187,""en"",""zh-TW""),)"),"學校有多少學生？")</f>
        <v>學校有多少學生？</v>
      </c>
      <c r="E187" s="4" t="str">
        <f ca="1">IFERROR(__xludf.DUMMYFUNCTION("IFERROR(GOOGLETRANSLATE(B187,""en"",""zh-CN""),)"),"学校有多少学生？")</f>
        <v>学校有多少学生？</v>
      </c>
    </row>
    <row r="188" spans="1:5">
      <c r="A188" s="3" t="s">
        <v>882</v>
      </c>
      <c r="B188" s="4" t="str">
        <f ca="1">IFERROR(__xludf.DUMMYFUNCTION("IFERROR(GOOGLETRANSLATE(A188,""ko"",""en""),)"),"I have three cats.")</f>
        <v>I have three cats.</v>
      </c>
      <c r="C188" s="4" t="str">
        <f ca="1">IFERROR(__xludf.DUMMYFUNCTION("IFERROR(GOOGLETRANSLATE(B188,""en"",""ja""),)"),"私は猫を3匹飼っています。")</f>
        <v>私は猫を3匹飼っています。</v>
      </c>
      <c r="D188" s="4" t="str">
        <f ca="1">IFERROR(__xludf.DUMMYFUNCTION("IFERROR(GOOGLETRANSLATE(B188,""en"",""zh-TW""),)"),"我養了三隻貓。")</f>
        <v>我養了三隻貓。</v>
      </c>
      <c r="E188" s="4" t="str">
        <f ca="1">IFERROR(__xludf.DUMMYFUNCTION("IFERROR(GOOGLETRANSLATE(B188,""en"",""zh-CN""),)"),"我养了三只猫。")</f>
        <v>我养了三只猫。</v>
      </c>
    </row>
    <row r="189" spans="1:5">
      <c r="A189" s="3" t="s">
        <v>887</v>
      </c>
      <c r="B189" s="4" t="str">
        <f ca="1">IFERROR(__xludf.DUMMYFUNCTION("IFERROR(GOOGLETRANSLATE(A189,""ko"",""en""),)"),"How many puppies do you have?")</f>
        <v>How many puppies do you have?</v>
      </c>
      <c r="C189" s="4" t="str">
        <f ca="1">IFERROR(__xludf.DUMMYFUNCTION("IFERROR(GOOGLETRANSLATE(B189,""en"",""ja""),)"),"子犬は何匹いますか？")</f>
        <v>子犬は何匹いますか？</v>
      </c>
      <c r="D189" s="4" t="str">
        <f ca="1">IFERROR(__xludf.DUMMYFUNCTION("IFERROR(GOOGLETRANSLATE(B189,""en"",""zh-TW""),)"),"你養了幾隻小狗？")</f>
        <v>你養了幾隻小狗？</v>
      </c>
      <c r="E189" s="4" t="str">
        <f ca="1">IFERROR(__xludf.DUMMYFUNCTION("IFERROR(GOOGLETRANSLATE(B189,""en"",""zh-CN""),)"),"你养了几只小狗？")</f>
        <v>你养了几只小狗？</v>
      </c>
    </row>
    <row r="190" spans="1:5">
      <c r="A190" s="3" t="s">
        <v>170</v>
      </c>
      <c r="B190" s="4" t="str">
        <f ca="1">IFERROR(__xludf.DUMMYFUNCTION("IFERROR(GOOGLETRANSLATE(A190,""ko"",""en""),)"),"day")</f>
        <v>day</v>
      </c>
      <c r="C190" s="4" t="str">
        <f ca="1">IFERROR(__xludf.DUMMYFUNCTION("IFERROR(GOOGLETRANSLATE(B190,""en"",""ja""),)"),"日")</f>
        <v>日</v>
      </c>
      <c r="D190" s="4" t="str">
        <f ca="1">IFERROR(__xludf.DUMMYFUNCTION("IFERROR(GOOGLETRANSLATE(B190,""en"",""zh-TW""),)"),"天")</f>
        <v>天</v>
      </c>
      <c r="E190" s="4" t="str">
        <f ca="1">IFERROR(__xludf.DUMMYFUNCTION("IFERROR(GOOGLETRANSLATE(B190,""en"",""zh-CN""),)"),"天")</f>
        <v>天</v>
      </c>
    </row>
    <row r="191" spans="1:5">
      <c r="A191" s="3" t="s">
        <v>894</v>
      </c>
      <c r="B191" s="4" t="str">
        <f ca="1">IFERROR(__xludf.DUMMYFUNCTION("IFERROR(GOOGLETRANSLATE(A191,""ko"",""en""),)"),"How many glasses of beer do you drink a day?")</f>
        <v>How many glasses of beer do you drink a day?</v>
      </c>
      <c r="C191" s="4" t="str">
        <f ca="1">IFERROR(__xludf.DUMMYFUNCTION("IFERROR(GOOGLETRANSLATE(B191,""en"",""ja""),)"),"あなたは1日に何杯のビールを飲みますか？")</f>
        <v>あなたは1日に何杯のビールを飲みますか？</v>
      </c>
      <c r="D191" s="4" t="str">
        <f ca="1">IFERROR(__xludf.DUMMYFUNCTION("IFERROR(GOOGLETRANSLATE(B191,""en"",""zh-TW""),)"),"你一天喝多少杯啤酒？")</f>
        <v>你一天喝多少杯啤酒？</v>
      </c>
      <c r="E191" s="4" t="str">
        <f ca="1">IFERROR(__xludf.DUMMYFUNCTION("IFERROR(GOOGLETRANSLATE(B191,""en"",""zh-CN""),)"),"你一天喝多少杯啤酒？")</f>
        <v>你一天喝多少杯啤酒？</v>
      </c>
    </row>
    <row r="192" spans="1:5">
      <c r="A192" s="3" t="s">
        <v>898</v>
      </c>
      <c r="B192" s="4" t="str">
        <f ca="1">IFERROR(__xludf.DUMMYFUNCTION("IFERROR(GOOGLETRANSLATE(A192,""ko"",""en""),)"),"How many bottles of soju do you drink?")</f>
        <v>How many bottles of soju do you drink?</v>
      </c>
      <c r="C192" s="4" t="str">
        <f ca="1">IFERROR(__xludf.DUMMYFUNCTION("IFERROR(GOOGLETRANSLATE(B192,""en"",""ja""),)"),"あなたは焼酎を何本飲みますか？")</f>
        <v>あなたは焼酎を何本飲みますか？</v>
      </c>
      <c r="D192" s="4" t="str">
        <f ca="1">IFERROR(__xludf.DUMMYFUNCTION("IFERROR(GOOGLETRANSLATE(B192,""en"",""zh-TW""),)"),"你一天喝多少瓶燒酒？")</f>
        <v>你一天喝多少瓶燒酒？</v>
      </c>
      <c r="E192" s="4" t="str">
        <f ca="1">IFERROR(__xludf.DUMMYFUNCTION("IFERROR(GOOGLETRANSLATE(B192,""en"",""zh-CN""),)"),"你一天喝多少瓶烧酒？")</f>
        <v>你一天喝多少瓶烧酒？</v>
      </c>
    </row>
    <row r="193" spans="1:5">
      <c r="A193" s="3" t="s">
        <v>907</v>
      </c>
      <c r="B193" s="4" t="str">
        <f ca="1">IFERROR(__xludf.DUMMYFUNCTION("IFERROR(GOOGLETRANSLATE(A193,""ko"",""en""),)"),"cola")</f>
        <v>cola</v>
      </c>
      <c r="C193" s="4" t="str">
        <f ca="1">IFERROR(__xludf.DUMMYFUNCTION("IFERROR(GOOGLETRANSLATE(B193,""en"",""ja""),)"),"コーラ")</f>
        <v>コーラ</v>
      </c>
      <c r="D193" s="4" t="str">
        <f ca="1">IFERROR(__xludf.DUMMYFUNCTION("IFERROR(GOOGLETRANSLATE(B193,""en"",""zh-TW""),)"),"可樂")</f>
        <v>可樂</v>
      </c>
      <c r="E193" s="4" t="str">
        <f ca="1">IFERROR(__xludf.DUMMYFUNCTION("IFERROR(GOOGLETRANSLATE(B193,""en"",""zh-CN""),)"),"可乐")</f>
        <v>可乐</v>
      </c>
    </row>
    <row r="194" spans="1:5">
      <c r="A194" s="5" t="s">
        <v>911</v>
      </c>
      <c r="B194" s="4" t="str">
        <f ca="1">IFERROR(__xludf.DUMMYFUNCTION("IFERROR(GOOGLETRANSLATE(A194,""ko"",""en""),)"),"How many Korean books do you have?")</f>
        <v>How many Korean books do you have?</v>
      </c>
      <c r="C194" s="4" t="str">
        <f ca="1">IFERROR(__xludf.DUMMYFUNCTION("IFERROR(GOOGLETRANSLATE(B194,""en"",""ja""),)"),"韓国語の本は何冊お持ちですか？")</f>
        <v>韓国語の本は何冊お持ちですか？</v>
      </c>
      <c r="D194" s="4" t="str">
        <f ca="1">IFERROR(__xludf.DUMMYFUNCTION("IFERROR(GOOGLETRANSLATE(B194,""en"",""zh-TW""),)"),"你收藏了多少本韓文書籍？")</f>
        <v>你收藏了多少本韓文書籍？</v>
      </c>
      <c r="E194" s="4" t="str">
        <f ca="1">IFERROR(__xludf.DUMMYFUNCTION("IFERROR(GOOGLETRANSLATE(B194,""en"",""zh-CN""),)"),"你收藏了多少本韩语书籍？")</f>
        <v>你收藏了多少本韩语书籍？</v>
      </c>
    </row>
    <row r="195" spans="1:5">
      <c r="A195" s="5" t="s">
        <v>916</v>
      </c>
      <c r="B195" s="4" t="str">
        <f ca="1">IFERROR(__xludf.DUMMYFUNCTION("IFERROR(GOOGLETRANSLATE(A195,""ko"",""en""),)"),"I have two books.")</f>
        <v>I have two books.</v>
      </c>
      <c r="C195" s="4" t="str">
        <f ca="1">IFERROR(__xludf.DUMMYFUNCTION("IFERROR(GOOGLETRANSLATE(B195,""en"",""ja""),)"),"私は本を​​2冊持っています。")</f>
        <v>私は本を​​2冊持っています。</v>
      </c>
      <c r="D195" s="4" t="str">
        <f ca="1">IFERROR(__xludf.DUMMYFUNCTION("IFERROR(GOOGLETRANSLATE(B195,""en"",""zh-TW""),)"),"我有兩本書。")</f>
        <v>我有兩本書。</v>
      </c>
      <c r="E195" s="4" t="str">
        <f ca="1">IFERROR(__xludf.DUMMYFUNCTION("IFERROR(GOOGLETRANSLATE(B195,""en"",""zh-CN""),)"),"我有两本书。")</f>
        <v>我有两本书。</v>
      </c>
    </row>
    <row r="196" spans="1:5">
      <c r="A196" s="3" t="s">
        <v>922</v>
      </c>
      <c r="B196" s="4" t="str">
        <f ca="1">IFERROR(__xludf.DUMMYFUNCTION("IFERROR(GOOGLETRANSLATE(A196,""ko"",""en""),)"),"Please give me a movie ticket.")</f>
        <v>Please give me a movie ticket.</v>
      </c>
      <c r="C196" s="4" t="str">
        <f ca="1">IFERROR(__xludf.DUMMYFUNCTION("IFERROR(GOOGLETRANSLATE(B196,""en"",""ja""),)"),"映画のチケットをください。")</f>
        <v>映画のチケットをください。</v>
      </c>
      <c r="D196" s="4" t="str">
        <f ca="1">IFERROR(__xludf.DUMMYFUNCTION("IFERROR(GOOGLETRANSLATE(B196,""en"",""zh-TW""),)"),"請給我一張電影票。")</f>
        <v>請給我一張電影票。</v>
      </c>
      <c r="E196" s="4" t="str">
        <f ca="1">IFERROR(__xludf.DUMMYFUNCTION("IFERROR(GOOGLETRANSLATE(B196,""en"",""zh-CN""),)"),"请给我一张电影票。")</f>
        <v>请给我一张电影票。</v>
      </c>
    </row>
    <row r="197" spans="1:5">
      <c r="A197" s="3" t="s">
        <v>923</v>
      </c>
      <c r="B197" s="4" t="str">
        <f ca="1">IFERROR(__xludf.DUMMYFUNCTION("IFERROR(GOOGLETRANSLATE(A197,""ko"",""en""),)"),"My daughter")</f>
        <v>My daughter</v>
      </c>
      <c r="C197" s="4" t="str">
        <f ca="1">IFERROR(__xludf.DUMMYFUNCTION("IFERROR(GOOGLETRANSLATE(B197,""en"",""ja""),)"),"私の娘")</f>
        <v>私の娘</v>
      </c>
      <c r="D197" s="4" t="str">
        <f ca="1">IFERROR(__xludf.DUMMYFUNCTION("IFERROR(GOOGLETRANSLATE(B197,""en"",""zh-TW""),)"),"我的女兒")</f>
        <v>我的女兒</v>
      </c>
      <c r="E197" s="4" t="str">
        <f ca="1">IFERROR(__xludf.DUMMYFUNCTION("IFERROR(GOOGLETRANSLATE(B197,""en"",""zh-CN""),)"),"我的女儿")</f>
        <v>我的女儿</v>
      </c>
    </row>
    <row r="198" spans="1:5">
      <c r="A198" s="5" t="s">
        <v>927</v>
      </c>
      <c r="B198" s="4" t="str">
        <f ca="1">IFERROR(__xludf.DUMMYFUNCTION("IFERROR(GOOGLETRANSLATE(A198,""ko"",""en""),)"),"My daughter is eight years old.")</f>
        <v>My daughter is eight years old.</v>
      </c>
      <c r="C198" s="4" t="str">
        <f ca="1">IFERROR(__xludf.DUMMYFUNCTION("IFERROR(GOOGLETRANSLATE(B198,""en"",""ja""),)"),"私の娘は8歳です。")</f>
        <v>私の娘は8歳です。</v>
      </c>
      <c r="D198" s="4" t="str">
        <f ca="1">IFERROR(__xludf.DUMMYFUNCTION("IFERROR(GOOGLETRANSLATE(B198,""en"",""zh-TW""),)"),"我女兒八歲了。")</f>
        <v>我女兒八歲了。</v>
      </c>
      <c r="E198" s="4" t="str">
        <f ca="1">IFERROR(__xludf.DUMMYFUNCTION("IFERROR(GOOGLETRANSLATE(B198,""en"",""zh-CN""),)"),"我女儿八岁了。")</f>
        <v>我女儿八岁了。</v>
      </c>
    </row>
    <row r="199" spans="1:5">
      <c r="A199" s="3" t="s">
        <v>932</v>
      </c>
      <c r="B199" s="4" t="str">
        <f ca="1">IFERROR(__xludf.DUMMYFUNCTION("IFERROR(GOOGLETRANSLATE(A199,""ko"",""en""),)"),"Five waters")</f>
        <v>Five waters</v>
      </c>
      <c r="C199" s="4" t="str">
        <f ca="1">IFERROR(__xludf.DUMMYFUNCTION("IFERROR(GOOGLETRANSLATE(B199,""en"",""ja""),)"),"五つの水")</f>
        <v>五つの水</v>
      </c>
      <c r="D199" s="4" t="str">
        <f ca="1">IFERROR(__xludf.DUMMYFUNCTION("IFERROR(GOOGLETRANSLATE(B199,""en"",""zh-TW""),)"),"五水")</f>
        <v>五水</v>
      </c>
      <c r="E199" s="4" t="str">
        <f ca="1">IFERROR(__xludf.DUMMYFUNCTION("IFERROR(GOOGLETRANSLATE(B199,""en"",""zh-CN""),)"),"五水")</f>
        <v>五水</v>
      </c>
    </row>
    <row r="200" spans="1:5">
      <c r="A200" s="3" t="s">
        <v>937</v>
      </c>
      <c r="B200" s="4" t="str">
        <f ca="1">IFERROR(__xludf.DUMMYFUNCTION("IFERROR(GOOGLETRANSLATE(A200,""ko"",""en""),)"),"Seven cards")</f>
        <v>Seven cards</v>
      </c>
      <c r="C200" s="4" t="str">
        <f ca="1">IFERROR(__xludf.DUMMYFUNCTION("IFERROR(GOOGLETRANSLATE(B200,""en"",""ja""),)"),"7枚のカード")</f>
        <v>7枚のカード</v>
      </c>
      <c r="D200" s="4" t="str">
        <f ca="1">IFERROR(__xludf.DUMMYFUNCTION("IFERROR(GOOGLETRANSLATE(B200,""en"",""zh-TW""),)"),"七張牌")</f>
        <v>七張牌</v>
      </c>
      <c r="E200" s="4" t="str">
        <f ca="1">IFERROR(__xludf.DUMMYFUNCTION("IFERROR(GOOGLETRANSLATE(B200,""en"",""zh-CN""),)"),"七张牌")</f>
        <v>七张牌</v>
      </c>
    </row>
    <row r="201" spans="1:5">
      <c r="A201" s="3" t="s">
        <v>941</v>
      </c>
      <c r="B201" s="4" t="str">
        <f ca="1">IFERROR(__xludf.DUMMYFUNCTION("IFERROR(GOOGLETRANSLATE(A201,""ko"",""en""),)"),"age")</f>
        <v>age</v>
      </c>
      <c r="C201" s="4" t="str">
        <f ca="1">IFERROR(__xludf.DUMMYFUNCTION("IFERROR(GOOGLETRANSLATE(B201,""en"",""ja""),)"),"年")</f>
        <v>年</v>
      </c>
      <c r="D201" s="4" t="str">
        <f ca="1">IFERROR(__xludf.DUMMYFUNCTION("IFERROR(GOOGLETRANSLATE(B201,""en"",""zh-TW""),)"),"年齡")</f>
        <v>年齡</v>
      </c>
      <c r="E201" s="4" t="str">
        <f ca="1">IFERROR(__xludf.DUMMYFUNCTION("IFERROR(GOOGLETRANSLATE(B201,""en"",""zh-CN""),)"),"年龄")</f>
        <v>年龄</v>
      </c>
    </row>
    <row r="202" spans="1:5">
      <c r="A202" s="3" t="s">
        <v>946</v>
      </c>
      <c r="B202" s="4" t="str">
        <f ca="1">IFERROR(__xludf.DUMMYFUNCTION("IFERROR(GOOGLETRANSLATE(A202,""ko"",""en""),)"),"How many glasses of juice do you have?")</f>
        <v>How many glasses of juice do you have?</v>
      </c>
      <c r="C202" s="4" t="str">
        <f ca="1">IFERROR(__xludf.DUMMYFUNCTION("IFERROR(GOOGLETRANSLATE(B202,""en"",""ja""),)"),"ジュースは何杯飲みましたか？")</f>
        <v>ジュースは何杯飲みましたか？</v>
      </c>
      <c r="D202" s="4" t="str">
        <f ca="1">IFERROR(__xludf.DUMMYFUNCTION("IFERROR(GOOGLETRANSLATE(B202,""en"",""zh-TW""),)"),"你喝了多少杯果汁？")</f>
        <v>你喝了多少杯果汁？</v>
      </c>
      <c r="E202" s="4" t="str">
        <f ca="1">IFERROR(__xludf.DUMMYFUNCTION("IFERROR(GOOGLETRANSLATE(B202,""en"",""zh-CN""),)"),"你喝了多少杯果汁？")</f>
        <v>你喝了多少杯果汁？</v>
      </c>
    </row>
    <row r="203" spans="1:5">
      <c r="A203" s="3" t="s">
        <v>950</v>
      </c>
      <c r="B203" s="4" t="str">
        <f ca="1">IFERROR(__xludf.DUMMYFUNCTION("IFERROR(GOOGLETRANSLATE(A203,""ko"",""en""),)"),"There are two cups.")</f>
        <v>There are two cups.</v>
      </c>
      <c r="C203" s="4" t="str">
        <f ca="1">IFERROR(__xludf.DUMMYFUNCTION("IFERROR(GOOGLETRANSLATE(B203,""en"",""ja""),)"),"カップが2つあります。")</f>
        <v>カップが2つあります。</v>
      </c>
      <c r="D203" s="4" t="str">
        <f ca="1">IFERROR(__xludf.DUMMYFUNCTION("IFERROR(GOOGLETRANSLATE(B203,""en"",""zh-TW""),)"),"這裡有兩隻杯子。")</f>
        <v>這裡有兩隻杯子。</v>
      </c>
      <c r="E203" s="4" t="str">
        <f ca="1">IFERROR(__xludf.DUMMYFUNCTION("IFERROR(GOOGLETRANSLATE(B203,""en"",""zh-CN""),)"),"这里有两只杯子。")</f>
        <v>这里有两只杯子。</v>
      </c>
    </row>
    <row r="204" spans="1:5">
      <c r="A204" s="3" t="s">
        <v>955</v>
      </c>
      <c r="B204" s="4" t="str">
        <f ca="1">IFERROR(__xludf.DUMMYFUNCTION("IFERROR(GOOGLETRANSLATE(A204,""ko"",""en""),)"),"How many books do you have?")</f>
        <v>How many books do you have?</v>
      </c>
      <c r="C204" s="4" t="str">
        <f ca="1">IFERROR(__xludf.DUMMYFUNCTION("IFERROR(GOOGLETRANSLATE(B204,""en"",""ja""),)"),"あなたは本を何冊持っていますか？")</f>
        <v>あなたは本を何冊持っていますか？</v>
      </c>
      <c r="D204" s="4" t="str">
        <f ca="1">IFERROR(__xludf.DUMMYFUNCTION("IFERROR(GOOGLETRANSLATE(B204,""en"",""zh-TW""),)"),"你有多少本書？")</f>
        <v>你有多少本書？</v>
      </c>
      <c r="E204" s="4" t="str">
        <f ca="1">IFERROR(__xludf.DUMMYFUNCTION("IFERROR(GOOGLETRANSLATE(B204,""en"",""zh-CN""),)"),"你有多少本书？")</f>
        <v>你有多少本书？</v>
      </c>
    </row>
    <row r="205" spans="1:5">
      <c r="A205" s="3" t="s">
        <v>966</v>
      </c>
      <c r="B205" s="4" t="str">
        <f ca="1">IFERROR(__xludf.DUMMYFUNCTION("IFERROR(GOOGLETRANSLATE(A205,""ko"",""en""),)"),"There are six books.")</f>
        <v>There are six books.</v>
      </c>
      <c r="C205" s="4" t="str">
        <f ca="1">IFERROR(__xludf.DUMMYFUNCTION("IFERROR(GOOGLETRANSLATE(B205,""en"",""ja""),)"),"全部で6冊あります。")</f>
        <v>全部で6冊あります。</v>
      </c>
      <c r="D205" s="4" t="str">
        <f ca="1">IFERROR(__xludf.DUMMYFUNCTION("IFERROR(GOOGLETRANSLATE(B205,""en"",""zh-TW""),)"),"共有六本書。")</f>
        <v>共有六本書。</v>
      </c>
      <c r="E205" s="4" t="str">
        <f ca="1">IFERROR(__xludf.DUMMYFUNCTION("IFERROR(GOOGLETRANSLATE(B205,""en"",""zh-CN""),)"),"共有六本书。")</f>
        <v>共有六本书。</v>
      </c>
    </row>
    <row r="206" spans="1:5">
      <c r="A206" s="3" t="s">
        <v>970</v>
      </c>
      <c r="B206" s="4" t="str">
        <f ca="1">IFERROR(__xludf.DUMMYFUNCTION("IFERROR(GOOGLETRANSLATE(A206,""ko"",""en""),)"),"How many bottles of water do you have?")</f>
        <v>How many bottles of water do you have?</v>
      </c>
      <c r="C206" s="4" t="str">
        <f ca="1">IFERROR(__xludf.DUMMYFUNCTION("IFERROR(GOOGLETRANSLATE(B206,""en"",""ja""),)"),"水は何本ありますか？")</f>
        <v>水は何本ありますか？</v>
      </c>
      <c r="D206" s="4" t="str">
        <f ca="1">IFERROR(__xludf.DUMMYFUNCTION("IFERROR(GOOGLETRANSLATE(B206,""en"",""zh-TW""),)"),"你手邊有多少瓶水？")</f>
        <v>你手邊有多少瓶水？</v>
      </c>
      <c r="E206" s="4" t="str">
        <f ca="1">IFERROR(__xludf.DUMMYFUNCTION("IFERROR(GOOGLETRANSLATE(B206,""en"",""zh-CN""),)"),"你手头有多少瓶水？")</f>
        <v>你手头有多少瓶水？</v>
      </c>
    </row>
    <row r="207" spans="1:5">
      <c r="A207" s="3" t="s">
        <v>976</v>
      </c>
      <c r="B207" s="4" t="str">
        <f ca="1">IFERROR(__xludf.DUMMYFUNCTION("IFERROR(GOOGLETRANSLATE(A207,""ko"",""en""),)"),"I have one bottle.")</f>
        <v>I have one bottle.</v>
      </c>
      <c r="C207" s="4" t="str">
        <f ca="1">IFERROR(__xludf.DUMMYFUNCTION("IFERROR(GOOGLETRANSLATE(B207,""en"",""ja""),)"),"私はボトルを1本持っています。")</f>
        <v>私はボトルを1本持っています。</v>
      </c>
      <c r="D207" s="4" t="str">
        <f ca="1">IFERROR(__xludf.DUMMYFUNCTION("IFERROR(GOOGLETRANSLATE(B207,""en"",""zh-TW""),)"),"我有一瓶。")</f>
        <v>我有一瓶。</v>
      </c>
      <c r="E207" s="4" t="str">
        <f ca="1">IFERROR(__xludf.DUMMYFUNCTION("IFERROR(GOOGLETRANSLATE(B207,""en"",""zh-CN""),)"),"我有一瓶。")</f>
        <v>我有一瓶。</v>
      </c>
    </row>
    <row r="208" spans="1:5">
      <c r="A208" s="3" t="s">
        <v>980</v>
      </c>
      <c r="B208" s="4" t="str">
        <f ca="1">IFERROR(__xludf.DUMMYFUNCTION("IFERROR(GOOGLETRANSLATE(A208,""ko"",""en""),)"),"How many windows are there?")</f>
        <v>How many windows are there?</v>
      </c>
      <c r="C208" s="4" t="str">
        <f ca="1">IFERROR(__xludf.DUMMYFUNCTION("IFERROR(GOOGLETRANSLATE(B208,""en"",""ja""),)"),"窓はいくつありますか？")</f>
        <v>窓はいくつありますか？</v>
      </c>
      <c r="D208" s="4" t="str">
        <f ca="1">IFERROR(__xludf.DUMMYFUNCTION("IFERROR(GOOGLETRANSLATE(B208,""en"",""zh-TW""),)"),"這裡有幾扇窗戶？")</f>
        <v>這裡有幾扇窗戶？</v>
      </c>
      <c r="E208" s="4" t="str">
        <f ca="1">IFERROR(__xludf.DUMMYFUNCTION("IFERROR(GOOGLETRANSLATE(B208,""en"",""zh-CN""),)"),"这里有几扇窗户？")</f>
        <v>这里有几扇窗户？</v>
      </c>
    </row>
    <row r="209" spans="1:5">
      <c r="A209" s="3" t="s">
        <v>984</v>
      </c>
      <c r="B209" s="4" t="str">
        <f ca="1">IFERROR(__xludf.DUMMYFUNCTION("IFERROR(GOOGLETRANSLATE(A209,""ko"",""en""),)"),"There are two windows.")</f>
        <v>There are two windows.</v>
      </c>
      <c r="C209" s="4" t="str">
        <f ca="1">IFERROR(__xludf.DUMMYFUNCTION("IFERROR(GOOGLETRANSLATE(B209,""en"",""ja""),)"),"窓は2つあります。")</f>
        <v>窓は2つあります。</v>
      </c>
      <c r="D209" s="4" t="str">
        <f ca="1">IFERROR(__xludf.DUMMYFUNCTION("IFERROR(GOOGLETRANSLATE(B209,""en"",""zh-TW""),)"),"這裡有兩扇窗戶。")</f>
        <v>這裡有兩扇窗戶。</v>
      </c>
      <c r="E209" s="4" t="str">
        <f ca="1">IFERROR(__xludf.DUMMYFUNCTION("IFERROR(GOOGLETRANSLATE(B209,""en"",""zh-CN""),)"),"这里有两扇窗户。")</f>
        <v>这里有两扇窗户。</v>
      </c>
    </row>
    <row r="210" spans="1:5">
      <c r="A210" s="3" t="s">
        <v>871</v>
      </c>
      <c r="B210" s="4" t="str">
        <f ca="1">IFERROR(__xludf.DUMMYFUNCTION("IFERROR(GOOGLETRANSLATE(A210,""ko"",""en""),)"),"How many people are there?")</f>
        <v>How many people are there?</v>
      </c>
      <c r="C210" s="4" t="str">
        <f ca="1">IFERROR(__xludf.DUMMYFUNCTION("IFERROR(GOOGLETRANSLATE(B210,""en"",""ja""),)"),"何人いますか？")</f>
        <v>何人いますか？</v>
      </c>
      <c r="D210" s="4" t="str">
        <f ca="1">IFERROR(__xludf.DUMMYFUNCTION("IFERROR(GOOGLETRANSLATE(B210,""en"",""zh-TW""),)"),"這裡有多少人？")</f>
        <v>這裡有多少人？</v>
      </c>
      <c r="E210" s="4" t="str">
        <f ca="1">IFERROR(__xludf.DUMMYFUNCTION("IFERROR(GOOGLETRANSLATE(B210,""en"",""zh-CN""),)"),"这里有多少人？")</f>
        <v>这里有多少人？</v>
      </c>
    </row>
    <row r="211" spans="1:5">
      <c r="A211" s="3" t="s">
        <v>993</v>
      </c>
      <c r="B211" s="4" t="str">
        <f ca="1">IFERROR(__xludf.DUMMYFUNCTION("IFERROR(GOOGLETRANSLATE(A211,""ko"",""en""),)"),"There are two.")</f>
        <v>There are two.</v>
      </c>
      <c r="C211" s="4" t="str">
        <f ca="1">IFERROR(__xludf.DUMMYFUNCTION("IFERROR(GOOGLETRANSLATE(B211,""en"",""ja""),)"),"2つあります。")</f>
        <v>2つあります。</v>
      </c>
      <c r="D211" s="4" t="str">
        <f ca="1">IFERROR(__xludf.DUMMYFUNCTION("IFERROR(GOOGLETRANSLATE(B211,""en"",""zh-TW""),)"),"有兩個。")</f>
        <v>有兩個。</v>
      </c>
      <c r="E211" s="4" t="str">
        <f ca="1">IFERROR(__xludf.DUMMYFUNCTION("IFERROR(GOOGLETRANSLATE(B211,""en"",""zh-CN""),)"),"有两个。")</f>
        <v>有两个。</v>
      </c>
    </row>
    <row r="212" spans="1:5">
      <c r="A212" s="3" t="s">
        <v>955</v>
      </c>
      <c r="B212" s="4" t="str">
        <f ca="1">IFERROR(__xludf.DUMMYFUNCTION("IFERROR(GOOGLETRANSLATE(A212,""ko"",""en""),)"),"How many books do you have?")</f>
        <v>How many books do you have?</v>
      </c>
      <c r="C212" s="4" t="str">
        <f ca="1">IFERROR(__xludf.DUMMYFUNCTION("IFERROR(GOOGLETRANSLATE(B212,""en"",""ja""),)"),"あなたは本を何冊持っていますか？")</f>
        <v>あなたは本を何冊持っていますか？</v>
      </c>
      <c r="D212" s="4" t="str">
        <f ca="1">IFERROR(__xludf.DUMMYFUNCTION("IFERROR(GOOGLETRANSLATE(B212,""en"",""zh-TW""),)"),"你有多少本書？")</f>
        <v>你有多少本書？</v>
      </c>
      <c r="E212" s="4" t="str">
        <f ca="1">IFERROR(__xludf.DUMMYFUNCTION("IFERROR(GOOGLETRANSLATE(B212,""en"",""zh-CN""),)"),"你有多少本书？")</f>
        <v>你有多少本书？</v>
      </c>
    </row>
    <row r="213" spans="1:5">
      <c r="A213" s="3" t="s">
        <v>966</v>
      </c>
      <c r="B213" s="4" t="str">
        <f ca="1">IFERROR(__xludf.DUMMYFUNCTION("IFERROR(GOOGLETRANSLATE(A213,""ko"",""en""),)"),"There are six books.")</f>
        <v>There are six books.</v>
      </c>
      <c r="C213" s="4" t="str">
        <f ca="1">IFERROR(__xludf.DUMMYFUNCTION("IFERROR(GOOGLETRANSLATE(B213,""en"",""ja""),)"),"全部で6冊あります。")</f>
        <v>全部で6冊あります。</v>
      </c>
      <c r="D213" s="4" t="str">
        <f ca="1">IFERROR(__xludf.DUMMYFUNCTION("IFERROR(GOOGLETRANSLATE(B213,""en"",""zh-TW""),)"),"共有六本書。")</f>
        <v>共有六本書。</v>
      </c>
      <c r="E213" s="4" t="str">
        <f ca="1">IFERROR(__xludf.DUMMYFUNCTION("IFERROR(GOOGLETRANSLATE(B213,""en"",""zh-CN""),)"),"共有六本书。")</f>
        <v>共有六本书。</v>
      </c>
    </row>
    <row r="214" spans="1:5">
      <c r="A214" s="3" t="s">
        <v>1007</v>
      </c>
      <c r="B214" s="4" t="str">
        <f ca="1">IFERROR(__xludf.DUMMYFUNCTION("IFERROR(GOOGLETRANSLATE(A214,""ko"",""en""),)"),"How many cats do you have?")</f>
        <v>How many cats do you have?</v>
      </c>
      <c r="C214" s="4" t="str">
        <f ca="1">IFERROR(__xludf.DUMMYFUNCTION("IFERROR(GOOGLETRANSLATE(B214,""en"",""ja""),)"),"猫は何匹飼っていますか？")</f>
        <v>猫は何匹飼っていますか？</v>
      </c>
      <c r="D214" s="4" t="str">
        <f ca="1">IFERROR(__xludf.DUMMYFUNCTION("IFERROR(GOOGLETRANSLATE(B214,""en"",""zh-TW""),)"),"你養了幾隻貓？")</f>
        <v>你養了幾隻貓？</v>
      </c>
      <c r="E214" s="4" t="str">
        <f ca="1">IFERROR(__xludf.DUMMYFUNCTION("IFERROR(GOOGLETRANSLATE(B214,""en"",""zh-CN""),)"),"你养了几只猫？")</f>
        <v>你养了几只猫？</v>
      </c>
    </row>
    <row r="215" spans="1:5">
      <c r="A215" s="3" t="s">
        <v>1011</v>
      </c>
      <c r="B215" s="4" t="str">
        <f ca="1">IFERROR(__xludf.DUMMYFUNCTION("IFERROR(GOOGLETRANSLATE(A215,""ko"",""en""),)"),"There are four.")</f>
        <v>There are four.</v>
      </c>
      <c r="C215" s="4" t="str">
        <f ca="1">IFERROR(__xludf.DUMMYFUNCTION("IFERROR(GOOGLETRANSLATE(B215,""en"",""ja""),)"),"4つあります。")</f>
        <v>4つあります。</v>
      </c>
      <c r="D215" s="4" t="str">
        <f ca="1">IFERROR(__xludf.DUMMYFUNCTION("IFERROR(GOOGLETRANSLATE(B215,""en"",""zh-TW""),)"),"共有四個。")</f>
        <v>共有四個。</v>
      </c>
      <c r="E215" s="4" t="str">
        <f ca="1">IFERROR(__xludf.DUMMYFUNCTION("IFERROR(GOOGLETRANSLATE(B215,""en"",""zh-CN""),)"),"共有四个。")</f>
        <v>共有四个。</v>
      </c>
    </row>
    <row r="216" spans="1:5">
      <c r="A216" s="3" t="s">
        <v>970</v>
      </c>
      <c r="B216" s="4" t="str">
        <f ca="1">IFERROR(__xludf.DUMMYFUNCTION("IFERROR(GOOGLETRANSLATE(A216,""ko"",""en""),)"),"How many bottles of water do you have?")</f>
        <v>How many bottles of water do you have?</v>
      </c>
      <c r="C216" s="4" t="str">
        <f ca="1">IFERROR(__xludf.DUMMYFUNCTION("IFERROR(GOOGLETRANSLATE(B216,""en"",""ja""),)"),"水は何本ありますか？")</f>
        <v>水は何本ありますか？</v>
      </c>
      <c r="D216" s="4" t="str">
        <f ca="1">IFERROR(__xludf.DUMMYFUNCTION("IFERROR(GOOGLETRANSLATE(B216,""en"",""zh-TW""),)"),"你手邊有多少瓶水？")</f>
        <v>你手邊有多少瓶水？</v>
      </c>
      <c r="E216" s="4" t="str">
        <f ca="1">IFERROR(__xludf.DUMMYFUNCTION("IFERROR(GOOGLETRANSLATE(B216,""en"",""zh-CN""),)"),"你手头有多少瓶水？")</f>
        <v>你手头有多少瓶水？</v>
      </c>
    </row>
    <row r="217" spans="1:5">
      <c r="A217" s="3" t="s">
        <v>1017</v>
      </c>
      <c r="B217" s="4" t="str">
        <f ca="1">IFERROR(__xludf.DUMMYFUNCTION("IFERROR(GOOGLETRANSLATE(A217,""ko"",""en""),)"),"There are seven bottles.")</f>
        <v>There are seven bottles.</v>
      </c>
      <c r="C217" s="4" t="str">
        <f ca="1">IFERROR(__xludf.DUMMYFUNCTION("IFERROR(GOOGLETRANSLATE(B217,""en"",""ja""),)"),"ボトルは7本あります。")</f>
        <v>ボトルは7本あります。</v>
      </c>
      <c r="D217" s="4" t="str">
        <f ca="1">IFERROR(__xludf.DUMMYFUNCTION("IFERROR(GOOGLETRANSLATE(B217,""en"",""zh-TW""),)"),"共有七瓶。")</f>
        <v>共有七瓶。</v>
      </c>
      <c r="E217" s="4" t="str">
        <f ca="1">IFERROR(__xludf.DUMMYFUNCTION("IFERROR(GOOGLETRANSLATE(B217,""en"",""zh-CN""),)"),"共有七瓶。")</f>
        <v>共有七瓶。</v>
      </c>
    </row>
    <row r="218" spans="1:5">
      <c r="A218" s="5" t="s">
        <v>1022</v>
      </c>
      <c r="B218" s="4" t="str">
        <f ca="1">IFERROR(__xludf.DUMMYFUNCTION("IFERROR(GOOGLETRANSLATE(A218,""ko"",""en""),)"),"Look at the picture and complete the sentence.")</f>
        <v>Look at the picture and complete the sentence.</v>
      </c>
      <c r="C218" s="4" t="str">
        <f ca="1">IFERROR(__xludf.DUMMYFUNCTION("IFERROR(GOOGLETRANSLATE(B218,""en"",""ja""),)"),"絵を見て、文を完成させなさい。")</f>
        <v>絵を見て、文を完成させなさい。</v>
      </c>
      <c r="D218" s="4" t="str">
        <f ca="1">IFERROR(__xludf.DUMMYFUNCTION("IFERROR(GOOGLETRANSLATE(B218,""en"",""zh-TW""),)"),"看圖完成句子。")</f>
        <v>看圖完成句子。</v>
      </c>
      <c r="E218" s="4" t="str">
        <f ca="1">IFERROR(__xludf.DUMMYFUNCTION("IFERROR(GOOGLETRANSLATE(B218,""en"",""zh-CN""),)"),"看图完成句子。")</f>
        <v>看图完成句子。</v>
      </c>
    </row>
    <row r="219" spans="1:5">
      <c r="A219" s="3" t="s">
        <v>1027</v>
      </c>
      <c r="B219" s="4" t="str">
        <f ca="1">IFERROR(__xludf.DUMMYFUNCTION("IFERROR(GOOGLETRANSLATE(A219,""ko"",""en""),)"),"sentence")</f>
        <v>sentence</v>
      </c>
      <c r="C219" s="4" t="str">
        <f ca="1">IFERROR(__xludf.DUMMYFUNCTION("IFERROR(GOOGLETRANSLATE(B219,""en"",""ja""),)"),"文")</f>
        <v>文</v>
      </c>
      <c r="D219" s="4" t="str">
        <f ca="1">IFERROR(__xludf.DUMMYFUNCTION("IFERROR(GOOGLETRANSLATE(B219,""en"",""zh-TW""),)"),"句子")</f>
        <v>句子</v>
      </c>
      <c r="E219" s="4" t="str">
        <f ca="1">IFERROR(__xludf.DUMMYFUNCTION("IFERROR(GOOGLETRANSLATE(B219,""en"",""zh-CN""),)"),"句子")</f>
        <v>句子</v>
      </c>
    </row>
    <row r="220" spans="1:5">
      <c r="A220" s="3" t="s">
        <v>1032</v>
      </c>
      <c r="B220" s="4" t="str">
        <f ca="1">IFERROR(__xludf.DUMMYFUNCTION("IFERROR(GOOGLETRANSLATE(A220,""ko"",""en""),)"),"Finish it")</f>
        <v>Finish it</v>
      </c>
      <c r="C220" s="4" t="str">
        <f ca="1">IFERROR(__xludf.DUMMYFUNCTION("IFERROR(GOOGLETRANSLATE(B220,""en"",""ja""),)"),"終わらせる")</f>
        <v>終わらせる</v>
      </c>
      <c r="D220" s="4" t="str">
        <f ca="1">IFERROR(__xludf.DUMMYFUNCTION("IFERROR(GOOGLETRANSLATE(B220,""en"",""zh-TW""),)"),"完成它")</f>
        <v>完成它</v>
      </c>
      <c r="E220" s="4" t="str">
        <f ca="1">IFERROR(__xludf.DUMMYFUNCTION("IFERROR(GOOGLETRANSLATE(B220,""en"",""zh-CN""),)"),"完成它")</f>
        <v>完成它</v>
      </c>
    </row>
    <row r="221" spans="1:5">
      <c r="A221" s="3" t="s">
        <v>1037</v>
      </c>
      <c r="B221" s="4" t="str">
        <f ca="1">IFERROR(__xludf.DUMMYFUNCTION("IFERROR(GOOGLETRANSLATE(A221,""ko"",""en""),)"),"There are three students in the classroom.")</f>
        <v>There are three students in the classroom.</v>
      </c>
      <c r="C221" s="4" t="str">
        <f ca="1">IFERROR(__xludf.DUMMYFUNCTION("IFERROR(GOOGLETRANSLATE(B221,""en"",""ja""),)"),"教室には生徒が3人います。")</f>
        <v>教室には生徒が3人います。</v>
      </c>
      <c r="D221" s="4" t="str">
        <f ca="1">IFERROR(__xludf.DUMMYFUNCTION("IFERROR(GOOGLETRANSLATE(B221,""en"",""zh-TW""),)"),"教室裡有三名學生。")</f>
        <v>教室裡有三名學生。</v>
      </c>
      <c r="E221" s="4" t="str">
        <f ca="1">IFERROR(__xludf.DUMMYFUNCTION("IFERROR(GOOGLETRANSLATE(B221,""en"",""zh-CN""),)"),"教室里有三名学生。")</f>
        <v>教室里有三名学生。</v>
      </c>
    </row>
    <row r="222" spans="1:5">
      <c r="A222" s="3" t="s">
        <v>1044</v>
      </c>
      <c r="B222" s="4" t="str">
        <f ca="1">IFERROR(__xludf.DUMMYFUNCTION("IFERROR(GOOGLETRANSLATE(A222,""ko"",""en""),)"),"There is one man.")</f>
        <v>There is one man.</v>
      </c>
      <c r="C222" s="4" t="str">
        <f ca="1">IFERROR(__xludf.DUMMYFUNCTION("IFERROR(GOOGLETRANSLATE(B222,""en"",""ja""),)"),"男は一人いる。")</f>
        <v>男は一人いる。</v>
      </c>
      <c r="D222" s="4" t="str">
        <f ca="1">IFERROR(__xludf.DUMMYFUNCTION("IFERROR(GOOGLETRANSLATE(B222,""en"",""zh-TW""),)"),"只有一個人。")</f>
        <v>只有一個人。</v>
      </c>
      <c r="E222" s="4" t="str">
        <f ca="1">IFERROR(__xludf.DUMMYFUNCTION("IFERROR(GOOGLETRANSLATE(B222,""en"",""zh-CN""),)"),"只有一个人。")</f>
        <v>只有一个人。</v>
      </c>
    </row>
    <row r="223" spans="1:5">
      <c r="A223" s="3" t="s">
        <v>1050</v>
      </c>
      <c r="B223" s="4" t="str">
        <f ca="1">IFERROR(__xludf.DUMMYFUNCTION("IFERROR(GOOGLETRANSLATE(A223,""ko"",""en""),)"),"There are two women.")</f>
        <v>There are two women.</v>
      </c>
      <c r="C223" s="4" t="str">
        <f ca="1">IFERROR(__xludf.DUMMYFUNCTION("IFERROR(GOOGLETRANSLATE(B223,""en"",""ja""),)"),"女性が二人います。")</f>
        <v>女性が二人います。</v>
      </c>
      <c r="D223" s="4" t="str">
        <f ca="1">IFERROR(__xludf.DUMMYFUNCTION("IFERROR(GOOGLETRANSLATE(B223,""en"",""zh-TW""),)"),"這裡有兩位女性。")</f>
        <v>這裡有兩位女性。</v>
      </c>
      <c r="E223" s="4" t="str">
        <f ca="1">IFERROR(__xludf.DUMMYFUNCTION("IFERROR(GOOGLETRANSLATE(B223,""en"",""zh-CN""),)"),"这里有两位女性。")</f>
        <v>这里有两位女性。</v>
      </c>
    </row>
    <row r="224" spans="1:5">
      <c r="A224" s="3" t="s">
        <v>1055</v>
      </c>
      <c r="B224" s="4" t="str">
        <f ca="1">IFERROR(__xludf.DUMMYFUNCTION("IFERROR(GOOGLETRANSLATE(A224,""ko"",""en""),)"),"There are five desks.")</f>
        <v>There are five desks.</v>
      </c>
      <c r="C224" s="4" t="str">
        <f ca="1">IFERROR(__xludf.DUMMYFUNCTION("IFERROR(GOOGLETRANSLATE(B224,""en"",""ja""),)"),"机は5つあります。")</f>
        <v>机は5つあります。</v>
      </c>
      <c r="D224" s="4" t="str">
        <f ca="1">IFERROR(__xludf.DUMMYFUNCTION("IFERROR(GOOGLETRANSLATE(B224,""en"",""zh-TW""),)"),"這裡有五張桌子。")</f>
        <v>這裡有五張桌子。</v>
      </c>
      <c r="E224" s="4" t="str">
        <f ca="1">IFERROR(__xludf.DUMMYFUNCTION("IFERROR(GOOGLETRANSLATE(B224,""en"",""zh-CN""),)"),"这里有五张桌子。")</f>
        <v>这里有五张桌子。</v>
      </c>
    </row>
    <row r="225" spans="1:5">
      <c r="A225" s="3" t="s">
        <v>1065</v>
      </c>
      <c r="B225" s="4" t="str">
        <f ca="1">IFERROR(__xludf.DUMMYFUNCTION("IFERROR(GOOGLETRANSLATE(A225,""ko"",""en""),)"),"There are six chairs.")</f>
        <v>There are six chairs.</v>
      </c>
      <c r="C225" s="4" t="str">
        <f ca="1">IFERROR(__xludf.DUMMYFUNCTION("IFERROR(GOOGLETRANSLATE(B225,""en"",""ja""),)"),"椅子は6脚あります。")</f>
        <v>椅子は6脚あります。</v>
      </c>
      <c r="D225" s="4" t="str">
        <f ca="1">IFERROR(__xludf.DUMMYFUNCTION("IFERROR(GOOGLETRANSLATE(B225,""en"",""zh-TW""),)"),"這裡有六把椅子。")</f>
        <v>這裡有六把椅子。</v>
      </c>
      <c r="E225" s="4" t="str">
        <f ca="1">IFERROR(__xludf.DUMMYFUNCTION("IFERROR(GOOGLETRANSLATE(B225,""en"",""zh-CN""),)"),"这里有六把椅子。")</f>
        <v>这里有六把椅子。</v>
      </c>
    </row>
    <row r="226" spans="1:5">
      <c r="A226" s="3" t="s">
        <v>1071</v>
      </c>
      <c r="B226" s="4" t="str">
        <f ca="1">IFERROR(__xludf.DUMMYFUNCTION("IFERROR(GOOGLETRANSLATE(A226,""ko"",""en""),)"),"There are four books.")</f>
        <v>There are four books.</v>
      </c>
      <c r="C226" s="4" t="str">
        <f ca="1">IFERROR(__xludf.DUMMYFUNCTION("IFERROR(GOOGLETRANSLATE(B226,""en"",""ja""),)"),"本は4冊あります。")</f>
        <v>本は4冊あります。</v>
      </c>
      <c r="D226" s="4" t="str">
        <f ca="1">IFERROR(__xludf.DUMMYFUNCTION("IFERROR(GOOGLETRANSLATE(B226,""en"",""zh-TW""),)"),"共有四本書。")</f>
        <v>共有四本書。</v>
      </c>
      <c r="E226" s="4" t="str">
        <f ca="1">IFERROR(__xludf.DUMMYFUNCTION("IFERROR(GOOGLETRANSLATE(B226,""en"",""zh-CN""),)"),"共有四本书。")</f>
        <v>共有四本书。</v>
      </c>
    </row>
    <row r="227" spans="1:5">
      <c r="A227" s="3" t="s">
        <v>1076</v>
      </c>
      <c r="B227" s="4" t="str">
        <f ca="1">IFERROR(__xludf.DUMMYFUNCTION("IFERROR(GOOGLETRANSLATE(A227,""ko"",""en""),)"),"There are two bottles of water.")</f>
        <v>There are two bottles of water.</v>
      </c>
      <c r="C227" s="4" t="str">
        <f ca="1">IFERROR(__xludf.DUMMYFUNCTION("IFERROR(GOOGLETRANSLATE(B227,""en"",""ja""),)"),"水が2本あります。")</f>
        <v>水が2本あります。</v>
      </c>
      <c r="D227" s="4" t="str">
        <f ca="1">IFERROR(__xludf.DUMMYFUNCTION("IFERROR(GOOGLETRANSLATE(B227,""en"",""zh-TW""),)"),"這裡有兩瓶水。")</f>
        <v>這裡有兩瓶水。</v>
      </c>
      <c r="E227" s="4" t="str">
        <f ca="1">IFERROR(__xludf.DUMMYFUNCTION("IFERROR(GOOGLETRANSLATE(B227,""en"",""zh-CN""),)"),"这里有两瓶水。")</f>
        <v>这里有两瓶水。</v>
      </c>
    </row>
    <row r="228" spans="1:5">
      <c r="A228" s="3" t="s">
        <v>1082</v>
      </c>
      <c r="B228" s="4" t="str">
        <f ca="1">IFERROR(__xludf.DUMMYFUNCTION("IFERROR(GOOGLETRANSLATE(A228,""ko"",""en""),)"),"There are three umbrellas.")</f>
        <v>There are three umbrellas.</v>
      </c>
      <c r="C228" s="4" t="str">
        <f ca="1">IFERROR(__xludf.DUMMYFUNCTION("IFERROR(GOOGLETRANSLATE(B228,""en"",""ja""),)"),"傘が３本あります。")</f>
        <v>傘が３本あります。</v>
      </c>
      <c r="D228" s="4" t="str">
        <f ca="1">IFERROR(__xludf.DUMMYFUNCTION("IFERROR(GOOGLETRANSLATE(B228,""en"",""zh-TW""),)"),"這裡有三把傘。")</f>
        <v>這裡有三把傘。</v>
      </c>
      <c r="E228" s="4" t="str">
        <f ca="1">IFERROR(__xludf.DUMMYFUNCTION("IFERROR(GOOGLETRANSLATE(B228,""en"",""zh-CN""),)"),"这里有三把伞。")</f>
        <v>这里有三把伞。</v>
      </c>
    </row>
    <row r="229" spans="1:5">
      <c r="A229" s="5" t="s">
        <v>1088</v>
      </c>
      <c r="B229" s="4" t="str">
        <f ca="1">IFERROR(__xludf.DUMMYFUNCTION("IFERROR(GOOGLETRANSLATE(A229,""ko"",""en""),)"),"adequate")</f>
        <v>adequate</v>
      </c>
      <c r="C229" s="4" t="str">
        <f ca="1">IFERROR(__xludf.DUMMYFUNCTION("IFERROR(GOOGLETRANSLATE(B229,""en"",""ja""),)"),"十分な")</f>
        <v>十分な</v>
      </c>
      <c r="D229" s="4" t="str">
        <f ca="1">IFERROR(__xludf.DUMMYFUNCTION("IFERROR(GOOGLETRANSLATE(B229,""en"",""zh-TW""),)"),"足夠的")</f>
        <v>足夠的</v>
      </c>
      <c r="E229" s="4" t="str">
        <f ca="1">IFERROR(__xludf.DUMMYFUNCTION("IFERROR(GOOGLETRANSLATE(B229,""en"",""zh-CN""),)"),"足够的")</f>
        <v>足够的</v>
      </c>
    </row>
    <row r="230" spans="1:5">
      <c r="A230" s="5" t="s">
        <v>1093</v>
      </c>
      <c r="B230" s="4" t="str">
        <f ca="1">IFERROR(__xludf.DUMMYFUNCTION("IFERROR(GOOGLETRANSLATE(A230,""ko"",""en""),)"),"Choose the appropriate one to complete the conversation.")</f>
        <v>Choose the appropriate one to complete the conversation.</v>
      </c>
      <c r="C230" s="4" t="str">
        <f ca="1">IFERROR(__xludf.DUMMYFUNCTION("IFERROR(GOOGLETRANSLATE(B230,""en"",""ja""),)"),"会話を完了するために適切な選択肢を選んでください。")</f>
        <v>会話を完了するために適切な選択肢を選んでください。</v>
      </c>
      <c r="D230" s="4" t="str">
        <f ca="1">IFERROR(__xludf.DUMMYFUNCTION("IFERROR(GOOGLETRANSLATE(B230,""en"",""zh-TW""),)"),"選擇合適的選項來完成對話。")</f>
        <v>選擇合適的選項來完成對話。</v>
      </c>
      <c r="E230" s="4" t="str">
        <f ca="1">IFERROR(__xludf.DUMMYFUNCTION("IFERROR(GOOGLETRANSLATE(B230,""en"",""zh-CN""),)"),"选择合适的选项来完成对话。")</f>
        <v>选择合适的选项来完成对话。</v>
      </c>
    </row>
    <row r="231" spans="1:5">
      <c r="A231" s="3" t="s">
        <v>1007</v>
      </c>
      <c r="B231" s="4" t="str">
        <f ca="1">IFERROR(__xludf.DUMMYFUNCTION("IFERROR(GOOGLETRANSLATE(A231,""ko"",""en""),)"),"How many cats do you have?")</f>
        <v>How many cats do you have?</v>
      </c>
      <c r="C231" s="4" t="str">
        <f ca="1">IFERROR(__xludf.DUMMYFUNCTION("IFERROR(GOOGLETRANSLATE(B231,""en"",""ja""),)"),"猫は何匹飼っていますか？")</f>
        <v>猫は何匹飼っていますか？</v>
      </c>
      <c r="D231" s="4" t="str">
        <f ca="1">IFERROR(__xludf.DUMMYFUNCTION("IFERROR(GOOGLETRANSLATE(B231,""en"",""zh-TW""),)"),"你養了幾隻貓？")</f>
        <v>你養了幾隻貓？</v>
      </c>
      <c r="E231" s="4" t="str">
        <f ca="1">IFERROR(__xludf.DUMMYFUNCTION("IFERROR(GOOGLETRANSLATE(B231,""en"",""zh-CN""),)"),"你养了几只猫？")</f>
        <v>你养了几只猫？</v>
      </c>
    </row>
    <row r="232" spans="1:5">
      <c r="A232" s="3" t="s">
        <v>1101</v>
      </c>
      <c r="B232" s="4" t="str">
        <f ca="1">IFERROR(__xludf.DUMMYFUNCTION("IFERROR(GOOGLETRANSLATE(A232,""ko"",""en""),)"),"I have a cat.")</f>
        <v>I have a cat.</v>
      </c>
      <c r="C232" s="4" t="str">
        <f ca="1">IFERROR(__xludf.DUMMYFUNCTION("IFERROR(GOOGLETRANSLATE(B232,""en"",""ja""),)"),"私は猫を飼っています。")</f>
        <v>私は猫を飼っています。</v>
      </c>
      <c r="D232" s="4" t="str">
        <f ca="1">IFERROR(__xludf.DUMMYFUNCTION("IFERROR(GOOGLETRANSLATE(B232,""en"",""zh-TW""),)"),"我養了一隻貓。")</f>
        <v>我養了一隻貓。</v>
      </c>
      <c r="E232" s="4" t="str">
        <f ca="1">IFERROR(__xludf.DUMMYFUNCTION("IFERROR(GOOGLETRANSLATE(B232,""en"",""zh-CN""),)"),"我养了一只猫。")</f>
        <v>我养了一只猫。</v>
      </c>
    </row>
    <row r="233" spans="1:5">
      <c r="A233" s="3" t="s">
        <v>1106</v>
      </c>
      <c r="B233" s="4" t="str">
        <f ca="1">IFERROR(__xludf.DUMMYFUNCTION("IFERROR(GOOGLETRANSLATE(A233,""ko"",""en""),)"),"How many Korean friends do you have?")</f>
        <v>How many Korean friends do you have?</v>
      </c>
      <c r="C233" s="4" t="str">
        <f ca="1">IFERROR(__xludf.DUMMYFUNCTION("IFERROR(GOOGLETRANSLATE(B233,""en"",""ja""),)"),"韓国人の友達は何人いますか？")</f>
        <v>韓国人の友達は何人いますか？</v>
      </c>
      <c r="D233" s="4" t="str">
        <f ca="1">IFERROR(__xludf.DUMMYFUNCTION("IFERROR(GOOGLETRANSLATE(B233,""en"",""zh-TW""),)"),"你有多少韓國朋友？")</f>
        <v>你有多少韓國朋友？</v>
      </c>
      <c r="E233" s="4" t="str">
        <f ca="1">IFERROR(__xludf.DUMMYFUNCTION("IFERROR(GOOGLETRANSLATE(B233,""en"",""zh-CN""),)"),"你有多少韩国朋友？")</f>
        <v>你有多少韩国朋友？</v>
      </c>
    </row>
    <row r="234" spans="1:5">
      <c r="A234" s="3" t="s">
        <v>1110</v>
      </c>
      <c r="B234" s="4" t="str">
        <f ca="1">IFERROR(__xludf.DUMMYFUNCTION("IFERROR(GOOGLETRANSLATE(A234,""ko"",""en""),)"),"How many notebooks do you buy?")</f>
        <v>How many notebooks do you buy?</v>
      </c>
      <c r="C234" s="4" t="str">
        <f ca="1">IFERROR(__xludf.DUMMYFUNCTION("IFERROR(GOOGLETRANSLATE(B234,""en"",""ja""),)"),"あなたはノートを何冊買いますか？")</f>
        <v>あなたはノートを何冊買いますか？</v>
      </c>
      <c r="D234" s="4" t="str">
        <f ca="1">IFERROR(__xludf.DUMMYFUNCTION("IFERROR(GOOGLETRANSLATE(B234,""en"",""zh-TW""),)"),"你買多少本筆記本？")</f>
        <v>你買多少本筆記本？</v>
      </c>
      <c r="E234" s="4" t="str">
        <f ca="1">IFERROR(__xludf.DUMMYFUNCTION("IFERROR(GOOGLETRANSLATE(B234,""en"",""zh-CN""),)"),"你买多少本笔记本？")</f>
        <v>你买多少本笔记本？</v>
      </c>
    </row>
    <row r="235" spans="1:5">
      <c r="A235" s="3" t="s">
        <v>1116</v>
      </c>
      <c r="B235" s="4" t="str">
        <f ca="1">IFERROR(__xludf.DUMMYFUNCTION("IFERROR(GOOGLETRANSLATE(A235,""ko"",""en""),)"),"Buy six notebooks.")</f>
        <v>Buy six notebooks.</v>
      </c>
      <c r="C235" s="4" t="str">
        <f ca="1">IFERROR(__xludf.DUMMYFUNCTION("IFERROR(GOOGLETRANSLATE(B235,""en"",""ja""),)"),"ノートを6冊買ってください。")</f>
        <v>ノートを6冊買ってください。</v>
      </c>
      <c r="D235" s="4" t="str">
        <f ca="1">IFERROR(__xludf.DUMMYFUNCTION("IFERROR(GOOGLETRANSLATE(B235,""en"",""zh-TW""),)"),"購買六本筆記本。")</f>
        <v>購買六本筆記本。</v>
      </c>
      <c r="E235" s="4" t="str">
        <f ca="1">IFERROR(__xludf.DUMMYFUNCTION("IFERROR(GOOGLETRANSLATE(B235,""en"",""zh-CN""),)"),"购买六本笔记本。")</f>
        <v>购买六本笔记本。</v>
      </c>
    </row>
    <row r="236" spans="1:5">
      <c r="A236" s="3" t="s">
        <v>1120</v>
      </c>
      <c r="B236" s="4" t="str">
        <f ca="1">IFERROR(__xludf.DUMMYFUNCTION("IFERROR(GOOGLETRANSLATE(A236,""ko"",""en""),)"),"How many movie tickets do you buy?")</f>
        <v>How many movie tickets do you buy?</v>
      </c>
      <c r="C236" s="4" t="str">
        <f ca="1">IFERROR(__xludf.DUMMYFUNCTION("IFERROR(GOOGLETRANSLATE(B236,""en"",""ja""),)"),"あなたは映画のチケットを何枚買いますか？")</f>
        <v>あなたは映画のチケットを何枚買いますか？</v>
      </c>
      <c r="D236" s="4" t="str">
        <f ca="1">IFERROR(__xludf.DUMMYFUNCTION("IFERROR(GOOGLETRANSLATE(B236,""en"",""zh-TW""),)"),"你買了多少張電影票？")</f>
        <v>你買了多少張電影票？</v>
      </c>
      <c r="E236" s="4" t="str">
        <f ca="1">IFERROR(__xludf.DUMMYFUNCTION("IFERROR(GOOGLETRANSLATE(B236,""en"",""zh-CN""),)"),"你买了多少张电影票？")</f>
        <v>你买了多少张电影票？</v>
      </c>
    </row>
    <row r="237" spans="1:5">
      <c r="A237" s="3" t="s">
        <v>1125</v>
      </c>
      <c r="B237" s="4" t="str">
        <f ca="1">IFERROR(__xludf.DUMMYFUNCTION("IFERROR(GOOGLETRANSLATE(A237,""ko"",""en""),)"),"I'm buying nine movie tickets.")</f>
        <v>I'm buying nine movie tickets.</v>
      </c>
      <c r="C237" s="4" t="str">
        <f ca="1">IFERROR(__xludf.DUMMYFUNCTION("IFERROR(GOOGLETRANSLATE(B237,""en"",""ja""),)"),"映画のチケットを9枚買います。")</f>
        <v>映画のチケットを9枚買います。</v>
      </c>
      <c r="D237" s="4" t="str">
        <f ca="1">IFERROR(__xludf.DUMMYFUNCTION("IFERROR(GOOGLETRANSLATE(B237,""en"",""zh-TW""),)"),"我買了九張電影票。")</f>
        <v>我買了九張電影票。</v>
      </c>
      <c r="E237" s="4" t="str">
        <f ca="1">IFERROR(__xludf.DUMMYFUNCTION("IFERROR(GOOGLETRANSLATE(B237,""en"",""zh-CN""),)"),"我买了九张电影票。")</f>
        <v>我买了九张电影票。</v>
      </c>
    </row>
    <row r="238" spans="1:5">
      <c r="A238" s="5" t="s">
        <v>1129</v>
      </c>
      <c r="B238" s="4" t="str">
        <f ca="1">IFERROR(__xludf.DUMMYFUNCTION("IFERROR(GOOGLETRANSLATE(A238,""ko"",""en""),)"),"textbook")</f>
        <v>textbook</v>
      </c>
      <c r="C238" s="4" t="str">
        <f ca="1">IFERROR(__xludf.DUMMYFUNCTION("IFERROR(GOOGLETRANSLATE(B238,""en"",""ja""),)"),"教科書")</f>
        <v>教科書</v>
      </c>
      <c r="D238" s="4" t="str">
        <f ca="1">IFERROR(__xludf.DUMMYFUNCTION("IFERROR(GOOGLETRANSLATE(B238,""en"",""zh-TW""),)"),"教科書")</f>
        <v>教科書</v>
      </c>
      <c r="E238" s="4" t="str">
        <f ca="1">IFERROR(__xludf.DUMMYFUNCTION("IFERROR(GOOGLETRANSLATE(B238,""en"",""zh-CN""),)"),"教科书")</f>
        <v>教科书</v>
      </c>
    </row>
    <row r="239" spans="1:5">
      <c r="A239" s="3" t="s">
        <v>1134</v>
      </c>
      <c r="B239" s="4" t="str">
        <f ca="1">IFERROR(__xludf.DUMMYFUNCTION("IFERROR(GOOGLETRANSLATE(A239,""ko"",""en""),)"),"sit")</f>
        <v>sit</v>
      </c>
      <c r="C239" s="4" t="str">
        <f ca="1">IFERROR(__xludf.DUMMYFUNCTION("IFERROR(GOOGLETRANSLATE(B239,""en"",""ja""),)"),"座る")</f>
        <v>座る</v>
      </c>
      <c r="D239" s="4" t="str">
        <f ca="1">IFERROR(__xludf.DUMMYFUNCTION("IFERROR(GOOGLETRANSLATE(B239,""en"",""zh-TW""),)"),"坐")</f>
        <v>坐</v>
      </c>
      <c r="E239" s="4" t="str">
        <f ca="1">IFERROR(__xludf.DUMMYFUNCTION("IFERROR(GOOGLETRANSLATE(B239,""en"",""zh-CN""),)"),"坐")</f>
        <v>坐</v>
      </c>
    </row>
    <row r="240" spans="1:5">
      <c r="A240" s="3" t="s">
        <v>1140</v>
      </c>
      <c r="B240" s="4" t="str">
        <f ca="1">IFERROR(__xludf.DUMMYFUNCTION("IFERROR(GOOGLETRANSLATE(A240,""ko"",""en""),)"),"give")</f>
        <v>give</v>
      </c>
      <c r="C240" s="4" t="str">
        <f ca="1">IFERROR(__xludf.DUMMYFUNCTION("IFERROR(GOOGLETRANSLATE(B240,""en"",""ja""),)"),"与える")</f>
        <v>与える</v>
      </c>
      <c r="D240" s="4" t="str">
        <f ca="1">IFERROR(__xludf.DUMMYFUNCTION("IFERROR(GOOGLETRANSLATE(B240,""en"",""zh-TW""),)"),"給")</f>
        <v>給</v>
      </c>
      <c r="E240" s="4" t="str">
        <f ca="1">IFERROR(__xludf.DUMMYFUNCTION("IFERROR(GOOGLETRANSLATE(B240,""en"",""zh-CN""),)"),"给")</f>
        <v>给</v>
      </c>
    </row>
    <row r="241" spans="1:5">
      <c r="A241" s="3" t="s">
        <v>1144</v>
      </c>
      <c r="B241" s="4" t="str">
        <f ca="1">IFERROR(__xludf.DUMMYFUNCTION("IFERROR(GOOGLETRANSLATE(A241,""ko"",""en""),)"),"Please give me one bibimbap and two bulgogi.")</f>
        <v>Please give me one bibimbap and two bulgogi.</v>
      </c>
      <c r="C241" s="4" t="str">
        <f ca="1">IFERROR(__xludf.DUMMYFUNCTION("IFERROR(GOOGLETRANSLATE(B241,""en"",""ja""),)"),"ビビンバを1つとプルコギを2つください。")</f>
        <v>ビビンバを1つとプルコギを2つください。</v>
      </c>
      <c r="D241" s="4" t="str">
        <f ca="1">IFERROR(__xludf.DUMMYFUNCTION("IFERROR(GOOGLETRANSLATE(B241,""en"",""zh-TW""),)"),"請給我一份拌飯和兩份烤肉。")</f>
        <v>請給我一份拌飯和兩份烤肉。</v>
      </c>
      <c r="E241" s="4" t="str">
        <f ca="1">IFERROR(__xludf.DUMMYFUNCTION("IFERROR(GOOGLETRANSLATE(B241,""en"",""zh-CN""),)"),"请给我一份拌饭和两份烤肉。")</f>
        <v>请给我一份拌饭和两份烤肉。</v>
      </c>
    </row>
    <row r="242" spans="1:5">
      <c r="A242" s="3" t="s">
        <v>1147</v>
      </c>
      <c r="B242" s="4" t="s">
        <v>1148</v>
      </c>
      <c r="C242" s="4" t="str">
        <f ca="1">IFERROR(__xludf.DUMMYFUNCTION("IFERROR(GOOGLETRANSLATE(B242,""en"",""ja""),)"),"ここにあります。")</f>
        <v>ここにあります。</v>
      </c>
      <c r="D242" s="4" t="str">
        <f ca="1">IFERROR(__xludf.DUMMYFUNCTION("IFERROR(GOOGLETRANSLATE(B242,""en"",""zh-TW""),)"),"這裡是。")</f>
        <v>這裡是。</v>
      </c>
      <c r="E242" s="4" t="str">
        <f ca="1">IFERROR(__xludf.DUMMYFUNCTION("IFERROR(GOOGLETRANSLATE(B242,""en"",""zh-CN""),)"),"这里是。")</f>
        <v>这里是。</v>
      </c>
    </row>
    <row r="243" spans="1:5">
      <c r="A243" s="3" t="s">
        <v>458</v>
      </c>
      <c r="B243" s="4" t="str">
        <f ca="1">IFERROR(__xludf.DUMMYFUNCTION("IFERROR(GOOGLETRANSLATE(A243,""ko"",""en""),)"),"Please read")</f>
        <v>Please read</v>
      </c>
      <c r="C243" s="4" t="str">
        <f ca="1">IFERROR(__xludf.DUMMYFUNCTION("IFERROR(GOOGLETRANSLATE(B243,""en"",""ja""),)"),"お読みください")</f>
        <v>お読みください</v>
      </c>
      <c r="D243" s="4" t="str">
        <f ca="1">IFERROR(__xludf.DUMMYFUNCTION("IFERROR(GOOGLETRANSLATE(B243,""en"",""zh-TW""),)"),"請閱讀")</f>
        <v>請閱讀</v>
      </c>
      <c r="E243" s="4" t="str">
        <f ca="1">IFERROR(__xludf.DUMMYFUNCTION("IFERROR(GOOGLETRANSLATE(B243,""en"",""zh-CN""),)"),"请阅读")</f>
        <v>请阅读</v>
      </c>
    </row>
    <row r="244" spans="1:5">
      <c r="A244" s="3" t="s">
        <v>446</v>
      </c>
      <c r="B244" s="4" t="str">
        <f ca="1">IFERROR(__xludf.DUMMYFUNCTION("IFERROR(GOOGLETRANSLATE(A244,""ko"",""en""),)"),"Listen")</f>
        <v>Listen</v>
      </c>
      <c r="C244" s="4" t="str">
        <f ca="1">IFERROR(__xludf.DUMMYFUNCTION("IFERROR(GOOGLETRANSLATE(B244,""en"",""ja""),)"),"聞く")</f>
        <v>聞く</v>
      </c>
      <c r="D244" s="4" t="str">
        <f ca="1">IFERROR(__xludf.DUMMYFUNCTION("IFERROR(GOOGLETRANSLATE(B244,""en"",""zh-TW""),)"),"聽")</f>
        <v>聽</v>
      </c>
      <c r="E244" s="4" t="str">
        <f ca="1">IFERROR(__xludf.DUMMYFUNCTION("IFERROR(GOOGLETRANSLATE(B244,""en"",""zh-CN""),)"),"听")</f>
        <v>听</v>
      </c>
    </row>
    <row r="245" spans="1:5">
      <c r="A245" s="5" t="s">
        <v>62</v>
      </c>
      <c r="B245" s="4" t="str">
        <f ca="1">IFERROR(__xludf.DUMMYFUNCTION("IFERROR(GOOGLETRANSLATE(A245,""ko"",""en""),)"),"Listen carefully.")</f>
        <v>Listen carefully.</v>
      </c>
      <c r="C245" s="4" t="str">
        <f ca="1">IFERROR(__xludf.DUMMYFUNCTION("IFERROR(GOOGLETRANSLATE(B245,""en"",""ja""),)"),"よく聞いてください。")</f>
        <v>よく聞いてください。</v>
      </c>
      <c r="D245" s="4" t="str">
        <f ca="1">IFERROR(__xludf.DUMMYFUNCTION("IFERROR(GOOGLETRANSLATE(B245,""en"",""zh-TW""),)"),"仔細聽。")</f>
        <v>仔細聽。</v>
      </c>
      <c r="E245" s="4" t="str">
        <f ca="1">IFERROR(__xludf.DUMMYFUNCTION("IFERROR(GOOGLETRANSLATE(B245,""en"",""zh-CN""),)"),"仔细听。")</f>
        <v>仔细听。</v>
      </c>
    </row>
    <row r="246" spans="1:5">
      <c r="A246" s="3" t="s">
        <v>1161</v>
      </c>
      <c r="B246" s="4" t="str">
        <f ca="1">IFERROR(__xludf.DUMMYFUNCTION("IFERROR(GOOGLETRANSLATE(A246,""ko"",""en""),)"),"Write your name here.")</f>
        <v>Write your name here.</v>
      </c>
      <c r="C246" s="4" t="str">
        <f ca="1">IFERROR(__xludf.DUMMYFUNCTION("IFERROR(GOOGLETRANSLATE(B246,""en"",""ja""),)"),"ここに名前を記入してください。")</f>
        <v>ここに名前を記入してください。</v>
      </c>
      <c r="D246" s="4" t="str">
        <f ca="1">IFERROR(__xludf.DUMMYFUNCTION("IFERROR(GOOGLETRANSLATE(B246,""en"",""zh-TW""),)"),"請在此處填寫您的姓名。")</f>
        <v>請在此處填寫您的姓名。</v>
      </c>
      <c r="E246" s="4" t="str">
        <f ca="1">IFERROR(__xludf.DUMMYFUNCTION("IFERROR(GOOGLETRANSLATE(B246,""en"",""zh-CN""),)"),"请在此处填写您的姓名。")</f>
        <v>请在此处填写您的姓名。</v>
      </c>
    </row>
    <row r="247" spans="1:5">
      <c r="A247" s="3" t="s">
        <v>1165</v>
      </c>
      <c r="B247" s="4" t="str">
        <f ca="1">IFERROR(__xludf.DUMMYFUNCTION("IFERROR(GOOGLETRANSLATE(A247,""ko"",""en""),)"),"play")</f>
        <v>play</v>
      </c>
      <c r="C247" s="4" t="str">
        <f ca="1">IFERROR(__xludf.DUMMYFUNCTION("IFERROR(GOOGLETRANSLATE(B247,""en"",""ja""),)"),"遊ぶ")</f>
        <v>遊ぶ</v>
      </c>
      <c r="D247" s="4" t="str">
        <f ca="1">IFERROR(__xludf.DUMMYFUNCTION("IFERROR(GOOGLETRANSLATE(B247,""en"",""zh-TW""),)"),"玩")</f>
        <v>玩</v>
      </c>
      <c r="E247" s="4" t="str">
        <f ca="1">IFERROR(__xludf.DUMMYFUNCTION("IFERROR(GOOGLETRANSLATE(B247,""en"",""zh-CN""),)"),"玩")</f>
        <v>玩</v>
      </c>
    </row>
    <row r="248" spans="1:5">
      <c r="A248" s="5" t="s">
        <v>1168</v>
      </c>
      <c r="B248" s="4" t="str">
        <f ca="1">IFERROR(__xludf.DUMMYFUNCTION("IFERROR(GOOGLETRANSLATE(A248,""ko"",""en""),)"),"Have a good time")</f>
        <v>Have a good time</v>
      </c>
      <c r="C248" s="4" t="str">
        <f ca="1">IFERROR(__xludf.DUMMYFUNCTION("IFERROR(GOOGLETRANSLATE(B248,""en"",""ja""),)"),"楽しい時間をお過ごしください")</f>
        <v>楽しい時間をお過ごしください</v>
      </c>
      <c r="D248" s="4" t="str">
        <f ca="1">IFERROR(__xludf.DUMMYFUNCTION("IFERROR(GOOGLETRANSLATE(B248,""en"",""zh-TW""),)"),"玩的很開心")</f>
        <v>玩的很開心</v>
      </c>
      <c r="E248" s="4" t="str">
        <f ca="1">IFERROR(__xludf.DUMMYFUNCTION("IFERROR(GOOGLETRANSLATE(B248,""en"",""zh-CN""),)"),"玩的很开心")</f>
        <v>玩的很开心</v>
      </c>
    </row>
    <row r="249" spans="1:5">
      <c r="A249" s="3" t="s">
        <v>1173</v>
      </c>
      <c r="B249" s="4" t="str">
        <f ca="1">IFERROR(__xludf.DUMMYFUNCTION("IFERROR(GOOGLETRANSLATE(A249,""ko"",""en""),)"),"Yujin, please read page 35.")</f>
        <v>Yujin, please read page 35.</v>
      </c>
      <c r="C249" s="4" t="str">
        <f ca="1">IFERROR(__xludf.DUMMYFUNCTION("IFERROR(GOOGLETRANSLATE(B249,""en"",""ja""),)"),"ユジン、35ページを読んでください。")</f>
        <v>ユジン、35ページを読んでください。</v>
      </c>
      <c r="D249" s="4" t="str">
        <f ca="1">IFERROR(__xludf.DUMMYFUNCTION("IFERROR(GOOGLETRANSLATE(B249,""en"",""zh-TW""),)"),"Yujin，請閱讀第35頁。")</f>
        <v>Yujin，請閱讀第35頁。</v>
      </c>
      <c r="E249" s="4" t="str">
        <f ca="1">IFERROR(__xludf.DUMMYFUNCTION("IFERROR(GOOGLETRANSLATE(B249,""en"",""zh-CN""),)"),"Yujin，请阅读第35页。")</f>
        <v>Yujin，请阅读第35页。</v>
      </c>
    </row>
    <row r="250" spans="1:5">
      <c r="A250" s="3" t="s">
        <v>569</v>
      </c>
      <c r="B250" s="4" t="str">
        <f ca="1">IFERROR(__xludf.DUMMYFUNCTION("IFERROR(GOOGLETRANSLATE(A250,""ko"",""en""),)"),"Please give me a cup of coffee.")</f>
        <v>Please give me a cup of coffee.</v>
      </c>
      <c r="C250" s="4" t="str">
        <f ca="1">IFERROR(__xludf.DUMMYFUNCTION("IFERROR(GOOGLETRANSLATE(B250,""en"",""ja""),)"),"コーヒーを一杯ください。")</f>
        <v>コーヒーを一杯ください。</v>
      </c>
      <c r="D250" s="4" t="str">
        <f ca="1">IFERROR(__xludf.DUMMYFUNCTION("IFERROR(GOOGLETRANSLATE(B250,""en"",""zh-TW""),)"),"請給我一杯咖啡。")</f>
        <v>請給我一杯咖啡。</v>
      </c>
      <c r="E250" s="4" t="str">
        <f ca="1">IFERROR(__xludf.DUMMYFUNCTION("IFERROR(GOOGLETRANSLATE(B250,""en"",""zh-CN""),)"),"请给我一杯咖啡。")</f>
        <v>请给我一杯咖啡。</v>
      </c>
    </row>
    <row r="251" spans="1:5">
      <c r="A251" s="5" t="s">
        <v>1181</v>
      </c>
      <c r="B251" s="4" t="str">
        <f ca="1">IFERROR(__xludf.DUMMYFUNCTION("IFERROR(GOOGLETRANSLATE(A251,""ko"",""en""),)"),"Jaemin, please come early tomorrow.")</f>
        <v>Jaemin, please come early tomorrow.</v>
      </c>
      <c r="C251" s="4" t="str">
        <f ca="1">IFERROR(__xludf.DUMMYFUNCTION("IFERROR(GOOGLETRANSLATE(B251,""en"",""ja""),)"),"ジェミン、明日は早めに来てください。")</f>
        <v>ジェミン、明日は早めに来てください。</v>
      </c>
      <c r="D251" s="4" t="str">
        <f ca="1">IFERROR(__xludf.DUMMYFUNCTION("IFERROR(GOOGLETRANSLATE(B251,""en"",""zh-TW""),)"),"渽民，明天請早點來。")</f>
        <v>渽民，明天請早點來。</v>
      </c>
      <c r="E251" s="4" t="str">
        <f ca="1">IFERROR(__xludf.DUMMYFUNCTION("IFERROR(GOOGLETRANSLATE(B251,""en"",""zh-CN""),)"),"渽民，明天请早点来。")</f>
        <v>渽民，明天请早点来。</v>
      </c>
    </row>
    <row r="252" spans="1:5">
      <c r="A252" s="5" t="s">
        <v>1187</v>
      </c>
      <c r="B252" s="4" t="str">
        <f ca="1">IFERROR(__xludf.DUMMYFUNCTION("IFERROR(GOOGLETRANSLATE(A252,""ko"",""en""),)"),"Please come late.")</f>
        <v>Please come late.</v>
      </c>
      <c r="C252" s="4" t="str">
        <f ca="1">IFERROR(__xludf.DUMMYFUNCTION("IFERROR(GOOGLETRANSLATE(B252,""en"",""ja""),)"),"遅れて来てください。")</f>
        <v>遅れて来てください。</v>
      </c>
      <c r="D252" s="4" t="str">
        <f ca="1">IFERROR(__xludf.DUMMYFUNCTION("IFERROR(GOOGLETRANSLATE(B252,""en"",""zh-TW""),)"),"請晚點來。")</f>
        <v>請晚點來。</v>
      </c>
      <c r="E252" s="4" t="str">
        <f ca="1">IFERROR(__xludf.DUMMYFUNCTION("IFERROR(GOOGLETRANSLATE(B252,""en"",""zh-CN""),)"),"请晚点来。")</f>
        <v>请晚点来。</v>
      </c>
    </row>
    <row r="253" spans="1:5">
      <c r="A253" s="5" t="s">
        <v>1195</v>
      </c>
      <c r="B253" s="4" t="str">
        <f ca="1">IFERROR(__xludf.DUMMYFUNCTION("IFERROR(GOOGLETRANSLATE(A253,""ko"",""en""),)"),"customer")</f>
        <v>customer</v>
      </c>
      <c r="C253" s="4" t="str">
        <f ca="1">IFERROR(__xludf.DUMMYFUNCTION("IFERROR(GOOGLETRANSLATE(B253,""en"",""ja""),)"),"お客様")</f>
        <v>お客様</v>
      </c>
      <c r="D253" s="4" t="str">
        <f ca="1">IFERROR(__xludf.DUMMYFUNCTION("IFERROR(GOOGLETRANSLATE(B253,""en"",""zh-TW""),)"),"顧客")</f>
        <v>顧客</v>
      </c>
      <c r="E253" s="4" t="str">
        <f ca="1">IFERROR(__xludf.DUMMYFUNCTION("IFERROR(GOOGLETRANSLATE(B253,""en"",""zh-CN""),)"),"顾客")</f>
        <v>顾客</v>
      </c>
    </row>
    <row r="254" spans="1:5">
      <c r="A254" s="5" t="s">
        <v>1200</v>
      </c>
      <c r="B254" s="4" t="str">
        <f ca="1">IFERROR(__xludf.DUMMYFUNCTION("IFERROR(GOOGLETRANSLATE(A254,""ko"",""en""),)"),"employee")</f>
        <v>employee</v>
      </c>
      <c r="C254" s="4" t="str">
        <f ca="1">IFERROR(__xludf.DUMMYFUNCTION("IFERROR(GOOGLETRANSLATE(B254,""en"",""ja""),)"),"従業員")</f>
        <v>従業員</v>
      </c>
      <c r="D254" s="4" t="str">
        <f ca="1">IFERROR(__xludf.DUMMYFUNCTION("IFERROR(GOOGLETRANSLATE(B254,""en"",""zh-TW""),)"),"員工")</f>
        <v>員工</v>
      </c>
      <c r="E254" s="4" t="str">
        <f ca="1">IFERROR(__xludf.DUMMYFUNCTION("IFERROR(GOOGLETRANSLATE(B254,""en"",""zh-CN""),)"),"员工")</f>
        <v>员工</v>
      </c>
    </row>
    <row r="255" spans="1:5">
      <c r="A255" s="5" t="s">
        <v>1204</v>
      </c>
      <c r="B255" s="4" t="s">
        <v>1206</v>
      </c>
      <c r="C255" s="4" t="str">
        <f ca="1">IFERROR(__xludf.DUMMYFUNCTION("IFERROR(GOOGLETRANSLATE(B255,""en"",""ja""),)"),"所有者")</f>
        <v>所有者</v>
      </c>
      <c r="D255" s="4" t="str">
        <f ca="1">IFERROR(__xludf.DUMMYFUNCTION("IFERROR(GOOGLETRANSLATE(B255,""en"",""zh-TW""),)"),"擁有者")</f>
        <v>擁有者</v>
      </c>
      <c r="E255" s="4" t="str">
        <f ca="1">IFERROR(__xludf.DUMMYFUNCTION("IFERROR(GOOGLETRANSLATE(B255,""en"",""zh-CN""),)"),"所有者")</f>
        <v>所有者</v>
      </c>
    </row>
    <row r="256" spans="1:5">
      <c r="A256" s="3" t="s">
        <v>1210</v>
      </c>
      <c r="B256" s="4" t="str">
        <f ca="1">IFERROR(__xludf.DUMMYFUNCTION("IFERROR(GOOGLETRANSLATE(A256,""ko"",""en""),)"),"early")</f>
        <v>early</v>
      </c>
      <c r="C256" s="4" t="str">
        <f ca="1">IFERROR(__xludf.DUMMYFUNCTION("IFERROR(GOOGLETRANSLATE(B256,""en"",""ja""),)"),"早い")</f>
        <v>早い</v>
      </c>
      <c r="D256" s="4" t="str">
        <f ca="1">IFERROR(__xludf.DUMMYFUNCTION("IFERROR(GOOGLETRANSLATE(B256,""en"",""zh-TW""),)"),"早期的")</f>
        <v>早期的</v>
      </c>
      <c r="E256" s="4" t="str">
        <f ca="1">IFERROR(__xludf.DUMMYFUNCTION("IFERROR(GOOGLETRANSLATE(B256,""en"",""zh-CN""),)"),"早期的")</f>
        <v>早期的</v>
      </c>
    </row>
    <row r="257" spans="1:5">
      <c r="A257" s="3" t="s">
        <v>1215</v>
      </c>
      <c r="B257" s="4" t="str">
        <f ca="1">IFERROR(__xludf.DUMMYFUNCTION("IFERROR(GOOGLETRANSLATE(A257,""ko"",""en""),)"),"late")</f>
        <v>late</v>
      </c>
      <c r="C257" s="4" t="str">
        <f ca="1">IFERROR(__xludf.DUMMYFUNCTION("IFERROR(GOOGLETRANSLATE(B257,""en"",""ja""),)"),"遅い")</f>
        <v>遅い</v>
      </c>
      <c r="D257" s="4" t="str">
        <f ca="1">IFERROR(__xludf.DUMMYFUNCTION("IFERROR(GOOGLETRANSLATE(B257,""en"",""zh-TW""),)"),"晚的")</f>
        <v>晚的</v>
      </c>
      <c r="E257" s="4" t="str">
        <f ca="1">IFERROR(__xludf.DUMMYFUNCTION("IFERROR(GOOGLETRANSLATE(B257,""en"",""zh-CN""),)"),"晚的")</f>
        <v>晚的</v>
      </c>
    </row>
    <row r="258" spans="1:5">
      <c r="A258" s="3" t="s">
        <v>1222</v>
      </c>
      <c r="B258" s="4" t="str">
        <f ca="1">IFERROR(__xludf.DUMMYFUNCTION("IFERROR(GOOGLETRANSLATE(A258,""ko"",""en""),)"),"Are you taking bus number 5?")</f>
        <v>Are you taking bus number 5?</v>
      </c>
      <c r="C258" s="4" t="str">
        <f ca="1">IFERROR(__xludf.DUMMYFUNCTION("IFERROR(GOOGLETRANSLATE(B258,""en"",""ja""),)"),"5番のバスに乗りますか？")</f>
        <v>5番のバスに乗りますか？</v>
      </c>
      <c r="D258" s="4" t="str">
        <f ca="1">IFERROR(__xludf.DUMMYFUNCTION("IFERROR(GOOGLETRANSLATE(B258,""en"",""zh-TW""),)"),"你搭乘的是5號公車嗎？")</f>
        <v>你搭乘的是5號公車嗎？</v>
      </c>
      <c r="E258" s="4" t="str">
        <f ca="1">IFERROR(__xludf.DUMMYFUNCTION("IFERROR(GOOGLETRANSLATE(B258,""en"",""zh-CN""),)"),"你乘坐的是5路公交车吗？")</f>
        <v>你乘坐的是5路公交车吗？</v>
      </c>
    </row>
    <row r="259" spans="1:5">
      <c r="A259" s="3" t="s">
        <v>1229</v>
      </c>
      <c r="B259" s="4" t="str">
        <f ca="1">IFERROR(__xludf.DUMMYFUNCTION("IFERROR(GOOGLETRANSLATE(A259,""ko"",""en""),)"),"No, please take bus number 8.")</f>
        <v>No, please take bus number 8.</v>
      </c>
      <c r="C259" s="4" t="str">
        <f ca="1">IFERROR(__xludf.DUMMYFUNCTION("IFERROR(GOOGLETRANSLATE(B259,""en"",""ja""),)"),"いいえ、8番のバスをご利用ください。")</f>
        <v>いいえ、8番のバスをご利用ください。</v>
      </c>
      <c r="D259" s="4" t="str">
        <f ca="1">IFERROR(__xludf.DUMMYFUNCTION("IFERROR(GOOGLETRANSLATE(B259,""en"",""zh-TW""),)"),"不，請搭乘8路公車。")</f>
        <v>不，請搭乘8路公車。</v>
      </c>
      <c r="E259" s="4" t="str">
        <f ca="1">IFERROR(__xludf.DUMMYFUNCTION("IFERROR(GOOGLETRANSLATE(B259,""en"",""zh-CN""),)"),"不，请乘坐8路公交车。")</f>
        <v>不，请乘坐8路公交车。</v>
      </c>
    </row>
    <row r="260" spans="1:5">
      <c r="A260" s="5" t="s">
        <v>1235</v>
      </c>
      <c r="B260" s="4" t="str">
        <f ca="1">IFERROR(__xludf.DUMMYFUNCTION("IFERROR(GOOGLETRANSLATE(A260,""ko"",""en""),)"),"Get off")</f>
        <v>Get off</v>
      </c>
      <c r="C260" s="4" t="str">
        <f ca="1">IFERROR(__xludf.DUMMYFUNCTION("IFERROR(GOOGLETRANSLATE(B260,""en"",""ja""),)"),"降りる")</f>
        <v>降りる</v>
      </c>
      <c r="D260" s="4" t="str">
        <f ca="1">IFERROR(__xludf.DUMMYFUNCTION("IFERROR(GOOGLETRANSLATE(B260,""en"",""zh-TW""),)"),"下車")</f>
        <v>下車</v>
      </c>
      <c r="E260" s="4" t="str">
        <f ca="1">IFERROR(__xludf.DUMMYFUNCTION("IFERROR(GOOGLETRANSLATE(B260,""en"",""zh-CN""),)"),"下车")</f>
        <v>下车</v>
      </c>
    </row>
    <row r="261" spans="1:5">
      <c r="A261" s="3" t="s">
        <v>1239</v>
      </c>
      <c r="B261" s="4" t="str">
        <f ca="1">IFERROR(__xludf.DUMMYFUNCTION("IFERROR(GOOGLETRANSLATE(A261,""ko"",""en""),)"),"I take a taxi.")</f>
        <v>I take a taxi.</v>
      </c>
      <c r="C261" s="4" t="str">
        <f ca="1">IFERROR(__xludf.DUMMYFUNCTION("IFERROR(GOOGLETRANSLATE(B261,""en"",""ja""),)"),"私はタクシーに乗る。")</f>
        <v>私はタクシーに乗る。</v>
      </c>
      <c r="D261" s="4" t="str">
        <f ca="1">IFERROR(__xludf.DUMMYFUNCTION("IFERROR(GOOGLETRANSLATE(B261,""en"",""zh-TW""),)"),"我打車。")</f>
        <v>我打車。</v>
      </c>
      <c r="E261" s="4" t="str">
        <f ca="1">IFERROR(__xludf.DUMMYFUNCTION("IFERROR(GOOGLETRANSLATE(B261,""en"",""zh-CN""),)"),"我打车。")</f>
        <v>我打车。</v>
      </c>
    </row>
    <row r="262" spans="1:5">
      <c r="A262" s="3" t="s">
        <v>1245</v>
      </c>
      <c r="B262" s="4" t="str">
        <f ca="1">IFERROR(__xludf.DUMMYFUNCTION("IFERROR(GOOGLETRANSLATE(A262,""ko"",""en""),)"),"Get out of the taxi.")</f>
        <v>Get out of the taxi.</v>
      </c>
      <c r="C262" s="4" t="str">
        <f ca="1">IFERROR(__xludf.DUMMYFUNCTION("IFERROR(GOOGLETRANSLATE(B262,""en"",""ja""),)"),"タクシーから降りてください。")</f>
        <v>タクシーから降りてください。</v>
      </c>
      <c r="D262" s="4" t="str">
        <f ca="1">IFERROR(__xludf.DUMMYFUNCTION("IFERROR(GOOGLETRANSLATE(B262,""en"",""zh-TW""),)"),"下出租車。")</f>
        <v>下出租車。</v>
      </c>
      <c r="E262" s="4" t="str">
        <f ca="1">IFERROR(__xludf.DUMMYFUNCTION("IFERROR(GOOGLETRANSLATE(B262,""en"",""zh-CN""),)"),"下出租车。")</f>
        <v>下出租车。</v>
      </c>
    </row>
    <row r="263" spans="1:5">
      <c r="A263" s="3" t="s">
        <v>1018</v>
      </c>
      <c r="B263" s="4" t="str">
        <f ca="1">IFERROR(__xludf.DUMMYFUNCTION("IFERROR(GOOGLETRANSLATE(A263,""ko"",""en""),)"),"Where do I get off?")</f>
        <v>Where do I get off?</v>
      </c>
      <c r="C263" s="4" t="str">
        <f ca="1">IFERROR(__xludf.DUMMYFUNCTION("IFERROR(GOOGLETRANSLATE(B263,""en"",""ja""),)"),"どこで降りればいいですか？")</f>
        <v>どこで降りればいいですか？</v>
      </c>
      <c r="D263" s="4" t="str">
        <f ca="1">IFERROR(__xludf.DUMMYFUNCTION("IFERROR(GOOGLETRANSLATE(B263,""en"",""zh-TW""),)"),"我該在哪裡下車？")</f>
        <v>我該在哪裡下車？</v>
      </c>
      <c r="E263" s="4" t="str">
        <f ca="1">IFERROR(__xludf.DUMMYFUNCTION("IFERROR(GOOGLETRANSLATE(B263,""en"",""zh-CN""),)"),"我该在哪里下车？")</f>
        <v>我该在哪里下车？</v>
      </c>
    </row>
    <row r="264" spans="1:5">
      <c r="A264" s="3" t="s">
        <v>1252</v>
      </c>
      <c r="B264" s="4" t="str">
        <f ca="1">IFERROR(__xludf.DUMMYFUNCTION("IFERROR(GOOGLETRANSLATE(A264,""ko"",""en""),)"),"Get off at Wynyard Station.")</f>
        <v>Get off at Wynyard Station.</v>
      </c>
      <c r="C264" s="4" t="str">
        <f ca="1">IFERROR(__xludf.DUMMYFUNCTION("IFERROR(GOOGLETRANSLATE(B264,""en"",""ja""),)"),"ウィンヤード駅で下車してください。")</f>
        <v>ウィンヤード駅で下車してください。</v>
      </c>
      <c r="D264" s="4" t="str">
        <f ca="1">IFERROR(__xludf.DUMMYFUNCTION("IFERROR(GOOGLETRANSLATE(B264,""en"",""zh-TW""),)"),"在溫亞德站下車。")</f>
        <v>在溫亞德站下車。</v>
      </c>
      <c r="E264" s="4" t="str">
        <f ca="1">IFERROR(__xludf.DUMMYFUNCTION("IFERROR(GOOGLETRANSLATE(B264,""en"",""zh-CN""),)"),"在温亚德站下车。")</f>
        <v>在温亚德站下车。</v>
      </c>
    </row>
    <row r="265" spans="1:5">
      <c r="A265" s="3" t="s">
        <v>1256</v>
      </c>
      <c r="B265" s="4" t="str">
        <f ca="1">IFERROR(__xludf.DUMMYFUNCTION("IFERROR(GOOGLETRANSLATE(A265,""ko"",""en""),)"),"Please sit here.")</f>
        <v>Please sit here.</v>
      </c>
      <c r="C265" s="4" t="str">
        <f ca="1">IFERROR(__xludf.DUMMYFUNCTION("IFERROR(GOOGLETRANSLATE(B265,""en"",""ja""),)"),"こちらにお座りください。")</f>
        <v>こちらにお座りください。</v>
      </c>
      <c r="D265" s="4" t="str">
        <f ca="1">IFERROR(__xludf.DUMMYFUNCTION("IFERROR(GOOGLETRANSLATE(B265,""en"",""zh-TW""),)"),"請坐。")</f>
        <v>請坐。</v>
      </c>
      <c r="E265" s="4" t="str">
        <f ca="1">IFERROR(__xludf.DUMMYFUNCTION("IFERROR(GOOGLETRANSLATE(B265,""en"",""zh-CN""),)"),"请坐。")</f>
        <v>请坐。</v>
      </c>
    </row>
    <row r="266" spans="1:5">
      <c r="A266" s="3" t="s">
        <v>458</v>
      </c>
      <c r="B266" s="4" t="str">
        <f ca="1">IFERROR(__xludf.DUMMYFUNCTION("IFERROR(GOOGLETRANSLATE(A266,""ko"",""en""),)"),"Please read")</f>
        <v>Please read</v>
      </c>
      <c r="C266" s="4" t="str">
        <f ca="1">IFERROR(__xludf.DUMMYFUNCTION("IFERROR(GOOGLETRANSLATE(B266,""en"",""ja""),)"),"お読みください")</f>
        <v>お読みください</v>
      </c>
      <c r="D266" s="4" t="str">
        <f ca="1">IFERROR(__xludf.DUMMYFUNCTION("IFERROR(GOOGLETRANSLATE(B266,""en"",""zh-TW""),)"),"請閱讀")</f>
        <v>請閱讀</v>
      </c>
      <c r="E266" s="4" t="str">
        <f ca="1">IFERROR(__xludf.DUMMYFUNCTION("IFERROR(GOOGLETRANSLATE(B266,""en"",""zh-CN""),)"),"请阅读")</f>
        <v>请阅读</v>
      </c>
    </row>
    <row r="267" spans="1:5">
      <c r="A267" s="5" t="s">
        <v>1266</v>
      </c>
      <c r="B267" s="4" t="str">
        <f ca="1">IFERROR(__xludf.DUMMYFUNCTION("IFERROR(GOOGLETRANSLATE(A267,""ko"",""en""),)"),"Go quickly")</f>
        <v>Go quickly</v>
      </c>
      <c r="C267" s="4" t="str">
        <f ca="1">IFERROR(__xludf.DUMMYFUNCTION("IFERROR(GOOGLETRANSLATE(B267,""en"",""ja""),)"),"急いで")</f>
        <v>急いで</v>
      </c>
      <c r="D267" s="4" t="str">
        <f ca="1">IFERROR(__xludf.DUMMYFUNCTION("IFERROR(GOOGLETRANSLATE(B267,""en"",""zh-TW""),)"),"快點")</f>
        <v>快點</v>
      </c>
      <c r="E267" s="4" t="str">
        <f ca="1">IFERROR(__xludf.DUMMYFUNCTION("IFERROR(GOOGLETRANSLATE(B267,""en"",""zh-CN""),)"),"快点")</f>
        <v>快点</v>
      </c>
    </row>
    <row r="268" spans="1:5">
      <c r="A268" s="3" t="s">
        <v>1271</v>
      </c>
      <c r="B268" s="4" t="str">
        <f ca="1">IFERROR(__xludf.DUMMYFUNCTION("IFERROR(GOOGLETRANSLATE(A268,""ko"",""en""),)"),"Look at the blackboard.")</f>
        <v>Look at the blackboard.</v>
      </c>
      <c r="C268" s="4" t="str">
        <f ca="1">IFERROR(__xludf.DUMMYFUNCTION("IFERROR(GOOGLETRANSLATE(B268,""en"",""ja""),)"),"黒板を見てください。")</f>
        <v>黒板を見てください。</v>
      </c>
      <c r="D268" s="4" t="str">
        <f ca="1">IFERROR(__xludf.DUMMYFUNCTION("IFERROR(GOOGLETRANSLATE(B268,""en"",""zh-TW""),)"),"看看黑板。")</f>
        <v>看看黑板。</v>
      </c>
      <c r="E268" s="4" t="str">
        <f ca="1">IFERROR(__xludf.DUMMYFUNCTION("IFERROR(GOOGLETRANSLATE(B268,""en"",""zh-CN""),)"),"看看黑板。")</f>
        <v>看看黑板。</v>
      </c>
    </row>
    <row r="269" spans="1:5">
      <c r="A269" s="3" t="s">
        <v>1276</v>
      </c>
      <c r="B269" s="4" t="str">
        <f ca="1">IFERROR(__xludf.DUMMYFUNCTION("IFERROR(GOOGLETRANSLATE(A269,""ko"",""en""),)"),"Answer the question.")</f>
        <v>Answer the question.</v>
      </c>
      <c r="C269" s="4" t="str">
        <f ca="1">IFERROR(__xludf.DUMMYFUNCTION("IFERROR(GOOGLETRANSLATE(B269,""en"",""ja""),)"),"質問に答えてください。")</f>
        <v>質問に答えてください。</v>
      </c>
      <c r="D269" s="4" t="str">
        <f ca="1">IFERROR(__xludf.DUMMYFUNCTION("IFERROR(GOOGLETRANSLATE(B269,""en"",""zh-TW""),)"),"回答問題。")</f>
        <v>回答問題。</v>
      </c>
      <c r="E269" s="4" t="str">
        <f ca="1">IFERROR(__xludf.DUMMYFUNCTION("IFERROR(GOOGLETRANSLATE(B269,""en"",""zh-CN""),)"),"回答问题。")</f>
        <v>回答问题。</v>
      </c>
    </row>
    <row r="270" spans="1:5">
      <c r="A270" s="5" t="s">
        <v>452</v>
      </c>
      <c r="B270" s="4" t="s">
        <v>1280</v>
      </c>
      <c r="C270" s="4" t="str">
        <f ca="1">IFERROR(__xludf.DUMMYFUNCTION("IFERROR(GOOGLETRANSLATE(B270,""en"",""ja""),)"),"繰り返す")</f>
        <v>繰り返す</v>
      </c>
      <c r="D270" s="4" t="str">
        <f ca="1">IFERROR(__xludf.DUMMYFUNCTION("IFERROR(GOOGLETRANSLATE(B270,""en"",""zh-TW""),)"),"重複")</f>
        <v>重複</v>
      </c>
      <c r="E270" s="4" t="str">
        <f ca="1">IFERROR(__xludf.DUMMYFUNCTION("IFERROR(GOOGLETRANSLATE(B270,""en"",""zh-CN""),)"),"重复")</f>
        <v>重复</v>
      </c>
    </row>
    <row r="271" spans="1:5">
      <c r="A271" s="5" t="s">
        <v>1283</v>
      </c>
      <c r="B271" s="4" t="str">
        <f ca="1">IFERROR(__xludf.DUMMYFUNCTION("IFERROR(GOOGLETRANSLATE(A271,""ko"",""en""),)"),"Read quietly.")</f>
        <v>Read quietly.</v>
      </c>
      <c r="C271" s="4" t="str">
        <f ca="1">IFERROR(__xludf.DUMMYFUNCTION("IFERROR(GOOGLETRANSLATE(B271,""en"",""ja""),)"),"静かに読んでください。")</f>
        <v>静かに読んでください。</v>
      </c>
      <c r="D271" s="4" t="str">
        <f ca="1">IFERROR(__xludf.DUMMYFUNCTION("IFERROR(GOOGLETRANSLATE(B271,""en"",""zh-TW""),)"),"安靜地閱讀。")</f>
        <v>安靜地閱讀。</v>
      </c>
      <c r="E271" s="4" t="str">
        <f ca="1">IFERROR(__xludf.DUMMYFUNCTION("IFERROR(GOOGLETRANSLATE(B271,""en"",""zh-CN""),)"),"安静地阅读。")</f>
        <v>安静地阅读。</v>
      </c>
    </row>
    <row r="272" spans="1:5">
      <c r="A272" s="5" t="s">
        <v>1288</v>
      </c>
      <c r="B272" s="4" t="str">
        <f ca="1">IFERROR(__xludf.DUMMYFUNCTION("IFERROR(GOOGLETRANSLATE(A272,""ko"",""en""),)"),"Speak loudly.")</f>
        <v>Speak loudly.</v>
      </c>
      <c r="C272" s="4" t="str">
        <f ca="1">IFERROR(__xludf.DUMMYFUNCTION("IFERROR(GOOGLETRANSLATE(B272,""en"",""ja""),)"),"大きな声で話してください。")</f>
        <v>大きな声で話してください。</v>
      </c>
      <c r="D272" s="4" t="str">
        <f ca="1">IFERROR(__xludf.DUMMYFUNCTION("IFERROR(GOOGLETRANSLATE(B272,""en"",""zh-TW""),)"),"大聲說話。")</f>
        <v>大聲說話。</v>
      </c>
      <c r="E272" s="4" t="str">
        <f ca="1">IFERROR(__xludf.DUMMYFUNCTION("IFERROR(GOOGLETRANSLATE(B272,""en"",""zh-CN""),)"),"大声说话。")</f>
        <v>大声说话。</v>
      </c>
    </row>
    <row r="273" spans="1:5">
      <c r="A273" s="3" t="s">
        <v>1293</v>
      </c>
      <c r="B273" s="4" t="str">
        <f ca="1">IFERROR(__xludf.DUMMYFUNCTION("IFERROR(GOOGLETRANSLATE(A273,""ko"",""en""),)"),"Look at the book.")</f>
        <v>Look at the book.</v>
      </c>
      <c r="C273" s="4" t="str">
        <f ca="1">IFERROR(__xludf.DUMMYFUNCTION("IFERROR(GOOGLETRANSLATE(B273,""en"",""ja""),)"),"その本を見てください。")</f>
        <v>その本を見てください。</v>
      </c>
      <c r="D273" s="4" t="str">
        <f ca="1">IFERROR(__xludf.DUMMYFUNCTION("IFERROR(GOOGLETRANSLATE(B273,""en"",""zh-TW""),)"),"看看這本書。")</f>
        <v>看看這本書。</v>
      </c>
      <c r="E273" s="4" t="str">
        <f ca="1">IFERROR(__xludf.DUMMYFUNCTION("IFERROR(GOOGLETRANSLATE(B273,""en"",""zh-CN""),)"),"看看这本书。")</f>
        <v>看看这本书。</v>
      </c>
    </row>
    <row r="274" spans="1:5">
      <c r="A274" s="3" t="s">
        <v>1297</v>
      </c>
      <c r="B274" s="4" t="str">
        <f ca="1">IFERROR(__xludf.DUMMYFUNCTION("IFERROR(GOOGLETRANSLATE(A274,""ko"",""en""),)"),"Open the book.")</f>
        <v>Open the book.</v>
      </c>
      <c r="C274" s="4" t="str">
        <f ca="1">IFERROR(__xludf.DUMMYFUNCTION("IFERROR(GOOGLETRANSLATE(B274,""en"",""ja""),)"),"本を開いてください。")</f>
        <v>本を開いてください。</v>
      </c>
      <c r="D274" s="4" t="str">
        <f ca="1">IFERROR(__xludf.DUMMYFUNCTION("IFERROR(GOOGLETRANSLATE(B274,""en"",""zh-TW""),)"),"打開這本書。")</f>
        <v>打開這本書。</v>
      </c>
      <c r="E274" s="4" t="str">
        <f ca="1">IFERROR(__xludf.DUMMYFUNCTION("IFERROR(GOOGLETRANSLATE(B274,""en"",""zh-CN""),)"),"打开这本书。")</f>
        <v>打开这本书。</v>
      </c>
    </row>
    <row r="275" spans="1:5">
      <c r="A275" s="3" t="s">
        <v>1300</v>
      </c>
      <c r="B275" s="4" t="str">
        <f ca="1">IFERROR(__xludf.DUMMYFUNCTION("IFERROR(GOOGLETRANSLATE(A275,""ko"",""en""),)"),"Please take that bus.")</f>
        <v>Please take that bus.</v>
      </c>
      <c r="C275" s="4" t="str">
        <f ca="1">IFERROR(__xludf.DUMMYFUNCTION("IFERROR(GOOGLETRANSLATE(B275,""en"",""ja""),)"),"そちらのバスをご利用ください。")</f>
        <v>そちらのバスをご利用ください。</v>
      </c>
      <c r="D275" s="4" t="str">
        <f ca="1">IFERROR(__xludf.DUMMYFUNCTION("IFERROR(GOOGLETRANSLATE(B275,""en"",""zh-TW""),)"),"請搭乘那輛公車。")</f>
        <v>請搭乘那輛公車。</v>
      </c>
      <c r="E275" s="4" t="str">
        <f ca="1">IFERROR(__xludf.DUMMYFUNCTION("IFERROR(GOOGLETRANSLATE(B275,""en"",""zh-CN""),)"),"请搭乘那辆公交车。")</f>
        <v>请搭乘那辆公交车。</v>
      </c>
    </row>
    <row r="276" spans="1:5">
      <c r="A276" s="3" t="s">
        <v>1305</v>
      </c>
      <c r="B276" s="4" t="str">
        <f ca="1">IFERROR(__xludf.DUMMYFUNCTION("IFERROR(GOOGLETRANSLATE(A276,""ko"",""en""),)"),"See you tomorrow. Goodbye.")</f>
        <v>See you tomorrow. Goodbye.</v>
      </c>
      <c r="C276" s="4" t="str">
        <f ca="1">IFERROR(__xludf.DUMMYFUNCTION("IFERROR(GOOGLETRANSLATE(B276,""en"",""ja""),)"),"また明日。さようなら。")</f>
        <v>また明日。さようなら。</v>
      </c>
      <c r="D276" s="4" t="str">
        <f ca="1">IFERROR(__xludf.DUMMYFUNCTION("IFERROR(GOOGLETRANSLATE(B276,""en"",""zh-TW""),)"),"明天見。再見。")</f>
        <v>明天見。再見。</v>
      </c>
      <c r="E276" s="4" t="str">
        <f ca="1">IFERROR(__xludf.DUMMYFUNCTION("IFERROR(GOOGLETRANSLATE(B276,""en"",""zh-CN""),)"),"明天见。再见。")</f>
        <v>明天见。再见。</v>
      </c>
    </row>
    <row r="277" spans="1:5">
      <c r="A277" s="3" t="s">
        <v>1310</v>
      </c>
      <c r="B277" s="4" t="str">
        <f ca="1">IFERROR(__xludf.DUMMYFUNCTION("IFERROR(GOOGLETRANSLATE(A277,""ko"",""en""),)"),"See you next time.")</f>
        <v>See you next time.</v>
      </c>
      <c r="C277" s="4" t="str">
        <f ca="1">IFERROR(__xludf.DUMMYFUNCTION("IFERROR(GOOGLETRANSLATE(B277,""en"",""ja""),)"),"また次回お会いしましょう。")</f>
        <v>また次回お会いしましょう。</v>
      </c>
      <c r="D277" s="4" t="str">
        <f ca="1">IFERROR(__xludf.DUMMYFUNCTION("IFERROR(GOOGLETRANSLATE(B277,""en"",""zh-TW""),)"),"下次見。")</f>
        <v>下次見。</v>
      </c>
      <c r="E277" s="4" t="str">
        <f ca="1">IFERROR(__xludf.DUMMYFUNCTION("IFERROR(GOOGLETRANSLATE(B277,""en"",""zh-CN""),)"),"下次见。")</f>
        <v>下次见。</v>
      </c>
    </row>
    <row r="278" spans="1:5">
      <c r="A278" s="5" t="s">
        <v>1316</v>
      </c>
      <c r="B278" s="4" t="str">
        <f ca="1">IFERROR(__xludf.DUMMYFUNCTION("IFERROR(GOOGLETRANSLATE(A278,""ko"",""en""),)"),"See you later.")</f>
        <v>See you later.</v>
      </c>
      <c r="C278" s="4" t="str">
        <f ca="1">IFERROR(__xludf.DUMMYFUNCTION("IFERROR(GOOGLETRANSLATE(B278,""en"",""ja""),)"),"また後で。")</f>
        <v>また後で。</v>
      </c>
      <c r="D278" s="4" t="str">
        <f ca="1">IFERROR(__xludf.DUMMYFUNCTION("IFERROR(GOOGLETRANSLATE(B278,""en"",""zh-TW""),)"),"再見。")</f>
        <v>再見。</v>
      </c>
      <c r="E278" s="4" t="str">
        <f ca="1">IFERROR(__xludf.DUMMYFUNCTION("IFERROR(GOOGLETRANSLATE(B278,""en"",""zh-CN""),)"),"再见。")</f>
        <v>再见。</v>
      </c>
    </row>
    <row r="279" spans="1:5">
      <c r="A279" s="3" t="s">
        <v>1320</v>
      </c>
      <c r="B279" s="4" t="str">
        <f ca="1">IFERROR(__xludf.DUMMYFUNCTION("IFERROR(GOOGLETRANSLATE(A279,""ko"",""en""),)"),"Here is a chair. Please sit down.")</f>
        <v>Here is a chair. Please sit down.</v>
      </c>
      <c r="C279" s="4" t="str">
        <f ca="1">IFERROR(__xludf.DUMMYFUNCTION("IFERROR(GOOGLETRANSLATE(B279,""en"",""ja""),)"),"椅子はこちらです。どうぞお座りください。")</f>
        <v>椅子はこちらです。どうぞお座りください。</v>
      </c>
      <c r="D279" s="4" t="str">
        <f ca="1">IFERROR(__xludf.DUMMYFUNCTION("IFERROR(GOOGLETRANSLATE(B279,""en"",""zh-TW""),)"),"這裡有一張椅子，請坐。")</f>
        <v>這裡有一張椅子，請坐。</v>
      </c>
      <c r="E279" s="4" t="str">
        <f ca="1">IFERROR(__xludf.DUMMYFUNCTION("IFERROR(GOOGLETRANSLATE(B279,""en"",""zh-CN""),)"),"这里有一把椅子，请坐。")</f>
        <v>这里有一把椅子，请坐。</v>
      </c>
    </row>
    <row r="280" spans="1:5">
      <c r="A280" s="5" t="s">
        <v>1327</v>
      </c>
      <c r="B280" s="4" t="str">
        <f ca="1">IFERROR(__xludf.DUMMYFUNCTION("IFERROR(GOOGLETRANSLATE(A280,""ko"",""en""),)"),"Listen carefully to the question.")</f>
        <v>Listen carefully to the question.</v>
      </c>
      <c r="C280" s="4" t="str">
        <f ca="1">IFERROR(__xludf.DUMMYFUNCTION("IFERROR(GOOGLETRANSLATE(B280,""en"",""ja""),)"),"質問をよく聞いてください。")</f>
        <v>質問をよく聞いてください。</v>
      </c>
      <c r="D280" s="4" t="str">
        <f ca="1">IFERROR(__xludf.DUMMYFUNCTION("IFERROR(GOOGLETRANSLATE(B280,""en"",""zh-TW""),)"),"仔細聽問題。")</f>
        <v>仔細聽問題。</v>
      </c>
      <c r="E280" s="4" t="str">
        <f ca="1">IFERROR(__xludf.DUMMYFUNCTION("IFERROR(GOOGLETRANSLATE(B280,""en"",""zh-CN""),)"),"仔细听问题。")</f>
        <v>仔细听问题。</v>
      </c>
    </row>
    <row r="281" spans="1:5">
      <c r="A281" s="5" t="s">
        <v>1333</v>
      </c>
      <c r="B281" s="4" t="str">
        <f ca="1">IFERROR(__xludf.DUMMYFUNCTION("IFERROR(GOOGLETRANSLATE(A281,""ko"",""en""),)"),"coin")</f>
        <v>coin</v>
      </c>
      <c r="C281" s="4" t="str">
        <f ca="1">IFERROR(__xludf.DUMMYFUNCTION("IFERROR(GOOGLETRANSLATE(B281,""en"",""ja""),)"),"コイン")</f>
        <v>コイン</v>
      </c>
      <c r="D281" s="4" t="str">
        <f ca="1">IFERROR(__xludf.DUMMYFUNCTION("IFERROR(GOOGLETRANSLATE(B281,""en"",""zh-TW""),)"),"硬幣")</f>
        <v>硬幣</v>
      </c>
      <c r="E281" s="4" t="str">
        <f ca="1">IFERROR(__xludf.DUMMYFUNCTION("IFERROR(GOOGLETRANSLATE(B281,""en"",""zh-CN""),)"),"硬币")</f>
        <v>硬币</v>
      </c>
    </row>
    <row r="282" spans="1:5">
      <c r="A282" s="5" t="s">
        <v>1338</v>
      </c>
      <c r="B282" s="4" t="str">
        <f ca="1">IFERROR(__xludf.DUMMYFUNCTION("IFERROR(GOOGLETRANSLATE(A282,""ko"",""en""),)"),"bill")</f>
        <v>bill</v>
      </c>
      <c r="C282" s="4" t="str">
        <f ca="1">IFERROR(__xludf.DUMMYFUNCTION("IFERROR(GOOGLETRANSLATE(B282,""en"",""ja""),)"),"請求書")</f>
        <v>請求書</v>
      </c>
      <c r="D282" s="4" t="str">
        <f ca="1">IFERROR(__xludf.DUMMYFUNCTION("IFERROR(GOOGLETRANSLATE(B282,""en"",""zh-TW""),)"),"帳單")</f>
        <v>帳單</v>
      </c>
      <c r="E282" s="4" t="str">
        <f ca="1">IFERROR(__xludf.DUMMYFUNCTION("IFERROR(GOOGLETRANSLATE(B282,""en"",""zh-CN""),)"),"账单")</f>
        <v>账单</v>
      </c>
    </row>
    <row r="283" spans="1:5">
      <c r="A283" s="3" t="s">
        <v>1346</v>
      </c>
      <c r="B283" s="4" t="str">
        <f ca="1">IFERROR(__xludf.DUMMYFUNCTION("IFERROR(GOOGLETRANSLATE(A283,""ko"",""en""),)"),"What is Anna buying?")</f>
        <v>What is Anna buying?</v>
      </c>
      <c r="C283" s="4" t="str">
        <f ca="1">IFERROR(__xludf.DUMMYFUNCTION("IFERROR(GOOGLETRANSLATE(B283,""en"",""ja""),)"),"アンナは何を買っているの？")</f>
        <v>アンナは何を買っているの？</v>
      </c>
      <c r="D283" s="4" t="str">
        <f ca="1">IFERROR(__xludf.DUMMYFUNCTION("IFERROR(GOOGLETRANSLATE(B283,""en"",""zh-TW""),)"),"安娜在買什麼？")</f>
        <v>安娜在買什麼？</v>
      </c>
      <c r="E283" s="4" t="str">
        <f ca="1">IFERROR(__xludf.DUMMYFUNCTION("IFERROR(GOOGLETRANSLATE(B283,""en"",""zh-CN""),)"),"安娜在买什么？")</f>
        <v>安娜在买什么？</v>
      </c>
    </row>
    <row r="284" spans="1:5">
      <c r="A284" s="3" t="s">
        <v>1358</v>
      </c>
      <c r="B284" s="4" t="str">
        <f ca="1">IFERROR(__xludf.DUMMYFUNCTION("IFERROR(GOOGLETRANSLATE(A284,""ko"",""en""),)"),"I buy apples.")</f>
        <v>I buy apples.</v>
      </c>
      <c r="C284" s="4" t="str">
        <f ca="1">IFERROR(__xludf.DUMMYFUNCTION("IFERROR(GOOGLETRANSLATE(B284,""en"",""ja""),)"),"私はリンゴを買います。")</f>
        <v>私はリンゴを買います。</v>
      </c>
      <c r="D284" s="4" t="str">
        <f ca="1">IFERROR(__xludf.DUMMYFUNCTION("IFERROR(GOOGLETRANSLATE(B284,""en"",""zh-TW""),)"),"我買蘋果。")</f>
        <v>我買蘋果。</v>
      </c>
      <c r="E284" s="4" t="str">
        <f ca="1">IFERROR(__xludf.DUMMYFUNCTION("IFERROR(GOOGLETRANSLATE(B284,""en"",""zh-CN""),)"),"我买苹果。")</f>
        <v>我买苹果。</v>
      </c>
    </row>
    <row r="285" spans="1:5">
      <c r="A285" s="3" t="s">
        <v>1368</v>
      </c>
      <c r="B285" s="4" t="str">
        <f ca="1">IFERROR(__xludf.DUMMYFUNCTION("IFERROR(GOOGLETRANSLATE(A285,""ko"",""en""),)"),"How many are you buying?")</f>
        <v>How many are you buying?</v>
      </c>
      <c r="C285" s="4" t="str">
        <f ca="1">IFERROR(__xludf.DUMMYFUNCTION("IFERROR(GOOGLETRANSLATE(B285,""en"",""ja""),)"),"何個購入予定ですか？")</f>
        <v>何個購入予定ですか？</v>
      </c>
      <c r="D285" s="4" t="str">
        <f ca="1">IFERROR(__xludf.DUMMYFUNCTION("IFERROR(GOOGLETRANSLATE(B285,""en"",""zh-TW""),)"),"你打算買多少？")</f>
        <v>你打算買多少？</v>
      </c>
      <c r="E285" s="4" t="str">
        <f ca="1">IFERROR(__xludf.DUMMYFUNCTION("IFERROR(GOOGLETRANSLATE(B285,""en"",""zh-CN""),)"),"你打算买多少？")</f>
        <v>你打算买多少？</v>
      </c>
    </row>
    <row r="286" spans="1:5">
      <c r="A286" s="3" t="s">
        <v>1375</v>
      </c>
      <c r="B286" s="4" t="str">
        <f ca="1">IFERROR(__xludf.DUMMYFUNCTION("IFERROR(GOOGLETRANSLATE(A286,""ko"",""en""),)"),"I'll buy five.")</f>
        <v>I'll buy five.</v>
      </c>
      <c r="C286" s="4" t="str">
        <f ca="1">IFERROR(__xludf.DUMMYFUNCTION("IFERROR(GOOGLETRANSLATE(B286,""en"",""ja""),)"),"5個買います。")</f>
        <v>5個買います。</v>
      </c>
      <c r="D286" s="4" t="str">
        <f ca="1">IFERROR(__xludf.DUMMYFUNCTION("IFERROR(GOOGLETRANSLATE(B286,""en"",""zh-TW""),)"),"我買五個。")</f>
        <v>我買五個。</v>
      </c>
      <c r="E286" s="4" t="str">
        <f ca="1">IFERROR(__xludf.DUMMYFUNCTION("IFERROR(GOOGLETRANSLATE(B286,""en"",""zh-CN""),)"),"我买五个。")</f>
        <v>我买五个。</v>
      </c>
    </row>
    <row r="287" spans="1:5">
      <c r="A287" s="5" t="s">
        <v>1380</v>
      </c>
      <c r="B287" s="4" t="str">
        <f ca="1">IFERROR(__xludf.DUMMYFUNCTION("IFERROR(GOOGLETRANSLATE(A287,""ko"",""en""),)"),"How much is it all?")</f>
        <v>How much is it all?</v>
      </c>
      <c r="C287" s="4" t="str">
        <f ca="1">IFERROR(__xludf.DUMMYFUNCTION("IFERROR(GOOGLETRANSLATE(B287,""en"",""ja""),)"),"全部でいくらですか？")</f>
        <v>全部でいくらですか？</v>
      </c>
      <c r="D287" s="4" t="str">
        <f ca="1">IFERROR(__xludf.DUMMYFUNCTION("IFERROR(GOOGLETRANSLATE(B287,""en"",""zh-TW""),)"),"總共多少錢？")</f>
        <v>總共多少錢？</v>
      </c>
      <c r="E287" s="4" t="str">
        <f ca="1">IFERROR(__xludf.DUMMYFUNCTION("IFERROR(GOOGLETRANSLATE(B287,""en"",""zh-CN""),)"),"总共多少钱？")</f>
        <v>总共多少钱？</v>
      </c>
    </row>
    <row r="288" spans="1:5">
      <c r="A288" s="3" t="s">
        <v>127</v>
      </c>
      <c r="B288" s="4" t="str">
        <f ca="1">IFERROR(__xludf.DUMMYFUNCTION("IFERROR(GOOGLETRANSLATE(A288,""ko"",""en""),)"),"every")</f>
        <v>every</v>
      </c>
      <c r="C288" s="4" t="str">
        <f ca="1">IFERROR(__xludf.DUMMYFUNCTION("IFERROR(GOOGLETRANSLATE(B288,""en"",""ja""),)"),"毎")</f>
        <v>毎</v>
      </c>
      <c r="D288" s="4" t="str">
        <f ca="1">IFERROR(__xludf.DUMMYFUNCTION("IFERROR(GOOGLETRANSLATE(B288,""en"",""zh-TW""),)"),"每一個")</f>
        <v>每一個</v>
      </c>
      <c r="E288" s="4" t="str">
        <f ca="1">IFERROR(__xludf.DUMMYFUNCTION("IFERROR(GOOGLETRANSLATE(B288,""en"",""zh-CN""),)"),"每一个")</f>
        <v>每一个</v>
      </c>
    </row>
    <row r="289" spans="1:5">
      <c r="A289" s="3" t="s">
        <v>44</v>
      </c>
      <c r="B289" s="4" t="str">
        <f ca="1">IFERROR(__xludf.DUMMYFUNCTION("IFERROR(GOOGLETRANSLATE(A289,""ko"",""en""),)"),"Welcome.")</f>
        <v>Welcome.</v>
      </c>
      <c r="C289" s="4" t="str">
        <f ca="1">IFERROR(__xludf.DUMMYFUNCTION("IFERROR(GOOGLETRANSLATE(B289,""en"",""ja""),)"),"いらっしゃいませ。")</f>
        <v>いらっしゃいませ。</v>
      </c>
      <c r="D289" s="4" t="str">
        <f ca="1">IFERROR(__xludf.DUMMYFUNCTION("IFERROR(GOOGLETRANSLATE(B289,""en"",""zh-TW""),)"),"歡迎。")</f>
        <v>歡迎。</v>
      </c>
      <c r="E289" s="4" t="str">
        <f ca="1">IFERROR(__xludf.DUMMYFUNCTION("IFERROR(GOOGLETRANSLATE(B289,""en"",""zh-CN""),)"),"欢迎。")</f>
        <v>欢迎。</v>
      </c>
    </row>
    <row r="290" spans="1:5">
      <c r="A290" s="3" t="s">
        <v>1391</v>
      </c>
      <c r="B290" s="4" t="str">
        <f ca="1">IFERROR(__xludf.DUMMYFUNCTION("IFERROR(GOOGLETRANSLATE(A290,""ko"",""en""),)"),"Please give me two loaves of bread. How much is it?")</f>
        <v>Please give me two loaves of bread. How much is it?</v>
      </c>
      <c r="C290" s="4" t="str">
        <f ca="1">IFERROR(__xludf.DUMMYFUNCTION("IFERROR(GOOGLETRANSLATE(B290,""en"",""ja""),)"),"パンを2斤ください。おいくらですか？")</f>
        <v>パンを2斤ください。おいくらですか？</v>
      </c>
      <c r="D290" s="4" t="str">
        <f ca="1">IFERROR(__xludf.DUMMYFUNCTION("IFERROR(GOOGLETRANSLATE(B290,""en"",""zh-TW""),)"),"請給我兩塊麵包。總共多少錢？")</f>
        <v>請給我兩塊麵包。總共多少錢？</v>
      </c>
      <c r="E290" s="4" t="str">
        <f ca="1">IFERROR(__xludf.DUMMYFUNCTION("IFERROR(GOOGLETRANSLATE(B290,""en"",""zh-CN""),)"),"请给我两块面包。一共多少钱？")</f>
        <v>请给我两块面包。一共多少钱？</v>
      </c>
    </row>
    <row r="291" spans="1:5">
      <c r="A291" s="3" t="s">
        <v>1396</v>
      </c>
      <c r="B291" s="4" t="str">
        <f ca="1">IFERROR(__xludf.DUMMYFUNCTION("IFERROR(GOOGLETRANSLATE(A291,""ko"",""en""),)"),"It's 2,400 won.")</f>
        <v>It's 2,400 won.</v>
      </c>
      <c r="C291" s="4" t="str">
        <f ca="1">IFERROR(__xludf.DUMMYFUNCTION("IFERROR(GOOGLETRANSLATE(B291,""en"",""ja""),)"),"2,400ウォンです。")</f>
        <v>2,400ウォンです。</v>
      </c>
      <c r="D291" s="4" t="str">
        <f ca="1">IFERROR(__xludf.DUMMYFUNCTION("IFERROR(GOOGLETRANSLATE(B291,""en"",""zh-TW""),)"),"是2400韓元。")</f>
        <v>是2400韓元。</v>
      </c>
      <c r="E291" s="4" t="str">
        <f ca="1">IFERROR(__xludf.DUMMYFUNCTION("IFERROR(GOOGLETRANSLATE(B291,""en"",""zh-CN""),)"),"是2400韩元。")</f>
        <v>是2400韩元。</v>
      </c>
    </row>
    <row r="292" spans="1:5">
      <c r="A292" s="3" t="s">
        <v>1401</v>
      </c>
      <c r="B292" s="4" t="str">
        <f ca="1">IFERROR(__xludf.DUMMYFUNCTION("IFERROR(GOOGLETRANSLATE(A292,""ko"",""en""),)"),"Please give me five bananas.")</f>
        <v>Please give me five bananas.</v>
      </c>
      <c r="C292" s="4" t="str">
        <f ca="1">IFERROR(__xludf.DUMMYFUNCTION("IFERROR(GOOGLETRANSLATE(B292,""en"",""ja""),)"),"バナナを5本ください。")</f>
        <v>バナナを5本ください。</v>
      </c>
      <c r="D292" s="4" t="str">
        <f ca="1">IFERROR(__xludf.DUMMYFUNCTION("IFERROR(GOOGLETRANSLATE(B292,""en"",""zh-TW""),)"),"請給我五根香蕉。")</f>
        <v>請給我五根香蕉。</v>
      </c>
      <c r="E292" s="4" t="str">
        <f ca="1">IFERROR(__xludf.DUMMYFUNCTION("IFERROR(GOOGLETRANSLATE(B292,""en"",""zh-CN""),)"),"请给我五根香蕉。")</f>
        <v>请给我五根香蕉。</v>
      </c>
    </row>
    <row r="293" spans="1:5">
      <c r="A293" s="5" t="s">
        <v>60</v>
      </c>
      <c r="B293" s="4" t="str">
        <f ca="1">IFERROR(__xludf.DUMMYFUNCTION("IFERROR(GOOGLETRANSLATE(A293,""ko"",""en""),)"),"toothpaste")</f>
        <v>toothpaste</v>
      </c>
      <c r="C293" s="4" t="str">
        <f ca="1">IFERROR(__xludf.DUMMYFUNCTION("IFERROR(GOOGLETRANSLATE(B293,""en"",""ja""),)"),"歯磨き粉")</f>
        <v>歯磨き粉</v>
      </c>
      <c r="D293" s="4" t="str">
        <f ca="1">IFERROR(__xludf.DUMMYFUNCTION("IFERROR(GOOGLETRANSLATE(B293,""en"",""zh-TW""),)"),"牙膏")</f>
        <v>牙膏</v>
      </c>
      <c r="E293" s="4" t="str">
        <f ca="1">IFERROR(__xludf.DUMMYFUNCTION("IFERROR(GOOGLETRANSLATE(B293,""en"",""zh-CN""),)"),"牙膏")</f>
        <v>牙膏</v>
      </c>
    </row>
    <row r="294" spans="1:5">
      <c r="A294" s="5" t="s">
        <v>56</v>
      </c>
      <c r="B294" s="4" t="str">
        <f ca="1">IFERROR(__xludf.DUMMYFUNCTION("IFERROR(GOOGLETRANSLATE(A294,""ko"",""en""),)"),"toothbrush")</f>
        <v>toothbrush</v>
      </c>
      <c r="C294" s="4" t="str">
        <f ca="1">IFERROR(__xludf.DUMMYFUNCTION("IFERROR(GOOGLETRANSLATE(B294,""en"",""ja""),)"),"歯ブラシ")</f>
        <v>歯ブラシ</v>
      </c>
      <c r="D294" s="4" t="str">
        <f ca="1">IFERROR(__xludf.DUMMYFUNCTION("IFERROR(GOOGLETRANSLATE(B294,""en"",""zh-TW""),)"),"牙刷")</f>
        <v>牙刷</v>
      </c>
      <c r="E294" s="4" t="str">
        <f ca="1">IFERROR(__xludf.DUMMYFUNCTION("IFERROR(GOOGLETRANSLATE(B294,""en"",""zh-CN""),)"),"牙刷")</f>
        <v>牙刷</v>
      </c>
    </row>
    <row r="295" spans="1:5">
      <c r="A295" s="5" t="s">
        <v>1415</v>
      </c>
      <c r="B295" s="4" t="str">
        <f ca="1">IFERROR(__xludf.DUMMYFUNCTION("IFERROR(GOOGLETRANSLATE(A295,""ko"",""en""),)"),"receipt")</f>
        <v>receipt</v>
      </c>
      <c r="C295" s="4" t="str">
        <f ca="1">IFERROR(__xludf.DUMMYFUNCTION("IFERROR(GOOGLETRANSLATE(B295,""en"",""ja""),)"),"レシート")</f>
        <v>レシート</v>
      </c>
      <c r="D295" s="4" t="str">
        <f ca="1">IFERROR(__xludf.DUMMYFUNCTION("IFERROR(GOOGLETRANSLATE(B295,""en"",""zh-TW""),)"),"收據")</f>
        <v>收據</v>
      </c>
      <c r="E295" s="4" t="str">
        <f ca="1">IFERROR(__xludf.DUMMYFUNCTION("IFERROR(GOOGLETRANSLATE(B295,""en"",""zh-CN""),)"),"收据")</f>
        <v>收据</v>
      </c>
    </row>
    <row r="296" spans="1:5">
      <c r="A296" s="3" t="s">
        <v>1419</v>
      </c>
      <c r="B296" s="4" t="str">
        <f ca="1">IFERROR(__xludf.DUMMYFUNCTION("IFERROR(GOOGLETRANSLATE(A296,""ko"",""en""),)"),"Please give me a receipt.")</f>
        <v>Please give me a receipt.</v>
      </c>
      <c r="C296" s="4" t="str">
        <f ca="1">IFERROR(__xludf.DUMMYFUNCTION("IFERROR(GOOGLETRANSLATE(B296,""en"",""ja""),)"),"領収書を下さい。")</f>
        <v>領収書を下さい。</v>
      </c>
      <c r="D296" s="4" t="str">
        <f ca="1">IFERROR(__xludf.DUMMYFUNCTION("IFERROR(GOOGLETRANSLATE(B296,""en"",""zh-TW""),)"),"請給我一張收據。")</f>
        <v>請給我一張收據。</v>
      </c>
      <c r="E296" s="4" t="str">
        <f ca="1">IFERROR(__xludf.DUMMYFUNCTION("IFERROR(GOOGLETRANSLATE(B296,""en"",""zh-CN""),)"),"请给我一张收据。")</f>
        <v>请给我一张收据。</v>
      </c>
    </row>
    <row r="297" spans="1:5">
      <c r="A297" s="3" t="s">
        <v>1425</v>
      </c>
      <c r="B297" s="4" t="s">
        <v>1427</v>
      </c>
      <c r="C297" s="4" t="str">
        <f ca="1">IFERROR(__xludf.DUMMYFUNCTION("IFERROR(GOOGLETRANSLATE(B297,""en"",""ja""),)"),"合計で15,600ウォンです。")</f>
        <v>合計で15,600ウォンです。</v>
      </c>
      <c r="D297" s="4" t="str">
        <f ca="1">IFERROR(__xludf.DUMMYFUNCTION("IFERROR(GOOGLETRANSLATE(B297,""en"",""zh-TW""),)"),"總共是15600韓元。")</f>
        <v>總共是15600韓元。</v>
      </c>
      <c r="E297" s="4" t="str">
        <f ca="1">IFERROR(__xludf.DUMMYFUNCTION("IFERROR(GOOGLETRANSLATE(B297,""en"",""zh-CN""),)"),"总共是15600韩元。")</f>
        <v>总共是15600韩元。</v>
      </c>
    </row>
    <row r="298" spans="1:5">
      <c r="A298" s="5" t="s">
        <v>1431</v>
      </c>
      <c r="B298" s="4" t="str">
        <f ca="1">IFERROR(__xludf.DUMMYFUNCTION("IFERROR(GOOGLETRANSLATE(A298,""ko"",""en""),)"),"price")</f>
        <v>price</v>
      </c>
      <c r="C298" s="4" t="str">
        <f ca="1">IFERROR(__xludf.DUMMYFUNCTION("IFERROR(GOOGLETRANSLATE(B298,""en"",""ja""),)"),"価格")</f>
        <v>価格</v>
      </c>
      <c r="D298" s="4" t="str">
        <f ca="1">IFERROR(__xludf.DUMMYFUNCTION("IFERROR(GOOGLETRANSLATE(B298,""en"",""zh-TW""),)"),"價格")</f>
        <v>價格</v>
      </c>
      <c r="E298" s="4" t="str">
        <f ca="1">IFERROR(__xludf.DUMMYFUNCTION("IFERROR(GOOGLETRANSLATE(B298,""en"",""zh-CN""),)"),"价格")</f>
        <v>价格</v>
      </c>
    </row>
    <row r="299" spans="1:5">
      <c r="A299" s="3" t="s">
        <v>1435</v>
      </c>
      <c r="B299" s="4" t="str">
        <f ca="1">IFERROR(__xludf.DUMMYFUNCTION("IFERROR(GOOGLETRANSLATE(A299,""ko"",""en""),)"),"Where is Juno going?")</f>
        <v>Where is Juno going?</v>
      </c>
      <c r="C299" s="4" t="str">
        <f ca="1">IFERROR(__xludf.DUMMYFUNCTION("IFERROR(GOOGLETRANSLATE(B299,""en"",""ja""),)"),"ジュノーはどこへ行くのですか？")</f>
        <v>ジュノーはどこへ行くのですか？</v>
      </c>
      <c r="D299" s="4" t="str">
        <f ca="1">IFERROR(__xludf.DUMMYFUNCTION("IFERROR(GOOGLETRANSLATE(B299,""en"",""zh-TW""),)"),"朱諾要去哪裡？")</f>
        <v>朱諾要去哪裡？</v>
      </c>
      <c r="E299" s="4" t="str">
        <f ca="1">IFERROR(__xludf.DUMMYFUNCTION("IFERROR(GOOGLETRANSLATE(B299,""en"",""zh-CN""),)"),"朱诺要去哪里？")</f>
        <v>朱诺要去哪里？</v>
      </c>
    </row>
    <row r="300" spans="1:5">
      <c r="A300" s="3" t="s">
        <v>1440</v>
      </c>
      <c r="B300" s="4" t="str">
        <f ca="1">IFERROR(__xludf.DUMMYFUNCTION("IFERROR(GOOGLETRANSLATE(A300,""ko"",""en""),)"),"I'm going to Sejong Mart.")</f>
        <v>I'm going to Sejong Mart.</v>
      </c>
      <c r="C300" s="4" t="str">
        <f ca="1">IFERROR(__xludf.DUMMYFUNCTION("IFERROR(GOOGLETRANSLATE(B300,""en"",""ja""),)"),"私は世宗マートに行きます。")</f>
        <v>私は世宗マートに行きます。</v>
      </c>
      <c r="D300" s="4" t="str">
        <f ca="1">IFERROR(__xludf.DUMMYFUNCTION("IFERROR(GOOGLETRANSLATE(B300,""en"",""zh-TW""),)"),"我要去世宗超市。")</f>
        <v>我要去世宗超市。</v>
      </c>
      <c r="E300" s="4" t="str">
        <f ca="1">IFERROR(__xludf.DUMMYFUNCTION("IFERROR(GOOGLETRANSLATE(B300,""en"",""zh-CN""),)"),"我要去世宗超市。")</f>
        <v>我要去世宗超市。</v>
      </c>
    </row>
    <row r="301" spans="1:5">
      <c r="A301" s="5" t="s">
        <v>1446</v>
      </c>
      <c r="B301" s="4" t="str">
        <f ca="1">IFERROR(__xludf.DUMMYFUNCTION("IFERROR(GOOGLETRANSLATE(A301,""ko"",""en""),)"),"How many of what does Juno buy?")</f>
        <v>How many of what does Juno buy?</v>
      </c>
      <c r="C301" s="4" t="str">
        <f ca="1">IFERROR(__xludf.DUMMYFUNCTION("IFERROR(GOOGLETRANSLATE(B301,""en"",""ja""),)"),"ジュノは何をいくつ買いますか？")</f>
        <v>ジュノは何をいくつ買いますか？</v>
      </c>
      <c r="D301" s="4" t="str">
        <f ca="1">IFERROR(__xludf.DUMMYFUNCTION("IFERROR(GOOGLETRANSLATE(B301,""en"",""zh-TW""),)"),"Juno 會買多少東西？")</f>
        <v>Juno 會買多少東西？</v>
      </c>
      <c r="E301" s="4" t="str">
        <f ca="1">IFERROR(__xludf.DUMMYFUNCTION("IFERROR(GOOGLETRANSLATE(B301,""en"",""zh-CN""),)"),"Juno 会买多少种东西？")</f>
        <v>Juno 会买多少种东西？</v>
      </c>
    </row>
    <row r="302" spans="1:5">
      <c r="A302" s="3" t="s">
        <v>1451</v>
      </c>
      <c r="B302" s="4" t="str">
        <f ca="1">IFERROR(__xludf.DUMMYFUNCTION("IFERROR(GOOGLETRANSLATE(A302,""ko"",""en""),)"),"I'm buying one bag of snacks, four packs of ramen, two cartons of milk, and three bottles of water.")</f>
        <v>I'm buying one bag of snacks, four packs of ramen, two cartons of milk, and three bottles of water.</v>
      </c>
      <c r="C302" s="4" t="str">
        <f ca="1">IFERROR(__xludf.DUMMYFUNCTION("IFERROR(GOOGLETRANSLATE(B302,""en"",""ja""),)"),"お菓子1袋、ラーメン4袋、牛乳2パック、水3本を買います。")</f>
        <v>お菓子1袋、ラーメン4袋、牛乳2パック、水3本を買います。</v>
      </c>
      <c r="D302" s="4" t="str">
        <f ca="1">IFERROR(__xludf.DUMMYFUNCTION("IFERROR(GOOGLETRANSLATE(B302,""en"",""zh-TW""),)"),"我買了一袋零食、四包拉麵、兩盒牛奶和三瓶水。")</f>
        <v>我買了一袋零食、四包拉麵、兩盒牛奶和三瓶水。</v>
      </c>
      <c r="E302" s="4" t="str">
        <f ca="1">IFERROR(__xludf.DUMMYFUNCTION("IFERROR(GOOGLETRANSLATE(B302,""en"",""zh-CN""),)"),"我买了一袋零食、四包拉面、两盒牛奶和三瓶水。")</f>
        <v>我买了一袋零食、四包拉面、两盒牛奶和三瓶水。</v>
      </c>
    </row>
    <row r="303" spans="1:5">
      <c r="A303" s="3" t="s">
        <v>1380</v>
      </c>
      <c r="B303" s="4" t="str">
        <f ca="1">IFERROR(__xludf.DUMMYFUNCTION("IFERROR(GOOGLETRANSLATE(A303,""ko"",""en""),)"),"How much is it all?")</f>
        <v>How much is it all?</v>
      </c>
      <c r="C303" s="4" t="str">
        <f ca="1">IFERROR(__xludf.DUMMYFUNCTION("IFERROR(GOOGLETRANSLATE(B303,""en"",""ja""),)"),"全部でいくらですか？")</f>
        <v>全部でいくらですか？</v>
      </c>
      <c r="D303" s="4" t="str">
        <f ca="1">IFERROR(__xludf.DUMMYFUNCTION("IFERROR(GOOGLETRANSLATE(B303,""en"",""zh-TW""),)"),"總共多少錢？")</f>
        <v>總共多少錢？</v>
      </c>
      <c r="E303" s="4" t="str">
        <f ca="1">IFERROR(__xludf.DUMMYFUNCTION("IFERROR(GOOGLETRANSLATE(B303,""en"",""zh-CN""),)"),"总共多少钱？")</f>
        <v>总共多少钱？</v>
      </c>
    </row>
    <row r="304" spans="1:5">
      <c r="A304" s="5" t="s">
        <v>1460</v>
      </c>
      <c r="B304" s="4" t="str">
        <f ca="1">IFERROR(__xludf.DUMMYFUNCTION("IFERROR(GOOGLETRANSLATE(A304,""ko"",""en""),)"),"date")</f>
        <v>date</v>
      </c>
      <c r="C304" s="4" t="str">
        <f ca="1">IFERROR(__xludf.DUMMYFUNCTION("IFERROR(GOOGLETRANSLATE(B304,""en"",""ja""),)"),"日付")</f>
        <v>日付</v>
      </c>
      <c r="D304" s="4" t="str">
        <f ca="1">IFERROR(__xludf.DUMMYFUNCTION("IFERROR(GOOGLETRANSLATE(B304,""en"",""zh-TW""),)"),"日期")</f>
        <v>日期</v>
      </c>
      <c r="E304" s="4" t="str">
        <f ca="1">IFERROR(__xludf.DUMMYFUNCTION("IFERROR(GOOGLETRANSLATE(B304,""en"",""zh-CN""),)"),"日期")</f>
        <v>日期</v>
      </c>
    </row>
    <row r="305" spans="1:5">
      <c r="A305" s="5" t="s">
        <v>1466</v>
      </c>
      <c r="B305" s="4" t="str">
        <f ca="1">IFERROR(__xludf.DUMMYFUNCTION("IFERROR(GOOGLETRANSLATE(A305,""ko"",""en""),)"),"day of the week")</f>
        <v>day of the week</v>
      </c>
      <c r="C305" s="4" t="str">
        <f ca="1">IFERROR(__xludf.DUMMYFUNCTION("IFERROR(GOOGLETRANSLATE(B305,""en"",""ja""),)"),"曜日")</f>
        <v>曜日</v>
      </c>
      <c r="D305" s="4" t="str">
        <f ca="1">IFERROR(__xludf.DUMMYFUNCTION("IFERROR(GOOGLETRANSLATE(B305,""en"",""zh-TW""),)"),"星期幾")</f>
        <v>星期幾</v>
      </c>
      <c r="E305" s="4" t="str">
        <f ca="1">IFERROR(__xludf.DUMMYFUNCTION("IFERROR(GOOGLETRANSLATE(B305,""en"",""zh-CN""),)"),"星期几")</f>
        <v>星期几</v>
      </c>
    </row>
    <row r="306" spans="1:5">
      <c r="A306" s="3" t="s">
        <v>1472</v>
      </c>
      <c r="B306" s="4" t="str">
        <f ca="1">IFERROR(__xludf.DUMMYFUNCTION("IFERROR(GOOGLETRANSLATE(A306,""ko"",""en""),)"),"seven o'clock")</f>
        <v>seven o'clock</v>
      </c>
      <c r="C306" s="4" t="str">
        <f ca="1">IFERROR(__xludf.DUMMYFUNCTION("IFERROR(GOOGLETRANSLATE(B306,""en"",""ja""),)"),"7時")</f>
        <v>7時</v>
      </c>
      <c r="D306" s="4" t="str">
        <f ca="1">IFERROR(__xludf.DUMMYFUNCTION("IFERROR(GOOGLETRANSLATE(B306,""en"",""zh-TW""),)"),"七點鐘")</f>
        <v>七點鐘</v>
      </c>
      <c r="E306" s="4" t="str">
        <f ca="1">IFERROR(__xludf.DUMMYFUNCTION("IFERROR(GOOGLETRANSLATE(B306,""en"",""zh-CN""),)"),"七点钟")</f>
        <v>七点钟</v>
      </c>
    </row>
    <row r="307" spans="1:5">
      <c r="A307" s="3" t="s">
        <v>1475</v>
      </c>
      <c r="B307" s="4" t="str">
        <f ca="1">IFERROR(__xludf.DUMMYFUNCTION("IFERROR(GOOGLETRANSLATE(A307,""ko"",""en""),)"),"It starts at seven.")</f>
        <v>It starts at seven.</v>
      </c>
      <c r="C307" s="4" t="str">
        <f ca="1">IFERROR(__xludf.DUMMYFUNCTION("IFERROR(GOOGLETRANSLATE(B307,""en"",""ja""),)"),"7時から始まります。")</f>
        <v>7時から始まります。</v>
      </c>
      <c r="D307" s="4" t="str">
        <f ca="1">IFERROR(__xludf.DUMMYFUNCTION("IFERROR(GOOGLETRANSLATE(B307,""en"",""zh-TW""),)"),"七點開始。")</f>
        <v>七點開始。</v>
      </c>
      <c r="E307" s="4" t="str">
        <f ca="1">IFERROR(__xludf.DUMMYFUNCTION("IFERROR(GOOGLETRANSLATE(B307,""en"",""zh-CN""),)"),"七点开始。")</f>
        <v>七点开始。</v>
      </c>
    </row>
    <row r="308" spans="1:5">
      <c r="A308" s="3" t="s">
        <v>1480</v>
      </c>
      <c r="B308" s="4" t="str">
        <f ca="1">IFERROR(__xludf.DUMMYFUNCTION("IFERROR(GOOGLETRANSLATE(A308,""ko"",""en""),)"),"calendar")</f>
        <v>calendar</v>
      </c>
      <c r="C308" s="4" t="str">
        <f ca="1">IFERROR(__xludf.DUMMYFUNCTION("IFERROR(GOOGLETRANSLATE(B308,""en"",""ja""),)"),"カレンダー")</f>
        <v>カレンダー</v>
      </c>
      <c r="D308" s="4" t="str">
        <f ca="1">IFERROR(__xludf.DUMMYFUNCTION("IFERROR(GOOGLETRANSLATE(B308,""en"",""zh-TW""),)"),"日曆")</f>
        <v>日曆</v>
      </c>
      <c r="E308" s="4" t="str">
        <f ca="1">IFERROR(__xludf.DUMMYFUNCTION("IFERROR(GOOGLETRANSLATE(B308,""en"",""zh-CN""),)"),"日历")</f>
        <v>日历</v>
      </c>
    </row>
    <row r="309" spans="1:5">
      <c r="A309" s="3" t="s">
        <v>1439</v>
      </c>
      <c r="B309" s="4" t="str">
        <f ca="1">IFERROR(__xludf.DUMMYFUNCTION("IFERROR(GOOGLETRANSLATE(A309,""ko"",""en""),)"),"January")</f>
        <v>January</v>
      </c>
      <c r="C309" s="4" t="str">
        <f ca="1">IFERROR(__xludf.DUMMYFUNCTION("IFERROR(GOOGLETRANSLATE(B309,""en"",""ja""),)"),"1月")</f>
        <v>1月</v>
      </c>
      <c r="D309" s="4" t="str">
        <f ca="1">IFERROR(__xludf.DUMMYFUNCTION("IFERROR(GOOGLETRANSLATE(B309,""en"",""zh-TW""),)"),"一月")</f>
        <v>一月</v>
      </c>
      <c r="E309" s="4" t="str">
        <f ca="1">IFERROR(__xludf.DUMMYFUNCTION("IFERROR(GOOGLETRANSLATE(B309,""en"",""zh-CN""),)"),"一月")</f>
        <v>一月</v>
      </c>
    </row>
    <row r="310" spans="1:5">
      <c r="A310" s="3" t="s">
        <v>1443</v>
      </c>
      <c r="B310" s="4" t="s">
        <v>1444</v>
      </c>
      <c r="C310" s="4" t="str">
        <f ca="1">IFERROR(__xludf.DUMMYFUNCTION("IFERROR(GOOGLETRANSLATE(B310,""en"",""ja""),)"),"2月")</f>
        <v>2月</v>
      </c>
      <c r="D310" s="4" t="str">
        <f ca="1">IFERROR(__xludf.DUMMYFUNCTION("IFERROR(GOOGLETRANSLATE(B310,""en"",""zh-TW""),)"),"二月")</f>
        <v>二月</v>
      </c>
      <c r="E310" s="4" t="str">
        <f ca="1">IFERROR(__xludf.DUMMYFUNCTION("IFERROR(GOOGLETRANSLATE(B310,""en"",""zh-CN""),)"),"二月")</f>
        <v>二月</v>
      </c>
    </row>
    <row r="311" spans="1:5">
      <c r="A311" s="3" t="s">
        <v>1447</v>
      </c>
      <c r="B311" s="4" t="str">
        <f ca="1">IFERROR(__xludf.DUMMYFUNCTION("IFERROR(GOOGLETRANSLATE(A311,""ko"",""en""),)"),"March")</f>
        <v>March</v>
      </c>
      <c r="C311" s="4" t="str">
        <f ca="1">IFERROR(__xludf.DUMMYFUNCTION("IFERROR(GOOGLETRANSLATE(B311,""en"",""ja""),)"),"行進")</f>
        <v>行進</v>
      </c>
      <c r="D311" s="4" t="str">
        <f ca="1">IFERROR(__xludf.DUMMYFUNCTION("IFERROR(GOOGLETRANSLATE(B311,""en"",""zh-TW""),)"),"行進")</f>
        <v>行進</v>
      </c>
      <c r="E311" s="4" t="str">
        <f ca="1">IFERROR(__xludf.DUMMYFUNCTION("IFERROR(GOOGLETRANSLATE(B311,""en"",""zh-CN""),)"),"行进")</f>
        <v>行进</v>
      </c>
    </row>
    <row r="312" spans="1:5">
      <c r="A312" s="3" t="s">
        <v>1450</v>
      </c>
      <c r="B312" s="4" t="str">
        <f ca="1">IFERROR(__xludf.DUMMYFUNCTION("IFERROR(GOOGLETRANSLATE(A312,""ko"",""en""),)"),"April")</f>
        <v>April</v>
      </c>
      <c r="C312" s="4" t="str">
        <f ca="1">IFERROR(__xludf.DUMMYFUNCTION("IFERROR(GOOGLETRANSLATE(B312,""en"",""ja""),)"),"4月")</f>
        <v>4月</v>
      </c>
      <c r="D312" s="4" t="str">
        <f ca="1">IFERROR(__xludf.DUMMYFUNCTION("IFERROR(GOOGLETRANSLATE(B312,""en"",""zh-TW""),)"),"四月")</f>
        <v>四月</v>
      </c>
      <c r="E312" s="4" t="str">
        <f ca="1">IFERROR(__xludf.DUMMYFUNCTION("IFERROR(GOOGLETRANSLATE(B312,""en"",""zh-CN""),)"),"四月")</f>
        <v>四月</v>
      </c>
    </row>
    <row r="313" spans="1:5">
      <c r="A313" s="3" t="s">
        <v>1454</v>
      </c>
      <c r="B313" s="4" t="str">
        <f ca="1">IFERROR(__xludf.DUMMYFUNCTION("IFERROR(GOOGLETRANSLATE(A313,""ko"",""en""),)"),"May")</f>
        <v>May</v>
      </c>
      <c r="C313" s="4" t="str">
        <f ca="1">IFERROR(__xludf.DUMMYFUNCTION("IFERROR(GOOGLETRANSLATE(B313,""en"",""ja""),)"),"5月")</f>
        <v>5月</v>
      </c>
      <c r="D313" s="4" t="str">
        <f ca="1">IFERROR(__xludf.DUMMYFUNCTION("IFERROR(GOOGLETRANSLATE(B313,""en"",""zh-TW""),)"),"可能")</f>
        <v>可能</v>
      </c>
      <c r="E313" s="4" t="str">
        <f ca="1">IFERROR(__xludf.DUMMYFUNCTION("IFERROR(GOOGLETRANSLATE(B313,""en"",""zh-CN""),)"),"可能")</f>
        <v>可能</v>
      </c>
    </row>
    <row r="314" spans="1:5">
      <c r="A314" s="2" t="s">
        <v>1457</v>
      </c>
      <c r="B314" s="4" t="str">
        <f ca="1">IFERROR(__xludf.DUMMYFUNCTION("IFERROR(GOOGLETRANSLATE(A314,""ko"",""en""),)"),"June")</f>
        <v>June</v>
      </c>
      <c r="C314" s="4" t="str">
        <f ca="1">IFERROR(__xludf.DUMMYFUNCTION("IFERROR(GOOGLETRANSLATE(B314,""en"",""ja""),)"),"6月")</f>
        <v>6月</v>
      </c>
      <c r="D314" s="4" t="str">
        <f ca="1">IFERROR(__xludf.DUMMYFUNCTION("IFERROR(GOOGLETRANSLATE(B314,""en"",""zh-TW""),)"),"六月")</f>
        <v>六月</v>
      </c>
      <c r="E314" s="4" t="str">
        <f ca="1">IFERROR(__xludf.DUMMYFUNCTION("IFERROR(GOOGLETRANSLATE(B314,""en"",""zh-CN""),)"),"六月")</f>
        <v>六月</v>
      </c>
    </row>
    <row r="315" spans="1:5">
      <c r="A315" s="3" t="s">
        <v>1462</v>
      </c>
      <c r="B315" s="4" t="str">
        <f ca="1">IFERROR(__xludf.DUMMYFUNCTION("IFERROR(GOOGLETRANSLATE(A315,""ko"",""en""),)"),"July")</f>
        <v>July</v>
      </c>
      <c r="C315" s="4" t="str">
        <f ca="1">IFERROR(__xludf.DUMMYFUNCTION("IFERROR(GOOGLETRANSLATE(B315,""en"",""ja""),)"),"7月")</f>
        <v>7月</v>
      </c>
      <c r="D315" s="4" t="str">
        <f ca="1">IFERROR(__xludf.DUMMYFUNCTION("IFERROR(GOOGLETRANSLATE(B315,""en"",""zh-TW""),)"),"七月")</f>
        <v>七月</v>
      </c>
      <c r="E315" s="4" t="str">
        <f ca="1">IFERROR(__xludf.DUMMYFUNCTION("IFERROR(GOOGLETRANSLATE(B315,""en"",""zh-CN""),)"),"七月")</f>
        <v>七月</v>
      </c>
    </row>
    <row r="316" spans="1:5">
      <c r="A316" s="3" t="s">
        <v>1465</v>
      </c>
      <c r="B316" s="4" t="str">
        <f ca="1">IFERROR(__xludf.DUMMYFUNCTION("IFERROR(GOOGLETRANSLATE(A316,""ko"",""en""),)"),"August")</f>
        <v>August</v>
      </c>
      <c r="C316" s="4" t="str">
        <f ca="1">IFERROR(__xludf.DUMMYFUNCTION("IFERROR(GOOGLETRANSLATE(B316,""en"",""ja""),)"),"8月")</f>
        <v>8月</v>
      </c>
      <c r="D316" s="4" t="str">
        <f ca="1">IFERROR(__xludf.DUMMYFUNCTION("IFERROR(GOOGLETRANSLATE(B316,""en"",""zh-TW""),)"),"八月")</f>
        <v>八月</v>
      </c>
      <c r="E316" s="4" t="str">
        <f ca="1">IFERROR(__xludf.DUMMYFUNCTION("IFERROR(GOOGLETRANSLATE(B316,""en"",""zh-CN""),)"),"八月")</f>
        <v>八月</v>
      </c>
    </row>
    <row r="317" spans="1:5">
      <c r="A317" s="3" t="s">
        <v>1469</v>
      </c>
      <c r="B317" s="4" t="str">
        <f ca="1">IFERROR(__xludf.DUMMYFUNCTION("IFERROR(GOOGLETRANSLATE(A317,""ko"",""en""),)"),"September")</f>
        <v>September</v>
      </c>
      <c r="C317" s="4" t="str">
        <f ca="1">IFERROR(__xludf.DUMMYFUNCTION("IFERROR(GOOGLETRANSLATE(B317,""en"",""ja""),)"),"9月")</f>
        <v>9月</v>
      </c>
      <c r="D317" s="4" t="str">
        <f ca="1">IFERROR(__xludf.DUMMYFUNCTION("IFERROR(GOOGLETRANSLATE(B317,""en"",""zh-TW""),)"),"九月")</f>
        <v>九月</v>
      </c>
      <c r="E317" s="4" t="str">
        <f ca="1">IFERROR(__xludf.DUMMYFUNCTION("IFERROR(GOOGLETRANSLATE(B317,""en"",""zh-CN""),)"),"九月")</f>
        <v>九月</v>
      </c>
    </row>
    <row r="318" spans="1:5">
      <c r="A318" s="2" t="s">
        <v>1474</v>
      </c>
      <c r="B318" s="4" t="str">
        <f ca="1">IFERROR(__xludf.DUMMYFUNCTION("IFERROR(GOOGLETRANSLATE(A318,""ko"",""en""),)"),"October")</f>
        <v>October</v>
      </c>
      <c r="C318" s="4" t="str">
        <f ca="1">IFERROR(__xludf.DUMMYFUNCTION("IFERROR(GOOGLETRANSLATE(B318,""en"",""ja""),)"),"10月")</f>
        <v>10月</v>
      </c>
      <c r="D318" s="4" t="str">
        <f ca="1">IFERROR(__xludf.DUMMYFUNCTION("IFERROR(GOOGLETRANSLATE(B318,""en"",""zh-TW""),)"),"十月")</f>
        <v>十月</v>
      </c>
      <c r="E318" s="4" t="str">
        <f ca="1">IFERROR(__xludf.DUMMYFUNCTION("IFERROR(GOOGLETRANSLATE(B318,""en"",""zh-CN""),)"),"十月")</f>
        <v>十月</v>
      </c>
    </row>
    <row r="319" spans="1:5">
      <c r="A319" s="3" t="s">
        <v>1478</v>
      </c>
      <c r="B319" s="4" t="str">
        <f ca="1">IFERROR(__xludf.DUMMYFUNCTION("IFERROR(GOOGLETRANSLATE(A319,""ko"",""en""),)"),"November")</f>
        <v>November</v>
      </c>
      <c r="C319" s="4" t="str">
        <f ca="1">IFERROR(__xludf.DUMMYFUNCTION("IFERROR(GOOGLETRANSLATE(B319,""en"",""ja""),)"),"11月")</f>
        <v>11月</v>
      </c>
      <c r="D319" s="4" t="str">
        <f ca="1">IFERROR(__xludf.DUMMYFUNCTION("IFERROR(GOOGLETRANSLATE(B319,""en"",""zh-TW""),)"),"十一月")</f>
        <v>十一月</v>
      </c>
      <c r="E319" s="4" t="str">
        <f ca="1">IFERROR(__xludf.DUMMYFUNCTION("IFERROR(GOOGLETRANSLATE(B319,""en"",""zh-CN""),)"),"十一月")</f>
        <v>十一月</v>
      </c>
    </row>
    <row r="320" spans="1:5">
      <c r="A320" s="3" t="s">
        <v>1482</v>
      </c>
      <c r="B320" s="4" t="str">
        <f ca="1">IFERROR(__xludf.DUMMYFUNCTION("IFERROR(GOOGLETRANSLATE(A320,""ko"",""en""),)"),"December")</f>
        <v>December</v>
      </c>
      <c r="C320" s="4" t="str">
        <f ca="1">IFERROR(__xludf.DUMMYFUNCTION("IFERROR(GOOGLETRANSLATE(B320,""en"",""ja""),)"),"12月")</f>
        <v>12月</v>
      </c>
      <c r="D320" s="4" t="str">
        <f ca="1">IFERROR(__xludf.DUMMYFUNCTION("IFERROR(GOOGLETRANSLATE(B320,""en"",""zh-TW""),)"),"十二月")</f>
        <v>十二月</v>
      </c>
      <c r="E320" s="4" t="str">
        <f ca="1">IFERROR(__xludf.DUMMYFUNCTION("IFERROR(GOOGLETRANSLATE(B320,""en"",""zh-CN""),)"),"十二月")</f>
        <v>十二月</v>
      </c>
    </row>
    <row r="321" spans="1:5">
      <c r="A321" s="3" t="s">
        <v>1550</v>
      </c>
      <c r="B321" s="4" t="str">
        <f ca="1">IFERROR(__xludf.DUMMYFUNCTION("IFERROR(GOOGLETRANSLATE(A321,""ko"",""en""),)"),"What month is it?")</f>
        <v>What month is it?</v>
      </c>
      <c r="C321" s="4" t="str">
        <f ca="1">IFERROR(__xludf.DUMMYFUNCTION("IFERROR(GOOGLETRANSLATE(B321,""en"",""ja""),)"),"今は何月ですか？")</f>
        <v>今は何月ですか？</v>
      </c>
      <c r="D321" s="4" t="str">
        <f ca="1">IFERROR(__xludf.DUMMYFUNCTION("IFERROR(GOOGLETRANSLATE(B321,""en"",""zh-TW""),)"),"現在是幾月？")</f>
        <v>現在是幾月？</v>
      </c>
      <c r="E321" s="4" t="str">
        <f ca="1">IFERROR(__xludf.DUMMYFUNCTION("IFERROR(GOOGLETRANSLATE(B321,""en"",""zh-CN""),)"),"现在是几月？")</f>
        <v>现在是几月？</v>
      </c>
    </row>
    <row r="322" spans="1:5">
      <c r="A322" s="3" t="s">
        <v>1555</v>
      </c>
      <c r="B322" s="4" t="str">
        <f ca="1">IFERROR(__xludf.DUMMYFUNCTION("IFERROR(GOOGLETRANSLATE(A322,""ko"",""en""),)"),"It's March.")</f>
        <v>It's March.</v>
      </c>
      <c r="C322" s="4" t="str">
        <f ca="1">IFERROR(__xludf.DUMMYFUNCTION("IFERROR(GOOGLETRANSLATE(B322,""en"",""ja""),)"),"3月です。")</f>
        <v>3月です。</v>
      </c>
      <c r="D322" s="4" t="str">
        <f ca="1">IFERROR(__xludf.DUMMYFUNCTION("IFERROR(GOOGLETRANSLATE(B322,""en"",""zh-TW""),)"),"現在是三月。")</f>
        <v>現在是三月。</v>
      </c>
      <c r="E322" s="4" t="str">
        <f ca="1">IFERROR(__xludf.DUMMYFUNCTION("IFERROR(GOOGLETRANSLATE(B322,""en"",""zh-CN""),)"),"现在是三月。")</f>
        <v>现在是三月。</v>
      </c>
    </row>
    <row r="323" spans="1:5">
      <c r="A323" s="3" t="s">
        <v>1556</v>
      </c>
      <c r="B323" s="4" t="str">
        <f ca="1">IFERROR(__xludf.DUMMYFUNCTION("IFERROR(GOOGLETRANSLATE(A323,""ko"",""en""),)"),"It's August.")</f>
        <v>It's August.</v>
      </c>
      <c r="C323" s="4" t="str">
        <f ca="1">IFERROR(__xludf.DUMMYFUNCTION("IFERROR(GOOGLETRANSLATE(B323,""en"",""ja""),)"),"8月だ。")</f>
        <v>8月だ。</v>
      </c>
      <c r="D323" s="4" t="str">
        <f ca="1">IFERROR(__xludf.DUMMYFUNCTION("IFERROR(GOOGLETRANSLATE(B323,""en"",""zh-TW""),)"),"現在是八月。")</f>
        <v>現在是八月。</v>
      </c>
      <c r="E323" s="4" t="str">
        <f ca="1">IFERROR(__xludf.DUMMYFUNCTION("IFERROR(GOOGLETRANSLATE(B323,""en"",""zh-CN""),)"),"现在是八月。")</f>
        <v>现在是八月。</v>
      </c>
    </row>
    <row r="324" spans="1:5">
      <c r="A324" s="3" t="s">
        <v>1560</v>
      </c>
      <c r="B324" s="4" t="s">
        <v>1561</v>
      </c>
      <c r="C324" s="4" t="str">
        <f ca="1">IFERROR(__xludf.DUMMYFUNCTION("IFERROR(GOOGLETRANSLATE(B324,""en"",""ja""),)"),"今日は何曜日ですか？")</f>
        <v>今日は何曜日ですか？</v>
      </c>
      <c r="D324" s="4" t="str">
        <f ca="1">IFERROR(__xludf.DUMMYFUNCTION("IFERROR(GOOGLETRANSLATE(B324,""en"",""zh-TW""),)"),"今天星期幾？")</f>
        <v>今天星期幾？</v>
      </c>
      <c r="E324" s="4" t="str">
        <f ca="1">IFERROR(__xludf.DUMMYFUNCTION("IFERROR(GOOGLETRANSLATE(B324,""en"",""zh-CN""),)"),"今天星期几？")</f>
        <v>今天星期几？</v>
      </c>
    </row>
    <row r="325" spans="1:5">
      <c r="A325" s="3" t="s">
        <v>1566</v>
      </c>
      <c r="B325" s="4" t="str">
        <f ca="1">IFERROR(__xludf.DUMMYFUNCTION("IFERROR(GOOGLETRANSLATE(A325,""ko"",""en""),)"),"It is March 1st.")</f>
        <v>It is March 1st.</v>
      </c>
      <c r="C325" s="4" t="str">
        <f ca="1">IFERROR(__xludf.DUMMYFUNCTION("IFERROR(GOOGLETRANSLATE(B325,""en"",""ja""),)"),"今日は3月1日です。")</f>
        <v>今日は3月1日です。</v>
      </c>
      <c r="D325" s="4" t="str">
        <f ca="1">IFERROR(__xludf.DUMMYFUNCTION("IFERROR(GOOGLETRANSLATE(B325,""en"",""zh-TW""),)"),"今天是3月1日。")</f>
        <v>今天是3月1日。</v>
      </c>
      <c r="E325" s="4" t="str">
        <f ca="1">IFERROR(__xludf.DUMMYFUNCTION("IFERROR(GOOGLETRANSLATE(B325,""en"",""zh-CN""),)"),"今天是3月1日。")</f>
        <v>今天是3月1日。</v>
      </c>
    </row>
    <row r="326" spans="1:5">
      <c r="A326" s="3" t="s">
        <v>1570</v>
      </c>
      <c r="B326" s="4" t="str">
        <f ca="1">IFERROR(__xludf.DUMMYFUNCTION("IFERROR(GOOGLETRANSLATE(A326,""ko"",""en""),)"),"2,024")</f>
        <v>2,024</v>
      </c>
      <c r="C326" s="4" t="str">
        <f ca="1">IFERROR(__xludf.DUMMYFUNCTION("IFERROR(GOOGLETRANSLATE(B326,""en"",""ja""),)"),"2,024")</f>
        <v>2,024</v>
      </c>
      <c r="D326" s="4" t="str">
        <f ca="1">IFERROR(__xludf.DUMMYFUNCTION("IFERROR(GOOGLETRANSLATE(B326,""en"",""zh-TW""),)"),"2,024")</f>
        <v>2,024</v>
      </c>
      <c r="E326" s="4" t="str">
        <f ca="1">IFERROR(__xludf.DUMMYFUNCTION("IFERROR(GOOGLETRANSLATE(B326,""en"",""zh-CN""),)"),"2,024")</f>
        <v>2,024</v>
      </c>
    </row>
    <row r="327" spans="1:5">
      <c r="A327" s="3" t="s">
        <v>1574</v>
      </c>
      <c r="B327" s="4" t="str">
        <f ca="1">IFERROR(__xludf.DUMMYFUNCTION("IFERROR(GOOGLETRANSLATE(A327,""ko"",""en""),)"),"twenty-one")</f>
        <v>twenty-one</v>
      </c>
      <c r="C327" s="4" t="str">
        <f ca="1">IFERROR(__xludf.DUMMYFUNCTION("IFERROR(GOOGLETRANSLATE(B327,""en"",""ja""),)"),"21")</f>
        <v>21</v>
      </c>
      <c r="D327" s="4" t="str">
        <f ca="1">IFERROR(__xludf.DUMMYFUNCTION("IFERROR(GOOGLETRANSLATE(B327,""en"",""zh-TW""),)"),"21")</f>
        <v>21</v>
      </c>
      <c r="E327" s="4" t="str">
        <f ca="1">IFERROR(__xludf.DUMMYFUNCTION("IFERROR(GOOGLETRANSLATE(B327,""en"",""zh-CN""),)"),"21")</f>
        <v>21</v>
      </c>
    </row>
    <row r="328" spans="1:5">
      <c r="A328" s="2" t="s">
        <v>1580</v>
      </c>
      <c r="B328" s="4" t="str">
        <f ca="1">IFERROR(__xludf.DUMMYFUNCTION("IFERROR(GOOGLETRANSLATE(A328,""ko"",""en""),)"),"What day is it today?")</f>
        <v>What day is it today?</v>
      </c>
      <c r="C328" s="4" t="str">
        <f ca="1">IFERROR(__xludf.DUMMYFUNCTION("IFERROR(GOOGLETRANSLATE(B328,""en"",""ja""),)"),"今日は何曜日ですか？")</f>
        <v>今日は何曜日ですか？</v>
      </c>
      <c r="D328" s="4" t="str">
        <f ca="1">IFERROR(__xludf.DUMMYFUNCTION("IFERROR(GOOGLETRANSLATE(B328,""en"",""zh-TW""),)"),"今天星期幾？")</f>
        <v>今天星期幾？</v>
      </c>
      <c r="E328" s="4" t="str">
        <f ca="1">IFERROR(__xludf.DUMMYFUNCTION("IFERROR(GOOGLETRANSLATE(B328,""en"",""zh-CN""),)"),"今天星期几？")</f>
        <v>今天星期几？</v>
      </c>
    </row>
    <row r="329" spans="1:5">
      <c r="A329" s="3" t="s">
        <v>1590</v>
      </c>
      <c r="B329" s="4" t="str">
        <f ca="1">IFERROR(__xludf.DUMMYFUNCTION("IFERROR(GOOGLETRANSLATE(A329,""ko"",""en""),)"),"It is August 19, 2024.")</f>
        <v>It is August 19, 2024.</v>
      </c>
      <c r="C329" s="4" t="str">
        <f ca="1">IFERROR(__xludf.DUMMYFUNCTION("IFERROR(GOOGLETRANSLATE(B329,""en"",""ja""),)"),"今日は2024年8月19日です。")</f>
        <v>今日は2024年8月19日です。</v>
      </c>
      <c r="D329" s="4" t="str">
        <f ca="1">IFERROR(__xludf.DUMMYFUNCTION("IFERROR(GOOGLETRANSLATE(B329,""en"",""zh-TW""),)"),"今天是2024年8月19日。")</f>
        <v>今天是2024年8月19日。</v>
      </c>
      <c r="E329" s="4" t="str">
        <f ca="1">IFERROR(__xludf.DUMMYFUNCTION("IFERROR(GOOGLETRANSLATE(B329,""en"",""zh-CN""),)"),"今天是2024年8月19日。")</f>
        <v>今天是2024年8月19日。</v>
      </c>
    </row>
    <row r="330" spans="1:5">
      <c r="A330" s="3" t="s">
        <v>1594</v>
      </c>
      <c r="B330" s="4" t="str">
        <f ca="1">IFERROR(__xludf.DUMMYFUNCTION("IFERROR(GOOGLETRANSLATE(A330,""ko"",""en""),)"),"What day is tomorrow?")</f>
        <v>What day is tomorrow?</v>
      </c>
      <c r="C330" s="4" t="str">
        <f ca="1">IFERROR(__xludf.DUMMYFUNCTION("IFERROR(GOOGLETRANSLATE(B330,""en"",""ja""),)"),"明日は何曜日ですか？")</f>
        <v>明日は何曜日ですか？</v>
      </c>
      <c r="D330" s="4" t="str">
        <f ca="1">IFERROR(__xludf.DUMMYFUNCTION("IFERROR(GOOGLETRANSLATE(B330,""en"",""zh-TW""),)"),"明天是星期幾？")</f>
        <v>明天是星期幾？</v>
      </c>
      <c r="E330" s="4" t="str">
        <f ca="1">IFERROR(__xludf.DUMMYFUNCTION("IFERROR(GOOGLETRANSLATE(B330,""en"",""zh-CN""),)"),"明天是星期几？")</f>
        <v>明天是星期几？</v>
      </c>
    </row>
    <row r="331" spans="1:5">
      <c r="A331" s="3" t="s">
        <v>1600</v>
      </c>
      <c r="B331" s="4" t="str">
        <f ca="1">IFERROR(__xludf.DUMMYFUNCTION("IFERROR(GOOGLETRANSLATE(A331,""ko"",""en""),)"),"It is August 20th, 2024.")</f>
        <v>It is August 20th, 2024.</v>
      </c>
      <c r="C331" s="4" t="str">
        <f ca="1">IFERROR(__xludf.DUMMYFUNCTION("IFERROR(GOOGLETRANSLATE(B331,""en"",""ja""),)"),"今日は2024年8月20日です。")</f>
        <v>今日は2024年8月20日です。</v>
      </c>
      <c r="D331" s="4" t="str">
        <f ca="1">IFERROR(__xludf.DUMMYFUNCTION("IFERROR(GOOGLETRANSLATE(B331,""en"",""zh-TW""),)"),"今天是2024年8月20日。")</f>
        <v>今天是2024年8月20日。</v>
      </c>
      <c r="E331" s="4" t="str">
        <f ca="1">IFERROR(__xludf.DUMMYFUNCTION("IFERROR(GOOGLETRANSLATE(B331,""en"",""zh-CN""),)"),"今天是2024年8月20日。")</f>
        <v>今天是2024年8月20日。</v>
      </c>
    </row>
    <row r="332" spans="1:5">
      <c r="A332" s="3" t="s">
        <v>1605</v>
      </c>
      <c r="B332" s="4" t="str">
        <f ca="1">IFERROR(__xludf.DUMMYFUNCTION("IFERROR(GOOGLETRANSLATE(A332,""ko"",""en""),)"),"Is today the twenty-one?")</f>
        <v>Is today the twenty-one?</v>
      </c>
      <c r="C332" s="4" t="str">
        <f ca="1">IFERROR(__xludf.DUMMYFUNCTION("IFERROR(GOOGLETRANSLATE(B332,""en"",""ja""),)"),"今日は21日ですか？")</f>
        <v>今日は21日ですか？</v>
      </c>
      <c r="D332" s="4" t="str">
        <f ca="1">IFERROR(__xludf.DUMMYFUNCTION("IFERROR(GOOGLETRANSLATE(B332,""en"",""zh-TW""),)"),"今天是21號嗎？")</f>
        <v>今天是21號嗎？</v>
      </c>
      <c r="E332" s="4" t="str">
        <f ca="1">IFERROR(__xludf.DUMMYFUNCTION("IFERROR(GOOGLETRANSLATE(B332,""en"",""zh-CN""),)"),"今天是21号吗？")</f>
        <v>今天是21号吗？</v>
      </c>
    </row>
    <row r="333" spans="1:5">
      <c r="A333" s="3" t="s">
        <v>1611</v>
      </c>
      <c r="B333" s="4" t="str">
        <f ca="1">IFERROR(__xludf.DUMMYFUNCTION("IFERROR(GOOGLETRANSLATE(A333,""ko"",""en""),)"),"No, today is the nineteenth.")</f>
        <v>No, today is the nineteenth.</v>
      </c>
      <c r="C333" s="4" t="str">
        <f ca="1">IFERROR(__xludf.DUMMYFUNCTION("IFERROR(GOOGLETRANSLATE(B333,""en"",""ja""),)"),"いいえ、今日は19日です。")</f>
        <v>いいえ、今日は19日です。</v>
      </c>
      <c r="D333" s="4" t="str">
        <f ca="1">IFERROR(__xludf.DUMMYFUNCTION("IFERROR(GOOGLETRANSLATE(B333,""en"",""zh-TW""),)"),"不，今天是十九號。")</f>
        <v>不，今天是十九號。</v>
      </c>
      <c r="E333" s="4" t="str">
        <f ca="1">IFERROR(__xludf.DUMMYFUNCTION("IFERROR(GOOGLETRANSLATE(B333,""en"",""zh-CN""),)"),"不，今天是十九号。")</f>
        <v>不，今天是十九号。</v>
      </c>
    </row>
    <row r="334" spans="1:5">
      <c r="A334" s="3" t="s">
        <v>1616</v>
      </c>
      <c r="B334" s="4" t="str">
        <f ca="1">IFERROR(__xludf.DUMMYFUNCTION("IFERROR(GOOGLETRANSLATE(A334,""ko"",""en""),)"),"When is your birthday?")</f>
        <v>When is your birthday?</v>
      </c>
      <c r="C334" s="4" t="str">
        <f ca="1">IFERROR(__xludf.DUMMYFUNCTION("IFERROR(GOOGLETRANSLATE(B334,""en"",""ja""),)"),"あなたの誕生日はいつですか？")</f>
        <v>あなたの誕生日はいつですか？</v>
      </c>
      <c r="D334" s="4" t="str">
        <f ca="1">IFERROR(__xludf.DUMMYFUNCTION("IFERROR(GOOGLETRANSLATE(B334,""en"",""zh-TW""),)"),"你的生日是什麼時候？")</f>
        <v>你的生日是什麼時候？</v>
      </c>
      <c r="E334" s="4" t="str">
        <f ca="1">IFERROR(__xludf.DUMMYFUNCTION("IFERROR(GOOGLETRANSLATE(B334,""en"",""zh-CN""),)"),"你的生日是什么时候？")</f>
        <v>你的生日是什么时候？</v>
      </c>
    </row>
    <row r="335" spans="1:5">
      <c r="A335" s="3" t="s">
        <v>1623</v>
      </c>
      <c r="B335" s="4" t="str">
        <f ca="1">IFERROR(__xludf.DUMMYFUNCTION("IFERROR(GOOGLETRANSLATE(A335,""ko"",""en""),)"),"It is July 17th.")</f>
        <v>It is July 17th.</v>
      </c>
      <c r="C335" s="4" t="str">
        <f ca="1">IFERROR(__xludf.DUMMYFUNCTION("IFERROR(GOOGLETRANSLATE(B335,""en"",""ja""),)"),"今日は7月17日です。")</f>
        <v>今日は7月17日です。</v>
      </c>
      <c r="D335" s="4" t="str">
        <f ca="1">IFERROR(__xludf.DUMMYFUNCTION("IFERROR(GOOGLETRANSLATE(B335,""en"",""zh-TW""),)"),"今天是7月17日。")</f>
        <v>今天是7月17日。</v>
      </c>
      <c r="E335" s="4" t="str">
        <f ca="1">IFERROR(__xludf.DUMMYFUNCTION("IFERROR(GOOGLETRANSLATE(B335,""en"",""zh-CN""),)"),"今天是7月17日。")</f>
        <v>今天是7月17日。</v>
      </c>
    </row>
    <row r="336" spans="1:5">
      <c r="A336" s="3" t="s">
        <v>1466</v>
      </c>
      <c r="B336" s="4" t="str">
        <f ca="1">IFERROR(__xludf.DUMMYFUNCTION("IFERROR(GOOGLETRANSLATE(A336,""ko"",""en""),)"),"day of the week")</f>
        <v>day of the week</v>
      </c>
      <c r="C336" s="4" t="str">
        <f ca="1">IFERROR(__xludf.DUMMYFUNCTION("IFERROR(GOOGLETRANSLATE(B336,""en"",""ja""),)"),"曜日")</f>
        <v>曜日</v>
      </c>
      <c r="D336" s="4" t="str">
        <f ca="1">IFERROR(__xludf.DUMMYFUNCTION("IFERROR(GOOGLETRANSLATE(B336,""en"",""zh-TW""),)"),"星期幾")</f>
        <v>星期幾</v>
      </c>
      <c r="E336" s="4" t="str">
        <f ca="1">IFERROR(__xludf.DUMMYFUNCTION("IFERROR(GOOGLETRANSLATE(B336,""en"",""zh-CN""),)"),"星期几")</f>
        <v>星期几</v>
      </c>
    </row>
    <row r="337" spans="1:5">
      <c r="A337" s="2" t="s">
        <v>1631</v>
      </c>
      <c r="B337" s="4" t="str">
        <f ca="1">IFERROR(__xludf.DUMMYFUNCTION("IFERROR(GOOGLETRANSLATE(A337,""ko"",""en""),)"),"monday")</f>
        <v>monday</v>
      </c>
      <c r="C337" s="4" t="str">
        <f ca="1">IFERROR(__xludf.DUMMYFUNCTION("IFERROR(GOOGLETRANSLATE(B337,""en"",""ja""),)"),"月曜日")</f>
        <v>月曜日</v>
      </c>
      <c r="D337" s="4" t="str">
        <f ca="1">IFERROR(__xludf.DUMMYFUNCTION("IFERROR(GOOGLETRANSLATE(B337,""en"",""zh-TW""),)"),"週一")</f>
        <v>週一</v>
      </c>
      <c r="E337" s="4" t="str">
        <f ca="1">IFERROR(__xludf.DUMMYFUNCTION("IFERROR(GOOGLETRANSLATE(B337,""en"",""zh-CN""),)"),"周一")</f>
        <v>周一</v>
      </c>
    </row>
    <row r="338" spans="1:5">
      <c r="A338" s="2" t="s">
        <v>1636</v>
      </c>
      <c r="B338" s="4" t="str">
        <f ca="1">IFERROR(__xludf.DUMMYFUNCTION("IFERROR(GOOGLETRANSLATE(A338,""ko"",""en""),)"),"tuesday")</f>
        <v>tuesday</v>
      </c>
      <c r="C338" s="4" t="str">
        <f ca="1">IFERROR(__xludf.DUMMYFUNCTION("IFERROR(GOOGLETRANSLATE(B338,""en"",""ja""),)"),"火曜日")</f>
        <v>火曜日</v>
      </c>
      <c r="D338" s="4" t="str">
        <f ca="1">IFERROR(__xludf.DUMMYFUNCTION("IFERROR(GOOGLETRANSLATE(B338,""en"",""zh-TW""),)"),"週二")</f>
        <v>週二</v>
      </c>
      <c r="E338" s="4" t="str">
        <f ca="1">IFERROR(__xludf.DUMMYFUNCTION("IFERROR(GOOGLETRANSLATE(B338,""en"",""zh-CN""),)"),"周二")</f>
        <v>周二</v>
      </c>
    </row>
    <row r="339" spans="1:5">
      <c r="A339" s="2" t="s">
        <v>1641</v>
      </c>
      <c r="B339" s="4" t="str">
        <f ca="1">IFERROR(__xludf.DUMMYFUNCTION("IFERROR(GOOGLETRANSLATE(A339,""ko"",""en""),)"),"wednesday")</f>
        <v>wednesday</v>
      </c>
      <c r="C339" s="4" t="str">
        <f ca="1">IFERROR(__xludf.DUMMYFUNCTION("IFERROR(GOOGLETRANSLATE(B339,""en"",""ja""),)"),"水曜日")</f>
        <v>水曜日</v>
      </c>
      <c r="D339" s="4" t="str">
        <f ca="1">IFERROR(__xludf.DUMMYFUNCTION("IFERROR(GOOGLETRANSLATE(B339,""en"",""zh-TW""),)"),"週三")</f>
        <v>週三</v>
      </c>
      <c r="E339" s="4" t="str">
        <f ca="1">IFERROR(__xludf.DUMMYFUNCTION("IFERROR(GOOGLETRANSLATE(B339,""en"",""zh-CN""),)"),"周三")</f>
        <v>周三</v>
      </c>
    </row>
    <row r="340" spans="1:5">
      <c r="A340" s="2" t="s">
        <v>1644</v>
      </c>
      <c r="B340" s="4" t="str">
        <f ca="1">IFERROR(__xludf.DUMMYFUNCTION("IFERROR(GOOGLETRANSLATE(A340,""ko"",""en""),)"),"thursday")</f>
        <v>thursday</v>
      </c>
      <c r="C340" s="4" t="str">
        <f ca="1">IFERROR(__xludf.DUMMYFUNCTION("IFERROR(GOOGLETRANSLATE(B340,""en"",""ja""),)"),"木曜日")</f>
        <v>木曜日</v>
      </c>
      <c r="D340" s="4" t="str">
        <f ca="1">IFERROR(__xludf.DUMMYFUNCTION("IFERROR(GOOGLETRANSLATE(B340,""en"",""zh-TW""),)"),"週四")</f>
        <v>週四</v>
      </c>
      <c r="E340" s="4" t="str">
        <f ca="1">IFERROR(__xludf.DUMMYFUNCTION("IFERROR(GOOGLETRANSLATE(B340,""en"",""zh-CN""),)"),"周四")</f>
        <v>周四</v>
      </c>
    </row>
    <row r="341" spans="1:5">
      <c r="A341" s="2" t="s">
        <v>1648</v>
      </c>
      <c r="B341" s="4" t="str">
        <f ca="1">IFERROR(__xludf.DUMMYFUNCTION("IFERROR(GOOGLETRANSLATE(A341,""ko"",""en""),)"),"friday")</f>
        <v>friday</v>
      </c>
      <c r="C341" s="4" t="str">
        <f ca="1">IFERROR(__xludf.DUMMYFUNCTION("IFERROR(GOOGLETRANSLATE(B341,""en"",""ja""),)"),"金曜日")</f>
        <v>金曜日</v>
      </c>
      <c r="D341" s="4" t="str">
        <f ca="1">IFERROR(__xludf.DUMMYFUNCTION("IFERROR(GOOGLETRANSLATE(B341,""en"",""zh-TW""),)"),"星期五")</f>
        <v>星期五</v>
      </c>
      <c r="E341" s="4" t="str">
        <f ca="1">IFERROR(__xludf.DUMMYFUNCTION("IFERROR(GOOGLETRANSLATE(B341,""en"",""zh-CN""),)"),"星期五")</f>
        <v>星期五</v>
      </c>
    </row>
    <row r="342" spans="1:5">
      <c r="A342" s="2" t="s">
        <v>1652</v>
      </c>
      <c r="B342" s="4" t="str">
        <f ca="1">IFERROR(__xludf.DUMMYFUNCTION("IFERROR(GOOGLETRANSLATE(A342,""ko"",""en""),)"),"Saturday")</f>
        <v>Saturday</v>
      </c>
      <c r="C342" s="4" t="str">
        <f ca="1">IFERROR(__xludf.DUMMYFUNCTION("IFERROR(GOOGLETRANSLATE(B342,""en"",""ja""),)"),"土曜日")</f>
        <v>土曜日</v>
      </c>
      <c r="D342" s="4" t="str">
        <f ca="1">IFERROR(__xludf.DUMMYFUNCTION("IFERROR(GOOGLETRANSLATE(B342,""en"",""zh-TW""),)"),"週六")</f>
        <v>週六</v>
      </c>
      <c r="E342" s="4" t="str">
        <f ca="1">IFERROR(__xludf.DUMMYFUNCTION("IFERROR(GOOGLETRANSLATE(B342,""en"",""zh-CN""),)"),"周六")</f>
        <v>周六</v>
      </c>
    </row>
    <row r="343" spans="1:5">
      <c r="A343" s="2" t="s">
        <v>1657</v>
      </c>
      <c r="B343" s="4" t="str">
        <f ca="1">IFERROR(__xludf.DUMMYFUNCTION("IFERROR(GOOGLETRANSLATE(A343,""ko"",""en""),)"),"sunday")</f>
        <v>sunday</v>
      </c>
      <c r="C343" s="4" t="str">
        <f ca="1">IFERROR(__xludf.DUMMYFUNCTION("IFERROR(GOOGLETRANSLATE(B343,""en"",""ja""),)"),"日曜日")</f>
        <v>日曜日</v>
      </c>
      <c r="D343" s="4" t="str">
        <f ca="1">IFERROR(__xludf.DUMMYFUNCTION("IFERROR(GOOGLETRANSLATE(B343,""en"",""zh-TW""),)"),"星期日")</f>
        <v>星期日</v>
      </c>
      <c r="E343" s="4" t="str">
        <f ca="1">IFERROR(__xludf.DUMMYFUNCTION("IFERROR(GOOGLETRANSLATE(B343,""en"",""zh-CN""),)"),"星期日")</f>
        <v>星期日</v>
      </c>
    </row>
    <row r="344" spans="1:5">
      <c r="A344" s="5" t="s">
        <v>1660</v>
      </c>
      <c r="B344" s="4" t="str">
        <f ca="1">IFERROR(__xludf.DUMMYFUNCTION("IFERROR(GOOGLETRANSLATE(A344,""ko"",""en""),)"),"What day is it?")</f>
        <v>What day is it?</v>
      </c>
      <c r="C344" s="4" t="str">
        <f ca="1">IFERROR(__xludf.DUMMYFUNCTION("IFERROR(GOOGLETRANSLATE(B344,""en"",""ja""),)"),"今日は何曜日ですか？")</f>
        <v>今日は何曜日ですか？</v>
      </c>
      <c r="D344" s="4" t="str">
        <f ca="1">IFERROR(__xludf.DUMMYFUNCTION("IFERROR(GOOGLETRANSLATE(B344,""en"",""zh-TW""),)"),"今天星期幾？")</f>
        <v>今天星期幾？</v>
      </c>
      <c r="E344" s="4" t="str">
        <f ca="1">IFERROR(__xludf.DUMMYFUNCTION("IFERROR(GOOGLETRANSLATE(B344,""en"",""zh-CN""),)"),"今天星期几？")</f>
        <v>今天星期几？</v>
      </c>
    </row>
    <row r="345" spans="1:5">
      <c r="A345" s="3" t="s">
        <v>1665</v>
      </c>
      <c r="B345" s="4" t="str">
        <f ca="1">IFERROR(__xludf.DUMMYFUNCTION("IFERROR(GOOGLETRANSLATE(A345,""ko"",""en""),)"),"It's Sunday.")</f>
        <v>It's Sunday.</v>
      </c>
      <c r="C345" s="4" t="str">
        <f ca="1">IFERROR(__xludf.DUMMYFUNCTION("IFERROR(GOOGLETRANSLATE(B345,""en"",""ja""),)"),"今日は日曜日です。")</f>
        <v>今日は日曜日です。</v>
      </c>
      <c r="D345" s="4" t="str">
        <f ca="1">IFERROR(__xludf.DUMMYFUNCTION("IFERROR(GOOGLETRANSLATE(B345,""en"",""zh-TW""),)"),"今天是星期天。")</f>
        <v>今天是星期天。</v>
      </c>
      <c r="E345" s="4" t="str">
        <f ca="1">IFERROR(__xludf.DUMMYFUNCTION("IFERROR(GOOGLETRANSLATE(B345,""en"",""zh-CN""),)"),"今天是星期天。")</f>
        <v>今天是星期天。</v>
      </c>
    </row>
    <row r="346" spans="1:5">
      <c r="A346" s="3" t="s">
        <v>1672</v>
      </c>
      <c r="B346" s="4" t="str">
        <f ca="1">IFERROR(__xludf.DUMMYFUNCTION("IFERROR(GOOGLETRANSLATE(A346,""ko"",""en""),)"),"March 14th")</f>
        <v>March 14th</v>
      </c>
      <c r="C346" s="4" t="str">
        <f ca="1">IFERROR(__xludf.DUMMYFUNCTION("IFERROR(GOOGLETRANSLATE(B346,""en"",""ja""),)"),"3月14日")</f>
        <v>3月14日</v>
      </c>
      <c r="D346" s="4" t="str">
        <f ca="1">IFERROR(__xludf.DUMMYFUNCTION("IFERROR(GOOGLETRANSLATE(B346,""en"",""zh-TW""),)"),"3月14日")</f>
        <v>3月14日</v>
      </c>
      <c r="E346" s="4" t="str">
        <f ca="1">IFERROR(__xludf.DUMMYFUNCTION("IFERROR(GOOGLETRANSLATE(B346,""en"",""zh-CN""),)"),"3月14日")</f>
        <v>3月14日</v>
      </c>
    </row>
    <row r="347" spans="1:5">
      <c r="A347" s="3" t="s">
        <v>1677</v>
      </c>
      <c r="B347" s="4" t="str">
        <f ca="1">IFERROR(__xludf.DUMMYFUNCTION("IFERROR(GOOGLETRANSLATE(A347,""ko"",""en""),)"),"June 7th")</f>
        <v>June 7th</v>
      </c>
      <c r="C347" s="4" t="str">
        <f ca="1">IFERROR(__xludf.DUMMYFUNCTION("IFERROR(GOOGLETRANSLATE(B347,""en"",""ja""),)"),"6月7日")</f>
        <v>6月7日</v>
      </c>
      <c r="D347" s="4" t="str">
        <f ca="1">IFERROR(__xludf.DUMMYFUNCTION("IFERROR(GOOGLETRANSLATE(B347,""en"",""zh-TW""),)"),"6月7日")</f>
        <v>6月7日</v>
      </c>
      <c r="E347" s="4" t="str">
        <f ca="1">IFERROR(__xludf.DUMMYFUNCTION("IFERROR(GOOGLETRANSLATE(B347,""en"",""zh-CN""),)"),"6月7日")</f>
        <v>6月7日</v>
      </c>
    </row>
    <row r="348" spans="1:5">
      <c r="A348" s="3" t="s">
        <v>1682</v>
      </c>
      <c r="B348" s="4" t="str">
        <f ca="1">IFERROR(__xludf.DUMMYFUNCTION("IFERROR(GOOGLETRANSLATE(A348,""ko"",""en""),)"),"October 9th")</f>
        <v>October 9th</v>
      </c>
      <c r="C348" s="4" t="str">
        <f ca="1">IFERROR(__xludf.DUMMYFUNCTION("IFERROR(GOOGLETRANSLATE(B348,""en"",""ja""),)"),"10月9日")</f>
        <v>10月9日</v>
      </c>
      <c r="D348" s="4" t="str">
        <f ca="1">IFERROR(__xludf.DUMMYFUNCTION("IFERROR(GOOGLETRANSLATE(B348,""en"",""zh-TW""),)"),"10月9日")</f>
        <v>10月9日</v>
      </c>
      <c r="E348" s="4" t="str">
        <f ca="1">IFERROR(__xludf.DUMMYFUNCTION("IFERROR(GOOGLETRANSLATE(B348,""en"",""zh-CN""),)"),"10月9日")</f>
        <v>10月9日</v>
      </c>
    </row>
    <row r="349" spans="1:5">
      <c r="A349" s="3" t="s">
        <v>1686</v>
      </c>
      <c r="B349" s="4" t="str">
        <f ca="1">IFERROR(__xludf.DUMMYFUNCTION("IFERROR(GOOGLETRANSLATE(A349,""ko"",""en""),)"),"May 20th")</f>
        <v>May 20th</v>
      </c>
      <c r="C349" s="4" t="str">
        <f ca="1">IFERROR(__xludf.DUMMYFUNCTION("IFERROR(GOOGLETRANSLATE(B349,""en"",""ja""),)"),"5月20日")</f>
        <v>5月20日</v>
      </c>
      <c r="D349" s="4" t="str">
        <f ca="1">IFERROR(__xludf.DUMMYFUNCTION("IFERROR(GOOGLETRANSLATE(B349,""en"",""zh-TW""),)"),"5月20日")</f>
        <v>5月20日</v>
      </c>
      <c r="E349" s="4" t="str">
        <f ca="1">IFERROR(__xludf.DUMMYFUNCTION("IFERROR(GOOGLETRANSLATE(B349,""en"",""zh-CN""),)"),"5月20日")</f>
        <v>5月20日</v>
      </c>
    </row>
    <row r="350" spans="1:5">
      <c r="A350" s="3" t="s">
        <v>1692</v>
      </c>
      <c r="B350" s="4" t="str">
        <f ca="1">IFERROR(__xludf.DUMMYFUNCTION("IFERROR(GOOGLETRANSLATE(A350,""ko"",""en""),)"),"August 16th")</f>
        <v>August 16th</v>
      </c>
      <c r="C350" s="4" t="str">
        <f ca="1">IFERROR(__xludf.DUMMYFUNCTION("IFERROR(GOOGLETRANSLATE(B350,""en"",""ja""),)"),"8月16日")</f>
        <v>8月16日</v>
      </c>
      <c r="D350" s="4" t="str">
        <f ca="1">IFERROR(__xludf.DUMMYFUNCTION("IFERROR(GOOGLETRANSLATE(B350,""en"",""zh-TW""),)"),"8月16日")</f>
        <v>8月16日</v>
      </c>
      <c r="E350" s="4" t="str">
        <f ca="1">IFERROR(__xludf.DUMMYFUNCTION("IFERROR(GOOGLETRANSLATE(B350,""en"",""zh-CN""),)"),"8月16日")</f>
        <v>8月16日</v>
      </c>
    </row>
    <row r="351" spans="1:5">
      <c r="A351" s="3" t="s">
        <v>1698</v>
      </c>
      <c r="B351" s="4" t="str">
        <f ca="1">IFERROR(__xludf.DUMMYFUNCTION("IFERROR(GOOGLETRANSLATE(A351,""ko"",""en""),)"),"November 24th")</f>
        <v>November 24th</v>
      </c>
      <c r="C351" s="4" t="str">
        <f ca="1">IFERROR(__xludf.DUMMYFUNCTION("IFERROR(GOOGLETRANSLATE(B351,""en"",""ja""),)"),"11月24日")</f>
        <v>11月24日</v>
      </c>
      <c r="D351" s="4" t="str">
        <f ca="1">IFERROR(__xludf.DUMMYFUNCTION("IFERROR(GOOGLETRANSLATE(B351,""en"",""zh-TW""),)"),"11月24日")</f>
        <v>11月24日</v>
      </c>
      <c r="E351" s="4" t="str">
        <f ca="1">IFERROR(__xludf.DUMMYFUNCTION("IFERROR(GOOGLETRANSLATE(B351,""en"",""zh-CN""),)"),"11月24日")</f>
        <v>11月24日</v>
      </c>
    </row>
    <row r="352" spans="1:5">
      <c r="A352" s="3" t="s">
        <v>1704</v>
      </c>
      <c r="B352" s="4" t="str">
        <f ca="1">IFERROR(__xludf.DUMMYFUNCTION("IFERROR(GOOGLETRANSLATE(A352,""ko"",""en""),)"),"When is your birthday? Try talking to your friend like this.")</f>
        <v>When is your birthday? Try talking to your friend like this.</v>
      </c>
      <c r="C352" s="4" t="str">
        <f ca="1">IFERROR(__xludf.DUMMYFUNCTION("IFERROR(GOOGLETRANSLATE(B352,""en"",""ja""),)"),"あなたの誕生日はいつですか？友達にこんな風に話しかけてみてください。")</f>
        <v>あなたの誕生日はいつですか？友達にこんな風に話しかけてみてください。</v>
      </c>
      <c r="D352" s="4" t="str">
        <f ca="1">IFERROR(__xludf.DUMMYFUNCTION("IFERROR(GOOGLETRANSLATE(B352,""en"",""zh-TW""),)"),"你的生日是什麼時候？試著這樣和你的朋友聊天。")</f>
        <v>你的生日是什麼時候？試著這樣和你的朋友聊天。</v>
      </c>
      <c r="E352" s="4" t="str">
        <f ca="1">IFERROR(__xludf.DUMMYFUNCTION("IFERROR(GOOGLETRANSLATE(B352,""en"",""zh-CN""),)"),"你的生日是什么时候？试着这样和你的朋友聊天。")</f>
        <v>你的生日是什么时候？试着这样和你的朋友聊天。</v>
      </c>
    </row>
    <row r="353" spans="1:5">
      <c r="A353" s="5" t="s">
        <v>1709</v>
      </c>
      <c r="B353" s="4" t="str">
        <f ca="1">IFERROR(__xludf.DUMMYFUNCTION("IFERROR(GOOGLETRANSLATE(A353,""ko"",""en""),)"),"happy birthday!")</f>
        <v>happy birthday!</v>
      </c>
      <c r="C353" s="4" t="str">
        <f ca="1">IFERROR(__xludf.DUMMYFUNCTION("IFERROR(GOOGLETRANSLATE(B353,""en"",""ja""),)"),"お誕生日おめでとう！")</f>
        <v>お誕生日おめでとう！</v>
      </c>
      <c r="D353" s="4" t="str">
        <f ca="1">IFERROR(__xludf.DUMMYFUNCTION("IFERROR(GOOGLETRANSLATE(B353,""en"",""zh-TW""),)"),"生日快樂！")</f>
        <v>生日快樂！</v>
      </c>
      <c r="E353" s="4" t="str">
        <f ca="1">IFERROR(__xludf.DUMMYFUNCTION("IFERROR(GOOGLETRANSLATE(B353,""en"",""zh-CN""),)"),"生日快乐！")</f>
        <v>生日快乐！</v>
      </c>
    </row>
    <row r="354" spans="1:5">
      <c r="A354" s="3" t="s">
        <v>1220</v>
      </c>
      <c r="B354" s="4" t="str">
        <f ca="1">IFERROR(__xludf.DUMMYFUNCTION("IFERROR(GOOGLETRANSLATE(A354,""ko"",""en""),)"),"congrats")</f>
        <v>congrats</v>
      </c>
      <c r="C354" s="4" t="str">
        <f ca="1">IFERROR(__xludf.DUMMYFUNCTION("IFERROR(GOOGLETRANSLATE(B354,""en"",""ja""),)"),"おめでとう")</f>
        <v>おめでとう</v>
      </c>
      <c r="D354" s="4" t="str">
        <f ca="1">IFERROR(__xludf.DUMMYFUNCTION("IFERROR(GOOGLETRANSLATE(B354,""en"",""zh-TW""),)"),"恭喜！")</f>
        <v>恭喜！</v>
      </c>
      <c r="E354" s="4" t="str">
        <f ca="1">IFERROR(__xludf.DUMMYFUNCTION("IFERROR(GOOGLETRANSLATE(B354,""en"",""zh-CN""),)"),"恭喜！")</f>
        <v>恭喜！</v>
      </c>
    </row>
    <row r="355" spans="1:5">
      <c r="A355" s="5" t="s">
        <v>1714</v>
      </c>
      <c r="B355" s="4" t="str">
        <f ca="1">IFERROR(__xludf.DUMMYFUNCTION("IFERROR(GOOGLETRANSLATE(A355,""ko"",""en""),)"),"Escape room game")</f>
        <v>Escape room game</v>
      </c>
      <c r="C355" s="4" t="str">
        <f ca="1">IFERROR(__xludf.DUMMYFUNCTION("IFERROR(GOOGLETRANSLATE(B355,""en"",""ja""),)"),"脱出ゲーム")</f>
        <v>脱出ゲーム</v>
      </c>
      <c r="D355" s="4" t="str">
        <f ca="1">IFERROR(__xludf.DUMMYFUNCTION("IFERROR(GOOGLETRANSLATE(B355,""en"",""zh-TW""),)"),"密室逃脫遊戲")</f>
        <v>密室逃脫遊戲</v>
      </c>
      <c r="E355" s="4" t="str">
        <f ca="1">IFERROR(__xludf.DUMMYFUNCTION("IFERROR(GOOGLETRANSLATE(B355,""en"",""zh-CN""),)"),"密室逃脱游戏")</f>
        <v>密室逃脱游戏</v>
      </c>
    </row>
    <row r="356" spans="1:5">
      <c r="A356" s="3" t="s">
        <v>141</v>
      </c>
      <c r="B356" s="4" t="str">
        <f ca="1">IFERROR(__xludf.DUMMYFUNCTION("IFERROR(GOOGLETRANSLATE(A356,""ko"",""en""),)"),"yesterday")</f>
        <v>yesterday</v>
      </c>
      <c r="C356" s="4" t="str">
        <f ca="1">IFERROR(__xludf.DUMMYFUNCTION("IFERROR(GOOGLETRANSLATE(B356,""en"",""ja""),)"),"昨日")</f>
        <v>昨日</v>
      </c>
      <c r="D356" s="4" t="str">
        <f ca="1">IFERROR(__xludf.DUMMYFUNCTION("IFERROR(GOOGLETRANSLATE(B356,""en"",""zh-TW""),)"),"昨天")</f>
        <v>昨天</v>
      </c>
      <c r="E356" s="4" t="str">
        <f ca="1">IFERROR(__xludf.DUMMYFUNCTION("IFERROR(GOOGLETRANSLATE(B356,""en"",""zh-CN""),)"),"昨天")</f>
        <v>昨天</v>
      </c>
    </row>
    <row r="357" spans="1:5">
      <c r="A357" s="3" t="s">
        <v>148</v>
      </c>
      <c r="B357" s="4" t="str">
        <f ca="1">IFERROR(__xludf.DUMMYFUNCTION("IFERROR(GOOGLETRANSLATE(A357,""ko"",""en""),)"),"today")</f>
        <v>today</v>
      </c>
      <c r="C357" s="4" t="str">
        <f ca="1">IFERROR(__xludf.DUMMYFUNCTION("IFERROR(GOOGLETRANSLATE(B357,""en"",""ja""),)"),"今日")</f>
        <v>今日</v>
      </c>
      <c r="D357" s="4" t="str">
        <f ca="1">IFERROR(__xludf.DUMMYFUNCTION("IFERROR(GOOGLETRANSLATE(B357,""en"",""zh-TW""),)"),"今天")</f>
        <v>今天</v>
      </c>
      <c r="E357" s="4" t="str">
        <f ca="1">IFERROR(__xludf.DUMMYFUNCTION("IFERROR(GOOGLETRANSLATE(B357,""en"",""zh-CN""),)"),"今天")</f>
        <v>今天</v>
      </c>
    </row>
    <row r="358" spans="1:5">
      <c r="A358" s="3" t="s">
        <v>164</v>
      </c>
      <c r="B358" s="4" t="str">
        <f ca="1">IFERROR(__xludf.DUMMYFUNCTION("IFERROR(GOOGLETRANSLATE(A358,""ko"",""en""),)"),"tomorrow")</f>
        <v>tomorrow</v>
      </c>
      <c r="C358" s="4" t="str">
        <f ca="1">IFERROR(__xludf.DUMMYFUNCTION("IFERROR(GOOGLETRANSLATE(B358,""en"",""ja""),)"),"明日")</f>
        <v>明日</v>
      </c>
      <c r="D358" s="4" t="str">
        <f ca="1">IFERROR(__xludf.DUMMYFUNCTION("IFERROR(GOOGLETRANSLATE(B358,""en"",""zh-TW""),)"),"明天")</f>
        <v>明天</v>
      </c>
      <c r="E358" s="4" t="str">
        <f ca="1">IFERROR(__xludf.DUMMYFUNCTION("IFERROR(GOOGLETRANSLATE(B358,""en"",""zh-CN""),)"),"明天")</f>
        <v>明天</v>
      </c>
    </row>
    <row r="359" spans="1:5">
      <c r="A359" s="5" t="s">
        <v>1724</v>
      </c>
      <c r="B359" s="4" t="str">
        <f ca="1">IFERROR(__xludf.DUMMYFUNCTION("IFERROR(GOOGLETRANSLATE(A359,""ko"",""en""),)"),"day before yesterday")</f>
        <v>day before yesterday</v>
      </c>
      <c r="C359" s="4" t="str">
        <f ca="1">IFERROR(__xludf.DUMMYFUNCTION("IFERROR(GOOGLETRANSLATE(B359,""en"",""ja""),)"),"一昨日")</f>
        <v>一昨日</v>
      </c>
      <c r="D359" s="4" t="str">
        <f ca="1">IFERROR(__xludf.DUMMYFUNCTION("IFERROR(GOOGLETRANSLATE(B359,""en"",""zh-TW""),)"),"前天")</f>
        <v>前天</v>
      </c>
      <c r="E359" s="4" t="str">
        <f ca="1">IFERROR(__xludf.DUMMYFUNCTION("IFERROR(GOOGLETRANSLATE(B359,""en"",""zh-CN""),)"),"前天")</f>
        <v>前天</v>
      </c>
    </row>
    <row r="360" spans="1:5">
      <c r="A360" s="5" t="s">
        <v>1728</v>
      </c>
      <c r="B360" s="4" t="str">
        <f ca="1">IFERROR(__xludf.DUMMYFUNCTION("IFERROR(GOOGLETRANSLATE(A360,""ko"",""en""),)"),"day after tomorrow")</f>
        <v>day after tomorrow</v>
      </c>
      <c r="C360" s="4" t="str">
        <f ca="1">IFERROR(__xludf.DUMMYFUNCTION("IFERROR(GOOGLETRANSLATE(B360,""en"",""ja""),)"),"明後日")</f>
        <v>明後日</v>
      </c>
      <c r="D360" s="4" t="str">
        <f ca="1">IFERROR(__xludf.DUMMYFUNCTION("IFERROR(GOOGLETRANSLATE(B360,""en"",""zh-TW""),)"),"後天")</f>
        <v>後天</v>
      </c>
      <c r="E360" s="4" t="str">
        <f ca="1">IFERROR(__xludf.DUMMYFUNCTION("IFERROR(GOOGLETRANSLATE(B360,""en"",""zh-CN""),)"),"后天")</f>
        <v>后天</v>
      </c>
    </row>
    <row r="361" spans="1:5">
      <c r="A361" s="3" t="s">
        <v>1731</v>
      </c>
      <c r="B361" s="4" t="str">
        <f ca="1">IFERROR(__xludf.DUMMYFUNCTION("IFERROR(GOOGLETRANSLATE(A361,""ko"",""en""),)"),"now")</f>
        <v>now</v>
      </c>
      <c r="C361" s="4" t="str">
        <f ca="1">IFERROR(__xludf.DUMMYFUNCTION("IFERROR(GOOGLETRANSLATE(B361,""en"",""ja""),)"),"今")</f>
        <v>今</v>
      </c>
      <c r="D361" s="4" t="str">
        <f ca="1">IFERROR(__xludf.DUMMYFUNCTION("IFERROR(GOOGLETRANSLATE(B361,""en"",""zh-TW""),)"),"現在")</f>
        <v>現在</v>
      </c>
      <c r="E361" s="4" t="str">
        <f ca="1">IFERROR(__xludf.DUMMYFUNCTION("IFERROR(GOOGLETRANSLATE(B361,""en"",""zh-CN""),)"),"现在")</f>
        <v>现在</v>
      </c>
    </row>
    <row r="362" spans="1:5">
      <c r="A362" s="3" t="s">
        <v>1739</v>
      </c>
      <c r="B362" s="4" t="str">
        <f ca="1">IFERROR(__xludf.DUMMYFUNCTION("IFERROR(GOOGLETRANSLATE(A362,""ko"",""en""),)"),"when")</f>
        <v>when</v>
      </c>
      <c r="C362" s="4" t="str">
        <f ca="1">IFERROR(__xludf.DUMMYFUNCTION("IFERROR(GOOGLETRANSLATE(B362,""en"",""ja""),)"),"いつ")</f>
        <v>いつ</v>
      </c>
      <c r="D362" s="4" t="str">
        <f ca="1">IFERROR(__xludf.DUMMYFUNCTION("IFERROR(GOOGLETRANSLATE(B362,""en"",""zh-TW""),)"),"什麼時候")</f>
        <v>什麼時候</v>
      </c>
      <c r="E362" s="4" t="str">
        <f ca="1">IFERROR(__xludf.DUMMYFUNCTION("IFERROR(GOOGLETRANSLATE(B362,""en"",""zh-CN""),)"),"什么时候")</f>
        <v>什么时候</v>
      </c>
    </row>
    <row r="363" spans="1:5">
      <c r="A363" s="3" t="s">
        <v>1743</v>
      </c>
      <c r="B363" s="4" t="str">
        <f ca="1">IFERROR(__xludf.DUMMYFUNCTION("IFERROR(GOOGLETRANSLATE(A363,""ko"",""en""),)"),"Saturday/Sunday")</f>
        <v>Saturday/Sunday</v>
      </c>
      <c r="C363" s="4" t="str">
        <f ca="1">IFERROR(__xludf.DUMMYFUNCTION("IFERROR(GOOGLETRANSLATE(B363,""en"",""ja""),)"),"土曜日/日曜日")</f>
        <v>土曜日/日曜日</v>
      </c>
      <c r="D363" s="4" t="str">
        <f ca="1">IFERROR(__xludf.DUMMYFUNCTION("IFERROR(GOOGLETRANSLATE(B363,""en"",""zh-TW""),)"),"週六/週日")</f>
        <v>週六/週日</v>
      </c>
      <c r="E363" s="4" t="str">
        <f ca="1">IFERROR(__xludf.DUMMYFUNCTION("IFERROR(GOOGLETRANSLATE(B363,""en"",""zh-CN""),)"),"周六/周日")</f>
        <v>周六/周日</v>
      </c>
    </row>
    <row r="364" spans="1:5">
      <c r="A364" s="3" t="s">
        <v>1747</v>
      </c>
      <c r="B364" s="4" t="str">
        <f ca="1">IFERROR(__xludf.DUMMYFUNCTION("IFERROR(GOOGLETRANSLATE(A364,""ko"",""en""),)"),"weekend")</f>
        <v>weekend</v>
      </c>
      <c r="C364" s="4" t="str">
        <f ca="1">IFERROR(__xludf.DUMMYFUNCTION("IFERROR(GOOGLETRANSLATE(B364,""en"",""ja""),)"),"週末")</f>
        <v>週末</v>
      </c>
      <c r="D364" s="4" t="str">
        <f ca="1">IFERROR(__xludf.DUMMYFUNCTION("IFERROR(GOOGLETRANSLATE(B364,""en"",""zh-TW""),)"),"週末")</f>
        <v>週末</v>
      </c>
      <c r="E364" s="4" t="str">
        <f ca="1">IFERROR(__xludf.DUMMYFUNCTION("IFERROR(GOOGLETRANSLATE(B364,""en"",""zh-CN""),)"),"周末")</f>
        <v>周末</v>
      </c>
    </row>
    <row r="365" spans="1:5">
      <c r="A365" s="3" t="s">
        <v>1751</v>
      </c>
      <c r="B365" s="4" t="str">
        <f ca="1">IFERROR(__xludf.DUMMYFUNCTION("IFERROR(GOOGLETRANSLATE(A365,""ko"",""en""),)"),"See you on August 19th")</f>
        <v>See you on August 19th</v>
      </c>
      <c r="C365" s="4" t="str">
        <f ca="1">IFERROR(__xludf.DUMMYFUNCTION("IFERROR(GOOGLETRANSLATE(B365,""en"",""ja""),)"),"8月19日にお会いしましょう")</f>
        <v>8月19日にお会いしましょう</v>
      </c>
      <c r="D365" s="4" t="str">
        <f ca="1">IFERROR(__xludf.DUMMYFUNCTION("IFERROR(GOOGLETRANSLATE(B365,""en"",""zh-TW""),)"),"8月19日見！")</f>
        <v>8月19日見！</v>
      </c>
      <c r="E365" s="4" t="str">
        <f ca="1">IFERROR(__xludf.DUMMYFUNCTION("IFERROR(GOOGLETRANSLATE(B365,""en"",""zh-CN""),)"),"8月19日见！")</f>
        <v>8月19日见！</v>
      </c>
    </row>
    <row r="366" spans="1:5">
      <c r="A366" s="3" t="s">
        <v>1753</v>
      </c>
      <c r="B366" s="4" t="str">
        <f ca="1">IFERROR(__xludf.DUMMYFUNCTION("IFERROR(GOOGLETRANSLATE(A366,""ko"",""en""),)"),"When is the Korean class?")</f>
        <v>When is the Korean class?</v>
      </c>
      <c r="C366" s="4" t="str">
        <f ca="1">IFERROR(__xludf.DUMMYFUNCTION("IFERROR(GOOGLETRANSLATE(B366,""en"",""ja""),)"),"韓国語の授業はいつですか？")</f>
        <v>韓国語の授業はいつですか？</v>
      </c>
      <c r="D366" s="4" t="str">
        <f ca="1">IFERROR(__xludf.DUMMYFUNCTION("IFERROR(GOOGLETRANSLATE(B366,""en"",""zh-TW""),)"),"韓語課什麼時候上？")</f>
        <v>韓語課什麼時候上？</v>
      </c>
      <c r="E366" s="4" t="str">
        <f ca="1">IFERROR(__xludf.DUMMYFUNCTION("IFERROR(GOOGLETRANSLATE(B366,""en"",""zh-CN""),)"),"韩语课什么时候上？")</f>
        <v>韩语课什么时候上？</v>
      </c>
    </row>
    <row r="367" spans="1:5">
      <c r="A367" s="3" t="s">
        <v>1758</v>
      </c>
      <c r="B367" s="4" t="str">
        <f ca="1">IFERROR(__xludf.DUMMYFUNCTION("IFERROR(GOOGLETRANSLATE(A367,""ko"",""en""),)"),"class")</f>
        <v>class</v>
      </c>
      <c r="C367" s="4" t="str">
        <f ca="1">IFERROR(__xludf.DUMMYFUNCTION("IFERROR(GOOGLETRANSLATE(B367,""en"",""ja""),)"),"クラス")</f>
        <v>クラス</v>
      </c>
      <c r="D367" s="4" t="str">
        <f ca="1">IFERROR(__xludf.DUMMYFUNCTION("IFERROR(GOOGLETRANSLATE(B367,""en"",""zh-TW""),)"),"班級")</f>
        <v>班級</v>
      </c>
      <c r="E367" s="4" t="str">
        <f ca="1">IFERROR(__xludf.DUMMYFUNCTION("IFERROR(GOOGLETRANSLATE(B367,""en"",""zh-CN""),)"),"班级")</f>
        <v>班级</v>
      </c>
    </row>
    <row r="368" spans="1:5">
      <c r="A368" s="3" t="s">
        <v>1762</v>
      </c>
      <c r="B368" s="4" t="str">
        <f ca="1">IFERROR(__xludf.DUMMYFUNCTION("IFERROR(GOOGLETRANSLATE(A368,""ko"",""en""),)"),"morning")</f>
        <v>morning</v>
      </c>
      <c r="C368" s="4" t="str">
        <f ca="1">IFERROR(__xludf.DUMMYFUNCTION("IFERROR(GOOGLETRANSLATE(B368,""en"",""ja""),)"),"朝")</f>
        <v>朝</v>
      </c>
      <c r="D368" s="4" t="str">
        <f ca="1">IFERROR(__xludf.DUMMYFUNCTION("IFERROR(GOOGLETRANSLATE(B368,""en"",""zh-TW""),)"),"早晨")</f>
        <v>早晨</v>
      </c>
      <c r="E368" s="4" t="str">
        <f ca="1">IFERROR(__xludf.DUMMYFUNCTION("IFERROR(GOOGLETRANSLATE(B368,""en"",""zh-CN""),)"),"早晨")</f>
        <v>早晨</v>
      </c>
    </row>
    <row r="369" spans="1:5">
      <c r="A369" s="3" t="s">
        <v>1766</v>
      </c>
      <c r="B369" s="4" t="str">
        <f ca="1">IFERROR(__xludf.DUMMYFUNCTION("IFERROR(GOOGLETRANSLATE(A369,""ko"",""en""),)"),"I eat breakfast.")</f>
        <v>I eat breakfast.</v>
      </c>
      <c r="C369" s="4" t="str">
        <f ca="1">IFERROR(__xludf.DUMMYFUNCTION("IFERROR(GOOGLETRANSLATE(B369,""en"",""ja""),)"),"私は朝食を食べます。")</f>
        <v>私は朝食を食べます。</v>
      </c>
      <c r="D369" s="4" t="str">
        <f ca="1">IFERROR(__xludf.DUMMYFUNCTION("IFERROR(GOOGLETRANSLATE(B369,""en"",""zh-TW""),)"),"我吃早餐。")</f>
        <v>我吃早餐。</v>
      </c>
      <c r="E369" s="4" t="str">
        <f ca="1">IFERROR(__xludf.DUMMYFUNCTION("IFERROR(GOOGLETRANSLATE(B369,""en"",""zh-CN""),)"),"我吃早餐。")</f>
        <v>我吃早餐。</v>
      </c>
    </row>
    <row r="370" spans="1:5">
      <c r="A370" s="3" t="s">
        <v>1772</v>
      </c>
      <c r="B370" s="4" t="str">
        <f ca="1">IFERROR(__xludf.DUMMYFUNCTION("IFERROR(GOOGLETRANSLATE(A370,""ko"",""en""),)"),"I go to school in the morning.")</f>
        <v>I go to school in the morning.</v>
      </c>
      <c r="C370" s="4" t="str">
        <f ca="1">IFERROR(__xludf.DUMMYFUNCTION("IFERROR(GOOGLETRANSLATE(B370,""en"",""ja""),)"),"私は朝、学校に行きます。")</f>
        <v>私は朝、学校に行きます。</v>
      </c>
      <c r="D370" s="4" t="str">
        <f ca="1">IFERROR(__xludf.DUMMYFUNCTION("IFERROR(GOOGLETRANSLATE(B370,""en"",""zh-TW""),)"),"我早上去上學。")</f>
        <v>我早上去上學。</v>
      </c>
      <c r="E370" s="4" t="str">
        <f ca="1">IFERROR(__xludf.DUMMYFUNCTION("IFERROR(GOOGLETRANSLATE(B370,""en"",""zh-CN""),)"),"我早上去上学。")</f>
        <v>我早上去上学。</v>
      </c>
    </row>
    <row r="371" spans="1:5">
      <c r="A371" s="3" t="s">
        <v>1779</v>
      </c>
      <c r="B371" s="4" t="str">
        <f ca="1">IFERROR(__xludf.DUMMYFUNCTION("IFERROR(GOOGLETRANSLATE(A371,""ko"",""en""),)"),"I exercise every morning.")</f>
        <v>I exercise every morning.</v>
      </c>
      <c r="C371" s="4" t="str">
        <f ca="1">IFERROR(__xludf.DUMMYFUNCTION("IFERROR(GOOGLETRANSLATE(B371,""en"",""ja""),)"),"私は毎朝運動します。")</f>
        <v>私は毎朝運動します。</v>
      </c>
      <c r="D371" s="4" t="str">
        <f ca="1">IFERROR(__xludf.DUMMYFUNCTION("IFERROR(GOOGLETRANSLATE(B371,""en"",""zh-TW""),)"),"我每天早上都會​​運動。")</f>
        <v>我每天早上都會​​運動。</v>
      </c>
      <c r="E371" s="4" t="str">
        <f ca="1">IFERROR(__xludf.DUMMYFUNCTION("IFERROR(GOOGLETRANSLATE(B371,""en"",""zh-CN""),)"),"我每天早上都锻炼。")</f>
        <v>我每天早上都锻炼。</v>
      </c>
    </row>
    <row r="372" spans="1:5">
      <c r="A372" s="3" t="s">
        <v>1784</v>
      </c>
      <c r="B372" s="4" t="str">
        <f ca="1">IFERROR(__xludf.DUMMYFUNCTION("IFERROR(GOOGLETRANSLATE(A372,""ko"",""en""),)"),"See you on July 30th")</f>
        <v>See you on July 30th</v>
      </c>
      <c r="C372" s="4" t="str">
        <f ca="1">IFERROR(__xludf.DUMMYFUNCTION("IFERROR(GOOGLETRANSLATE(B372,""en"",""ja""),)"),"7月30日にお会いしましょう")</f>
        <v>7月30日にお会いしましょう</v>
      </c>
      <c r="D372" s="4" t="str">
        <f ca="1">IFERROR(__xludf.DUMMYFUNCTION("IFERROR(GOOGLETRANSLATE(B372,""en"",""zh-TW""),)"),"7月30日見！")</f>
        <v>7月30日見！</v>
      </c>
      <c r="E372" s="4" t="str">
        <f ca="1">IFERROR(__xludf.DUMMYFUNCTION("IFERROR(GOOGLETRANSLATE(B372,""en"",""zh-CN""),)"),"7月30日见！")</f>
        <v>7月30日见！</v>
      </c>
    </row>
    <row r="373" spans="1:5">
      <c r="A373" s="5" t="s">
        <v>1788</v>
      </c>
      <c r="B373" s="4" t="str">
        <f ca="1">IFERROR(__xludf.DUMMYFUNCTION("IFERROR(GOOGLETRANSLATE(A373,""ko"",""en""),)"),"this year")</f>
        <v>this year</v>
      </c>
      <c r="C373" s="4" t="str">
        <f ca="1">IFERROR(__xludf.DUMMYFUNCTION("IFERROR(GOOGLETRANSLATE(B373,""en"",""ja""),)"),"今年")</f>
        <v>今年</v>
      </c>
      <c r="D373" s="4" t="str">
        <f ca="1">IFERROR(__xludf.DUMMYFUNCTION("IFERROR(GOOGLETRANSLATE(B373,""en"",""zh-TW""),)"),"今年")</f>
        <v>今年</v>
      </c>
      <c r="E373" s="4" t="str">
        <f ca="1">IFERROR(__xludf.DUMMYFUNCTION("IFERROR(GOOGLETRANSLATE(B373,""en"",""zh-CN""),)"),"今年")</f>
        <v>今年</v>
      </c>
    </row>
    <row r="374" spans="1:5">
      <c r="A374" s="3" t="s">
        <v>1794</v>
      </c>
      <c r="B374" s="4" t="str">
        <f ca="1">IFERROR(__xludf.DUMMYFUNCTION("IFERROR(GOOGLETRANSLATE(A374,""ko"",""en""),)"),"Next Sunday")</f>
        <v>Next Sunday</v>
      </c>
      <c r="C374" s="4" t="str">
        <f ca="1">IFERROR(__xludf.DUMMYFUNCTION("IFERROR(GOOGLETRANSLATE(B374,""en"",""ja""),)"),"次の日曜日")</f>
        <v>次の日曜日</v>
      </c>
      <c r="D374" s="4" t="str">
        <f ca="1">IFERROR(__xludf.DUMMYFUNCTION("IFERROR(GOOGLETRANSLATE(B374,""en"",""zh-TW""),)"),"下週日")</f>
        <v>下週日</v>
      </c>
      <c r="E374" s="4" t="str">
        <f ca="1">IFERROR(__xludf.DUMMYFUNCTION("IFERROR(GOOGLETRANSLATE(B374,""en"",""zh-CN""),)"),"下周日")</f>
        <v>下周日</v>
      </c>
    </row>
    <row r="375" spans="1:5">
      <c r="A375" s="3" t="s">
        <v>1797</v>
      </c>
      <c r="B375" s="4" t="str">
        <f ca="1">IFERROR(__xludf.DUMMYFUNCTION("IFERROR(GOOGLETRANSLATE(A375,""ko"",""en""),)"),"Last month")</f>
        <v>Last month</v>
      </c>
      <c r="C375" s="4" t="str">
        <f ca="1">IFERROR(__xludf.DUMMYFUNCTION("IFERROR(GOOGLETRANSLATE(B375,""en"",""ja""),)"),"先月")</f>
        <v>先月</v>
      </c>
      <c r="D375" s="4" t="str">
        <f ca="1">IFERROR(__xludf.DUMMYFUNCTION("IFERROR(GOOGLETRANSLATE(B375,""en"",""zh-TW""),)"),"上個月")</f>
        <v>上個月</v>
      </c>
      <c r="E375" s="4" t="str">
        <f ca="1">IFERROR(__xludf.DUMMYFUNCTION("IFERROR(GOOGLETRANSLATE(B375,""en"",""zh-CN""),)"),"上个月")</f>
        <v>上个月</v>
      </c>
    </row>
    <row r="376" spans="1:5">
      <c r="A376" s="3" t="s">
        <v>1802</v>
      </c>
      <c r="B376" s="4" t="str">
        <f ca="1">IFERROR(__xludf.DUMMYFUNCTION("IFERROR(GOOGLETRANSLATE(A376,""ko"",""en""),)"),"This month")</f>
        <v>This month</v>
      </c>
      <c r="C376" s="4" t="str">
        <f ca="1">IFERROR(__xludf.DUMMYFUNCTION("IFERROR(GOOGLETRANSLATE(B376,""en"",""ja""),)"),"今月")</f>
        <v>今月</v>
      </c>
      <c r="D376" s="4" t="str">
        <f ca="1">IFERROR(__xludf.DUMMYFUNCTION("IFERROR(GOOGLETRANSLATE(B376,""en"",""zh-TW""),)"),"本月")</f>
        <v>本月</v>
      </c>
      <c r="E376" s="4" t="str">
        <f ca="1">IFERROR(__xludf.DUMMYFUNCTION("IFERROR(GOOGLETRANSLATE(B376,""en"",""zh-CN""),)"),"本月")</f>
        <v>本月</v>
      </c>
    </row>
    <row r="377" spans="1:5">
      <c r="A377" s="3" t="s">
        <v>1807</v>
      </c>
      <c r="B377" s="4" t="str">
        <f ca="1">IFERROR(__xludf.DUMMYFUNCTION("IFERROR(GOOGLETRANSLATE(A377,""ko"",""en""),)"),"Next month")</f>
        <v>Next month</v>
      </c>
      <c r="C377" s="4" t="str">
        <f ca="1">IFERROR(__xludf.DUMMYFUNCTION("IFERROR(GOOGLETRANSLATE(B377,""en"",""ja""),)"),"来月")</f>
        <v>来月</v>
      </c>
      <c r="D377" s="4" t="str">
        <f ca="1">IFERROR(__xludf.DUMMYFUNCTION("IFERROR(GOOGLETRANSLATE(B377,""en"",""zh-TW""),)"),"下個月")</f>
        <v>下個月</v>
      </c>
      <c r="E377" s="4" t="str">
        <f ca="1">IFERROR(__xludf.DUMMYFUNCTION("IFERROR(GOOGLETRANSLATE(B377,""en"",""zh-CN""),)"),"下个月")</f>
        <v>下个月</v>
      </c>
    </row>
    <row r="378" spans="1:5">
      <c r="A378" s="3" t="s">
        <v>1814</v>
      </c>
      <c r="B378" s="4" t="str">
        <f ca="1">IFERROR(__xludf.DUMMYFUNCTION("IFERROR(GOOGLETRANSLATE(A378,""ko"",""en""),)"),"last week")</f>
        <v>last week</v>
      </c>
      <c r="C378" s="4" t="str">
        <f ca="1">IFERROR(__xludf.DUMMYFUNCTION("IFERROR(GOOGLETRANSLATE(B378,""en"",""ja""),)"),"先週")</f>
        <v>先週</v>
      </c>
      <c r="D378" s="4" t="str">
        <f ca="1">IFERROR(__xludf.DUMMYFUNCTION("IFERROR(GOOGLETRANSLATE(B378,""en"",""zh-TW""),)"),"上個星期")</f>
        <v>上個星期</v>
      </c>
      <c r="E378" s="4" t="str">
        <f ca="1">IFERROR(__xludf.DUMMYFUNCTION("IFERROR(GOOGLETRANSLATE(B378,""en"",""zh-CN""),)"),"上星期")</f>
        <v>上星期</v>
      </c>
    </row>
    <row r="379" spans="1:5">
      <c r="A379" s="3" t="s">
        <v>1819</v>
      </c>
      <c r="B379" s="4" t="str">
        <f ca="1">IFERROR(__xludf.DUMMYFUNCTION("IFERROR(GOOGLETRANSLATE(A379,""ko"",""en""),)"),"This week")</f>
        <v>This week</v>
      </c>
      <c r="C379" s="4" t="str">
        <f ca="1">IFERROR(__xludf.DUMMYFUNCTION("IFERROR(GOOGLETRANSLATE(B379,""en"",""ja""),)"),"今週")</f>
        <v>今週</v>
      </c>
      <c r="D379" s="4" t="str">
        <f ca="1">IFERROR(__xludf.DUMMYFUNCTION("IFERROR(GOOGLETRANSLATE(B379,""en"",""zh-TW""),)"),"本星期")</f>
        <v>本星期</v>
      </c>
      <c r="E379" s="4" t="str">
        <f ca="1">IFERROR(__xludf.DUMMYFUNCTION("IFERROR(GOOGLETRANSLATE(B379,""en"",""zh-CN""),)"),"本星期")</f>
        <v>本星期</v>
      </c>
    </row>
    <row r="380" spans="1:5">
      <c r="A380" s="3" t="s">
        <v>1824</v>
      </c>
      <c r="B380" s="4" t="str">
        <f ca="1">IFERROR(__xludf.DUMMYFUNCTION("IFERROR(GOOGLETRANSLATE(A380,""ko"",""en""),)"),"next week")</f>
        <v>next week</v>
      </c>
      <c r="C380" s="4" t="str">
        <f ca="1">IFERROR(__xludf.DUMMYFUNCTION("IFERROR(GOOGLETRANSLATE(B380,""en"",""ja""),)"),"来週")</f>
        <v>来週</v>
      </c>
      <c r="D380" s="4" t="str">
        <f ca="1">IFERROR(__xludf.DUMMYFUNCTION("IFERROR(GOOGLETRANSLATE(B380,""en"",""zh-TW""),)"),"下週")</f>
        <v>下週</v>
      </c>
      <c r="E380" s="4" t="str">
        <f ca="1">IFERROR(__xludf.DUMMYFUNCTION("IFERROR(GOOGLETRANSLATE(B380,""en"",""zh-CN""),)"),"下周")</f>
        <v>下周</v>
      </c>
    </row>
    <row r="381" spans="1:5">
      <c r="A381" s="3" t="s">
        <v>1837</v>
      </c>
      <c r="B381" s="4" t="str">
        <f ca="1">IFERROR(__xludf.DUMMYFUNCTION("IFERROR(GOOGLETRANSLATE(A381,""ko"",""en""),)"),"When are you going on a trip?")</f>
        <v>When are you going on a trip?</v>
      </c>
      <c r="C381" s="4" t="str">
        <f ca="1">IFERROR(__xludf.DUMMYFUNCTION("IFERROR(GOOGLETRANSLATE(B381,""en"",""ja""),)"),"いつ旅行に行く予定ですか？")</f>
        <v>いつ旅行に行く予定ですか？</v>
      </c>
      <c r="D381" s="4" t="str">
        <f ca="1">IFERROR(__xludf.DUMMYFUNCTION("IFERROR(GOOGLETRANSLATE(B381,""en"",""zh-TW""),)"),"你什麼時候去旅行？")</f>
        <v>你什麼時候去旅行？</v>
      </c>
      <c r="E381" s="4" t="str">
        <f ca="1">IFERROR(__xludf.DUMMYFUNCTION("IFERROR(GOOGLETRANSLATE(B381,""en"",""zh-CN""),)"),"你什么时候去旅行？")</f>
        <v>你什么时候去旅行？</v>
      </c>
    </row>
    <row r="382" spans="1:5">
      <c r="A382" s="3" t="s">
        <v>1841</v>
      </c>
      <c r="B382" s="4" t="str">
        <f ca="1">IFERROR(__xludf.DUMMYFUNCTION("IFERROR(GOOGLETRANSLATE(A382,""ko"",""en""),)"),"I'm going on the 5th of August.")</f>
        <v>I'm going on the 5th of August.</v>
      </c>
      <c r="C382" s="4" t="str">
        <f ca="1">IFERROR(__xludf.DUMMYFUNCTION("IFERROR(GOOGLETRANSLATE(B382,""en"",""ja""),)"),"私は8月5日に行きます。")</f>
        <v>私は8月5日に行きます。</v>
      </c>
      <c r="D382" s="4" t="str">
        <f ca="1">IFERROR(__xludf.DUMMYFUNCTION("IFERROR(GOOGLETRANSLATE(B382,""en"",""zh-TW""),)"),"我將於8月5日出發。")</f>
        <v>我將於8月5日出發。</v>
      </c>
      <c r="E382" s="4" t="str">
        <f ca="1">IFERROR(__xludf.DUMMYFUNCTION("IFERROR(GOOGLETRANSLATE(B382,""en"",""zh-CN""),)"),"我将于8月5日出发。")</f>
        <v>我将于8月5日出发。</v>
      </c>
    </row>
    <row r="383" spans="1:5">
      <c r="A383" s="3" t="s">
        <v>1847</v>
      </c>
      <c r="B383" s="4" t="str">
        <f ca="1">IFERROR(__xludf.DUMMYFUNCTION("IFERROR(GOOGLETRANSLATE(A383,""ko"",""en""),)"),"On Thursday, August 5th.")</f>
        <v>On Thursday, August 5th.</v>
      </c>
      <c r="C383" s="4" t="str">
        <f ca="1">IFERROR(__xludf.DUMMYFUNCTION("IFERROR(GOOGLETRANSLATE(B383,""en"",""ja""),)"),"8月5日木曜日。")</f>
        <v>8月5日木曜日。</v>
      </c>
      <c r="D383" s="4" t="str">
        <f ca="1">IFERROR(__xludf.DUMMYFUNCTION("IFERROR(GOOGLETRANSLATE(B383,""en"",""zh-TW""),)"),"8月5日，星期四。")</f>
        <v>8月5日，星期四。</v>
      </c>
      <c r="E383" s="4" t="str">
        <f ca="1">IFERROR(__xludf.DUMMYFUNCTION("IFERROR(GOOGLETRANSLATE(B383,""en"",""zh-CN""),)"),"8月5日，星期四。")</f>
        <v>8月5日，星期四。</v>
      </c>
    </row>
    <row r="384" spans="1:5">
      <c r="A384" s="3" t="s">
        <v>1852</v>
      </c>
      <c r="B384" s="4" t="str">
        <f ca="1">IFERROR(__xludf.DUMMYFUNCTION("IFERROR(GOOGLETRANSLATE(A384,""ko"",""en""),)"),"On what day do you take the photos?")</f>
        <v>On what day do you take the photos?</v>
      </c>
      <c r="C384" s="4" t="str">
        <f ca="1">IFERROR(__xludf.DUMMYFUNCTION("IFERROR(GOOGLETRANSLATE(B384,""en"",""ja""),)"),"写真はどの曜日に撮影するのですか？")</f>
        <v>写真はどの曜日に撮影するのですか？</v>
      </c>
      <c r="D384" s="4" t="str">
        <f ca="1">IFERROR(__xludf.DUMMYFUNCTION("IFERROR(GOOGLETRANSLATE(B384,""en"",""zh-TW""),)"),"你們在哪一天拍照？")</f>
        <v>你們在哪一天拍照？</v>
      </c>
      <c r="E384" s="4" t="str">
        <f ca="1">IFERROR(__xludf.DUMMYFUNCTION("IFERROR(GOOGLETRANSLATE(B384,""en"",""zh-CN""),)"),"你们在哪一天拍照？")</f>
        <v>你们在哪一天拍照？</v>
      </c>
    </row>
    <row r="385" spans="1:5">
      <c r="A385" s="3" t="s">
        <v>1857</v>
      </c>
      <c r="B385" s="4" t="str">
        <f ca="1">IFERROR(__xludf.DUMMYFUNCTION("IFERROR(GOOGLETRANSLATE(A385,""ko"",""en""),)"),"I'm taking a picture on October 14th.")</f>
        <v>I'm taking a picture on October 14th.</v>
      </c>
      <c r="C385" s="4" t="str">
        <f ca="1">IFERROR(__xludf.DUMMYFUNCTION("IFERROR(GOOGLETRANSLATE(B385,""en"",""ja""),)"),"10月14日に写真を撮ります。")</f>
        <v>10月14日に写真を撮ります。</v>
      </c>
      <c r="D385" s="4" t="str">
        <f ca="1">IFERROR(__xludf.DUMMYFUNCTION("IFERROR(GOOGLETRANSLATE(B385,""en"",""zh-TW""),)"),"我將於10月14日拍照。")</f>
        <v>我將於10月14日拍照。</v>
      </c>
      <c r="E385" s="4" t="str">
        <f ca="1">IFERROR(__xludf.DUMMYFUNCTION("IFERROR(GOOGLETRANSLATE(B385,""en"",""zh-CN""),)"),"我将于10月14日拍照。")</f>
        <v>我将于10月14日拍照。</v>
      </c>
    </row>
    <row r="386" spans="1:5">
      <c r="A386" s="5" t="s">
        <v>1861</v>
      </c>
      <c r="B386" s="4" t="str">
        <f ca="1">IFERROR(__xludf.DUMMYFUNCTION("IFERROR(GOOGLETRANSLATE(A386,""ko"",""en""),)"),"When do you learn to cook?")</f>
        <v>When do you learn to cook?</v>
      </c>
      <c r="C386" s="4" t="str">
        <f ca="1">IFERROR(__xludf.DUMMYFUNCTION("IFERROR(GOOGLETRANSLATE(B386,""en"",""ja""),)"),"料理はいつ覚えるべきですか？")</f>
        <v>料理はいつ覚えるべきですか？</v>
      </c>
      <c r="D386" s="4" t="str">
        <f ca="1">IFERROR(__xludf.DUMMYFUNCTION("IFERROR(GOOGLETRANSLATE(B386,""en"",""zh-TW""),)"),"你什麼時候開始學做菜的？")</f>
        <v>你什麼時候開始學做菜的？</v>
      </c>
      <c r="E386" s="4" t="str">
        <f ca="1">IFERROR(__xludf.DUMMYFUNCTION("IFERROR(GOOGLETRANSLATE(B386,""en"",""zh-CN""),)"),"你什么时候开始学做饭的？")</f>
        <v>你什么时候开始学做饭的？</v>
      </c>
    </row>
    <row r="387" spans="1:5">
      <c r="A387" s="5" t="s">
        <v>1865</v>
      </c>
      <c r="B387" s="4" t="str">
        <f ca="1">IFERROR(__xludf.DUMMYFUNCTION("IFERROR(GOOGLETRANSLATE(A387,""ko"",""en""),)"),"Every Saturday")</f>
        <v>Every Saturday</v>
      </c>
      <c r="C387" s="4" t="str">
        <f ca="1">IFERROR(__xludf.DUMMYFUNCTION("IFERROR(GOOGLETRANSLATE(B387,""en"",""ja""),)"),"毎週土曜日")</f>
        <v>毎週土曜日</v>
      </c>
      <c r="D387" s="4" t="str">
        <f ca="1">IFERROR(__xludf.DUMMYFUNCTION("IFERROR(GOOGLETRANSLATE(B387,""en"",""zh-TW""),)"),"每週六")</f>
        <v>每週六</v>
      </c>
      <c r="E387" s="4" t="str">
        <f ca="1">IFERROR(__xludf.DUMMYFUNCTION("IFERROR(GOOGLETRANSLATE(B387,""en"",""zh-CN""),)"),"每周六")</f>
        <v>每周六</v>
      </c>
    </row>
    <row r="388" spans="1:5">
      <c r="A388" s="3" t="s">
        <v>1870</v>
      </c>
      <c r="B388" s="4" t="str">
        <f ca="1">IFERROR(__xludf.DUMMYFUNCTION("IFERROR(GOOGLETRANSLATE(A388,""ko"",""en""),)"),"I learn on Saturdays.")</f>
        <v>I learn on Saturdays.</v>
      </c>
      <c r="C388" s="4" t="str">
        <f ca="1">IFERROR(__xludf.DUMMYFUNCTION("IFERROR(GOOGLETRANSLATE(B388,""en"",""ja""),)"),"私は土曜日に勉強します。")</f>
        <v>私は土曜日に勉強します。</v>
      </c>
      <c r="D388" s="4" t="str">
        <f ca="1">IFERROR(__xludf.DUMMYFUNCTION("IFERROR(GOOGLETRANSLATE(B388,""en"",""zh-TW""),)"),"我周六學習。")</f>
        <v>我周六學習。</v>
      </c>
      <c r="E388" s="4" t="str">
        <f ca="1">IFERROR(__xludf.DUMMYFUNCTION("IFERROR(GOOGLETRANSLATE(B388,""en"",""zh-CN""),)"),"我周六学习。")</f>
        <v>我周六学习。</v>
      </c>
    </row>
    <row r="389" spans="1:5">
      <c r="A389" s="5" t="s">
        <v>1874</v>
      </c>
      <c r="B389" s="4" t="str">
        <f ca="1">IFERROR(__xludf.DUMMYFUNCTION("IFERROR(GOOGLETRANSLATE(A389,""ko"",""en""),)"),"weekdays")</f>
        <v>weekdays</v>
      </c>
      <c r="C389" s="4" t="str">
        <f ca="1">IFERROR(__xludf.DUMMYFUNCTION("IFERROR(GOOGLETRANSLATE(B389,""en"",""ja""),)"),"平日")</f>
        <v>平日</v>
      </c>
      <c r="D389" s="4" t="str">
        <f ca="1">IFERROR(__xludf.DUMMYFUNCTION("IFERROR(GOOGLETRANSLATE(B389,""en"",""zh-TW""),)"),"工作日")</f>
        <v>工作日</v>
      </c>
      <c r="E389" s="4" t="str">
        <f ca="1">IFERROR(__xludf.DUMMYFUNCTION("IFERROR(GOOGLETRANSLATE(B389,""en"",""zh-CN""),)"),"工作日")</f>
        <v>工作日</v>
      </c>
    </row>
    <row r="390" spans="1:5">
      <c r="A390" s="5" t="s">
        <v>1747</v>
      </c>
      <c r="B390" s="4" t="str">
        <f ca="1">IFERROR(__xludf.DUMMYFUNCTION("IFERROR(GOOGLETRANSLATE(A390,""ko"",""en""),)"),"weekend")</f>
        <v>weekend</v>
      </c>
      <c r="C390" s="4" t="str">
        <f ca="1">IFERROR(__xludf.DUMMYFUNCTION("IFERROR(GOOGLETRANSLATE(B390,""en"",""ja""),)"),"週末")</f>
        <v>週末</v>
      </c>
      <c r="D390" s="4" t="str">
        <f ca="1">IFERROR(__xludf.DUMMYFUNCTION("IFERROR(GOOGLETRANSLATE(B390,""en"",""zh-TW""),)"),"週末")</f>
        <v>週末</v>
      </c>
      <c r="E390" s="4" t="str">
        <f ca="1">IFERROR(__xludf.DUMMYFUNCTION("IFERROR(GOOGLETRANSLATE(B390,""en"",""zh-CN""),)"),"周末")</f>
        <v>周末</v>
      </c>
    </row>
    <row r="391" spans="1:5">
      <c r="A391" s="5" t="s">
        <v>1881</v>
      </c>
      <c r="B391" s="4" t="str">
        <f ca="1">IFERROR(__xludf.DUMMYFUNCTION("IFERROR(GOOGLETRANSLATE(A391,""ko"",""en""),)"),"weekdays")</f>
        <v>weekdays</v>
      </c>
      <c r="C391" s="4" t="str">
        <f ca="1">IFERROR(__xludf.DUMMYFUNCTION("IFERROR(GOOGLETRANSLATE(B391,""en"",""ja""),)"),"平日")</f>
        <v>平日</v>
      </c>
      <c r="D391" s="4" t="str">
        <f ca="1">IFERROR(__xludf.DUMMYFUNCTION("IFERROR(GOOGLETRANSLATE(B391,""en"",""zh-TW""),)"),"工作日")</f>
        <v>工作日</v>
      </c>
      <c r="E391" s="4" t="str">
        <f ca="1">IFERROR(__xludf.DUMMYFUNCTION("IFERROR(GOOGLETRANSLATE(B391,""en"",""zh-CN""),)"),"工作日")</f>
        <v>工作日</v>
      </c>
    </row>
    <row r="392" spans="1:5">
      <c r="A392" s="3" t="s">
        <v>1884</v>
      </c>
      <c r="B392" s="4" t="str">
        <f ca="1">IFERROR(__xludf.DUMMYFUNCTION("IFERROR(GOOGLETRANSLATE(A392,""ko"",""en""),)"),"I go to Sejong Institute on Thursday.")</f>
        <v>I go to Sejong Institute on Thursday.</v>
      </c>
      <c r="C392" s="4" t="str">
        <f ca="1">IFERROR(__xludf.DUMMYFUNCTION("IFERROR(GOOGLETRANSLATE(B392,""en"",""ja""),)"),"私は木曜日に世宗学院に行きます。")</f>
        <v>私は木曜日に世宗学院に行きます。</v>
      </c>
      <c r="D392" s="4" t="str">
        <f ca="1">IFERROR(__xludf.DUMMYFUNCTION("IFERROR(GOOGLETRANSLATE(B392,""en"",""zh-TW""),)"),"我星期四去世宗學院。")</f>
        <v>我星期四去世宗學院。</v>
      </c>
      <c r="E392" s="4" t="str">
        <f ca="1">IFERROR(__xludf.DUMMYFUNCTION("IFERROR(GOOGLETRANSLATE(B392,""en"",""zh-CN""),)"),"我星期四去世宗学院。")</f>
        <v>我星期四去世宗学院。</v>
      </c>
    </row>
    <row r="393" spans="1:5">
      <c r="A393" s="3" t="s">
        <v>1888</v>
      </c>
      <c r="B393" s="4" t="str">
        <f ca="1">IFERROR(__xludf.DUMMYFUNCTION("IFERROR(GOOGLETRANSLATE(A393,""ko"",""en""),)"),"I work a part-time job on Wednesdays.")</f>
        <v>I work a part-time job on Wednesdays.</v>
      </c>
      <c r="C393" s="4" t="str">
        <f ca="1">IFERROR(__xludf.DUMMYFUNCTION("IFERROR(GOOGLETRANSLATE(B393,""en"",""ja""),)"),"私は水曜日にパートタイムの仕事をしています。")</f>
        <v>私は水曜日にパートタイムの仕事をしています。</v>
      </c>
      <c r="D393" s="4" t="str">
        <f ca="1">IFERROR(__xludf.DUMMYFUNCTION("IFERROR(GOOGLETRANSLATE(B393,""en"",""zh-TW""),)"),"我每週三做兼職。")</f>
        <v>我每週三做兼職。</v>
      </c>
      <c r="E393" s="4" t="str">
        <f ca="1">IFERROR(__xludf.DUMMYFUNCTION("IFERROR(GOOGLETRANSLATE(B393,""en"",""zh-CN""),)"),"我每周三做兼职。")</f>
        <v>我每周三做兼职。</v>
      </c>
    </row>
    <row r="394" spans="1:5">
      <c r="A394" s="3" t="s">
        <v>1892</v>
      </c>
      <c r="B394" s="4" t="str">
        <f ca="1">IFERROR(__xludf.DUMMYFUNCTION("IFERROR(GOOGLETRANSLATE(A394,""ko"",""en""),)"),"I am going to a friend's house on Tuesday.")</f>
        <v>I am going to a friend's house on Tuesday.</v>
      </c>
      <c r="C394" s="4" t="str">
        <f ca="1">IFERROR(__xludf.DUMMYFUNCTION("IFERROR(GOOGLETRANSLATE(B394,""en"",""ja""),)"),"私は火曜日に友人の家に行く予定です。")</f>
        <v>私は火曜日に友人の家に行く予定です。</v>
      </c>
      <c r="D394" s="4" t="str">
        <f ca="1">IFERROR(__xludf.DUMMYFUNCTION("IFERROR(GOOGLETRANSLATE(B394,""en"",""zh-TW""),)"),"我星期二要去朋友家。")</f>
        <v>我星期二要去朋友家。</v>
      </c>
      <c r="E394" s="4" t="str">
        <f ca="1">IFERROR(__xludf.DUMMYFUNCTION("IFERROR(GOOGLETRANSLATE(B394,""en"",""zh-CN""),)"),"我星期二要去朋友家。")</f>
        <v>我星期二要去朋友家。</v>
      </c>
    </row>
    <row r="395" spans="1:5">
      <c r="A395" s="3" t="s">
        <v>1895</v>
      </c>
      <c r="B395" s="4" t="str">
        <f ca="1">IFERROR(__xludf.DUMMYFUNCTION("IFERROR(GOOGLETRANSLATE(A395,""ko"",""en""),)"),"I work during the week.")</f>
        <v>I work during the week.</v>
      </c>
      <c r="C395" s="4" t="str">
        <f ca="1">IFERROR(__xludf.DUMMYFUNCTION("IFERROR(GOOGLETRANSLATE(B395,""en"",""ja""),)"),"私は平日は仕事をしています。")</f>
        <v>私は平日は仕事をしています。</v>
      </c>
      <c r="D395" s="4" t="str">
        <f ca="1">IFERROR(__xludf.DUMMYFUNCTION("IFERROR(GOOGLETRANSLATE(B395,""en"",""zh-TW""),)"),"我工作日上班。")</f>
        <v>我工作日上班。</v>
      </c>
      <c r="E395" s="4" t="str">
        <f ca="1">IFERROR(__xludf.DUMMYFUNCTION("IFERROR(GOOGLETRANSLATE(B395,""en"",""zh-CN""),)"),"我工作日上班。")</f>
        <v>我工作日上班。</v>
      </c>
    </row>
    <row r="396" spans="1:5">
      <c r="A396" s="5" t="s">
        <v>1899</v>
      </c>
      <c r="B396" s="4" t="str">
        <f ca="1">IFERROR(__xludf.DUMMYFUNCTION("IFERROR(GOOGLETRANSLATE(A396,""ko"",""en""),)"),"I sleep all day.")</f>
        <v>I sleep all day.</v>
      </c>
      <c r="C396" s="4" t="str">
        <f ca="1">IFERROR(__xludf.DUMMYFUNCTION("IFERROR(GOOGLETRANSLATE(B396,""en"",""ja""),)"),"私は一日中寝ています。")</f>
        <v>私は一日中寝ています。</v>
      </c>
      <c r="D396" s="4" t="str">
        <f ca="1">IFERROR(__xludf.DUMMYFUNCTION("IFERROR(GOOGLETRANSLATE(B396,""en"",""zh-TW""),)"),"我整天都在睡覺。")</f>
        <v>我整天都在睡覺。</v>
      </c>
      <c r="E396" s="4" t="str">
        <f ca="1">IFERROR(__xludf.DUMMYFUNCTION("IFERROR(GOOGLETRANSLATE(B396,""en"",""zh-CN""),)"),"我整天都在睡觉。")</f>
        <v>我整天都在睡觉。</v>
      </c>
    </row>
    <row r="397" spans="1:5">
      <c r="A397" s="3" t="s">
        <v>166</v>
      </c>
      <c r="B397" s="4" t="str">
        <f ca="1">IFERROR(__xludf.DUMMYFUNCTION("IFERROR(GOOGLETRANSLATE(A397,""ko"",""en""),)"),"I go grocery shopping.")</f>
        <v>I go grocery shopping.</v>
      </c>
      <c r="C397" s="4" t="str">
        <f ca="1">IFERROR(__xludf.DUMMYFUNCTION("IFERROR(GOOGLETRANSLATE(B397,""en"",""ja""),)"),"私は食料品の買い物に行く。")</f>
        <v>私は食料品の買い物に行く。</v>
      </c>
      <c r="D397" s="4" t="str">
        <f ca="1">IFERROR(__xludf.DUMMYFUNCTION("IFERROR(GOOGLETRANSLATE(B397,""en"",""zh-TW""),)"),"我去超市買菜。")</f>
        <v>我去超市買菜。</v>
      </c>
      <c r="E397" s="4" t="str">
        <f ca="1">IFERROR(__xludf.DUMMYFUNCTION("IFERROR(GOOGLETRANSLATE(B397,""en"",""zh-CN""),)"),"我去超市买菜。")</f>
        <v>我去超市买菜。</v>
      </c>
    </row>
    <row r="398" spans="1:5">
      <c r="A398" s="3" t="s">
        <v>1904</v>
      </c>
      <c r="B398" s="4" t="str">
        <f ca="1">IFERROR(__xludf.DUMMYFUNCTION("IFERROR(GOOGLETRANSLATE(A398,""ko"",""en""),)"),"Workbook")</f>
        <v>Workbook</v>
      </c>
      <c r="C398" s="4" t="str">
        <f ca="1">IFERROR(__xludf.DUMMYFUNCTION("IFERROR(GOOGLETRANSLATE(B398,""en"",""ja""),)"),"ワークブック")</f>
        <v>ワークブック</v>
      </c>
      <c r="D398" s="4" t="str">
        <f ca="1">IFERROR(__xludf.DUMMYFUNCTION("IFERROR(GOOGLETRANSLATE(B398,""en"",""zh-TW""),)"),"工作簿")</f>
        <v>工作簿</v>
      </c>
      <c r="E398" s="4" t="str">
        <f ca="1">IFERROR(__xludf.DUMMYFUNCTION("IFERROR(GOOGLETRANSLATE(B398,""en"",""zh-CN""),)"),"工作簿")</f>
        <v>工作簿</v>
      </c>
    </row>
    <row r="399" spans="1:5">
      <c r="A399" s="3" t="s">
        <v>1907</v>
      </c>
      <c r="B399" s="4" t="str">
        <f ca="1">IFERROR(__xludf.DUMMYFUNCTION("IFERROR(GOOGLETRANSLATE(A399,""ko"",""en""),)"),"Vocabulary, Expressions, and Grammar")</f>
        <v>Vocabulary, Expressions, and Grammar</v>
      </c>
      <c r="C399" s="4" t="str">
        <f ca="1">IFERROR(__xludf.DUMMYFUNCTION("IFERROR(GOOGLETRANSLATE(B399,""en"",""ja""),)"),"語彙、表現、文法")</f>
        <v>語彙、表現、文法</v>
      </c>
      <c r="D399" s="4" t="str">
        <f ca="1">IFERROR(__xludf.DUMMYFUNCTION("IFERROR(GOOGLETRANSLATE(B399,""en"",""zh-TW""),)"),"詞彙、表達方式和文法")</f>
        <v>詞彙、表達方式和文法</v>
      </c>
      <c r="E399" s="4" t="str">
        <f ca="1">IFERROR(__xludf.DUMMYFUNCTION("IFERROR(GOOGLETRANSLATE(B399,""en"",""zh-CN""),)"),"词汇、表达方式和语法")</f>
        <v>词汇、表达方式和语法</v>
      </c>
    </row>
    <row r="400" spans="1:5">
      <c r="A400" s="5" t="s">
        <v>1912</v>
      </c>
      <c r="B400" s="4" t="str">
        <f ca="1">IFERROR(__xludf.DUMMYFUNCTION("IFERROR(GOOGLETRANSLATE(A400,""ko"",""en""),)"),"Plus activity")</f>
        <v>Plus activity</v>
      </c>
      <c r="C400" s="4" t="str">
        <f ca="1">IFERROR(__xludf.DUMMYFUNCTION("IFERROR(GOOGLETRANSLATE(B400,""en"",""ja""),)"),"プラスアクティビティ")</f>
        <v>プラスアクティビティ</v>
      </c>
      <c r="D400" s="4" t="str">
        <f ca="1">IFERROR(__xludf.DUMMYFUNCTION("IFERROR(GOOGLETRANSLATE(B400,""en"",""zh-TW""),)"),"加活動")</f>
        <v>加活動</v>
      </c>
      <c r="E400" s="4" t="str">
        <f ca="1">IFERROR(__xludf.DUMMYFUNCTION("IFERROR(GOOGLETRANSLATE(B400,""en"",""zh-CN""),)"),"加活动")</f>
        <v>加活动</v>
      </c>
    </row>
    <row r="401" spans="1:5">
      <c r="A401" s="3" t="s">
        <v>1916</v>
      </c>
      <c r="B401" s="4" t="str">
        <f ca="1">IFERROR(__xludf.DUMMYFUNCTION("IFERROR(GOOGLETRANSLATE(A401,""ko"",""en""),)"),"When do I meet Juno?")</f>
        <v>When do I meet Juno?</v>
      </c>
      <c r="C401" s="4" t="str">
        <f ca="1">IFERROR(__xludf.DUMMYFUNCTION("IFERROR(GOOGLETRANSLATE(B401,""en"",""ja""),)"),"ジュノとはいつ会えますか？")</f>
        <v>ジュノとはいつ会えますか？</v>
      </c>
      <c r="D401" s="4" t="str">
        <f ca="1">IFERROR(__xludf.DUMMYFUNCTION("IFERROR(GOOGLETRANSLATE(B401,""en"",""zh-TW""),)"),"我什麼時候能見到朱諾？")</f>
        <v>我什麼時候能見到朱諾？</v>
      </c>
      <c r="E401" s="4" t="str">
        <f ca="1">IFERROR(__xludf.DUMMYFUNCTION("IFERROR(GOOGLETRANSLATE(B401,""en"",""zh-CN""),)"),"我什么时候能见到朱诺？")</f>
        <v>我什么时候能见到朱诺？</v>
      </c>
    </row>
    <row r="402" spans="1:5">
      <c r="A402" s="5" t="s">
        <v>1919</v>
      </c>
      <c r="B402" s="4" t="str">
        <f ca="1">IFERROR(__xludf.DUMMYFUNCTION("IFERROR(GOOGLETRANSLATE(A402,""ko"",""en""),)"),"See you on January 17th.")</f>
        <v>See you on January 17th.</v>
      </c>
      <c r="C402" s="4" t="str">
        <f ca="1">IFERROR(__xludf.DUMMYFUNCTION("IFERROR(GOOGLETRANSLATE(B402,""en"",""ja""),)"),"1月17日にお会いしましょう。")</f>
        <v>1月17日にお会いしましょう。</v>
      </c>
      <c r="D402" s="4" t="str">
        <f ca="1">IFERROR(__xludf.DUMMYFUNCTION("IFERROR(GOOGLETRANSLATE(B402,""en"",""zh-TW""),)"),"1月17日見。")</f>
        <v>1月17日見。</v>
      </c>
      <c r="E402" s="4" t="str">
        <f ca="1">IFERROR(__xludf.DUMMYFUNCTION("IFERROR(GOOGLETRANSLATE(B402,""en"",""zh-CN""),)"),"1月17日见。")</f>
        <v>1月17日见。</v>
      </c>
    </row>
    <row r="403" spans="1:5">
      <c r="A403" s="3" t="s">
        <v>1924</v>
      </c>
      <c r="B403" s="4" t="str">
        <f ca="1">IFERROR(__xludf.DUMMYFUNCTION("IFERROR(GOOGLETRANSLATE(A403,""ko"",""en""),)"),"When is the birthday party?")</f>
        <v>When is the birthday party?</v>
      </c>
      <c r="C403" s="4" t="str">
        <f ca="1">IFERROR(__xludf.DUMMYFUNCTION("IFERROR(GOOGLETRANSLATE(B403,""en"",""ja""),)"),"誕生日パーティーはいつですか？")</f>
        <v>誕生日パーティーはいつですか？</v>
      </c>
      <c r="D403" s="4" t="str">
        <f ca="1">IFERROR(__xludf.DUMMYFUNCTION("IFERROR(GOOGLETRANSLATE(B403,""en"",""zh-TW""),)"),"生日派對是什麼時候？")</f>
        <v>生日派對是什麼時候？</v>
      </c>
      <c r="E403" s="4" t="str">
        <f ca="1">IFERROR(__xludf.DUMMYFUNCTION("IFERROR(GOOGLETRANSLATE(B403,""en"",""zh-CN""),)"),"生日派对是什么时候？")</f>
        <v>生日派对是什么时候？</v>
      </c>
    </row>
    <row r="404" spans="1:5">
      <c r="A404" s="3" t="s">
        <v>1928</v>
      </c>
      <c r="B404" s="4" t="str">
        <f ca="1">IFERROR(__xludf.DUMMYFUNCTION("IFERROR(GOOGLETRANSLATE(A404,""ko"",""en""),)"),"I have a birthday party on June 30th.")</f>
        <v>I have a birthday party on June 30th.</v>
      </c>
      <c r="C404" s="4" t="str">
        <f ca="1">IFERROR(__xludf.DUMMYFUNCTION("IFERROR(GOOGLETRANSLATE(B404,""en"",""ja""),)"),"6月30日に誕生日パーティーがあります。")</f>
        <v>6月30日に誕生日パーティーがあります。</v>
      </c>
      <c r="D404" s="4" t="str">
        <f ca="1">IFERROR(__xludf.DUMMYFUNCTION("IFERROR(GOOGLETRANSLATE(B404,""en"",""zh-TW""),)"),"我6月30日有個生日派對。")</f>
        <v>我6月30日有個生日派對。</v>
      </c>
      <c r="E404" s="4" t="str">
        <f ca="1">IFERROR(__xludf.DUMMYFUNCTION("IFERROR(GOOGLETRANSLATE(B404,""en"",""zh-CN""),)"),"我6月30日有个生日派对。")</f>
        <v>我6月30日有个生日派对。</v>
      </c>
    </row>
    <row r="405" spans="1:5">
      <c r="A405" s="3" t="s">
        <v>1933</v>
      </c>
      <c r="B405" s="4" t="str">
        <f ca="1">IFERROR(__xludf.DUMMYFUNCTION("IFERROR(GOOGLETRANSLATE(A405,""ko"",""en""),)"),"When do you do part-time work?")</f>
        <v>When do you do part-time work?</v>
      </c>
      <c r="C405" s="4" t="str">
        <f ca="1">IFERROR(__xludf.DUMMYFUNCTION("IFERROR(GOOGLETRANSLATE(B405,""en"",""ja""),)"),"パートタイムの仕事はいつしますか？")</f>
        <v>パートタイムの仕事はいつしますか？</v>
      </c>
      <c r="D405" s="4" t="str">
        <f ca="1">IFERROR(__xludf.DUMMYFUNCTION("IFERROR(GOOGLETRANSLATE(B405,""en"",""zh-TW""),)"),"你什麼時候做兼職？")</f>
        <v>你什麼時候做兼職？</v>
      </c>
      <c r="E405" s="4" t="str">
        <f ca="1">IFERROR(__xludf.DUMMYFUNCTION("IFERROR(GOOGLETRANSLATE(B405,""en"",""zh-CN""),)"),"你什么时候做兼职？")</f>
        <v>你什么时候做兼职？</v>
      </c>
    </row>
    <row r="406" spans="1:5">
      <c r="A406" s="3" t="s">
        <v>1937</v>
      </c>
      <c r="B406" s="4" t="str">
        <f ca="1">IFERROR(__xludf.DUMMYFUNCTION("IFERROR(GOOGLETRANSLATE(A406,""ko"",""en""),)"),"I work a part-time job on Sundays.")</f>
        <v>I work a part-time job on Sundays.</v>
      </c>
      <c r="C406" s="4" t="str">
        <f ca="1">IFERROR(__xludf.DUMMYFUNCTION("IFERROR(GOOGLETRANSLATE(B406,""en"",""ja""),)"),"私は日曜日にアルバイトをしています。")</f>
        <v>私は日曜日にアルバイトをしています。</v>
      </c>
      <c r="D406" s="4" t="str">
        <f ca="1">IFERROR(__xludf.DUMMYFUNCTION("IFERROR(GOOGLETRANSLATE(B406,""en"",""zh-TW""),)"),"我星期天做兼職。")</f>
        <v>我星期天做兼職。</v>
      </c>
      <c r="E406" s="4" t="str">
        <f ca="1">IFERROR(__xludf.DUMMYFUNCTION("IFERROR(GOOGLETRANSLATE(B406,""en"",""zh-CN""),)"),"我星期天做兼职。")</f>
        <v>我星期天做兼职。</v>
      </c>
    </row>
    <row r="407" spans="1:5">
      <c r="A407" s="3" t="s">
        <v>1941</v>
      </c>
      <c r="B407" s="4" t="str">
        <f ca="1">IFERROR(__xludf.DUMMYFUNCTION("IFERROR(GOOGLETRANSLATE(A407,""ko"",""en""),)"),"Do you have a Korean class on Wednesday?")</f>
        <v>Do you have a Korean class on Wednesday?</v>
      </c>
      <c r="C407" s="4" t="str">
        <f ca="1">IFERROR(__xludf.DUMMYFUNCTION("IFERROR(GOOGLETRANSLATE(B407,""en"",""ja""),)"),"水曜日に韓国語の授業はありますか？")</f>
        <v>水曜日に韓国語の授業はありますか？</v>
      </c>
      <c r="D407" s="4" t="str">
        <f ca="1">IFERROR(__xludf.DUMMYFUNCTION("IFERROR(GOOGLETRANSLATE(B407,""en"",""zh-TW""),)"),"你周三有韓語課嗎？")</f>
        <v>你周三有韓語課嗎？</v>
      </c>
      <c r="E407" s="4" t="str">
        <f ca="1">IFERROR(__xludf.DUMMYFUNCTION("IFERROR(GOOGLETRANSLATE(B407,""en"",""zh-CN""),)"),"你周三有韩语课吗？")</f>
        <v>你周三有韩语课吗？</v>
      </c>
    </row>
    <row r="408" spans="1:5">
      <c r="A408" s="3" t="s">
        <v>1945</v>
      </c>
      <c r="B408" s="4" t="str">
        <f ca="1">IFERROR(__xludf.DUMMYFUNCTION("IFERROR(GOOGLETRANSLATE(A408,""ko"",""en""),)"),"No, I have a Korean class on Thursday.")</f>
        <v>No, I have a Korean class on Thursday.</v>
      </c>
      <c r="C408" s="4" t="str">
        <f ca="1">IFERROR(__xludf.DUMMYFUNCTION("IFERROR(GOOGLETRANSLATE(B408,""en"",""ja""),)"),"いいえ、木曜日は韓国語の授業があります。")</f>
        <v>いいえ、木曜日は韓国語の授業があります。</v>
      </c>
      <c r="D408" s="4" t="str">
        <f ca="1">IFERROR(__xludf.DUMMYFUNCTION("IFERROR(GOOGLETRANSLATE(B408,""en"",""zh-TW""),)"),"不，我星期四有韓語課。")</f>
        <v>不，我星期四有韓語課。</v>
      </c>
      <c r="E408" s="4" t="str">
        <f ca="1">IFERROR(__xludf.DUMMYFUNCTION("IFERROR(GOOGLETRANSLATE(B408,""en"",""zh-CN""),)"),"不，我周四有韩语课。")</f>
        <v>不，我周四有韩语课。</v>
      </c>
    </row>
    <row r="409" spans="1:5">
      <c r="A409" s="3" t="s">
        <v>1949</v>
      </c>
      <c r="B409" s="4" t="str">
        <f ca="1">IFERROR(__xludf.DUMMYFUNCTION("IFERROR(GOOGLETRANSLATE(A409,""ko"",""en""),)"),"When do you watch dramas?")</f>
        <v>When do you watch dramas?</v>
      </c>
      <c r="C409" s="4" t="str">
        <f ca="1">IFERROR(__xludf.DUMMYFUNCTION("IFERROR(GOOGLETRANSLATE(B409,""en"",""ja""),)"),"あなたはいつドラマを見ますか？")</f>
        <v>あなたはいつドラマを見ますか？</v>
      </c>
      <c r="D409" s="4" t="str">
        <f ca="1">IFERROR(__xludf.DUMMYFUNCTION("IFERROR(GOOGLETRANSLATE(B409,""en"",""zh-TW""),)"),"你什麼時候看電視劇？")</f>
        <v>你什麼時候看電視劇？</v>
      </c>
      <c r="E409" s="4" t="str">
        <f ca="1">IFERROR(__xludf.DUMMYFUNCTION("IFERROR(GOOGLETRANSLATE(B409,""en"",""zh-CN""),)"),"你什么时候看电视剧？")</f>
        <v>你什么时候看电视剧？</v>
      </c>
    </row>
    <row r="410" spans="1:5">
      <c r="A410" s="3" t="s">
        <v>1954</v>
      </c>
      <c r="B410" s="4" t="str">
        <f ca="1">IFERROR(__xludf.DUMMYFUNCTION("IFERROR(GOOGLETRANSLATE(A410,""ko"",""en""),)"),"I watch a drama on Thursday.")</f>
        <v>I watch a drama on Thursday.</v>
      </c>
      <c r="C410" s="4" t="str">
        <f ca="1">IFERROR(__xludf.DUMMYFUNCTION("IFERROR(GOOGLETRANSLATE(B410,""en"",""ja""),)"),"私は木曜日にドラマを観ます。")</f>
        <v>私は木曜日にドラマを観ます。</v>
      </c>
      <c r="D410" s="4" t="str">
        <f ca="1">IFERROR(__xludf.DUMMYFUNCTION("IFERROR(GOOGLETRANSLATE(B410,""en"",""zh-TW""),)"),"我星期四會看電視劇。")</f>
        <v>我星期四會看電視劇。</v>
      </c>
      <c r="E410" s="4" t="str">
        <f ca="1">IFERROR(__xludf.DUMMYFUNCTION("IFERROR(GOOGLETRANSLATE(B410,""en"",""zh-CN""),)"),"我星期四会看一部电视剧。")</f>
        <v>我星期四会看一部电视剧。</v>
      </c>
    </row>
    <row r="411" spans="1:5">
      <c r="A411" s="3" t="s">
        <v>1956</v>
      </c>
      <c r="B411" s="4" t="str">
        <f ca="1">IFERROR(__xludf.DUMMYFUNCTION("IFERROR(GOOGLETRANSLATE(A411,""ko"",""en""),)"),"When do you shop at the department store?")</f>
        <v>When do you shop at the department store?</v>
      </c>
      <c r="C411" s="4" t="str">
        <f ca="1">IFERROR(__xludf.DUMMYFUNCTION("IFERROR(GOOGLETRANSLATE(B411,""en"",""ja""),)"),"あなたはいつデパートで買い物をしますか？")</f>
        <v>あなたはいつデパートで買い物をしますか？</v>
      </c>
      <c r="D411" s="4" t="str">
        <f ca="1">IFERROR(__xludf.DUMMYFUNCTION("IFERROR(GOOGLETRANSLATE(B411,""en"",""zh-TW""),)"),"你什麼時候去百貨公司購物？")</f>
        <v>你什麼時候去百貨公司購物？</v>
      </c>
      <c r="E411" s="4" t="str">
        <f ca="1">IFERROR(__xludf.DUMMYFUNCTION("IFERROR(GOOGLETRANSLATE(B411,""en"",""zh-CN""),)"),"你什么时候去百货商店购物？")</f>
        <v>你什么时候去百货商店购物？</v>
      </c>
    </row>
    <row r="412" spans="1:5">
      <c r="A412" s="3" t="s">
        <v>1960</v>
      </c>
      <c r="B412" s="4" t="str">
        <f ca="1">IFERROR(__xludf.DUMMYFUNCTION("IFERROR(GOOGLETRANSLATE(A412,""ko"",""en""),)"),"I do it on Sunday.")</f>
        <v>I do it on Sunday.</v>
      </c>
      <c r="C412" s="4" t="str">
        <f ca="1">IFERROR(__xludf.DUMMYFUNCTION("IFERROR(GOOGLETRANSLATE(B412,""en"",""ja""),)"),"私はそれを日曜日にやります。")</f>
        <v>私はそれを日曜日にやります。</v>
      </c>
      <c r="D412" s="4" t="str">
        <f ca="1">IFERROR(__xludf.DUMMYFUNCTION("IFERROR(GOOGLETRANSLATE(B412,""en"",""zh-TW""),)"),"我周日做這件事。")</f>
        <v>我周日做這件事。</v>
      </c>
      <c r="E412" s="4" t="str">
        <f ca="1">IFERROR(__xludf.DUMMYFUNCTION("IFERROR(GOOGLETRANSLATE(B412,""en"",""zh-CN""),)"),"我周日做这件事。")</f>
        <v>我周日做这件事。</v>
      </c>
    </row>
    <row r="413" spans="1:5">
      <c r="A413" s="3" t="s">
        <v>1964</v>
      </c>
      <c r="B413" s="4" t="str">
        <f ca="1">IFERROR(__xludf.DUMMYFUNCTION("IFERROR(GOOGLETRANSLATE(A413,""ko"",""en""),)"),"Do you go to the library on Wednesday?")</f>
        <v>Do you go to the library on Wednesday?</v>
      </c>
      <c r="C413" s="4" t="str">
        <f ca="1">IFERROR(__xludf.DUMMYFUNCTION("IFERROR(GOOGLETRANSLATE(B413,""en"",""ja""),)"),"あなたは水曜日に図書館に行きますか？")</f>
        <v>あなたは水曜日に図書館に行きますか？</v>
      </c>
      <c r="D413" s="4" t="str">
        <f ca="1">IFERROR(__xludf.DUMMYFUNCTION("IFERROR(GOOGLETRANSLATE(B413,""en"",""zh-TW""),)"),"你星期三去圖書館嗎？")</f>
        <v>你星期三去圖書館嗎？</v>
      </c>
      <c r="E413" s="4" t="str">
        <f ca="1">IFERROR(__xludf.DUMMYFUNCTION("IFERROR(GOOGLETRANSLATE(B413,""en"",""zh-CN""),)"),"你星期三去图书馆吗？")</f>
        <v>你星期三去图书馆吗？</v>
      </c>
    </row>
    <row r="414" spans="1:5">
      <c r="A414" s="3" t="s">
        <v>1970</v>
      </c>
      <c r="B414" s="4" t="str">
        <f ca="1">IFERROR(__xludf.DUMMYFUNCTION("IFERROR(GOOGLETRANSLATE(A414,""ko"",""en""),)"),"No, I go to the library on Tuesday.")</f>
        <v>No, I go to the library on Tuesday.</v>
      </c>
      <c r="C414" s="4" t="str">
        <f ca="1">IFERROR(__xludf.DUMMYFUNCTION("IFERROR(GOOGLETRANSLATE(B414,""en"",""ja""),)"),"いいえ、私は火曜日に図書館に行きます。")</f>
        <v>いいえ、私は火曜日に図書館に行きます。</v>
      </c>
      <c r="D414" s="4" t="str">
        <f ca="1">IFERROR(__xludf.DUMMYFUNCTION("IFERROR(GOOGLETRANSLATE(B414,""en"",""zh-TW""),)"),"不，我星期二去圖書館。")</f>
        <v>不，我星期二去圖書館。</v>
      </c>
      <c r="E414" s="4" t="str">
        <f ca="1">IFERROR(__xludf.DUMMYFUNCTION("IFERROR(GOOGLETRANSLATE(B414,""en"",""zh-CN""),)"),"不，我星期二去图书馆。")</f>
        <v>不，我星期二去图书馆。</v>
      </c>
    </row>
    <row r="415" spans="1:5">
      <c r="A415" s="3" t="s">
        <v>1978</v>
      </c>
      <c r="B415" s="4" t="str">
        <f ca="1">IFERROR(__xludf.DUMMYFUNCTION("IFERROR(GOOGLETRANSLATE(A415,""ko"",""en""),)"),"Are you going on a trip on Friday?")</f>
        <v>Are you going on a trip on Friday?</v>
      </c>
      <c r="C415" s="4" t="str">
        <f ca="1">IFERROR(__xludf.DUMMYFUNCTION("IFERROR(GOOGLETRANSLATE(B415,""en"",""ja""),)"),"金曜日に旅行に行く予定ですか？")</f>
        <v>金曜日に旅行に行く予定ですか？</v>
      </c>
      <c r="D415" s="4" t="str">
        <f ca="1">IFERROR(__xludf.DUMMYFUNCTION("IFERROR(GOOGLETRANSLATE(B415,""en"",""zh-TW""),)"),"你周五要出去旅行嗎？")</f>
        <v>你周五要出去旅行嗎？</v>
      </c>
      <c r="E415" s="4" t="str">
        <f ca="1">IFERROR(__xludf.DUMMYFUNCTION("IFERROR(GOOGLETRANSLATE(B415,""en"",""zh-CN""),)"),"你周五要出去旅行吗？")</f>
        <v>你周五要出去旅行吗？</v>
      </c>
    </row>
    <row r="416" spans="1:5">
      <c r="A416" s="3" t="s">
        <v>1981</v>
      </c>
      <c r="B416" s="4" t="str">
        <f ca="1">IFERROR(__xludf.DUMMYFUNCTION("IFERROR(GOOGLETRANSLATE(A416,""ko"",""en""),)"),"No, I am going on a trip on Saturday.")</f>
        <v>No, I am going on a trip on Saturday.</v>
      </c>
      <c r="C416" s="4" t="str">
        <f ca="1">IFERROR(__xludf.DUMMYFUNCTION("IFERROR(GOOGLETRANSLATE(B416,""en"",""ja""),)"),"いいえ、土曜日に旅行に出かけます。")</f>
        <v>いいえ、土曜日に旅行に出かけます。</v>
      </c>
      <c r="D416" s="4" t="str">
        <f ca="1">IFERROR(__xludf.DUMMYFUNCTION("IFERROR(GOOGLETRANSLATE(B416,""en"",""zh-TW""),)"),"不，我周六要去旅行。")</f>
        <v>不，我周六要去旅行。</v>
      </c>
      <c r="E416" s="4" t="str">
        <f ca="1">IFERROR(__xludf.DUMMYFUNCTION("IFERROR(GOOGLETRANSLATE(B416,""en"",""zh-CN""),)"),"不，我周六要去旅行。")</f>
        <v>不，我周六要去旅行。</v>
      </c>
    </row>
    <row r="417" spans="1:5">
      <c r="A417" s="5" t="s">
        <v>1985</v>
      </c>
      <c r="B417" s="4" t="str">
        <f ca="1">IFERROR(__xludf.DUMMYFUNCTION("IFERROR(GOOGLETRANSLATE(A417,""ko"",""en""),)"),"When does Juno wake up?")</f>
        <v>When does Juno wake up?</v>
      </c>
      <c r="C417" s="4" t="str">
        <f ca="1">IFERROR(__xludf.DUMMYFUNCTION("IFERROR(GOOGLETRANSLATE(B417,""en"",""ja""),)"),"ジュノはいつ目を覚ますか？")</f>
        <v>ジュノはいつ目を覚ますか？</v>
      </c>
      <c r="D417" s="4" t="str">
        <f ca="1">IFERROR(__xludf.DUMMYFUNCTION("IFERROR(GOOGLETRANSLATE(B417,""en"",""zh-TW""),)"),"朱諾什麼時候醒來？")</f>
        <v>朱諾什麼時候醒來？</v>
      </c>
      <c r="E417" s="4" t="str">
        <f ca="1">IFERROR(__xludf.DUMMYFUNCTION("IFERROR(GOOGLETRANSLATE(B417,""en"",""zh-CN""),)"),"朱诺什么时候醒来？")</f>
        <v>朱诺什么时候醒来？</v>
      </c>
    </row>
    <row r="418" spans="1:5">
      <c r="A418" s="3" t="s">
        <v>1989</v>
      </c>
      <c r="B418" s="4" t="str">
        <f ca="1">IFERROR(__xludf.DUMMYFUNCTION("IFERROR(GOOGLETRANSLATE(A418,""ko"",""en""),)"),"I wake up at 6:30.")</f>
        <v>I wake up at 6:30.</v>
      </c>
      <c r="C418" s="4" t="str">
        <f ca="1">IFERROR(__xludf.DUMMYFUNCTION("IFERROR(GOOGLETRANSLATE(B418,""en"",""ja""),)"),"私は6時半に起きます。")</f>
        <v>私は6時半に起きます。</v>
      </c>
      <c r="D418" s="4" t="str">
        <f ca="1">IFERROR(__xludf.DUMMYFUNCTION("IFERROR(GOOGLETRANSLATE(B418,""en"",""zh-TW""),)"),"我早上6點半起床。")</f>
        <v>我早上6點半起床。</v>
      </c>
      <c r="E418" s="4" t="str">
        <f ca="1">IFERROR(__xludf.DUMMYFUNCTION("IFERROR(GOOGLETRANSLATE(B418,""en"",""zh-CN""),)"),"我早上6点半起床。")</f>
        <v>我早上6点半起床。</v>
      </c>
    </row>
    <row r="419" spans="1:5">
      <c r="A419" s="3" t="s">
        <v>1993</v>
      </c>
      <c r="B419" s="4" t="str">
        <f ca="1">IFERROR(__xludf.DUMMYFUNCTION("IFERROR(GOOGLETRANSLATE(A419,""ko"",""en""),)"),"Jaemin, are you meeting a friend today?")</f>
        <v>Jaemin, are you meeting a friend today?</v>
      </c>
      <c r="C419" s="4" t="str">
        <f ca="1">IFERROR(__xludf.DUMMYFUNCTION("IFERROR(GOOGLETRANSLATE(B419,""en"",""ja""),)"),"ジェミン、今日は友達と会うの？")</f>
        <v>ジェミン、今日は友達と会うの？</v>
      </c>
      <c r="D419" s="4" t="str">
        <f ca="1">IFERROR(__xludf.DUMMYFUNCTION("IFERROR(GOOGLETRANSLATE(B419,""en"",""zh-TW""),)"),"渽民，你今天和朋友見面嗎？")</f>
        <v>渽民，你今天和朋友見面嗎？</v>
      </c>
      <c r="E419" s="4" t="str">
        <f ca="1">IFERROR(__xludf.DUMMYFUNCTION("IFERROR(GOOGLETRANSLATE(B419,""en"",""zh-CN""),)"),"渽民，你今天和朋友见面吗？")</f>
        <v>渽民，你今天和朋友见面吗？</v>
      </c>
    </row>
    <row r="420" spans="1:5">
      <c r="A420" s="5" t="s">
        <v>2000</v>
      </c>
      <c r="B420" s="4" t="str">
        <f ca="1">IFERROR(__xludf.DUMMYFUNCTION("IFERROR(GOOGLETRANSLATE(A420,""ko"",""en""),)"),"Yes, I meet a friend at seven.")</f>
        <v>Yes, I meet a friend at seven.</v>
      </c>
      <c r="C420" s="4" t="str">
        <f ca="1">IFERROR(__xludf.DUMMYFUNCTION("IFERROR(GOOGLETRANSLATE(B420,""en"",""ja""),)"),"はい、7時に友達と待ち合わせをします。")</f>
        <v>はい、7時に友達と待ち合わせをします。</v>
      </c>
      <c r="D420" s="4" t="str">
        <f ca="1">IFERROR(__xludf.DUMMYFUNCTION("IFERROR(GOOGLETRANSLATE(B420,""en"",""zh-TW""),)"),"是的，我七點和朋友見面。")</f>
        <v>是的，我七點和朋友見面。</v>
      </c>
      <c r="E420" s="4" t="str">
        <f ca="1">IFERROR(__xludf.DUMMYFUNCTION("IFERROR(GOOGLETRANSLATE(B420,""en"",""zh-CN""),)"),"是的，我七点和朋友见面。")</f>
        <v>是的，我七点和朋友见面。</v>
      </c>
    </row>
    <row r="421" spans="1:5">
      <c r="A421" s="3" t="s">
        <v>2004</v>
      </c>
      <c r="B421" s="4" t="str">
        <f ca="1">IFERROR(__xludf.DUMMYFUNCTION("IFERROR(GOOGLETRANSLATE(A421,""ko"",""en""),)"),"What time does the drama start?")</f>
        <v>What time does the drama start?</v>
      </c>
      <c r="C421" s="4" t="str">
        <f ca="1">IFERROR(__xludf.DUMMYFUNCTION("IFERROR(GOOGLETRANSLATE(B421,""en"",""ja""),)"),"ドラマは何時に始まりますか？")</f>
        <v>ドラマは何時に始まりますか？</v>
      </c>
      <c r="D421" s="4" t="str">
        <f ca="1">IFERROR(__xludf.DUMMYFUNCTION("IFERROR(GOOGLETRANSLATE(B421,""en"",""zh-TW""),)"),"這部劇幾點開始？")</f>
        <v>這部劇幾點開始？</v>
      </c>
      <c r="E421" s="4" t="str">
        <f ca="1">IFERROR(__xludf.DUMMYFUNCTION("IFERROR(GOOGLETRANSLATE(B421,""en"",""zh-CN""),)"),"这部剧几点开始？")</f>
        <v>这部剧几点开始？</v>
      </c>
    </row>
    <row r="422" spans="1:5">
      <c r="A422" s="5" t="s">
        <v>2008</v>
      </c>
      <c r="B422" s="4" t="str">
        <f ca="1">IFERROR(__xludf.DUMMYFUNCTION("IFERROR(GOOGLETRANSLATE(A422,""ko"",""en""),)"),"The drama starts at nine.")</f>
        <v>The drama starts at nine.</v>
      </c>
      <c r="C422" s="4" t="str">
        <f ca="1">IFERROR(__xludf.DUMMYFUNCTION("IFERROR(GOOGLETRANSLATE(B422,""en"",""ja""),)"),"ドラマは9時から始まります。")</f>
        <v>ドラマは9時から始まります。</v>
      </c>
      <c r="D422" s="4" t="str">
        <f ca="1">IFERROR(__xludf.DUMMYFUNCTION("IFERROR(GOOGLETRANSLATE(B422,""en"",""zh-TW""),)"),"這部劇九點開始。")</f>
        <v>這部劇九點開始。</v>
      </c>
      <c r="E422" s="4" t="str">
        <f ca="1">IFERROR(__xludf.DUMMYFUNCTION("IFERROR(GOOGLETRANSLATE(B422,""en"",""zh-CN""),)"),"这部剧九点开始。")</f>
        <v>这部剧九点开始。</v>
      </c>
    </row>
    <row r="423" spans="1:5">
      <c r="A423" s="3" t="s">
        <v>2012</v>
      </c>
      <c r="B423" s="4" t="str">
        <f ca="1">IFERROR(__xludf.DUMMYFUNCTION("IFERROR(GOOGLETRANSLATE(A423,""ko"",""en""),)"),"When does Anna go to the Sejong Institute?")</f>
        <v>When does Anna go to the Sejong Institute?</v>
      </c>
      <c r="C423" s="4" t="str">
        <f ca="1">IFERROR(__xludf.DUMMYFUNCTION("IFERROR(GOOGLETRANSLATE(B423,""en"",""ja""),)"),"アンナはいつ世宗学院に通うのですか？")</f>
        <v>アンナはいつ世宗学院に通うのですか？</v>
      </c>
      <c r="D423" s="4" t="str">
        <f ca="1">IFERROR(__xludf.DUMMYFUNCTION("IFERROR(GOOGLETRANSLATE(B423,""en"",""zh-TW""),)"),"安娜什麼時候過世宗研究所？")</f>
        <v>安娜什麼時候過世宗研究所？</v>
      </c>
      <c r="E423" s="4" t="str">
        <f ca="1">IFERROR(__xludf.DUMMYFUNCTION("IFERROR(GOOGLETRANSLATE(B423,""en"",""zh-CN""),)"),"安娜什么时候去世宗研究所？")</f>
        <v>安娜什么时候去世宗研究所？</v>
      </c>
    </row>
    <row r="424" spans="1:5">
      <c r="A424" s="3" t="s">
        <v>2016</v>
      </c>
      <c r="B424" s="4" t="str">
        <f ca="1">IFERROR(__xludf.DUMMYFUNCTION("IFERROR(GOOGLETRANSLATE(A424,""ko"",""en""),)"),"Anna goes on Thursday.")</f>
        <v>Anna goes on Thursday.</v>
      </c>
      <c r="C424" s="4" t="str">
        <f ca="1">IFERROR(__xludf.DUMMYFUNCTION("IFERROR(GOOGLETRANSLATE(B424,""en"",""ja""),)"),"アンナは木曜日に行く。")</f>
        <v>アンナは木曜日に行く。</v>
      </c>
      <c r="D424" s="4" t="str">
        <f ca="1">IFERROR(__xludf.DUMMYFUNCTION("IFERROR(GOOGLETRANSLATE(B424,""en"",""zh-TW""),)"),"安娜週四去。")</f>
        <v>安娜週四去。</v>
      </c>
      <c r="E424" s="4" t="str">
        <f ca="1">IFERROR(__xludf.DUMMYFUNCTION("IFERROR(GOOGLETRANSLATE(B424,""en"",""zh-CN""),)"),"安娜周四去。")</f>
        <v>安娜周四去。</v>
      </c>
    </row>
    <row r="425" spans="1:5">
      <c r="A425" s="3" t="s">
        <v>2019</v>
      </c>
      <c r="B425" s="4" t="str">
        <f ca="1">IFERROR(__xludf.DUMMYFUNCTION("IFERROR(GOOGLETRANSLATE(A425,""ko"",""en""),)"),"Yujin, do you work a part-time job on Saturdays?")</f>
        <v>Yujin, do you work a part-time job on Saturdays?</v>
      </c>
      <c r="C425" s="4" t="str">
        <f ca="1">IFERROR(__xludf.DUMMYFUNCTION("IFERROR(GOOGLETRANSLATE(B425,""en"",""ja""),)"),"ユジン、土曜日はアルバイトしてるの？")</f>
        <v>ユジン、土曜日はアルバイトしてるの？</v>
      </c>
      <c r="D425" s="4" t="str">
        <f ca="1">IFERROR(__xludf.DUMMYFUNCTION("IFERROR(GOOGLETRANSLATE(B425,""en"",""zh-TW""),)"),"Yujin，你星期六有兼職工作嗎？")</f>
        <v>Yujin，你星期六有兼職工作嗎？</v>
      </c>
      <c r="E425" s="4" t="str">
        <f ca="1">IFERROR(__xludf.DUMMYFUNCTION("IFERROR(GOOGLETRANSLATE(B425,""en"",""zh-CN""),)"),"Yujin，你周六有兼职工作吗？")</f>
        <v>Yujin，你周六有兼职工作吗？</v>
      </c>
    </row>
    <row r="426" spans="1:5">
      <c r="A426" s="3" t="s">
        <v>2023</v>
      </c>
      <c r="B426" s="4" t="str">
        <f ca="1">IFERROR(__xludf.DUMMYFUNCTION("IFERROR(GOOGLETRANSLATE(A426,""ko"",""en""),)"),"No, I work part-time on Mondays and Wednesdays.")</f>
        <v>No, I work part-time on Mondays and Wednesdays.</v>
      </c>
      <c r="C426" s="4" t="str">
        <f ca="1">IFERROR(__xludf.DUMMYFUNCTION("IFERROR(GOOGLETRANSLATE(B426,""en"",""ja""),)"),"いいえ、月曜日と水曜日はパートタイムで働いています。")</f>
        <v>いいえ、月曜日と水曜日はパートタイムで働いています。</v>
      </c>
      <c r="D426" s="4" t="str">
        <f ca="1">IFERROR(__xludf.DUMMYFUNCTION("IFERROR(GOOGLETRANSLATE(B426,""en"",""zh-TW""),)"),"不，我周一和周三兼職工作。")</f>
        <v>不，我周一和周三兼職工作。</v>
      </c>
      <c r="E426" s="4" t="str">
        <f ca="1">IFERROR(__xludf.DUMMYFUNCTION("IFERROR(GOOGLETRANSLATE(B426,""en"",""zh-CN""),)"),"不，我周一和周三兼职工作。")</f>
        <v>不，我周一和周三兼职工作。</v>
      </c>
    </row>
    <row r="427" spans="1:5">
      <c r="A427" s="3" t="s">
        <v>2025</v>
      </c>
      <c r="B427" s="4" t="str">
        <f ca="1">IFERROR(__xludf.DUMMYFUNCTION("IFERROR(GOOGLETRANSLATE(A427,""ko"",""en""),)"),"What time is it now?")</f>
        <v>What time is it now?</v>
      </c>
      <c r="C427" s="4" t="str">
        <f ca="1">IFERROR(__xludf.DUMMYFUNCTION("IFERROR(GOOGLETRANSLATE(B427,""en"",""ja""),)"),"今何時ですか？")</f>
        <v>今何時ですか？</v>
      </c>
      <c r="D427" s="4" t="str">
        <f ca="1">IFERROR(__xludf.DUMMYFUNCTION("IFERROR(GOOGLETRANSLATE(B427,""en"",""zh-TW""),)"),"現在幾點？")</f>
        <v>現在幾點？</v>
      </c>
      <c r="E427" s="4" t="str">
        <f ca="1">IFERROR(__xludf.DUMMYFUNCTION("IFERROR(GOOGLETRANSLATE(B427,""en"",""zh-CN""),)"),"现在几点？")</f>
        <v>现在几点？</v>
      </c>
    </row>
    <row r="428" spans="1:5">
      <c r="A428" s="3" t="s">
        <v>2030</v>
      </c>
      <c r="B428" s="4" t="str">
        <f ca="1">IFERROR(__xludf.DUMMYFUNCTION("IFERROR(GOOGLETRANSLATE(A428,""ko"",""en""),)"),"It's 10:30.")</f>
        <v>It's 10:30.</v>
      </c>
      <c r="C428" s="4" t="str">
        <f ca="1">IFERROR(__xludf.DUMMYFUNCTION("IFERROR(GOOGLETRANSLATE(B428,""en"",""ja""),)"),"時刻は10時30分です。")</f>
        <v>時刻は10時30分です。</v>
      </c>
      <c r="D428" s="4" t="str">
        <f ca="1">IFERROR(__xludf.DUMMYFUNCTION("IFERROR(GOOGLETRANSLATE(B428,""en"",""zh-TW""),)"),"現在是10點30分。")</f>
        <v>現在是10點30分。</v>
      </c>
      <c r="E428" s="4" t="str">
        <f ca="1">IFERROR(__xludf.DUMMYFUNCTION("IFERROR(GOOGLETRANSLATE(B428,""en"",""zh-CN""),)"),"现在是10点30分。")</f>
        <v>现在是10点30分。</v>
      </c>
    </row>
    <row r="429" spans="1:5">
      <c r="A429" s="3" t="s">
        <v>2033</v>
      </c>
      <c r="B429" s="4" t="str">
        <f ca="1">IFERROR(__xludf.DUMMYFUNCTION("IFERROR(GOOGLETRANSLATE(A429,""ko"",""en""),)"),"It's 10:30.")</f>
        <v>It's 10:30.</v>
      </c>
      <c r="C429" s="4" t="str">
        <f ca="1">IFERROR(__xludf.DUMMYFUNCTION("IFERROR(GOOGLETRANSLATE(B429,""en"",""ja""),)"),"時刻は10時30分です。")</f>
        <v>時刻は10時30分です。</v>
      </c>
      <c r="D429" s="4" t="str">
        <f ca="1">IFERROR(__xludf.DUMMYFUNCTION("IFERROR(GOOGLETRANSLATE(B429,""en"",""zh-TW""),)"),"現在是10點30分。")</f>
        <v>現在是10點30分。</v>
      </c>
      <c r="E429" s="4" t="str">
        <f ca="1">IFERROR(__xludf.DUMMYFUNCTION("IFERROR(GOOGLETRANSLATE(B429,""en"",""zh-CN""),)"),"现在是10点30分。")</f>
        <v>现在是10点30分。</v>
      </c>
    </row>
    <row r="430" spans="1:5">
      <c r="A430" s="3" t="s">
        <v>2037</v>
      </c>
      <c r="B430" s="4" t="str">
        <f ca="1">IFERROR(__xludf.DUMMYFUNCTION("IFERROR(GOOGLETRANSLATE(A430,""ko"",""en""),)"),"What time do we meet?")</f>
        <v>What time do we meet?</v>
      </c>
      <c r="C430" s="4" t="str">
        <f ca="1">IFERROR(__xludf.DUMMYFUNCTION("IFERROR(GOOGLETRANSLATE(B430,""en"",""ja""),)"),"何時に会えばいいですか？")</f>
        <v>何時に会えばいいですか？</v>
      </c>
      <c r="D430" s="4" t="str">
        <f ca="1">IFERROR(__xludf.DUMMYFUNCTION("IFERROR(GOOGLETRANSLATE(B430,""en"",""zh-TW""),)"),"我們幾點見面？")</f>
        <v>我們幾點見面？</v>
      </c>
      <c r="E430" s="4" t="str">
        <f ca="1">IFERROR(__xludf.DUMMYFUNCTION("IFERROR(GOOGLETRANSLATE(B430,""en"",""zh-CN""),)"),"我们几点见面？")</f>
        <v>我们几点见面？</v>
      </c>
    </row>
    <row r="431" spans="1:5">
      <c r="A431" s="3" t="s">
        <v>2042</v>
      </c>
      <c r="B431" s="4" t="str">
        <f ca="1">IFERROR(__xludf.DUMMYFUNCTION("IFERROR(GOOGLETRANSLATE(A431,""ko"",""en""),)"),"Let's meet at one o'clock.")</f>
        <v>Let's meet at one o'clock.</v>
      </c>
      <c r="C431" s="4" t="str">
        <f ca="1">IFERROR(__xludf.DUMMYFUNCTION("IFERROR(GOOGLETRANSLATE(B431,""en"",""ja""),)"),"1時に会いましょう。")</f>
        <v>1時に会いましょう。</v>
      </c>
      <c r="D431" s="4" t="str">
        <f ca="1">IFERROR(__xludf.DUMMYFUNCTION("IFERROR(GOOGLETRANSLATE(B431,""en"",""zh-TW""),)"),"我們一點鐘見面吧。")</f>
        <v>我們一點鐘見面吧。</v>
      </c>
      <c r="E431" s="4" t="str">
        <f ca="1">IFERROR(__xludf.DUMMYFUNCTION("IFERROR(GOOGLETRANSLATE(B431,""en"",""zh-CN""),)"),"我们一点钟见面吧。")</f>
        <v>我们一点钟见面吧。</v>
      </c>
    </row>
    <row r="432" spans="1:5">
      <c r="A432" s="5" t="s">
        <v>2044</v>
      </c>
      <c r="B432" s="4" t="str">
        <f ca="1">IFERROR(__xludf.DUMMYFUNCTION("IFERROR(GOOGLETRANSLATE(A432,""ko"",""en""),)"),"What time does the train depart?")</f>
        <v>What time does the train depart?</v>
      </c>
      <c r="C432" s="4" t="str">
        <f ca="1">IFERROR(__xludf.DUMMYFUNCTION("IFERROR(GOOGLETRANSLATE(B432,""en"",""ja""),)"),"列車は何時に出発しますか？")</f>
        <v>列車は何時に出発しますか？</v>
      </c>
      <c r="D432" s="4" t="str">
        <f ca="1">IFERROR(__xludf.DUMMYFUNCTION("IFERROR(GOOGLETRANSLATE(B432,""en"",""zh-TW""),)"),"火車幾點發車？")</f>
        <v>火車幾點發車？</v>
      </c>
      <c r="E432" s="4" t="str">
        <f ca="1">IFERROR(__xludf.DUMMYFUNCTION("IFERROR(GOOGLETRANSLATE(B432,""en"",""zh-CN""),)"),"火车几点发车？")</f>
        <v>火车几点发车？</v>
      </c>
    </row>
    <row r="433" spans="1:5">
      <c r="A433" s="3" t="s">
        <v>2050</v>
      </c>
      <c r="B433" s="4" t="str">
        <f ca="1">IFERROR(__xludf.DUMMYFUNCTION("IFERROR(GOOGLETRANSLATE(A433,""ko"",""en""),)"),"The train departs at 8:20.")</f>
        <v>The train departs at 8:20.</v>
      </c>
      <c r="C433" s="4" t="str">
        <f ca="1">IFERROR(__xludf.DUMMYFUNCTION("IFERROR(GOOGLETRANSLATE(B433,""en"",""ja""),)"),"列車は8時20分に出発します。")</f>
        <v>列車は8時20分に出発します。</v>
      </c>
      <c r="D433" s="4" t="str">
        <f ca="1">IFERROR(__xludf.DUMMYFUNCTION("IFERROR(GOOGLETRANSLATE(B433,""en"",""zh-TW""),)"),"列車8點20分發車。")</f>
        <v>列車8點20分發車。</v>
      </c>
      <c r="E433" s="4" t="str">
        <f ca="1">IFERROR(__xludf.DUMMYFUNCTION("IFERROR(GOOGLETRANSLATE(B433,""en"",""zh-CN""),)"),"列车8点20分发车。")</f>
        <v>列车8点20分发车。</v>
      </c>
    </row>
    <row r="434" spans="1:5">
      <c r="A434" s="3" t="s">
        <v>2053</v>
      </c>
      <c r="B434" s="4" t="str">
        <f ca="1">IFERROR(__xludf.DUMMYFUNCTION("IFERROR(GOOGLETRANSLATE(A434,""ko"",""en""),)"),"What time does the movie start?")</f>
        <v>What time does the movie start?</v>
      </c>
      <c r="C434" s="4" t="str">
        <f ca="1">IFERROR(__xludf.DUMMYFUNCTION("IFERROR(GOOGLETRANSLATE(B434,""en"",""ja""),)"),"映画は何時に始まりますか？")</f>
        <v>映画は何時に始まりますか？</v>
      </c>
      <c r="D434" s="4" t="str">
        <f ca="1">IFERROR(__xludf.DUMMYFUNCTION("IFERROR(GOOGLETRANSLATE(B434,""en"",""zh-TW""),)"),"請問電影什麼時候開始？")</f>
        <v>請問電影什麼時候開始？</v>
      </c>
      <c r="E434" s="4" t="str">
        <f ca="1">IFERROR(__xludf.DUMMYFUNCTION("IFERROR(GOOGLETRANSLATE(B434,""en"",""zh-CN""),)"),"请问电影什么时候开始？")</f>
        <v>请问电影什么时候开始？</v>
      </c>
    </row>
    <row r="435" spans="1:5">
      <c r="A435" s="3" t="s">
        <v>2056</v>
      </c>
      <c r="B435" s="4" t="str">
        <f ca="1">IFERROR(__xludf.DUMMYFUNCTION("IFERROR(GOOGLETRANSLATE(A435,""ko"",""en""),)"),"The movie starts at 6:15.")</f>
        <v>The movie starts at 6:15.</v>
      </c>
      <c r="C435" s="4" t="str">
        <f ca="1">IFERROR(__xludf.DUMMYFUNCTION("IFERROR(GOOGLETRANSLATE(B435,""en"",""ja""),)"),"映画は6時15分に始まります。")</f>
        <v>映画は6時15分に始まります。</v>
      </c>
      <c r="D435" s="4" t="str">
        <f ca="1">IFERROR(__xludf.DUMMYFUNCTION("IFERROR(GOOGLETRANSLATE(B435,""en"",""zh-TW""),)"),"電影從6點15分開始。")</f>
        <v>電影從6點15分開始。</v>
      </c>
      <c r="E435" s="4" t="str">
        <f ca="1">IFERROR(__xludf.DUMMYFUNCTION("IFERROR(GOOGLETRANSLATE(B435,""en"",""zh-CN""),)"),"电影从6点15分开始。")</f>
        <v>电影从6点15分开始。</v>
      </c>
    </row>
    <row r="436" spans="1:5">
      <c r="A436" s="3" t="s">
        <v>2060</v>
      </c>
      <c r="B436" s="4" t="str">
        <f ca="1">IFERROR(__xludf.DUMMYFUNCTION("IFERROR(GOOGLETRANSLATE(A436,""ko"",""en""),)"),"What day of the week is July 23rd?")</f>
        <v>What day of the week is July 23rd?</v>
      </c>
      <c r="C436" s="4" t="str">
        <f ca="1">IFERROR(__xludf.DUMMYFUNCTION("IFERROR(GOOGLETRANSLATE(B436,""en"",""ja""),)"),"7月23日は何曜日ですか？")</f>
        <v>7月23日は何曜日ですか？</v>
      </c>
      <c r="D436" s="4" t="str">
        <f ca="1">IFERROR(__xludf.DUMMYFUNCTION("IFERROR(GOOGLETRANSLATE(B436,""en"",""zh-TW""),)"),"7月23日是星期幾？")</f>
        <v>7月23日是星期幾？</v>
      </c>
      <c r="E436" s="4" t="str">
        <f ca="1">IFERROR(__xludf.DUMMYFUNCTION("IFERROR(GOOGLETRANSLATE(B436,""en"",""zh-CN""),)"),"7月23日是星期几？")</f>
        <v>7月23日是星期几？</v>
      </c>
    </row>
    <row r="437" spans="1:5">
      <c r="A437" s="3" t="s">
        <v>2063</v>
      </c>
      <c r="B437" s="4" t="str">
        <f ca="1">IFERROR(__xludf.DUMMYFUNCTION("IFERROR(GOOGLETRANSLATE(A437,""ko"",""en""),)"),"What day is tomorrow?")</f>
        <v>What day is tomorrow?</v>
      </c>
      <c r="C437" s="4" t="str">
        <f ca="1">IFERROR(__xludf.DUMMYFUNCTION("IFERROR(GOOGLETRANSLATE(B437,""en"",""ja""),)"),"明日は何曜日ですか？")</f>
        <v>明日は何曜日ですか？</v>
      </c>
      <c r="D437" s="4" t="str">
        <f ca="1">IFERROR(__xludf.DUMMYFUNCTION("IFERROR(GOOGLETRANSLATE(B437,""en"",""zh-TW""),)"),"明天是星期幾？")</f>
        <v>明天是星期幾？</v>
      </c>
      <c r="E437" s="4" t="str">
        <f ca="1">IFERROR(__xludf.DUMMYFUNCTION("IFERROR(GOOGLETRANSLATE(B437,""en"",""zh-CN""),)"),"明天是星期几？")</f>
        <v>明天是星期几？</v>
      </c>
    </row>
    <row r="438" spans="1:5">
      <c r="A438" s="3" t="s">
        <v>2067</v>
      </c>
      <c r="B438" s="4" t="str">
        <f ca="1">IFERROR(__xludf.DUMMYFUNCTION("IFERROR(GOOGLETRANSLATE(A438,""ko"",""en""),)"),"It's Wednesday.")</f>
        <v>It's Wednesday.</v>
      </c>
      <c r="C438" s="4" t="str">
        <f ca="1">IFERROR(__xludf.DUMMYFUNCTION("IFERROR(GOOGLETRANSLATE(B438,""en"",""ja""),)"),"今日は水曜日です。")</f>
        <v>今日は水曜日です。</v>
      </c>
      <c r="D438" s="4" t="str">
        <f ca="1">IFERROR(__xludf.DUMMYFUNCTION("IFERROR(GOOGLETRANSLATE(B438,""en"",""zh-TW""),)"),"今天是星期三。")</f>
        <v>今天是星期三。</v>
      </c>
      <c r="E438" s="4" t="str">
        <f ca="1">IFERROR(__xludf.DUMMYFUNCTION("IFERROR(GOOGLETRANSLATE(B438,""en"",""zh-CN""),)"),"今天是星期三。")</f>
        <v>今天是星期三。</v>
      </c>
    </row>
    <row r="439" spans="1:5">
      <c r="A439" s="3" t="s">
        <v>2070</v>
      </c>
      <c r="B439" s="4" t="str">
        <f ca="1">IFERROR(__xludf.DUMMYFUNCTION("IFERROR(GOOGLETRANSLATE(A439,""ko"",""en""),)"),"What day is this Friday?")</f>
        <v>What day is this Friday?</v>
      </c>
      <c r="C439" s="4" t="str">
        <f ca="1">IFERROR(__xludf.DUMMYFUNCTION("IFERROR(GOOGLETRANSLATE(B439,""en"",""ja""),)"),"今週の金曜日は何曜日ですか？")</f>
        <v>今週の金曜日は何曜日ですか？</v>
      </c>
      <c r="D439" s="4" t="str">
        <f ca="1">IFERROR(__xludf.DUMMYFUNCTION("IFERROR(GOOGLETRANSLATE(B439,""en"",""zh-TW""),)"),"這個星期五是星期幾？")</f>
        <v>這個星期五是星期幾？</v>
      </c>
      <c r="E439" s="4" t="str">
        <f ca="1">IFERROR(__xludf.DUMMYFUNCTION("IFERROR(GOOGLETRANSLATE(B439,""en"",""zh-CN""),)"),"这个星期五是星期几？")</f>
        <v>这个星期五是星期几？</v>
      </c>
    </row>
    <row r="440" spans="1:5">
      <c r="A440" s="3" t="s">
        <v>2075</v>
      </c>
      <c r="B440" s="4" t="str">
        <f ca="1">IFERROR(__xludf.DUMMYFUNCTION("IFERROR(GOOGLETRANSLATE(A440,""ko"",""en""),)"),"It's July 4th.")</f>
        <v>It's July 4th.</v>
      </c>
      <c r="C440" s="4" t="str">
        <f ca="1">IFERROR(__xludf.DUMMYFUNCTION("IFERROR(GOOGLETRANSLATE(B440,""en"",""ja""),)"),"今日は7月4日です。")</f>
        <v>今日は7月4日です。</v>
      </c>
      <c r="D440" s="4" t="str">
        <f ca="1">IFERROR(__xludf.DUMMYFUNCTION("IFERROR(GOOGLETRANSLATE(B440,""en"",""zh-TW""),)"),"今天是7月4日。")</f>
        <v>今天是7月4日。</v>
      </c>
      <c r="E440" s="4" t="str">
        <f ca="1">IFERROR(__xludf.DUMMYFUNCTION("IFERROR(GOOGLETRANSLATE(B440,""en"",""zh-CN""),)"),"今天是7月4日。")</f>
        <v>今天是7月4日。</v>
      </c>
    </row>
    <row r="441" spans="1:5">
      <c r="A441" s="3" t="s">
        <v>2079</v>
      </c>
      <c r="B441" s="4" t="str">
        <f ca="1">IFERROR(__xludf.DUMMYFUNCTION("IFERROR(GOOGLETRANSLATE(A441,""ko"",""en""),)"),"meeting")</f>
        <v>meeting</v>
      </c>
      <c r="C441" s="4" t="str">
        <f ca="1">IFERROR(__xludf.DUMMYFUNCTION("IFERROR(GOOGLETRANSLATE(B441,""en"",""ja""),)"),"ミーティング")</f>
        <v>ミーティング</v>
      </c>
      <c r="D441" s="4" t="str">
        <f ca="1">IFERROR(__xludf.DUMMYFUNCTION("IFERROR(GOOGLETRANSLATE(B441,""en"",""zh-TW""),)"),"會議")</f>
        <v>會議</v>
      </c>
      <c r="E441" s="4" t="str">
        <f ca="1">IFERROR(__xludf.DUMMYFUNCTION("IFERROR(GOOGLETRANSLATE(B441,""en"",""zh-CN""),)"),"会议")</f>
        <v>会议</v>
      </c>
    </row>
    <row r="442" spans="1:5">
      <c r="A442" s="3" t="s">
        <v>2081</v>
      </c>
      <c r="B442" s="4" t="str">
        <f ca="1">IFERROR(__xludf.DUMMYFUNCTION("IFERROR(GOOGLETRANSLATE(A442,""ko"",""en""),)"),"lunch")</f>
        <v>lunch</v>
      </c>
      <c r="C442" s="4" t="str">
        <f ca="1">IFERROR(__xludf.DUMMYFUNCTION("IFERROR(GOOGLETRANSLATE(B442,""en"",""ja""),)"),"ランチ")</f>
        <v>ランチ</v>
      </c>
      <c r="D442" s="4" t="str">
        <f ca="1">IFERROR(__xludf.DUMMYFUNCTION("IFERROR(GOOGLETRANSLATE(B442,""en"",""zh-TW""),)"),"午餐")</f>
        <v>午餐</v>
      </c>
      <c r="E442" s="4" t="str">
        <f ca="1">IFERROR(__xludf.DUMMYFUNCTION("IFERROR(GOOGLETRANSLATE(B442,""en"",""zh-CN""),)"),"午餐")</f>
        <v>午餐</v>
      </c>
    </row>
    <row r="443" spans="1:5">
      <c r="A443" s="3" t="s">
        <v>1837</v>
      </c>
      <c r="B443" s="4" t="str">
        <f ca="1">IFERROR(__xludf.DUMMYFUNCTION("IFERROR(GOOGLETRANSLATE(A443,""ko"",""en""),)"),"When are you going on a trip?")</f>
        <v>When are you going on a trip?</v>
      </c>
      <c r="C443" s="4" t="str">
        <f ca="1">IFERROR(__xludf.DUMMYFUNCTION("IFERROR(GOOGLETRANSLATE(B443,""en"",""ja""),)"),"いつ旅行に行く予定ですか？")</f>
        <v>いつ旅行に行く予定ですか？</v>
      </c>
      <c r="D443" s="4" t="str">
        <f ca="1">IFERROR(__xludf.DUMMYFUNCTION("IFERROR(GOOGLETRANSLATE(B443,""en"",""zh-TW""),)"),"你什麼時候去旅行？")</f>
        <v>你什麼時候去旅行？</v>
      </c>
      <c r="E443" s="4" t="str">
        <f ca="1">IFERROR(__xludf.DUMMYFUNCTION("IFERROR(GOOGLETRANSLATE(B443,""en"",""zh-CN""),)"),"你什么时候去旅行？")</f>
        <v>你什么时候去旅行？</v>
      </c>
    </row>
    <row r="444" spans="1:5">
      <c r="A444" s="3" t="s">
        <v>2086</v>
      </c>
      <c r="B444" s="4" t="str">
        <f ca="1">IFERROR(__xludf.DUMMYFUNCTION("IFERROR(GOOGLETRANSLATE(A444,""ko"",""en""),)"),"When is Mari's birthday?")</f>
        <v>When is Mari's birthday?</v>
      </c>
      <c r="C444" s="4" t="str">
        <f ca="1">IFERROR(__xludf.DUMMYFUNCTION("IFERROR(GOOGLETRANSLATE(B444,""en"",""ja""),)"),"マリの誕生日はいつですか？")</f>
        <v>マリの誕生日はいつですか？</v>
      </c>
      <c r="D444" s="4" t="str">
        <f ca="1">IFERROR(__xludf.DUMMYFUNCTION("IFERROR(GOOGLETRANSLATE(B444,""en"",""zh-TW""),)"),"瑪麗的生日是什麼時候？")</f>
        <v>瑪麗的生日是什麼時候？</v>
      </c>
      <c r="E444" s="4" t="str">
        <f ca="1">IFERROR(__xludf.DUMMYFUNCTION("IFERROR(GOOGLETRANSLATE(B444,""en"",""zh-CN""),)"),"玛丽的生日是什么时候？")</f>
        <v>玛丽的生日是什么时候？</v>
      </c>
    </row>
    <row r="445" spans="1:5">
      <c r="A445" s="3" t="s">
        <v>2089</v>
      </c>
      <c r="B445" s="4" t="str">
        <f ca="1">IFERROR(__xludf.DUMMYFUNCTION("IFERROR(GOOGLETRANSLATE(A445,""ko"",""en""),)"),"It is Wednesday, August 3rd.")</f>
        <v>It is Wednesday, August 3rd.</v>
      </c>
      <c r="C445" s="4" t="str">
        <f ca="1">IFERROR(__xludf.DUMMYFUNCTION("IFERROR(GOOGLETRANSLATE(B445,""en"",""ja""),)"),"今日は8月3日水曜日です。")</f>
        <v>今日は8月3日水曜日です。</v>
      </c>
      <c r="D445" s="4" t="str">
        <f ca="1">IFERROR(__xludf.DUMMYFUNCTION("IFERROR(GOOGLETRANSLATE(B445,""en"",""zh-TW""),)"),"今天是8月3日，星期三。")</f>
        <v>今天是8月3日，星期三。</v>
      </c>
      <c r="E445" s="4" t="str">
        <f ca="1">IFERROR(__xludf.DUMMYFUNCTION("IFERROR(GOOGLETRANSLATE(B445,""en"",""zh-CN""),)"),"今天是8月3日，星期三。")</f>
        <v>今天是8月3日，星期三。</v>
      </c>
    </row>
    <row r="446" spans="1:5">
      <c r="A446" s="3" t="s">
        <v>2093</v>
      </c>
      <c r="B446" s="4" t="str">
        <f ca="1">IFERROR(__xludf.DUMMYFUNCTION("IFERROR(GOOGLETRANSLATE(A446,""ko"",""en""),)"),"When do you watch movies?")</f>
        <v>When do you watch movies?</v>
      </c>
      <c r="C446" s="4" t="str">
        <f ca="1">IFERROR(__xludf.DUMMYFUNCTION("IFERROR(GOOGLETRANSLATE(B446,""en"",""ja""),)"),"あなたはいつ映画を見ますか？")</f>
        <v>あなたはいつ映画を見ますか？</v>
      </c>
      <c r="D446" s="4" t="str">
        <f ca="1">IFERROR(__xludf.DUMMYFUNCTION("IFERROR(GOOGLETRANSLATE(B446,""en"",""zh-TW""),)"),"你什麼時候看電影？")</f>
        <v>你什麼時候看電影？</v>
      </c>
      <c r="E446" s="4" t="str">
        <f ca="1">IFERROR(__xludf.DUMMYFUNCTION("IFERROR(GOOGLETRANSLATE(B446,""en"",""zh-CN""),)"),"你什么时候看电影？")</f>
        <v>你什么时候看电影？</v>
      </c>
    </row>
    <row r="447" spans="1:5">
      <c r="A447" s="3" t="s">
        <v>2096</v>
      </c>
      <c r="B447" s="4" t="str">
        <f ca="1">IFERROR(__xludf.DUMMYFUNCTION("IFERROR(GOOGLETRANSLATE(A447,""ko"",""en""),)"),"See you on Tuesday, August 16th.")</f>
        <v>See you on Tuesday, August 16th.</v>
      </c>
      <c r="C447" s="4" t="str">
        <f ca="1">IFERROR(__xludf.DUMMYFUNCTION("IFERROR(GOOGLETRANSLATE(B447,""en"",""ja""),)"),"8月16日（火）にお会いしましょう。")</f>
        <v>8月16日（火）にお会いしましょう。</v>
      </c>
      <c r="D447" s="4" t="str">
        <f ca="1">IFERROR(__xludf.DUMMYFUNCTION("IFERROR(GOOGLETRANSLATE(B447,""en"",""zh-TW""),)"),"8月16日星期二見。")</f>
        <v>8月16日星期二見。</v>
      </c>
      <c r="E447" s="4" t="str">
        <f ca="1">IFERROR(__xludf.DUMMYFUNCTION("IFERROR(GOOGLETRANSLATE(B447,""en"",""zh-CN""),)"),"8月16日星期二见。")</f>
        <v>8月16日星期二见。</v>
      </c>
    </row>
    <row r="448" spans="1:5">
      <c r="A448" s="3" t="s">
        <v>2100</v>
      </c>
      <c r="B448" s="4" t="str">
        <f ca="1">IFERROR(__xludf.DUMMYFUNCTION("IFERROR(GOOGLETRANSLATE(A448,""ko"",""en""),)"),"When is the meeting?")</f>
        <v>When is the meeting?</v>
      </c>
      <c r="C448" s="4" t="str">
        <f ca="1">IFERROR(__xludf.DUMMYFUNCTION("IFERROR(GOOGLETRANSLATE(B448,""en"",""ja""),)"),"会議はいつですか？")</f>
        <v>会議はいつですか？</v>
      </c>
      <c r="D448" s="4" t="str">
        <f ca="1">IFERROR(__xludf.DUMMYFUNCTION("IFERROR(GOOGLETRANSLATE(B448,""en"",""zh-TW""),)"),"會議時間是什麼時候？")</f>
        <v>會議時間是什麼時候？</v>
      </c>
      <c r="E448" s="4" t="str">
        <f ca="1">IFERROR(__xludf.DUMMYFUNCTION("IFERROR(GOOGLETRANSLATE(B448,""en"",""zh-CN""),)"),"会议时间是什么时候？")</f>
        <v>会议时间是什么时候？</v>
      </c>
    </row>
    <row r="449" spans="1:5">
      <c r="A449" s="3" t="s">
        <v>2104</v>
      </c>
      <c r="B449" s="4" t="str">
        <f ca="1">IFERROR(__xludf.DUMMYFUNCTION("IFERROR(GOOGLETRANSLATE(A449,""ko"",""en""),)"),"It's on Friday, August 12th.")</f>
        <v>It's on Friday, August 12th.</v>
      </c>
      <c r="C449" s="4" t="str">
        <f ca="1">IFERROR(__xludf.DUMMYFUNCTION("IFERROR(GOOGLETRANSLATE(B449,""en"",""ja""),)"),"8月12日（金）です。")</f>
        <v>8月12日（金）です。</v>
      </c>
      <c r="D449" s="4" t="str">
        <f ca="1">IFERROR(__xludf.DUMMYFUNCTION("IFERROR(GOOGLETRANSLATE(B449,""en"",""zh-TW""),)"),"日期是8月12日，星期五。")</f>
        <v>日期是8月12日，星期五。</v>
      </c>
      <c r="E449" s="4" t="str">
        <f ca="1">IFERROR(__xludf.DUMMYFUNCTION("IFERROR(GOOGLETRANSLATE(B449,""en"",""zh-CN""),)"),"日期是8月12日，星期五。")</f>
        <v>日期是8月12日，星期五。</v>
      </c>
    </row>
    <row r="450" spans="1:5">
      <c r="A450" s="3" t="s">
        <v>1916</v>
      </c>
      <c r="B450" s="4" t="str">
        <f ca="1">IFERROR(__xludf.DUMMYFUNCTION("IFERROR(GOOGLETRANSLATE(A450,""ko"",""en""),)"),"When do I meet Juno?")</f>
        <v>When do I meet Juno?</v>
      </c>
      <c r="C450" s="4" t="str">
        <f ca="1">IFERROR(__xludf.DUMMYFUNCTION("IFERROR(GOOGLETRANSLATE(B450,""en"",""ja""),)"),"ジュノとはいつ会えますか？")</f>
        <v>ジュノとはいつ会えますか？</v>
      </c>
      <c r="D450" s="4" t="str">
        <f ca="1">IFERROR(__xludf.DUMMYFUNCTION("IFERROR(GOOGLETRANSLATE(B450,""en"",""zh-TW""),)"),"我什麼時候能見到朱諾？")</f>
        <v>我什麼時候能見到朱諾？</v>
      </c>
      <c r="E450" s="4" t="str">
        <f ca="1">IFERROR(__xludf.DUMMYFUNCTION("IFERROR(GOOGLETRANSLATE(B450,""en"",""zh-CN""),)"),"我什么时候能见到朱诺？")</f>
        <v>我什么时候能见到朱诺？</v>
      </c>
    </row>
    <row r="451" spans="1:5">
      <c r="A451" s="3" t="s">
        <v>1919</v>
      </c>
      <c r="B451" s="4" t="str">
        <f ca="1">IFERROR(__xludf.DUMMYFUNCTION("IFERROR(GOOGLETRANSLATE(A451,""ko"",""en""),)"),"See you on January 17th.")</f>
        <v>See you on January 17th.</v>
      </c>
      <c r="C451" s="4" t="str">
        <f ca="1">IFERROR(__xludf.DUMMYFUNCTION("IFERROR(GOOGLETRANSLATE(B451,""en"",""ja""),)"),"1月17日にお会いしましょう。")</f>
        <v>1月17日にお会いしましょう。</v>
      </c>
      <c r="D451" s="4" t="str">
        <f ca="1">IFERROR(__xludf.DUMMYFUNCTION("IFERROR(GOOGLETRANSLATE(B451,""en"",""zh-TW""),)"),"1月17日見。")</f>
        <v>1月17日見。</v>
      </c>
      <c r="E451" s="4" t="str">
        <f ca="1">IFERROR(__xludf.DUMMYFUNCTION("IFERROR(GOOGLETRANSLATE(B451,""en"",""zh-CN""),)"),"1月17日见。")</f>
        <v>1月17日见。</v>
      </c>
    </row>
    <row r="452" spans="1:5">
      <c r="A452" s="3" t="s">
        <v>1924</v>
      </c>
      <c r="B452" s="4" t="str">
        <f ca="1">IFERROR(__xludf.DUMMYFUNCTION("IFERROR(GOOGLETRANSLATE(A452,""ko"",""en""),)"),"When is the birthday party?")</f>
        <v>When is the birthday party?</v>
      </c>
      <c r="C452" s="4" t="str">
        <f ca="1">IFERROR(__xludf.DUMMYFUNCTION("IFERROR(GOOGLETRANSLATE(B452,""en"",""ja""),)"),"誕生日パーティーはいつですか？")</f>
        <v>誕生日パーティーはいつですか？</v>
      </c>
      <c r="D452" s="4" t="str">
        <f ca="1">IFERROR(__xludf.DUMMYFUNCTION("IFERROR(GOOGLETRANSLATE(B452,""en"",""zh-TW""),)"),"生日派對是什麼時候？")</f>
        <v>生日派對是什麼時候？</v>
      </c>
      <c r="E452" s="4" t="str">
        <f ca="1">IFERROR(__xludf.DUMMYFUNCTION("IFERROR(GOOGLETRANSLATE(B452,""en"",""zh-CN""),)"),"生日派对是什么时候？")</f>
        <v>生日派对是什么时候？</v>
      </c>
    </row>
    <row r="453" spans="1:5">
      <c r="A453" s="3" t="s">
        <v>2119</v>
      </c>
      <c r="B453" s="4" t="str">
        <f ca="1">IFERROR(__xludf.DUMMYFUNCTION("IFERROR(GOOGLETRANSLATE(A453,""ko"",""en""),)"),"It is on May 30th.")</f>
        <v>It is on May 30th.</v>
      </c>
      <c r="C453" s="4" t="str">
        <f ca="1">IFERROR(__xludf.DUMMYFUNCTION("IFERROR(GOOGLETRANSLATE(B453,""en"",""ja""),)"),"5月30日です。")</f>
        <v>5月30日です。</v>
      </c>
      <c r="D453" s="4" t="str">
        <f ca="1">IFERROR(__xludf.DUMMYFUNCTION("IFERROR(GOOGLETRANSLATE(B453,""en"",""zh-TW""),)"),"日期是5月30日。")</f>
        <v>日期是5月30日。</v>
      </c>
      <c r="E453" s="4" t="str">
        <f ca="1">IFERROR(__xludf.DUMMYFUNCTION("IFERROR(GOOGLETRANSLATE(B453,""en"",""zh-CN""),)"),"日期是5月30日。")</f>
        <v>日期是5月30日。</v>
      </c>
    </row>
    <row r="454" spans="1:5">
      <c r="A454" s="5" t="s">
        <v>2124</v>
      </c>
      <c r="B454" s="4" t="str">
        <f ca="1">IFERROR(__xludf.DUMMYFUNCTION("IFERROR(GOOGLETRANSLATE(A454,""ko"",""en""),)"),"One poem")</f>
        <v>One poem</v>
      </c>
      <c r="C454" s="4" t="str">
        <f ca="1">IFERROR(__xludf.DUMMYFUNCTION("IFERROR(GOOGLETRANSLATE(B454,""en"",""ja""),)"),"一つの詩")</f>
        <v>一つの詩</v>
      </c>
      <c r="D454" s="4" t="str">
        <f ca="1">IFERROR(__xludf.DUMMYFUNCTION("IFERROR(GOOGLETRANSLATE(B454,""en"",""zh-TW""),)"),"一首詩")</f>
        <v>一首詩</v>
      </c>
      <c r="E454" s="4" t="str">
        <f ca="1">IFERROR(__xludf.DUMMYFUNCTION("IFERROR(GOOGLETRANSLATE(B454,""en"",""zh-CN""),)"),"一首诗")</f>
        <v>一首诗</v>
      </c>
    </row>
    <row r="455" spans="1:5">
      <c r="A455" s="5" t="s">
        <v>2128</v>
      </c>
      <c r="B455" s="4" t="str">
        <f ca="1">IFERROR(__xludf.DUMMYFUNCTION("IFERROR(GOOGLETRANSLATE(A455,""ko"",""en""),)"),"2 o'clock")</f>
        <v>2 o'clock</v>
      </c>
      <c r="C455" s="4" t="str">
        <f ca="1">IFERROR(__xludf.DUMMYFUNCTION("IFERROR(GOOGLETRANSLATE(B455,""en"",""ja""),)"),"2時")</f>
        <v>2時</v>
      </c>
      <c r="D455" s="4" t="str">
        <f ca="1">IFERROR(__xludf.DUMMYFUNCTION("IFERROR(GOOGLETRANSLATE(B455,""en"",""zh-TW""),)"),"兩點鐘")</f>
        <v>兩點鐘</v>
      </c>
      <c r="E455" s="4" t="str">
        <f ca="1">IFERROR(__xludf.DUMMYFUNCTION("IFERROR(GOOGLETRANSLATE(B455,""en"",""zh-CN""),)"),"两点钟")</f>
        <v>两点钟</v>
      </c>
    </row>
    <row r="456" spans="1:5">
      <c r="A456" s="5" t="s">
        <v>2133</v>
      </c>
      <c r="B456" s="4" t="str">
        <f ca="1">IFERROR(__xludf.DUMMYFUNCTION("IFERROR(GOOGLETRANSLATE(A456,""ko"",""en""),)"),"three o'clock")</f>
        <v>three o'clock</v>
      </c>
      <c r="C456" s="4" t="str">
        <f ca="1">IFERROR(__xludf.DUMMYFUNCTION("IFERROR(GOOGLETRANSLATE(B456,""en"",""ja""),)"),"3時")</f>
        <v>3時</v>
      </c>
      <c r="D456" s="4" t="str">
        <f ca="1">IFERROR(__xludf.DUMMYFUNCTION("IFERROR(GOOGLETRANSLATE(B456,""en"",""zh-TW""),)"),"三點鐘")</f>
        <v>三點鐘</v>
      </c>
      <c r="E456" s="4" t="str">
        <f ca="1">IFERROR(__xludf.DUMMYFUNCTION("IFERROR(GOOGLETRANSLATE(B456,""en"",""zh-CN""),)"),"三点钟")</f>
        <v>三点钟</v>
      </c>
    </row>
    <row r="457" spans="1:5">
      <c r="A457" s="5" t="s">
        <v>2135</v>
      </c>
      <c r="B457" s="4" t="str">
        <f ca="1">IFERROR(__xludf.DUMMYFUNCTION("IFERROR(GOOGLETRANSLATE(A457,""ko"",""en""),)"),"4 o'clock")</f>
        <v>4 o'clock</v>
      </c>
      <c r="C457" s="4" t="str">
        <f ca="1">IFERROR(__xludf.DUMMYFUNCTION("IFERROR(GOOGLETRANSLATE(B457,""en"",""ja""),)"),"4時")</f>
        <v>4時</v>
      </c>
      <c r="D457" s="4" t="str">
        <f ca="1">IFERROR(__xludf.DUMMYFUNCTION("IFERROR(GOOGLETRANSLATE(B457,""en"",""zh-TW""),)"),"4點鐘")</f>
        <v>4點鐘</v>
      </c>
      <c r="E457" s="4" t="str">
        <f ca="1">IFERROR(__xludf.DUMMYFUNCTION("IFERROR(GOOGLETRANSLATE(B457,""en"",""zh-CN""),)"),"4点钟")</f>
        <v>4点钟</v>
      </c>
    </row>
    <row r="458" spans="1:5">
      <c r="A458" s="5" t="s">
        <v>2140</v>
      </c>
      <c r="B458" s="4" t="str">
        <f ca="1">IFERROR(__xludf.DUMMYFUNCTION("IFERROR(GOOGLETRANSLATE(A458,""ko"",""en""),)"),"five o'clock")</f>
        <v>five o'clock</v>
      </c>
      <c r="C458" s="4" t="str">
        <f ca="1">IFERROR(__xludf.DUMMYFUNCTION("IFERROR(GOOGLETRANSLATE(B458,""en"",""ja""),)"),"5時")</f>
        <v>5時</v>
      </c>
      <c r="D458" s="4" t="str">
        <f ca="1">IFERROR(__xludf.DUMMYFUNCTION("IFERROR(GOOGLETRANSLATE(B458,""en"",""zh-TW""),)"),"五點")</f>
        <v>五點</v>
      </c>
      <c r="E458" s="4" t="str">
        <f ca="1">IFERROR(__xludf.DUMMYFUNCTION("IFERROR(GOOGLETRANSLATE(B458,""en"",""zh-CN""),)"),"五点钟")</f>
        <v>五点钟</v>
      </c>
    </row>
    <row r="459" spans="1:5">
      <c r="A459" s="5" t="s">
        <v>2144</v>
      </c>
      <c r="B459" s="4" t="str">
        <f ca="1">IFERROR(__xludf.DUMMYFUNCTION("IFERROR(GOOGLETRANSLATE(A459,""ko"",""en""),)"),"six hours")</f>
        <v>six hours</v>
      </c>
      <c r="C459" s="4" t="str">
        <f ca="1">IFERROR(__xludf.DUMMYFUNCTION("IFERROR(GOOGLETRANSLATE(B459,""en"",""ja""),)"),"6時間")</f>
        <v>6時間</v>
      </c>
      <c r="D459" s="4" t="str">
        <f ca="1">IFERROR(__xludf.DUMMYFUNCTION("IFERROR(GOOGLETRANSLATE(B459,""en"",""zh-TW""),)"),"六小時")</f>
        <v>六小時</v>
      </c>
      <c r="E459" s="4" t="str">
        <f ca="1">IFERROR(__xludf.DUMMYFUNCTION("IFERROR(GOOGLETRANSLATE(B459,""en"",""zh-CN""),)"),"六小时")</f>
        <v>六小时</v>
      </c>
    </row>
    <row r="460" spans="1:5">
      <c r="A460" s="5" t="s">
        <v>1472</v>
      </c>
      <c r="B460" s="4" t="str">
        <f ca="1">IFERROR(__xludf.DUMMYFUNCTION("IFERROR(GOOGLETRANSLATE(A460,""ko"",""en""),)"),"seven o'clock")</f>
        <v>seven o'clock</v>
      </c>
      <c r="C460" s="4" t="str">
        <f ca="1">IFERROR(__xludf.DUMMYFUNCTION("IFERROR(GOOGLETRANSLATE(B460,""en"",""ja""),)"),"7時")</f>
        <v>7時</v>
      </c>
      <c r="D460" s="4" t="str">
        <f ca="1">IFERROR(__xludf.DUMMYFUNCTION("IFERROR(GOOGLETRANSLATE(B460,""en"",""zh-TW""),)"),"七點鐘")</f>
        <v>七點鐘</v>
      </c>
      <c r="E460" s="4" t="str">
        <f ca="1">IFERROR(__xludf.DUMMYFUNCTION("IFERROR(GOOGLETRANSLATE(B460,""en"",""zh-CN""),)"),"七点钟")</f>
        <v>七点钟</v>
      </c>
    </row>
    <row r="461" spans="1:5">
      <c r="A461" s="5" t="s">
        <v>2154</v>
      </c>
      <c r="B461" s="4" t="str">
        <f ca="1">IFERROR(__xludf.DUMMYFUNCTION("IFERROR(GOOGLETRANSLATE(A461,""ko"",""en""),)"),"eight o'clock")</f>
        <v>eight o'clock</v>
      </c>
      <c r="C461" s="4" t="str">
        <f ca="1">IFERROR(__xludf.DUMMYFUNCTION("IFERROR(GOOGLETRANSLATE(B461,""en"",""ja""),)"),"8時")</f>
        <v>8時</v>
      </c>
      <c r="D461" s="4" t="str">
        <f ca="1">IFERROR(__xludf.DUMMYFUNCTION("IFERROR(GOOGLETRANSLATE(B461,""en"",""zh-TW""),)"),"八點")</f>
        <v>八點</v>
      </c>
      <c r="E461" s="4" t="str">
        <f ca="1">IFERROR(__xludf.DUMMYFUNCTION("IFERROR(GOOGLETRANSLATE(B461,""en"",""zh-CN""),)"),"八点")</f>
        <v>八点</v>
      </c>
    </row>
    <row r="462" spans="1:5">
      <c r="A462" s="5" t="s">
        <v>2157</v>
      </c>
      <c r="B462" s="4" t="str">
        <f ca="1">IFERROR(__xludf.DUMMYFUNCTION("IFERROR(GOOGLETRANSLATE(A462,""ko"",""en""),)"),"nine o'clock")</f>
        <v>nine o'clock</v>
      </c>
      <c r="C462" s="4" t="str">
        <f ca="1">IFERROR(__xludf.DUMMYFUNCTION("IFERROR(GOOGLETRANSLATE(B462,""en"",""ja""),)"),"9時")</f>
        <v>9時</v>
      </c>
      <c r="D462" s="4" t="str">
        <f ca="1">IFERROR(__xludf.DUMMYFUNCTION("IFERROR(GOOGLETRANSLATE(B462,""en"",""zh-TW""),)"),"九點鐘")</f>
        <v>九點鐘</v>
      </c>
      <c r="E462" s="4" t="str">
        <f ca="1">IFERROR(__xludf.DUMMYFUNCTION("IFERROR(GOOGLETRANSLATE(B462,""en"",""zh-CN""),)"),"九点钟")</f>
        <v>九点钟</v>
      </c>
    </row>
    <row r="463" spans="1:5">
      <c r="A463" s="5" t="s">
        <v>2160</v>
      </c>
      <c r="B463" s="4" t="str">
        <f ca="1">IFERROR(__xludf.DUMMYFUNCTION("IFERROR(GOOGLETRANSLATE(A463,""ko"",""en""),)"),"ten o'clock")</f>
        <v>ten o'clock</v>
      </c>
      <c r="C463" s="4" t="str">
        <f ca="1">IFERROR(__xludf.DUMMYFUNCTION("IFERROR(GOOGLETRANSLATE(B463,""en"",""ja""),)"),"10時")</f>
        <v>10時</v>
      </c>
      <c r="D463" s="4" t="str">
        <f ca="1">IFERROR(__xludf.DUMMYFUNCTION("IFERROR(GOOGLETRANSLATE(B463,""en"",""zh-TW""),)"),"十點鐘")</f>
        <v>十點鐘</v>
      </c>
      <c r="E463" s="4" t="str">
        <f ca="1">IFERROR(__xludf.DUMMYFUNCTION("IFERROR(GOOGLETRANSLATE(B463,""en"",""zh-CN""),)"),"十点钟")</f>
        <v>十点钟</v>
      </c>
    </row>
    <row r="464" spans="1:5">
      <c r="A464" s="5" t="s">
        <v>2164</v>
      </c>
      <c r="B464" s="4" t="str">
        <f ca="1">IFERROR(__xludf.DUMMYFUNCTION("IFERROR(GOOGLETRANSLATE(A464,""ko"",""en""),)"),"eleven o'clock")</f>
        <v>eleven o'clock</v>
      </c>
      <c r="C464" s="4" t="str">
        <f ca="1">IFERROR(__xludf.DUMMYFUNCTION("IFERROR(GOOGLETRANSLATE(B464,""en"",""ja""),)"),"11時")</f>
        <v>11時</v>
      </c>
      <c r="D464" s="4" t="str">
        <f ca="1">IFERROR(__xludf.DUMMYFUNCTION("IFERROR(GOOGLETRANSLATE(B464,""en"",""zh-TW""),)"),"十一點")</f>
        <v>十一點</v>
      </c>
      <c r="E464" s="4" t="str">
        <f ca="1">IFERROR(__xludf.DUMMYFUNCTION("IFERROR(GOOGLETRANSLATE(B464,""en"",""zh-CN""),)"),"十一点")</f>
        <v>十一点</v>
      </c>
    </row>
    <row r="465" spans="1:5">
      <c r="A465" s="5" t="s">
        <v>2168</v>
      </c>
      <c r="B465" s="4" t="str">
        <f ca="1">IFERROR(__xludf.DUMMYFUNCTION("IFERROR(GOOGLETRANSLATE(A465,""ko"",""en""),)"),"twelve o'clock")</f>
        <v>twelve o'clock</v>
      </c>
      <c r="C465" s="4" t="str">
        <f ca="1">IFERROR(__xludf.DUMMYFUNCTION("IFERROR(GOOGLETRANSLATE(B465,""en"",""ja""),)"),"12時")</f>
        <v>12時</v>
      </c>
      <c r="D465" s="4" t="str">
        <f ca="1">IFERROR(__xludf.DUMMYFUNCTION("IFERROR(GOOGLETRANSLATE(B465,""en"",""zh-TW""),)"),"十二點")</f>
        <v>十二點</v>
      </c>
      <c r="E465" s="4" t="str">
        <f ca="1">IFERROR(__xludf.DUMMYFUNCTION("IFERROR(GOOGLETRANSLATE(B465,""en"",""zh-CN""),)"),"十二点")</f>
        <v>十二点</v>
      </c>
    </row>
    <row r="466" spans="1:5">
      <c r="A466" s="3" t="s">
        <v>2172</v>
      </c>
      <c r="B466" s="4" t="str">
        <f ca="1">IFERROR(__xludf.DUMMYFUNCTION("IFERROR(GOOGLETRANSLATE(A466,""ko"",""en""),)"),"3 o'clock in the afternoon")</f>
        <v>3 o'clock in the afternoon</v>
      </c>
      <c r="C466" s="4" t="str">
        <f ca="1">IFERROR(__xludf.DUMMYFUNCTION("IFERROR(GOOGLETRANSLATE(B466,""en"",""ja""),)"),"午後3時")</f>
        <v>午後3時</v>
      </c>
      <c r="D466" s="4" t="str">
        <f ca="1">IFERROR(__xludf.DUMMYFUNCTION("IFERROR(GOOGLETRANSLATE(B466,""en"",""zh-TW""),)"),"下午3點")</f>
        <v>下午3點</v>
      </c>
      <c r="E466" s="4" t="str">
        <f ca="1">IFERROR(__xludf.DUMMYFUNCTION("IFERROR(GOOGLETRANSLATE(B466,""en"",""zh-CN""),)"),"下午3点")</f>
        <v>下午3点</v>
      </c>
    </row>
    <row r="467" spans="1:5">
      <c r="A467" s="5" t="s">
        <v>2177</v>
      </c>
      <c r="B467" s="4" t="str">
        <f ca="1">IFERROR(__xludf.DUMMYFUNCTION("IFERROR(GOOGLETRANSLATE(A467,""ko"",""en""),)"),"3 o'clock in the morning")</f>
        <v>3 o'clock in the morning</v>
      </c>
      <c r="C467" s="4" t="str">
        <f ca="1">IFERROR(__xludf.DUMMYFUNCTION("IFERROR(GOOGLETRANSLATE(B467,""en"",""ja""),)"),"午前3時")</f>
        <v>午前3時</v>
      </c>
      <c r="D467" s="4" t="str">
        <f ca="1">IFERROR(__xludf.DUMMYFUNCTION("IFERROR(GOOGLETRANSLATE(B467,""en"",""zh-TW""),)"),"凌晨3點")</f>
        <v>凌晨3點</v>
      </c>
      <c r="E467" s="4" t="str">
        <f ca="1">IFERROR(__xludf.DUMMYFUNCTION("IFERROR(GOOGLETRANSLATE(B467,""en"",""zh-CN""),)"),"凌晨3点")</f>
        <v>凌晨3点</v>
      </c>
    </row>
    <row r="468" spans="1:5">
      <c r="A468" s="3" t="s">
        <v>1762</v>
      </c>
      <c r="B468" s="4" t="str">
        <f ca="1">IFERROR(__xludf.DUMMYFUNCTION("IFERROR(GOOGLETRANSLATE(A468,""ko"",""en""),)"),"morning")</f>
        <v>morning</v>
      </c>
      <c r="C468" s="4" t="str">
        <f ca="1">IFERROR(__xludf.DUMMYFUNCTION("IFERROR(GOOGLETRANSLATE(B468,""en"",""ja""),)"),"朝")</f>
        <v>朝</v>
      </c>
      <c r="D468" s="4" t="str">
        <f ca="1">IFERROR(__xludf.DUMMYFUNCTION("IFERROR(GOOGLETRANSLATE(B468,""en"",""zh-TW""),)"),"早晨")</f>
        <v>早晨</v>
      </c>
      <c r="E468" s="4" t="str">
        <f ca="1">IFERROR(__xludf.DUMMYFUNCTION("IFERROR(GOOGLETRANSLATE(B468,""en"",""zh-CN""),)"),"早晨")</f>
        <v>早晨</v>
      </c>
    </row>
    <row r="469" spans="1:5">
      <c r="A469" s="3" t="s">
        <v>2183</v>
      </c>
      <c r="B469" s="4" t="str">
        <f ca="1">IFERROR(__xludf.DUMMYFUNCTION("IFERROR(GOOGLETRANSLATE(A469,""ko"",""en""),)"),"lunch")</f>
        <v>lunch</v>
      </c>
      <c r="C469" s="4" t="str">
        <f ca="1">IFERROR(__xludf.DUMMYFUNCTION("IFERROR(GOOGLETRANSLATE(B469,""en"",""ja""),)"),"ランチ")</f>
        <v>ランチ</v>
      </c>
      <c r="D469" s="4" t="str">
        <f ca="1">IFERROR(__xludf.DUMMYFUNCTION("IFERROR(GOOGLETRANSLATE(B469,""en"",""zh-TW""),)"),"午餐")</f>
        <v>午餐</v>
      </c>
      <c r="E469" s="4" t="str">
        <f ca="1">IFERROR(__xludf.DUMMYFUNCTION("IFERROR(GOOGLETRANSLATE(B469,""en"",""zh-CN""),)"),"午餐")</f>
        <v>午餐</v>
      </c>
    </row>
    <row r="470" spans="1:5">
      <c r="A470" s="3" t="s">
        <v>230</v>
      </c>
      <c r="B470" s="4" t="str">
        <f ca="1">IFERROR(__xludf.DUMMYFUNCTION("IFERROR(GOOGLETRANSLATE(A470,""ko"",""en""),)"),"dinner")</f>
        <v>dinner</v>
      </c>
      <c r="C470" s="4" t="str">
        <f ca="1">IFERROR(__xludf.DUMMYFUNCTION("IFERROR(GOOGLETRANSLATE(B470,""en"",""ja""),)"),"夕食")</f>
        <v>夕食</v>
      </c>
      <c r="D470" s="4" t="str">
        <f ca="1">IFERROR(__xludf.DUMMYFUNCTION("IFERROR(GOOGLETRANSLATE(B470,""en"",""zh-TW""),)"),"晚餐")</f>
        <v>晚餐</v>
      </c>
      <c r="E470" s="4" t="str">
        <f ca="1">IFERROR(__xludf.DUMMYFUNCTION("IFERROR(GOOGLETRANSLATE(B470,""en"",""zh-CN""),)"),"晚餐")</f>
        <v>晚餐</v>
      </c>
    </row>
    <row r="471" spans="1:5">
      <c r="A471" s="3" t="s">
        <v>1766</v>
      </c>
      <c r="B471" s="4" t="str">
        <f ca="1">IFERROR(__xludf.DUMMYFUNCTION("IFERROR(GOOGLETRANSLATE(A471,""ko"",""en""),)"),"I eat breakfast.")</f>
        <v>I eat breakfast.</v>
      </c>
      <c r="C471" s="4" t="str">
        <f ca="1">IFERROR(__xludf.DUMMYFUNCTION("IFERROR(GOOGLETRANSLATE(B471,""en"",""ja""),)"),"私は朝食を食べます。")</f>
        <v>私は朝食を食べます。</v>
      </c>
      <c r="D471" s="4" t="str">
        <f ca="1">IFERROR(__xludf.DUMMYFUNCTION("IFERROR(GOOGLETRANSLATE(B471,""en"",""zh-TW""),)"),"我吃早餐。")</f>
        <v>我吃早餐。</v>
      </c>
      <c r="E471" s="4" t="str">
        <f ca="1">IFERROR(__xludf.DUMMYFUNCTION("IFERROR(GOOGLETRANSLATE(B471,""en"",""zh-CN""),)"),"我吃早餐。")</f>
        <v>我吃早餐。</v>
      </c>
    </row>
    <row r="472" spans="1:5">
      <c r="A472" s="3" t="s">
        <v>2194</v>
      </c>
      <c r="B472" s="4" t="str">
        <f ca="1">IFERROR(__xludf.DUMMYFUNCTION("IFERROR(GOOGLETRANSLATE(A472,""ko"",""en""),)"),"I exercise in the morning.")</f>
        <v>I exercise in the morning.</v>
      </c>
      <c r="C472" s="4" t="str">
        <f ca="1">IFERROR(__xludf.DUMMYFUNCTION("IFERROR(GOOGLETRANSLATE(B472,""en"",""ja""),)"),"私は朝に運動します。")</f>
        <v>私は朝に運動します。</v>
      </c>
      <c r="D472" s="4" t="str">
        <f ca="1">IFERROR(__xludf.DUMMYFUNCTION("IFERROR(GOOGLETRANSLATE(B472,""en"",""zh-TW""),)"),"我早上運動。")</f>
        <v>我早上運動。</v>
      </c>
      <c r="E472" s="4" t="str">
        <f ca="1">IFERROR(__xludf.DUMMYFUNCTION("IFERROR(GOOGLETRANSLATE(B472,""en"",""zh-CN""),)"),"我早上锻炼。")</f>
        <v>我早上锻炼。</v>
      </c>
    </row>
    <row r="473" spans="1:5">
      <c r="A473" s="2" t="s">
        <v>2197</v>
      </c>
      <c r="B473" s="4" t="str">
        <f ca="1">IFERROR(__xludf.DUMMYFUNCTION("IFERROR(GOOGLETRANSLATE(A473,""ko"",""en""),)"),"What time is it?")</f>
        <v>What time is it?</v>
      </c>
      <c r="C473" s="4" t="str">
        <f ca="1">IFERROR(__xludf.DUMMYFUNCTION("IFERROR(GOOGLETRANSLATE(B473,""en"",""ja""),)"),"今何時ですか？")</f>
        <v>今何時ですか？</v>
      </c>
      <c r="D473" s="4" t="str">
        <f ca="1">IFERROR(__xludf.DUMMYFUNCTION("IFERROR(GOOGLETRANSLATE(B473,""en"",""zh-TW""),)"),"現在是幾奌？")</f>
        <v>現在是幾奌？</v>
      </c>
      <c r="E473" s="4" t="str">
        <f ca="1">IFERROR(__xludf.DUMMYFUNCTION("IFERROR(GOOGLETRANSLATE(B473,""en"",""zh-CN""),)"),"现在是几奌？")</f>
        <v>现在是几奌？</v>
      </c>
    </row>
    <row r="474" spans="1:5">
      <c r="A474" s="3" t="s">
        <v>2201</v>
      </c>
      <c r="B474" s="4" t="str">
        <f ca="1">IFERROR(__xludf.DUMMYFUNCTION("IFERROR(GOOGLETRANSLATE(A474,""ko"",""en""),)"),"When do you have lunch?")</f>
        <v>When do you have lunch?</v>
      </c>
      <c r="C474" s="4" t="str">
        <f ca="1">IFERROR(__xludf.DUMMYFUNCTION("IFERROR(GOOGLETRANSLATE(B474,""en"",""ja""),)"),"昼食は何時ですか？")</f>
        <v>昼食は何時ですか？</v>
      </c>
      <c r="D474" s="4" t="str">
        <f ca="1">IFERROR(__xludf.DUMMYFUNCTION("IFERROR(GOOGLETRANSLATE(B474,""en"",""zh-TW""),)"),"你什麼時候吃午餐？")</f>
        <v>你什麼時候吃午餐？</v>
      </c>
      <c r="E474" s="4" t="str">
        <f ca="1">IFERROR(__xludf.DUMMYFUNCTION("IFERROR(GOOGLETRANSLATE(B474,""en"",""zh-CN""),)"),"你什么时候吃午饭？")</f>
        <v>你什么时候吃午饭？</v>
      </c>
    </row>
    <row r="475" spans="1:5">
      <c r="A475" s="3" t="s">
        <v>2203</v>
      </c>
      <c r="B475" s="4" t="str">
        <f ca="1">IFERROR(__xludf.DUMMYFUNCTION("IFERROR(GOOGLETRANSLATE(A475,""ko"",""en""),)"),"I eat lunch at twelve.")</f>
        <v>I eat lunch at twelve.</v>
      </c>
      <c r="C475" s="4" t="str">
        <f ca="1">IFERROR(__xludf.DUMMYFUNCTION("IFERROR(GOOGLETRANSLATE(B475,""en"",""ja""),)"),"私は12時に昼食をとります。")</f>
        <v>私は12時に昼食をとります。</v>
      </c>
      <c r="D475" s="4" t="str">
        <f ca="1">IFERROR(__xludf.DUMMYFUNCTION("IFERROR(GOOGLETRANSLATE(B475,""en"",""zh-TW""),)"),"我中午十二點吃午餐。")</f>
        <v>我中午十二點吃午餐。</v>
      </c>
      <c r="E475" s="4" t="str">
        <f ca="1">IFERROR(__xludf.DUMMYFUNCTION("IFERROR(GOOGLETRANSLATE(B475,""en"",""zh-CN""),)"),"我中午十二点吃午饭。")</f>
        <v>我中午十二点吃午饭。</v>
      </c>
    </row>
    <row r="476" spans="1:5">
      <c r="A476" s="3" t="s">
        <v>2206</v>
      </c>
      <c r="B476" s="4" t="str">
        <f ca="1">IFERROR(__xludf.DUMMYFUNCTION("IFERROR(GOOGLETRANSLATE(A476,""ko"",""en""),)"),"5 o'clock in the afternoon")</f>
        <v>5 o'clock in the afternoon</v>
      </c>
      <c r="C476" s="4" t="str">
        <f ca="1">IFERROR(__xludf.DUMMYFUNCTION("IFERROR(GOOGLETRANSLATE(B476,""en"",""ja""),)"),"午後5時")</f>
        <v>午後5時</v>
      </c>
      <c r="D476" s="4" t="str">
        <f ca="1">IFERROR(__xludf.DUMMYFUNCTION("IFERROR(GOOGLETRANSLATE(B476,""en"",""zh-TW""),)"),"下午5點")</f>
        <v>下午5點</v>
      </c>
      <c r="E476" s="4" t="str">
        <f ca="1">IFERROR(__xludf.DUMMYFUNCTION("IFERROR(GOOGLETRANSLATE(B476,""en"",""zh-CN""),)"),"下午5点")</f>
        <v>下午5点</v>
      </c>
    </row>
    <row r="477" spans="1:5">
      <c r="A477" s="3" t="s">
        <v>2208</v>
      </c>
      <c r="B477" s="4" t="str">
        <f ca="1">IFERROR(__xludf.DUMMYFUNCTION("IFERROR(GOOGLETRANSLATE(A477,""ko"",""en""),)"),"What time do you have lunch?")</f>
        <v>What time do you have lunch?</v>
      </c>
      <c r="C477" s="4" t="str">
        <f ca="1">IFERROR(__xludf.DUMMYFUNCTION("IFERROR(GOOGLETRANSLATE(B477,""en"",""ja""),)"),"あなたはいつ昼食をとりますか？")</f>
        <v>あなたはいつ昼食をとりますか？</v>
      </c>
      <c r="D477" s="4" t="str">
        <f ca="1">IFERROR(__xludf.DUMMYFUNCTION("IFERROR(GOOGLETRANSLATE(B477,""en"",""zh-TW""),)"),"你什麼時候吃午餐？")</f>
        <v>你什麼時候吃午餐？</v>
      </c>
      <c r="E477" s="4" t="str">
        <f ca="1">IFERROR(__xludf.DUMMYFUNCTION("IFERROR(GOOGLETRANSLATE(B477,""en"",""zh-CN""),)"),"你什么时候吃午饭？")</f>
        <v>你什么时候吃午饭？</v>
      </c>
    </row>
    <row r="478" spans="1:5">
      <c r="A478" s="3" t="s">
        <v>2203</v>
      </c>
      <c r="B478" s="4" t="str">
        <f ca="1">IFERROR(__xludf.DUMMYFUNCTION("IFERROR(GOOGLETRANSLATE(A478,""ko"",""en""),)"),"I eat lunch at twelve.")</f>
        <v>I eat lunch at twelve.</v>
      </c>
      <c r="C478" s="4" t="str">
        <f ca="1">IFERROR(__xludf.DUMMYFUNCTION("IFERROR(GOOGLETRANSLATE(B478,""en"",""ja""),)"),"私は12時に昼食をとります。")</f>
        <v>私は12時に昼食をとります。</v>
      </c>
      <c r="D478" s="4" t="str">
        <f ca="1">IFERROR(__xludf.DUMMYFUNCTION("IFERROR(GOOGLETRANSLATE(B478,""en"",""zh-TW""),)"),"我中午十二點吃午餐。")</f>
        <v>我中午十二點吃午餐。</v>
      </c>
      <c r="E478" s="4" t="str">
        <f ca="1">IFERROR(__xludf.DUMMYFUNCTION("IFERROR(GOOGLETRANSLATE(B478,""en"",""zh-CN""),)"),"我中午十二点吃午饭。")</f>
        <v>我中午十二点吃午饭。</v>
      </c>
    </row>
    <row r="479" spans="1:5">
      <c r="A479" s="3" t="s">
        <v>2212</v>
      </c>
      <c r="B479" s="4" t="str">
        <f ca="1">IFERROR(__xludf.DUMMYFUNCTION("IFERROR(GOOGLETRANSLATE(A479,""ko"",""en""),)"),"What time is the meeting?")</f>
        <v>What time is the meeting?</v>
      </c>
      <c r="C479" s="4" t="str">
        <f ca="1">IFERROR(__xludf.DUMMYFUNCTION("IFERROR(GOOGLETRANSLATE(B479,""en"",""ja""),)"),"会議は何時ですか？")</f>
        <v>会議は何時ですか？</v>
      </c>
      <c r="D479" s="4" t="str">
        <f ca="1">IFERROR(__xludf.DUMMYFUNCTION("IFERROR(GOOGLETRANSLATE(B479,""en"",""zh-TW""),)"),"會議幾點開始？")</f>
        <v>會議幾點開始？</v>
      </c>
      <c r="E479" s="4" t="str">
        <f ca="1">IFERROR(__xludf.DUMMYFUNCTION("IFERROR(GOOGLETRANSLATE(B479,""en"",""zh-CN""),)"),"会议几点开始？")</f>
        <v>会议几点开始？</v>
      </c>
    </row>
    <row r="480" spans="1:5">
      <c r="A480" s="3" t="s">
        <v>2215</v>
      </c>
      <c r="B480" s="4" t="str">
        <f ca="1">IFERROR(__xludf.DUMMYFUNCTION("IFERROR(GOOGLETRANSLATE(A480,""ko"",""en""),)"),"We have a meeting at 2:20 PM.")</f>
        <v>We have a meeting at 2:20 PM.</v>
      </c>
      <c r="C480" s="4" t="str">
        <f ca="1">IFERROR(__xludf.DUMMYFUNCTION("IFERROR(GOOGLETRANSLATE(B480,""en"",""ja""),)"),"午後2時20分から会議があります。")</f>
        <v>午後2時20分から会議があります。</v>
      </c>
      <c r="D480" s="4" t="str">
        <f ca="1">IFERROR(__xludf.DUMMYFUNCTION("IFERROR(GOOGLETRANSLATE(B480,""en"",""zh-TW""),)"),"我們下午2點20分有個會議。")</f>
        <v>我們下午2點20分有個會議。</v>
      </c>
      <c r="E480" s="4" t="str">
        <f ca="1">IFERROR(__xludf.DUMMYFUNCTION("IFERROR(GOOGLETRANSLATE(B480,""en"",""zh-CN""),)"),"我们下午2点20分有个会议。")</f>
        <v>我们下午2点20分有个会议。</v>
      </c>
    </row>
    <row r="481" spans="1:5">
      <c r="A481" s="3" t="s">
        <v>2218</v>
      </c>
      <c r="B481" s="4" t="str">
        <f ca="1">IFERROR(__xludf.DUMMYFUNCTION("IFERROR(GOOGLETRANSLATE(A481,""ko"",""en""),)"),"When do I meet Anna?")</f>
        <v>When do I meet Anna?</v>
      </c>
      <c r="C481" s="4" t="str">
        <f ca="1">IFERROR(__xludf.DUMMYFUNCTION("IFERROR(GOOGLETRANSLATE(B481,""en"",""ja""),)"),"アンナとはいつ会えますか？")</f>
        <v>アンナとはいつ会えますか？</v>
      </c>
      <c r="D481" s="4" t="str">
        <f ca="1">IFERROR(__xludf.DUMMYFUNCTION("IFERROR(GOOGLETRANSLATE(B481,""en"",""zh-TW""),)"),"我什麼時候能見到安娜？")</f>
        <v>我什麼時候能見到安娜？</v>
      </c>
      <c r="E481" s="4" t="str">
        <f ca="1">IFERROR(__xludf.DUMMYFUNCTION("IFERROR(GOOGLETRANSLATE(B481,""en"",""zh-CN""),)"),"我什么时候能见到安娜？")</f>
        <v>我什么时候能见到安娜？</v>
      </c>
    </row>
    <row r="482" spans="1:5">
      <c r="A482" s="3" t="s">
        <v>2221</v>
      </c>
      <c r="B482" s="4" t="str">
        <f ca="1">IFERROR(__xludf.DUMMYFUNCTION("IFERROR(GOOGLETRANSLATE(A482,""ko"",""en""),)"),"I meet Anna at 6:15 PM.")</f>
        <v>I meet Anna at 6:15 PM.</v>
      </c>
      <c r="C482" s="4" t="str">
        <f ca="1">IFERROR(__xludf.DUMMYFUNCTION("IFERROR(GOOGLETRANSLATE(B482,""en"",""ja""),)"),"私は午後6時15分にアンナと会う。")</f>
        <v>私は午後6時15分にアンナと会う。</v>
      </c>
      <c r="D482" s="4" t="str">
        <f ca="1">IFERROR(__xludf.DUMMYFUNCTION("IFERROR(GOOGLETRANSLATE(B482,""en"",""zh-TW""),)"),"我下午6點15分與安娜見面。")</f>
        <v>我下午6點15分與安娜見面。</v>
      </c>
      <c r="E482" s="4" t="str">
        <f ca="1">IFERROR(__xludf.DUMMYFUNCTION("IFERROR(GOOGLETRANSLATE(B482,""en"",""zh-CN""),)"),"我下午6点15分与安娜见面。")</f>
        <v>我下午6点15分与安娜见面。</v>
      </c>
    </row>
    <row r="483" spans="1:5">
      <c r="A483" s="3" t="s">
        <v>2224</v>
      </c>
      <c r="B483" s="4" t="str">
        <f ca="1">IFERROR(__xludf.DUMMYFUNCTION("IFERROR(GOOGLETRANSLATE(A483,""ko"",""en""),)"),"Are you exercising today?")</f>
        <v>Are you exercising today?</v>
      </c>
      <c r="C483" s="4" t="str">
        <f ca="1">IFERROR(__xludf.DUMMYFUNCTION("IFERROR(GOOGLETRANSLATE(B483,""en"",""ja""),)"),"今日は運動しますか？")</f>
        <v>今日は運動しますか？</v>
      </c>
      <c r="D483" s="4" t="str">
        <f ca="1">IFERROR(__xludf.DUMMYFUNCTION("IFERROR(GOOGLETRANSLATE(B483,""en"",""zh-TW""),)"),"你今天運動嗎？")</f>
        <v>你今天運動嗎？</v>
      </c>
      <c r="E483" s="4" t="str">
        <f ca="1">IFERROR(__xludf.DUMMYFUNCTION("IFERROR(GOOGLETRANSLATE(B483,""en"",""zh-CN""),)"),"你今天锻炼吗？")</f>
        <v>你今天锻炼吗？</v>
      </c>
    </row>
    <row r="484" spans="1:5">
      <c r="A484" s="3" t="s">
        <v>2227</v>
      </c>
      <c r="B484" s="4" t="str">
        <f ca="1">IFERROR(__xludf.DUMMYFUNCTION("IFERROR(GOOGLETRANSLATE(A484,""ko"",""en""),)"),"Yes, I exercise at eight o'clock in the afternoon.")</f>
        <v>Yes, I exercise at eight o'clock in the afternoon.</v>
      </c>
      <c r="C484" s="4" t="str">
        <f ca="1">IFERROR(__xludf.DUMMYFUNCTION("IFERROR(GOOGLETRANSLATE(B484,""en"",""ja""),)"),"はい、私は午後8時に運動します。")</f>
        <v>はい、私は午後8時に運動します。</v>
      </c>
      <c r="D484" s="4" t="str">
        <f ca="1">IFERROR(__xludf.DUMMYFUNCTION("IFERROR(GOOGLETRANSLATE(B484,""en"",""zh-TW""),)"),"是的，我下午八點運動。")</f>
        <v>是的，我下午八點運動。</v>
      </c>
      <c r="E484" s="4" t="str">
        <f ca="1">IFERROR(__xludf.DUMMYFUNCTION("IFERROR(GOOGLETRANSLATE(B484,""en"",""zh-CN""),)"),"是的，我下午八点锻炼。")</f>
        <v>是的，我下午八点锻炼。</v>
      </c>
    </row>
    <row r="485" spans="1:5">
      <c r="A485" s="3" t="s">
        <v>2230</v>
      </c>
      <c r="B485" s="4" t="str">
        <f ca="1">IFERROR(__xludf.DUMMYFUNCTION("IFERROR(GOOGLETRANSLATE(A485,""ko"",""en""),)"),"I'm having lunch.")</f>
        <v>I'm having lunch.</v>
      </c>
      <c r="C485" s="4" t="str">
        <f ca="1">IFERROR(__xludf.DUMMYFUNCTION("IFERROR(GOOGLETRANSLATE(B485,""en"",""ja""),)"),"私は昼食をとっています。")</f>
        <v>私は昼食をとっています。</v>
      </c>
      <c r="D485" s="4" t="str">
        <f ca="1">IFERROR(__xludf.DUMMYFUNCTION("IFERROR(GOOGLETRANSLATE(B485,""en"",""zh-TW""),)"),"我正在吃午餐。")</f>
        <v>我正在吃午餐。</v>
      </c>
      <c r="E485" s="4" t="str">
        <f ca="1">IFERROR(__xludf.DUMMYFUNCTION("IFERROR(GOOGLETRANSLATE(B485,""en"",""zh-CN""),)"),"我正在吃午饭。")</f>
        <v>我正在吃午饭。</v>
      </c>
    </row>
    <row r="486" spans="1:5">
      <c r="A486" s="3" t="s">
        <v>2233</v>
      </c>
      <c r="B486" s="4" t="str">
        <f ca="1">IFERROR(__xludf.DUMMYFUNCTION("IFERROR(GOOGLETRANSLATE(A486,""ko"",""en""),)"),"I eat at twelve.")</f>
        <v>I eat at twelve.</v>
      </c>
      <c r="C486" s="4" t="str">
        <f ca="1">IFERROR(__xludf.DUMMYFUNCTION("IFERROR(GOOGLETRANSLATE(B486,""en"",""ja""),)"),"私は12時に食事をします。")</f>
        <v>私は12時に食事をします。</v>
      </c>
      <c r="D486" s="4" t="str">
        <f ca="1">IFERROR(__xludf.DUMMYFUNCTION("IFERROR(GOOGLETRANSLATE(B486,""en"",""zh-TW""),)"),"我十二點吃飯。")</f>
        <v>我十二點吃飯。</v>
      </c>
      <c r="E486" s="4" t="str">
        <f ca="1">IFERROR(__xludf.DUMMYFUNCTION("IFERROR(GOOGLETRANSLATE(B486,""en"",""zh-CN""),)"),"我十二点吃饭。")</f>
        <v>我十二点吃饭。</v>
      </c>
    </row>
    <row r="487" spans="1:5">
      <c r="A487" s="3" t="s">
        <v>2236</v>
      </c>
      <c r="B487" s="4" t="s">
        <v>2237</v>
      </c>
      <c r="C487" s="4" t="str">
        <f ca="1">IFERROR(__xludf.DUMMYFUNCTION("IFERROR(GOOGLETRANSLATE(B487,""en"",""ja""),)"),"10時半に会おう。")</f>
        <v>10時半に会おう。</v>
      </c>
      <c r="D487" s="4" t="str">
        <f ca="1">IFERROR(__xludf.DUMMYFUNCTION("IFERROR(GOOGLETRANSLATE(B487,""en"",""zh-TW""),)"),"我們十點半見面。")</f>
        <v>我們十點半見面。</v>
      </c>
      <c r="E487" s="4" t="str">
        <f ca="1">IFERROR(__xludf.DUMMYFUNCTION("IFERROR(GOOGLETRANSLATE(B487,""en"",""zh-CN""),)"),"我们十点半见面。")</f>
        <v>我们十点半见面。</v>
      </c>
    </row>
    <row r="488" spans="1:5">
      <c r="A488" s="5" t="s">
        <v>2240</v>
      </c>
      <c r="B488" s="4" t="str">
        <f ca="1">IFERROR(__xludf.DUMMYFUNCTION("IFERROR(GOOGLETRANSLATE(A488,""ko"",""en""),)"),"It runs from 5:30 to 7:30.")</f>
        <v>It runs from 5:30 to 7:30.</v>
      </c>
      <c r="C488" s="4" t="str">
        <f ca="1">IFERROR(__xludf.DUMMYFUNCTION("IFERROR(GOOGLETRANSLATE(B488,""en"",""ja""),)"),"5時30分から7時30分までです。")</f>
        <v>5時30分から7時30分までです。</v>
      </c>
      <c r="D488" s="4" t="str">
        <f ca="1">IFERROR(__xludf.DUMMYFUNCTION("IFERROR(GOOGLETRANSLATE(B488,""en"",""zh-TW""),)"),"演出時間為5:30至7:30。")</f>
        <v>演出時間為5:30至7:30。</v>
      </c>
      <c r="E488" s="4" t="str">
        <f ca="1">IFERROR(__xludf.DUMMYFUNCTION("IFERROR(GOOGLETRANSLATE(B488,""en"",""zh-CN""),)"),"演出时间为5:30至7:30。")</f>
        <v>演出时间为5:30至7:30。</v>
      </c>
    </row>
    <row r="489" spans="1:5">
      <c r="A489" s="3" t="s">
        <v>2243</v>
      </c>
      <c r="B489" s="4" t="str">
        <f ca="1">IFERROR(__xludf.DUMMYFUNCTION("IFERROR(GOOGLETRANSLATE(A489,""ko"",""en""),)"),"from")</f>
        <v>from</v>
      </c>
      <c r="C489" s="4" t="str">
        <f ca="1">IFERROR(__xludf.DUMMYFUNCTION("IFERROR(GOOGLETRANSLATE(B489,""en"",""ja""),)"),"から")</f>
        <v>から</v>
      </c>
      <c r="D489" s="4" t="str">
        <f ca="1">IFERROR(__xludf.DUMMYFUNCTION("IFERROR(GOOGLETRANSLATE(B489,""en"",""zh-TW""),)"),"從")</f>
        <v>從</v>
      </c>
      <c r="E489" s="4" t="str">
        <f ca="1">IFERROR(__xludf.DUMMYFUNCTION("IFERROR(GOOGLETRANSLATE(B489,""en"",""zh-CN""),)"),"从")</f>
        <v>从</v>
      </c>
    </row>
    <row r="490" spans="1:5">
      <c r="A490" s="3" t="s">
        <v>2245</v>
      </c>
      <c r="B490" s="4" t="str">
        <f ca="1">IFERROR(__xludf.DUMMYFUNCTION("IFERROR(GOOGLETRANSLATE(A490,""ko"",""en""),)"),"until")</f>
        <v>until</v>
      </c>
      <c r="C490" s="4" t="str">
        <f ca="1">IFERROR(__xludf.DUMMYFUNCTION("IFERROR(GOOGLETRANSLATE(B490,""en"",""ja""),)"),"それまで")</f>
        <v>それまで</v>
      </c>
      <c r="D490" s="4" t="str">
        <f ca="1">IFERROR(__xludf.DUMMYFUNCTION("IFERROR(GOOGLETRANSLATE(B490,""en"",""zh-TW""),)"),"直到")</f>
        <v>直到</v>
      </c>
      <c r="E490" s="4" t="str">
        <f ca="1">IFERROR(__xludf.DUMMYFUNCTION("IFERROR(GOOGLETRANSLATE(B490,""en"",""zh-CN""),)"),"直到")</f>
        <v>直到</v>
      </c>
    </row>
    <row r="491" spans="1:5">
      <c r="A491" s="3" t="s">
        <v>2248</v>
      </c>
      <c r="B491" s="4" t="str">
        <f ca="1">IFERROR(__xludf.DUMMYFUNCTION("IFERROR(GOOGLETRANSLATE(A491,""ko"",""en""),)"),"What are you doing this evening?")</f>
        <v>What are you doing this evening?</v>
      </c>
      <c r="C491" s="4" t="str">
        <f ca="1">IFERROR(__xludf.DUMMYFUNCTION("IFERROR(GOOGLETRANSLATE(B491,""en"",""ja""),)"),"今晩は何をする予定ですか？")</f>
        <v>今晩は何をする予定ですか？</v>
      </c>
      <c r="D491" s="4" t="str">
        <f ca="1">IFERROR(__xludf.DUMMYFUNCTION("IFERROR(GOOGLETRANSLATE(B491,""en"",""zh-TW""),)"),"你今晚有什麼安排？")</f>
        <v>你今晚有什麼安排？</v>
      </c>
      <c r="E491" s="4" t="str">
        <f ca="1">IFERROR(__xludf.DUMMYFUNCTION("IFERROR(GOOGLETRANSLATE(B491,""en"",""zh-CN""),)"),"你今晚有什么安排？")</f>
        <v>你今晚有什么安排？</v>
      </c>
    </row>
    <row r="492" spans="1:5">
      <c r="A492" s="3" t="s">
        <v>2251</v>
      </c>
      <c r="B492" s="4" t="str">
        <f ca="1">IFERROR(__xludf.DUMMYFUNCTION("IFERROR(GOOGLETRANSLATE(A492,""ko"",""en""),)"),"I eat dinner at 7:30.")</f>
        <v>I eat dinner at 7:30.</v>
      </c>
      <c r="C492" s="4" t="str">
        <f ca="1">IFERROR(__xludf.DUMMYFUNCTION("IFERROR(GOOGLETRANSLATE(B492,""en"",""ja""),)"),"私は7時半に夕食を食べます。")</f>
        <v>私は7時半に夕食を食べます。</v>
      </c>
      <c r="D492" s="4" t="str">
        <f ca="1">IFERROR(__xludf.DUMMYFUNCTION("IFERROR(GOOGLETRANSLATE(B492,""en"",""zh-TW""),)"),"我晚上7點半吃晚餐。")</f>
        <v>我晚上7點半吃晚餐。</v>
      </c>
      <c r="E492" s="4" t="str">
        <f ca="1">IFERROR(__xludf.DUMMYFUNCTION("IFERROR(GOOGLETRANSLATE(B492,""en"",""zh-CN""),)"),"我晚上7点半吃晚饭。")</f>
        <v>我晚上7点半吃晚饭。</v>
      </c>
    </row>
    <row r="493" spans="1:5">
      <c r="A493" s="3" t="s">
        <v>2037</v>
      </c>
      <c r="B493" s="4" t="str">
        <f ca="1">IFERROR(__xludf.DUMMYFUNCTION("IFERROR(GOOGLETRANSLATE(A493,""ko"",""en""),)"),"What time do we meet?")</f>
        <v>What time do we meet?</v>
      </c>
      <c r="C493" s="4" t="str">
        <f ca="1">IFERROR(__xludf.DUMMYFUNCTION("IFERROR(GOOGLETRANSLATE(B493,""en"",""ja""),)"),"何時に会えばいいですか？")</f>
        <v>何時に会えばいいですか？</v>
      </c>
      <c r="D493" s="4" t="str">
        <f ca="1">IFERROR(__xludf.DUMMYFUNCTION("IFERROR(GOOGLETRANSLATE(B493,""en"",""zh-TW""),)"),"我們幾點見面？")</f>
        <v>我們幾點見面？</v>
      </c>
      <c r="E493" s="4" t="str">
        <f ca="1">IFERROR(__xludf.DUMMYFUNCTION("IFERROR(GOOGLETRANSLATE(B493,""en"",""zh-CN""),)"),"我们几点见面？")</f>
        <v>我们几点见面？</v>
      </c>
    </row>
    <row r="494" spans="1:5">
      <c r="A494" s="3" t="s">
        <v>2255</v>
      </c>
      <c r="B494" s="4" t="str">
        <f ca="1">IFERROR(__xludf.DUMMYFUNCTION("IFERROR(GOOGLETRANSLATE(A494,""ko"",""en""),)"),"Let's meet at 2 PM.")</f>
        <v>Let's meet at 2 PM.</v>
      </c>
      <c r="C494" s="4" t="str">
        <f ca="1">IFERROR(__xludf.DUMMYFUNCTION("IFERROR(GOOGLETRANSLATE(B494,""en"",""ja""),)"),"午後2時に会いましょう。")</f>
        <v>午後2時に会いましょう。</v>
      </c>
      <c r="D494" s="4" t="str">
        <f ca="1">IFERROR(__xludf.DUMMYFUNCTION("IFERROR(GOOGLETRANSLATE(B494,""en"",""zh-TW""),)"),"我們下午2點見面吧。")</f>
        <v>我們下午2點見面吧。</v>
      </c>
      <c r="E494" s="4" t="str">
        <f ca="1">IFERROR(__xludf.DUMMYFUNCTION("IFERROR(GOOGLETRANSLATE(B494,""en"",""zh-CN""),)"),"我们下午2点见面吧。")</f>
        <v>我们下午2点见面吧。</v>
      </c>
    </row>
    <row r="495" spans="1:5">
      <c r="A495" s="3" t="s">
        <v>2044</v>
      </c>
      <c r="B495" s="4" t="str">
        <f ca="1">IFERROR(__xludf.DUMMYFUNCTION("IFERROR(GOOGLETRANSLATE(A495,""ko"",""en""),)"),"What time does the train depart?")</f>
        <v>What time does the train depart?</v>
      </c>
      <c r="C495" s="4" t="str">
        <f ca="1">IFERROR(__xludf.DUMMYFUNCTION("IFERROR(GOOGLETRANSLATE(B495,""en"",""ja""),)"),"列車は何時に出発しますか？")</f>
        <v>列車は何時に出発しますか？</v>
      </c>
      <c r="D495" s="4" t="str">
        <f ca="1">IFERROR(__xludf.DUMMYFUNCTION("IFERROR(GOOGLETRANSLATE(B495,""en"",""zh-TW""),)"),"火車幾點發車？")</f>
        <v>火車幾點發車？</v>
      </c>
      <c r="E495" s="4" t="str">
        <f ca="1">IFERROR(__xludf.DUMMYFUNCTION("IFERROR(GOOGLETRANSLATE(B495,""en"",""zh-CN""),)"),"火车几点发车？")</f>
        <v>火车几点发车？</v>
      </c>
    </row>
    <row r="496" spans="1:5">
      <c r="A496" s="3" t="s">
        <v>2259</v>
      </c>
      <c r="B496" s="4" t="str">
        <f ca="1">IFERROR(__xludf.DUMMYFUNCTION("IFERROR(GOOGLETRANSLATE(A496,""ko"",""en""),)"),"We depart at 7:45 AM.")</f>
        <v>We depart at 7:45 AM.</v>
      </c>
      <c r="C496" s="4" t="str">
        <f ca="1">IFERROR(__xludf.DUMMYFUNCTION("IFERROR(GOOGLETRANSLATE(B496,""en"",""ja""),)"),"午前7時45分に出発します。")</f>
        <v>午前7時45分に出発します。</v>
      </c>
      <c r="D496" s="4" t="str">
        <f ca="1">IFERROR(__xludf.DUMMYFUNCTION("IFERROR(GOOGLETRANSLATE(B496,""en"",""zh-TW""),)"),"我們早上7點45分出發。")</f>
        <v>我們早上7點45分出發。</v>
      </c>
      <c r="E496" s="4" t="str">
        <f ca="1">IFERROR(__xludf.DUMMYFUNCTION("IFERROR(GOOGLETRANSLATE(B496,""en"",""zh-CN""),)"),"我们早上7点45分出发。")</f>
        <v>我们早上7点45分出发。</v>
      </c>
    </row>
    <row r="497" spans="1:5">
      <c r="A497" s="3" t="s">
        <v>2053</v>
      </c>
      <c r="B497" s="4" t="str">
        <f ca="1">IFERROR(__xludf.DUMMYFUNCTION("IFERROR(GOOGLETRANSLATE(A497,""ko"",""en""),)"),"What time does the movie start?")</f>
        <v>What time does the movie start?</v>
      </c>
      <c r="C497" s="4" t="str">
        <f ca="1">IFERROR(__xludf.DUMMYFUNCTION("IFERROR(GOOGLETRANSLATE(B497,""en"",""ja""),)"),"映画は何時に始まりますか？")</f>
        <v>映画は何時に始まりますか？</v>
      </c>
      <c r="D497" s="4" t="str">
        <f ca="1">IFERROR(__xludf.DUMMYFUNCTION("IFERROR(GOOGLETRANSLATE(B497,""en"",""zh-TW""),)"),"請問電影什麼時候開始？")</f>
        <v>請問電影什麼時候開始？</v>
      </c>
      <c r="E497" s="4" t="str">
        <f ca="1">IFERROR(__xludf.DUMMYFUNCTION("IFERROR(GOOGLETRANSLATE(B497,""en"",""zh-CN""),)"),"请问电影什么时候开始？")</f>
        <v>请问电影什么时候开始？</v>
      </c>
    </row>
    <row r="498" spans="1:5">
      <c r="A498" s="3" t="s">
        <v>2263</v>
      </c>
      <c r="B498" s="4" t="str">
        <f ca="1">IFERROR(__xludf.DUMMYFUNCTION("IFERROR(GOOGLETRANSLATE(A498,""ko"",""en""),)"),"It starts at 5:15.")</f>
        <v>It starts at 5:15.</v>
      </c>
      <c r="C498" s="4" t="str">
        <f ca="1">IFERROR(__xludf.DUMMYFUNCTION("IFERROR(GOOGLETRANSLATE(B498,""en"",""ja""),)"),"5時15分に始まります。")</f>
        <v>5時15分に始まります。</v>
      </c>
      <c r="D498" s="4" t="str">
        <f ca="1">IFERROR(__xludf.DUMMYFUNCTION("IFERROR(GOOGLETRANSLATE(B498,""en"",""zh-TW""),)"),"演出從5點15分開始。")</f>
        <v>演出從5點15分開始。</v>
      </c>
      <c r="E498" s="4" t="str">
        <f ca="1">IFERROR(__xludf.DUMMYFUNCTION("IFERROR(GOOGLETRANSLATE(B498,""en"",""zh-CN""),)"),"演出从5点15分开始。")</f>
        <v>演出从5点15分开始。</v>
      </c>
    </row>
    <row r="499" spans="1:5">
      <c r="A499" s="3" t="s">
        <v>2266</v>
      </c>
      <c r="B499" s="4" t="str">
        <f ca="1">IFERROR(__xludf.DUMMYFUNCTION("IFERROR(GOOGLETRANSLATE(A499,""ko"",""en""),)"),"What time do you go to work?")</f>
        <v>What time do you go to work?</v>
      </c>
      <c r="C499" s="4" t="str">
        <f ca="1">IFERROR(__xludf.DUMMYFUNCTION("IFERROR(GOOGLETRANSLATE(B499,""en"",""ja""),)"),"あなたは何時に仕事に行きますか？")</f>
        <v>あなたは何時に仕事に行きますか？</v>
      </c>
      <c r="D499" s="4" t="str">
        <f ca="1">IFERROR(__xludf.DUMMYFUNCTION("IFERROR(GOOGLETRANSLATE(B499,""en"",""zh-TW""),)"),"你幾點上班？")</f>
        <v>你幾點上班？</v>
      </c>
      <c r="E499" s="4" t="str">
        <f ca="1">IFERROR(__xludf.DUMMYFUNCTION("IFERROR(GOOGLETRANSLATE(B499,""en"",""zh-CN""),)"),"你几点上班？")</f>
        <v>你几点上班？</v>
      </c>
    </row>
    <row r="500" spans="1:5">
      <c r="A500" s="3" t="s">
        <v>2268</v>
      </c>
      <c r="B500" s="4" t="str">
        <f ca="1">IFERROR(__xludf.DUMMYFUNCTION("IFERROR(GOOGLETRANSLATE(A500,""ko"",""en""),)"),"I go at eight in the morning.")</f>
        <v>I go at eight in the morning.</v>
      </c>
      <c r="C500" s="4" t="str">
        <f ca="1">IFERROR(__xludf.DUMMYFUNCTION("IFERROR(GOOGLETRANSLATE(B500,""en"",""ja""),)"),"私は朝8時に行きます。")</f>
        <v>私は朝8時に行きます。</v>
      </c>
      <c r="D500" s="4" t="str">
        <f ca="1">IFERROR(__xludf.DUMMYFUNCTION("IFERROR(GOOGLETRANSLATE(B500,""en"",""zh-TW""),)"),"我早上八點去。")</f>
        <v>我早上八點去。</v>
      </c>
      <c r="E500" s="4" t="str">
        <f ca="1">IFERROR(__xludf.DUMMYFUNCTION("IFERROR(GOOGLETRANSLATE(B500,""en"",""zh-CN""),)"),"我早上八点去。")</f>
        <v>我早上八点去。</v>
      </c>
    </row>
    <row r="501" spans="1:5">
      <c r="A501" s="3" t="s">
        <v>2272</v>
      </c>
      <c r="B501" s="4" t="str">
        <f ca="1">IFERROR(__xludf.DUMMYFUNCTION("IFERROR(GOOGLETRANSLATE(A501,""ko"",""en""),)"),"What time does class end?")</f>
        <v>What time does class end?</v>
      </c>
      <c r="C501" s="4" t="str">
        <f ca="1">IFERROR(__xludf.DUMMYFUNCTION("IFERROR(GOOGLETRANSLATE(B501,""en"",""ja""),)"),"授業は何時に終わりますか？")</f>
        <v>授業は何時に終わりますか？</v>
      </c>
      <c r="D501" s="4" t="str">
        <f ca="1">IFERROR(__xludf.DUMMYFUNCTION("IFERROR(GOOGLETRANSLATE(B501,""en"",""zh-TW""),)"),"課程幾點結束？")</f>
        <v>課程幾點結束？</v>
      </c>
      <c r="E501" s="4" t="str">
        <f ca="1">IFERROR(__xludf.DUMMYFUNCTION("IFERROR(GOOGLETRANSLATE(B501,""en"",""zh-CN""),)"),"课程几点结束？")</f>
        <v>课程几点结束？</v>
      </c>
    </row>
    <row r="502" spans="1:5">
      <c r="A502" s="3" t="s">
        <v>2275</v>
      </c>
      <c r="B502" s="4" t="str">
        <f ca="1">IFERROR(__xludf.DUMMYFUNCTION("IFERROR(GOOGLETRANSLATE(A502,""ko"",""en""),)"),"It ends at 7:30 PM.")</f>
        <v>It ends at 7:30 PM.</v>
      </c>
      <c r="C502" s="4" t="str">
        <f ca="1">IFERROR(__xludf.DUMMYFUNCTION("IFERROR(GOOGLETRANSLATE(B502,""en"",""ja""),)"),"午後7時30分に終了します。")</f>
        <v>午後7時30分に終了します。</v>
      </c>
      <c r="D502" s="4" t="str">
        <f ca="1">IFERROR(__xludf.DUMMYFUNCTION("IFERROR(GOOGLETRANSLATE(B502,""en"",""zh-TW""),)"),"活動於晚上7:30結束。")</f>
        <v>活動於晚上7:30結束。</v>
      </c>
      <c r="E502" s="4" t="str">
        <f ca="1">IFERROR(__xludf.DUMMYFUNCTION("IFERROR(GOOGLETRANSLATE(B502,""en"",""zh-CN""),)"),"活动于晚上7:30结束。")</f>
        <v>活动于晚上7:30结束。</v>
      </c>
    </row>
    <row r="503" spans="1:5">
      <c r="A503" s="3" t="s">
        <v>2277</v>
      </c>
      <c r="B503" s="4" t="str">
        <f ca="1">IFERROR(__xludf.DUMMYFUNCTION("IFERROR(GOOGLETRANSLATE(A503,""ko"",""en""),)"),"It's one o'clock.")</f>
        <v>It's one o'clock.</v>
      </c>
      <c r="C503" s="4" t="str">
        <f ca="1">IFERROR(__xludf.DUMMYFUNCTION("IFERROR(GOOGLETRANSLATE(B503,""en"",""ja""),)"),"午後1時です。")</f>
        <v>午後1時です。</v>
      </c>
      <c r="D503" s="4" t="str">
        <f ca="1">IFERROR(__xludf.DUMMYFUNCTION("IFERROR(GOOGLETRANSLATE(B503,""en"",""zh-TW""),)"),"現在是一點鐘。")</f>
        <v>現在是一點鐘。</v>
      </c>
      <c r="E503" s="4" t="str">
        <f ca="1">IFERROR(__xludf.DUMMYFUNCTION("IFERROR(GOOGLETRANSLATE(B503,""en"",""zh-CN""),)"),"现在是一点钟。")</f>
        <v>现在是一点钟。</v>
      </c>
    </row>
    <row r="504" spans="1:5">
      <c r="A504" s="3" t="s">
        <v>2279</v>
      </c>
      <c r="B504" s="4" t="str">
        <f ca="1">IFERROR(__xludf.DUMMYFUNCTION("IFERROR(GOOGLETRANSLATE(A504,""ko"",""en""),)"),"It's six o'clock.")</f>
        <v>It's six o'clock.</v>
      </c>
      <c r="C504" s="4" t="str">
        <f ca="1">IFERROR(__xludf.DUMMYFUNCTION("IFERROR(GOOGLETRANSLATE(B504,""en"",""ja""),)"),"6時です。")</f>
        <v>6時です。</v>
      </c>
      <c r="D504" s="4" t="str">
        <f ca="1">IFERROR(__xludf.DUMMYFUNCTION("IFERROR(GOOGLETRANSLATE(B504,""en"",""zh-TW""),)"),"現在是六點鐘。")</f>
        <v>現在是六點鐘。</v>
      </c>
      <c r="E504" s="4" t="str">
        <f ca="1">IFERROR(__xludf.DUMMYFUNCTION("IFERROR(GOOGLETRANSLATE(B504,""en"",""zh-CN""),)"),"现在是六点钟。")</f>
        <v>现在是六点钟。</v>
      </c>
    </row>
    <row r="505" spans="1:5">
      <c r="A505" s="3" t="s">
        <v>2282</v>
      </c>
      <c r="B505" s="4" t="str">
        <f ca="1">IFERROR(__xludf.DUMMYFUNCTION("IFERROR(GOOGLETRANSLATE(A505,""ko"",""en""),)"),"It's 11:30.")</f>
        <v>It's 11:30.</v>
      </c>
      <c r="C505" s="4" t="str">
        <f ca="1">IFERROR(__xludf.DUMMYFUNCTION("IFERROR(GOOGLETRANSLATE(B505,""en"",""ja""),)"),"時刻は11時30分です。")</f>
        <v>時刻は11時30分です。</v>
      </c>
      <c r="D505" s="4" t="str">
        <f ca="1">IFERROR(__xludf.DUMMYFUNCTION("IFERROR(GOOGLETRANSLATE(B505,""en"",""zh-TW""),)"),"現在是11點30分。")</f>
        <v>現在是11點30分。</v>
      </c>
      <c r="E505" s="4" t="str">
        <f ca="1">IFERROR(__xludf.DUMMYFUNCTION("IFERROR(GOOGLETRANSLATE(B505,""en"",""zh-CN""),)"),"现在是11点30分。")</f>
        <v>现在是11点30分。</v>
      </c>
    </row>
    <row r="506" spans="1:5">
      <c r="A506" s="3" t="s">
        <v>2284</v>
      </c>
      <c r="B506" s="4" t="str">
        <f ca="1">IFERROR(__xludf.DUMMYFUNCTION("IFERROR(GOOGLETRANSLATE(A506,""ko"",""en""),)"),"It's five ten.")</f>
        <v>It's five ten.</v>
      </c>
      <c r="C506" s="4" t="str">
        <f ca="1">IFERROR(__xludf.DUMMYFUNCTION("IFERROR(GOOGLETRANSLATE(B506,""en"",""ja""),)"),"5時10分です。")</f>
        <v>5時10分です。</v>
      </c>
      <c r="D506" s="4" t="str">
        <f ca="1">IFERROR(__xludf.DUMMYFUNCTION("IFERROR(GOOGLETRANSLATE(B506,""en"",""zh-TW""),)"),"現在是五點十分。")</f>
        <v>現在是五點十分。</v>
      </c>
      <c r="E506" s="4" t="str">
        <f ca="1">IFERROR(__xludf.DUMMYFUNCTION("IFERROR(GOOGLETRANSLATE(B506,""en"",""zh-CN""),)"),"现在是五点十分。")</f>
        <v>现在是五点十分。</v>
      </c>
    </row>
    <row r="507" spans="1:5">
      <c r="A507" s="3" t="s">
        <v>2288</v>
      </c>
      <c r="B507" s="4" t="str">
        <f ca="1">IFERROR(__xludf.DUMMYFUNCTION("IFERROR(GOOGLETRANSLATE(A507,""ko"",""en""),)"),"When do you go to the library?")</f>
        <v>When do you go to the library?</v>
      </c>
      <c r="C507" s="4" t="str">
        <f ca="1">IFERROR(__xludf.DUMMYFUNCTION("IFERROR(GOOGLETRANSLATE(B507,""en"",""ja""),)"),"あなたはいつ図書館に行きますか？")</f>
        <v>あなたはいつ図書館に行きますか？</v>
      </c>
      <c r="D507" s="4" t="str">
        <f ca="1">IFERROR(__xludf.DUMMYFUNCTION("IFERROR(GOOGLETRANSLATE(B507,""en"",""zh-TW""),)"),"你什麼時候去圖書館？")</f>
        <v>你什麼時候去圖書館？</v>
      </c>
      <c r="E507" s="4" t="str">
        <f ca="1">IFERROR(__xludf.DUMMYFUNCTION("IFERROR(GOOGLETRANSLATE(B507,""en"",""zh-CN""),)"),"你什么时候去图书馆？")</f>
        <v>你什么时候去图书馆？</v>
      </c>
    </row>
    <row r="508" spans="1:5">
      <c r="A508" s="3" t="s">
        <v>2290</v>
      </c>
      <c r="B508" s="4" t="str">
        <f ca="1">IFERROR(__xludf.DUMMYFUNCTION("IFERROR(GOOGLETRANSLATE(A508,""ko"",""en""),)"),"I go from 10 to 11.")</f>
        <v>I go from 10 to 11.</v>
      </c>
      <c r="C508" s="4" t="str">
        <f ca="1">IFERROR(__xludf.DUMMYFUNCTION("IFERROR(GOOGLETRANSLATE(B508,""en"",""ja""),)"),"私は10から11に上がります。")</f>
        <v>私は10から11に上がります。</v>
      </c>
      <c r="D508" s="4" t="str">
        <f ca="1">IFERROR(__xludf.DUMMYFUNCTION("IFERROR(GOOGLETRANSLATE(B508,""en"",""zh-TW""),)"),"我從10點到11點。")</f>
        <v>我從10點到11點。</v>
      </c>
      <c r="E508" s="4" t="str">
        <f ca="1">IFERROR(__xludf.DUMMYFUNCTION("IFERROR(GOOGLETRANSLATE(B508,""en"",""zh-CN""),)"),"我从10点到11点。")</f>
        <v>我从10点到11点。</v>
      </c>
    </row>
    <row r="509" spans="1:5">
      <c r="A509" s="3" t="s">
        <v>1933</v>
      </c>
      <c r="B509" s="4" t="str">
        <f ca="1">IFERROR(__xludf.DUMMYFUNCTION("IFERROR(GOOGLETRANSLATE(A509,""ko"",""en""),)"),"When do you do part-time work?")</f>
        <v>When do you do part-time work?</v>
      </c>
      <c r="C509" s="4" t="str">
        <f ca="1">IFERROR(__xludf.DUMMYFUNCTION("IFERROR(GOOGLETRANSLATE(B509,""en"",""ja""),)"),"パートタイムの仕事はいつしますか？")</f>
        <v>パートタイムの仕事はいつしますか？</v>
      </c>
      <c r="D509" s="4" t="str">
        <f ca="1">IFERROR(__xludf.DUMMYFUNCTION("IFERROR(GOOGLETRANSLATE(B509,""en"",""zh-TW""),)"),"你什麼時候做兼職？")</f>
        <v>你什麼時候做兼職？</v>
      </c>
      <c r="E509" s="4" t="str">
        <f ca="1">IFERROR(__xludf.DUMMYFUNCTION("IFERROR(GOOGLETRANSLATE(B509,""en"",""zh-CN""),)"),"你什么时候做兼职？")</f>
        <v>你什么时候做兼职？</v>
      </c>
    </row>
    <row r="510" spans="1:5">
      <c r="A510" s="2" t="s">
        <v>2295</v>
      </c>
      <c r="B510" s="4" t="str">
        <f ca="1">IFERROR(__xludf.DUMMYFUNCTION("IFERROR(GOOGLETRANSLATE(A510,""ko"",""en""),)"),"It runs from two to six.")</f>
        <v>It runs from two to six.</v>
      </c>
      <c r="C510" s="4" t="str">
        <f ca="1">IFERROR(__xludf.DUMMYFUNCTION("IFERROR(GOOGLETRANSLATE(B510,""en"",""ja""),)"),"2から6まであります。")</f>
        <v>2から6まであります。</v>
      </c>
      <c r="D510" s="4" t="str">
        <f ca="1">IFERROR(__xludf.DUMMYFUNCTION("IFERROR(GOOGLETRANSLATE(B510,""en"",""zh-TW""),)"),"它的運行時間是2到6。")</f>
        <v>它的運行時間是2到6。</v>
      </c>
      <c r="E510" s="4" t="str">
        <f ca="1">IFERROR(__xludf.DUMMYFUNCTION("IFERROR(GOOGLETRANSLATE(B510,""en"",""zh-CN""),)"),"它的运行时间是2到6。")</f>
        <v>它的运行时间是2到6。</v>
      </c>
    </row>
    <row r="511" spans="1:5">
      <c r="A511" s="3" t="s">
        <v>2298</v>
      </c>
      <c r="B511" s="4" t="str">
        <f ca="1">IFERROR(__xludf.DUMMYFUNCTION("IFERROR(GOOGLETRANSLATE(A511,""ko"",""en""),)"),"What time is your Korean class?")</f>
        <v>What time is your Korean class?</v>
      </c>
      <c r="C511" s="4" t="str">
        <f ca="1">IFERROR(__xludf.DUMMYFUNCTION("IFERROR(GOOGLETRANSLATE(B511,""en"",""ja""),)"),"韓国語の授業は何時からですか？")</f>
        <v>韓国語の授業は何時からですか？</v>
      </c>
      <c r="D511" s="4" t="str">
        <f ca="1">IFERROR(__xludf.DUMMYFUNCTION("IFERROR(GOOGLETRANSLATE(B511,""en"",""zh-TW""),)"),"你的韓語課幾點開始？")</f>
        <v>你的韓語課幾點開始？</v>
      </c>
      <c r="E511" s="4" t="str">
        <f ca="1">IFERROR(__xludf.DUMMYFUNCTION("IFERROR(GOOGLETRANSLATE(B511,""en"",""zh-CN""),)"),"你的韩语课几点开始？")</f>
        <v>你的韩语课几点开始？</v>
      </c>
    </row>
    <row r="512" spans="1:5">
      <c r="A512" s="3" t="s">
        <v>2301</v>
      </c>
      <c r="B512" s="4" t="str">
        <f ca="1">IFERROR(__xludf.DUMMYFUNCTION("IFERROR(GOOGLETRANSLATE(A512,""ko"",""en""),)"),"It's from seven to nine.")</f>
        <v>It's from seven to nine.</v>
      </c>
      <c r="C512" s="4" t="str">
        <f ca="1">IFERROR(__xludf.DUMMYFUNCTION("IFERROR(GOOGLETRANSLATE(B512,""en"",""ja""),)"),"7時から9時までです。")</f>
        <v>7時から9時までです。</v>
      </c>
      <c r="D512" s="4" t="str">
        <f ca="1">IFERROR(__xludf.DUMMYFUNCTION("IFERROR(GOOGLETRANSLATE(B512,""en"",""zh-TW""),)"),"時間是七點到九點。")</f>
        <v>時間是七點到九點。</v>
      </c>
      <c r="E512" s="4" t="str">
        <f ca="1">IFERROR(__xludf.DUMMYFUNCTION("IFERROR(GOOGLETRANSLATE(B512,""en"",""zh-CN""),)"),"时间是七点到九点。")</f>
        <v>时间是七点到九点。</v>
      </c>
    </row>
    <row r="513" spans="1:5">
      <c r="A513" s="3" t="s">
        <v>2303</v>
      </c>
      <c r="B513" s="4" t="str">
        <f ca="1">IFERROR(__xludf.DUMMYFUNCTION("IFERROR(GOOGLETRANSLATE(A513,""ko"",""en""),)"),"What time do you play games?")</f>
        <v>What time do you play games?</v>
      </c>
      <c r="C513" s="4" t="str">
        <f ca="1">IFERROR(__xludf.DUMMYFUNCTION("IFERROR(GOOGLETRANSLATE(B513,""en"",""ja""),)"),"何時にゲームをしますか？")</f>
        <v>何時にゲームをしますか？</v>
      </c>
      <c r="D513" s="4" t="str">
        <f ca="1">IFERROR(__xludf.DUMMYFUNCTION("IFERROR(GOOGLETRANSLATE(B513,""en"",""zh-TW""),)"),"你通常什麼時候玩遊戲？")</f>
        <v>你通常什麼時候玩遊戲？</v>
      </c>
      <c r="E513" s="4" t="str">
        <f ca="1">IFERROR(__xludf.DUMMYFUNCTION("IFERROR(GOOGLETRANSLATE(B513,""en"",""zh-CN""),)"),"你通常什么时候玩游戏？")</f>
        <v>你通常什么时候玩游戏？</v>
      </c>
    </row>
    <row r="514" spans="1:5">
      <c r="A514" s="5" t="s">
        <v>2305</v>
      </c>
      <c r="B514" s="4" t="str">
        <f ca="1">IFERROR(__xludf.DUMMYFUNCTION("IFERROR(GOOGLETRANSLATE(A514,""ko"",""en""),)"),"It runs from 10 PM to 11 PM.")</f>
        <v>It runs from 10 PM to 11 PM.</v>
      </c>
      <c r="C514" s="4" t="str">
        <f ca="1">IFERROR(__xludf.DUMMYFUNCTION("IFERROR(GOOGLETRANSLATE(B514,""en"",""ja""),)"),"午後10時から午後11時まで開催されます。")</f>
        <v>午後10時から午後11時まで開催されます。</v>
      </c>
      <c r="D514" s="4" t="str">
        <f ca="1">IFERROR(__xludf.DUMMYFUNCTION("IFERROR(GOOGLETRANSLATE(B514,""en"",""zh-TW""),)"),"活動時間為晚上10點至11點。")</f>
        <v>活動時間為晚上10點至11點。</v>
      </c>
      <c r="E514" s="4" t="str">
        <f ca="1">IFERROR(__xludf.DUMMYFUNCTION("IFERROR(GOOGLETRANSLATE(B514,""en"",""zh-CN""),)"),"活动时间为晚上10点至11点。")</f>
        <v>活动时间为晚上10点至11点。</v>
      </c>
    </row>
    <row r="515" spans="1:5">
      <c r="A515" s="3" t="s">
        <v>29</v>
      </c>
      <c r="B515" s="4" t="str">
        <f ca="1">IFERROR(__xludf.DUMMYFUNCTION("IFERROR(GOOGLETRANSLATE(A515,""ko"",""en""),)"),"night")</f>
        <v>night</v>
      </c>
      <c r="C515" s="4" t="str">
        <f ca="1">IFERROR(__xludf.DUMMYFUNCTION("IFERROR(GOOGLETRANSLATE(B515,""en"",""ja""),)"),"夜")</f>
        <v>夜</v>
      </c>
      <c r="D515" s="4" t="str">
        <f ca="1">IFERROR(__xludf.DUMMYFUNCTION("IFERROR(GOOGLETRANSLATE(B515,""en"",""zh-TW""),)"),"夜晚")</f>
        <v>夜晚</v>
      </c>
      <c r="E515" s="4" t="str">
        <f ca="1">IFERROR(__xludf.DUMMYFUNCTION("IFERROR(GOOGLETRANSLATE(B515,""en"",""zh-CN""),)"),"夜晚")</f>
        <v>夜晚</v>
      </c>
    </row>
    <row r="516" spans="1:5">
      <c r="A516" s="3" t="s">
        <v>2309</v>
      </c>
      <c r="B516" s="4" t="str">
        <f ca="1">IFERROR(__xludf.DUMMYFUNCTION("IFERROR(GOOGLETRANSLATE(A516,""ko"",""en""),)"),"It's at 10 AM on Friday morning.")</f>
        <v>It's at 10 AM on Friday morning.</v>
      </c>
      <c r="C516" s="4" t="str">
        <f ca="1">IFERROR(__xludf.DUMMYFUNCTION("IFERROR(GOOGLETRANSLATE(B516,""en"",""ja""),)"),"金曜日の午前10時です。")</f>
        <v>金曜日の午前10時です。</v>
      </c>
      <c r="D516" s="4" t="str">
        <f ca="1">IFERROR(__xludf.DUMMYFUNCTION("IFERROR(GOOGLETRANSLATE(B516,""en"",""zh-TW""),)"),"時間是星期五上午10點。")</f>
        <v>時間是星期五上午10點。</v>
      </c>
      <c r="E516" s="4" t="str">
        <f ca="1">IFERROR(__xludf.DUMMYFUNCTION("IFERROR(GOOGLETRANSLATE(B516,""en"",""zh-CN""),)"),"时间是星期五上午10点。")</f>
        <v>时间是星期五上午10点。</v>
      </c>
    </row>
    <row r="517" spans="1:5">
      <c r="A517" s="3" t="s">
        <v>2312</v>
      </c>
      <c r="B517" s="4" t="str">
        <f ca="1">IFERROR(__xludf.DUMMYFUNCTION("IFERROR(GOOGLETRANSLATE(A517,""ko"",""en""),)"),"I learn on Thursday.")</f>
        <v>I learn on Thursday.</v>
      </c>
      <c r="C517" s="4" t="str">
        <f ca="1">IFERROR(__xludf.DUMMYFUNCTION("IFERROR(GOOGLETRANSLATE(B517,""en"",""ja""),)"),"私は木曜日に授業を受けます。")</f>
        <v>私は木曜日に授業を受けます。</v>
      </c>
      <c r="D517" s="4" t="str">
        <f ca="1">IFERROR(__xludf.DUMMYFUNCTION("IFERROR(GOOGLETRANSLATE(B517,""en"",""zh-TW""),)"),"我星期四上課。")</f>
        <v>我星期四上課。</v>
      </c>
      <c r="E517" s="4" t="str">
        <f ca="1">IFERROR(__xludf.DUMMYFUNCTION("IFERROR(GOOGLETRANSLATE(B517,""en"",""zh-CN""),)"),"我周四上课。")</f>
        <v>我周四上课。</v>
      </c>
    </row>
    <row r="518" spans="1:5">
      <c r="A518" s="3" t="s">
        <v>2315</v>
      </c>
      <c r="B518" s="4" t="str">
        <f ca="1">IFERROR(__xludf.DUMMYFUNCTION("IFERROR(GOOGLETRANSLATE(A518,""ko"",""en""),)"),"Are you going on a trip? I'm going on Saturday.")</f>
        <v>Are you going on a trip? I'm going on Saturday.</v>
      </c>
      <c r="C518" s="4" t="str">
        <f ca="1">IFERROR(__xludf.DUMMYFUNCTION("IFERROR(GOOGLETRANSLATE(B518,""en"",""ja""),)"),"旅行に行くの？私は土曜日に行くよ。")</f>
        <v>旅行に行くの？私は土曜日に行くよ。</v>
      </c>
      <c r="D518" s="4" t="str">
        <f ca="1">IFERROR(__xludf.DUMMYFUNCTION("IFERROR(GOOGLETRANSLATE(B518,""en"",""zh-TW""),)"),"你要去旅行嗎？我周六去。")</f>
        <v>你要去旅行嗎？我周六去。</v>
      </c>
      <c r="E518" s="4" t="str">
        <f ca="1">IFERROR(__xludf.DUMMYFUNCTION("IFERROR(GOOGLETRANSLATE(B518,""en"",""zh-CN""),)"),"你要去旅行吗？我周六去。")</f>
        <v>你要去旅行吗？我周六去。</v>
      </c>
    </row>
    <row r="519" spans="1:5">
      <c r="A519" s="3" t="s">
        <v>2318</v>
      </c>
      <c r="B519" s="4" t="str">
        <f ca="1">IFERROR(__xludf.DUMMYFUNCTION("IFERROR(GOOGLETRANSLATE(A519,""ko"",""en""),)"),"I'm buying bread and milk.")</f>
        <v>I'm buying bread and milk.</v>
      </c>
      <c r="C519" s="4" t="str">
        <f ca="1">IFERROR(__xludf.DUMMYFUNCTION("IFERROR(GOOGLETRANSLATE(B519,""en"",""ja""),)"),"パンと牛乳を買います。")</f>
        <v>パンと牛乳を買います。</v>
      </c>
      <c r="D519" s="4" t="str">
        <f ca="1">IFERROR(__xludf.DUMMYFUNCTION("IFERROR(GOOGLETRANSLATE(B519,""en"",""zh-TW""),)"),"我要買麵包和牛奶。")</f>
        <v>我要買麵包和牛奶。</v>
      </c>
      <c r="E519" s="4" t="str">
        <f ca="1">IFERROR(__xludf.DUMMYFUNCTION("IFERROR(GOOGLETRANSLATE(B519,""en"",""zh-CN""),)"),"我要买面包和牛奶。")</f>
        <v>我要买面包和牛奶。</v>
      </c>
    </row>
    <row r="520" spans="1:5">
      <c r="A520" s="3" t="s">
        <v>2320</v>
      </c>
      <c r="B520" s="4" t="str">
        <f ca="1">IFERROR(__xludf.DUMMYFUNCTION("IFERROR(GOOGLETRANSLATE(A520,""ko"",""en""),)"),"location")</f>
        <v>location</v>
      </c>
      <c r="C520" s="4" t="str">
        <f ca="1">IFERROR(__xludf.DUMMYFUNCTION("IFERROR(GOOGLETRANSLATE(B520,""en"",""ja""),)"),"位置")</f>
        <v>位置</v>
      </c>
      <c r="D520" s="4" t="str">
        <f ca="1">IFERROR(__xludf.DUMMYFUNCTION("IFERROR(GOOGLETRANSLATE(B520,""en"",""zh-TW""),)"),"地點")</f>
        <v>地點</v>
      </c>
      <c r="E520" s="4" t="str">
        <f ca="1">IFERROR(__xludf.DUMMYFUNCTION("IFERROR(GOOGLETRANSLATE(B520,""en"",""zh-CN""),)"),"地点")</f>
        <v>地点</v>
      </c>
    </row>
    <row r="521" spans="1:5">
      <c r="A521" s="3" t="s">
        <v>2321</v>
      </c>
      <c r="B521" s="4" t="str">
        <f ca="1">IFERROR(__xludf.DUMMYFUNCTION("IFERROR(GOOGLETRANSLATE(A521,""ko"",""en""),)"),"food")</f>
        <v>food</v>
      </c>
      <c r="C521" s="4" t="str">
        <f ca="1">IFERROR(__xludf.DUMMYFUNCTION("IFERROR(GOOGLETRANSLATE(B521,""en"",""ja""),)"),"食べ物")</f>
        <v>食べ物</v>
      </c>
      <c r="D521" s="4" t="str">
        <f ca="1">IFERROR(__xludf.DUMMYFUNCTION("IFERROR(GOOGLETRANSLATE(B521,""en"",""zh-TW""),)"),"食物")</f>
        <v>食物</v>
      </c>
      <c r="E521" s="4" t="str">
        <f ca="1">IFERROR(__xludf.DUMMYFUNCTION("IFERROR(GOOGLETRANSLATE(B521,""en"",""zh-CN""),)"),"食物")</f>
        <v>食物</v>
      </c>
    </row>
    <row r="522" spans="1:5">
      <c r="A522" s="3" t="s">
        <v>2324</v>
      </c>
      <c r="B522" s="4" t="str">
        <f ca="1">IFERROR(__xludf.DUMMYFUNCTION("IFERROR(GOOGLETRANSLATE(A522,""ko"",""en""),)"),"food")</f>
        <v>food</v>
      </c>
      <c r="C522" s="4" t="str">
        <f ca="1">IFERROR(__xludf.DUMMYFUNCTION("IFERROR(GOOGLETRANSLATE(B522,""en"",""ja""),)"),"食べ物")</f>
        <v>食べ物</v>
      </c>
      <c r="D522" s="4" t="str">
        <f ca="1">IFERROR(__xludf.DUMMYFUNCTION("IFERROR(GOOGLETRANSLATE(B522,""en"",""zh-TW""),)"),"食物")</f>
        <v>食物</v>
      </c>
      <c r="E522" s="4" t="str">
        <f ca="1">IFERROR(__xludf.DUMMYFUNCTION("IFERROR(GOOGLETRANSLATE(B522,""en"",""zh-CN""),)"),"食物")</f>
        <v>食物</v>
      </c>
    </row>
    <row r="523" spans="1:5">
      <c r="A523" s="3" t="s">
        <v>306</v>
      </c>
      <c r="B523" s="4" t="str">
        <f ca="1">IFERROR(__xludf.DUMMYFUNCTION("IFERROR(GOOGLETRANSLATE(A523,""ko"",""en""),)"),"company")</f>
        <v>company</v>
      </c>
      <c r="C523" s="4" t="str">
        <f ca="1">IFERROR(__xludf.DUMMYFUNCTION("IFERROR(GOOGLETRANSLATE(B523,""en"",""ja""),)"),"会社")</f>
        <v>会社</v>
      </c>
      <c r="D523" s="4" t="str">
        <f ca="1">IFERROR(__xludf.DUMMYFUNCTION("IFERROR(GOOGLETRANSLATE(B523,""en"",""zh-TW""),)"),"公司")</f>
        <v>公司</v>
      </c>
      <c r="E523" s="4" t="str">
        <f ca="1">IFERROR(__xludf.DUMMYFUNCTION("IFERROR(GOOGLETRANSLATE(B523,""en"",""zh-CN""),)"),"公司")</f>
        <v>公司</v>
      </c>
    </row>
    <row r="524" spans="1:5">
      <c r="A524" s="3" t="s">
        <v>155</v>
      </c>
      <c r="B524" s="4" t="str">
        <f ca="1">IFERROR(__xludf.DUMMYFUNCTION("IFERROR(GOOGLETRANSLATE(A524,""ko"",""en""),)"),"mart")</f>
        <v>mart</v>
      </c>
      <c r="C524" s="4" t="str">
        <f ca="1">IFERROR(__xludf.DUMMYFUNCTION("IFERROR(GOOGLETRANSLATE(B524,""en"",""ja""),)"),"マート")</f>
        <v>マート</v>
      </c>
      <c r="D524" s="4" t="str">
        <f ca="1">IFERROR(__xludf.DUMMYFUNCTION("IFERROR(GOOGLETRANSLATE(B524,""en"",""zh-TW""),)"),"市場")</f>
        <v>市場</v>
      </c>
      <c r="E524" s="4" t="str">
        <f ca="1">IFERROR(__xludf.DUMMYFUNCTION("IFERROR(GOOGLETRANSLATE(B524,""en"",""zh-CN""),)"),"市场")</f>
        <v>市场</v>
      </c>
    </row>
    <row r="525" spans="1:5">
      <c r="A525" s="3" t="s">
        <v>112</v>
      </c>
      <c r="B525" s="4" t="str">
        <f ca="1">IFERROR(__xludf.DUMMYFUNCTION("IFERROR(GOOGLETRANSLATE(A525,""ko"",""en""),)"),"bread")</f>
        <v>bread</v>
      </c>
      <c r="C525" s="4" t="str">
        <f ca="1">IFERROR(__xludf.DUMMYFUNCTION("IFERROR(GOOGLETRANSLATE(B525,""en"",""ja""),)"),"パン")</f>
        <v>パン</v>
      </c>
      <c r="D525" s="4" t="str">
        <f ca="1">IFERROR(__xludf.DUMMYFUNCTION("IFERROR(GOOGLETRANSLATE(B525,""en"",""zh-TW""),)"),"麵包")</f>
        <v>麵包</v>
      </c>
      <c r="E525" s="4" t="str">
        <f ca="1">IFERROR(__xludf.DUMMYFUNCTION("IFERROR(GOOGLETRANSLATE(B525,""en"",""zh-CN""),)"),"面包")</f>
        <v>面包</v>
      </c>
    </row>
    <row r="526" spans="1:5">
      <c r="A526" s="3" t="s">
        <v>177</v>
      </c>
      <c r="B526" s="4" t="str">
        <f ca="1">IFERROR(__xludf.DUMMYFUNCTION("IFERROR(GOOGLETRANSLATE(A526,""ko"",""en""),)"),"ramen")</f>
        <v>ramen</v>
      </c>
      <c r="C526" s="4" t="str">
        <f ca="1">IFERROR(__xludf.DUMMYFUNCTION("IFERROR(GOOGLETRANSLATE(B526,""en"",""ja""),)"),"拉麺")</f>
        <v>拉麺</v>
      </c>
      <c r="D526" s="4" t="str">
        <f ca="1">IFERROR(__xludf.DUMMYFUNCTION("IFERROR(GOOGLETRANSLATE(B526,""en"",""zh-TW""),)"),"拉麵")</f>
        <v>拉麵</v>
      </c>
      <c r="E526" s="4" t="str">
        <f ca="1">IFERROR(__xludf.DUMMYFUNCTION("IFERROR(GOOGLETRANSLATE(B526,""en"",""zh-CN""),)"),"拉面")</f>
        <v>拉面</v>
      </c>
    </row>
    <row r="527" spans="1:5">
      <c r="A527" s="5" t="s">
        <v>2332</v>
      </c>
      <c r="B527" s="4" t="str">
        <f ca="1">IFERROR(__xludf.DUMMYFUNCTION("IFERROR(GOOGLETRANSLATE(A527,""ko"",""en""),)"),"noodle")</f>
        <v>noodle</v>
      </c>
      <c r="C527" s="4" t="str">
        <f ca="1">IFERROR(__xludf.DUMMYFUNCTION("IFERROR(GOOGLETRANSLATE(B527,""en"",""ja""),)"),"麺")</f>
        <v>麺</v>
      </c>
      <c r="D527" s="4" t="str">
        <f ca="1">IFERROR(__xludf.DUMMYFUNCTION("IFERROR(GOOGLETRANSLATE(B527,""en"",""zh-TW""),)"),"麵條")</f>
        <v>麵條</v>
      </c>
      <c r="E527" s="4" t="str">
        <f ca="1">IFERROR(__xludf.DUMMYFUNCTION("IFERROR(GOOGLETRANSLATE(B527,""en"",""zh-CN""),)"),"面条")</f>
        <v>面条</v>
      </c>
    </row>
    <row r="528" spans="1:5">
      <c r="A528" s="3" t="s">
        <v>2335</v>
      </c>
      <c r="B528" s="4" t="str">
        <f ca="1">IFERROR(__xludf.DUMMYFUNCTION("IFERROR(GOOGLETRANSLATE(A528,""ko"",""en""),)"),"fruit")</f>
        <v>fruit</v>
      </c>
      <c r="C528" s="4" t="str">
        <f ca="1">IFERROR(__xludf.DUMMYFUNCTION("IFERROR(GOOGLETRANSLATE(B528,""en"",""ja""),)"),"フルーツ")</f>
        <v>フルーツ</v>
      </c>
      <c r="D528" s="4" t="str">
        <f ca="1">IFERROR(__xludf.DUMMYFUNCTION("IFERROR(GOOGLETRANSLATE(B528,""en"",""zh-TW""),)"),"水果")</f>
        <v>水果</v>
      </c>
      <c r="E528" s="4" t="str">
        <f ca="1">IFERROR(__xludf.DUMMYFUNCTION("IFERROR(GOOGLETRANSLATE(B528,""en"",""zh-CN""),)"),"水果")</f>
        <v>水果</v>
      </c>
    </row>
    <row r="529" spans="1:5">
      <c r="A529" s="3" t="s">
        <v>2338</v>
      </c>
      <c r="B529" s="4" t="str">
        <f ca="1">IFERROR(__xludf.DUMMYFUNCTION("IFERROR(GOOGLETRANSLATE(A529,""ko"",""en""),)"),"blueberries")</f>
        <v>blueberries</v>
      </c>
      <c r="C529" s="4" t="str">
        <f ca="1">IFERROR(__xludf.DUMMYFUNCTION("IFERROR(GOOGLETRANSLATE(B529,""en"",""ja""),)"),"ブルーベリー")</f>
        <v>ブルーベリー</v>
      </c>
      <c r="D529" s="4" t="str">
        <f ca="1">IFERROR(__xludf.DUMMYFUNCTION("IFERROR(GOOGLETRANSLATE(B529,""en"",""zh-TW""),)"),"藍莓")</f>
        <v>藍莓</v>
      </c>
      <c r="E529" s="4" t="str">
        <f ca="1">IFERROR(__xludf.DUMMYFUNCTION("IFERROR(GOOGLETRANSLATE(B529,""en"",""zh-CN""),)"),"蓝莓")</f>
        <v>蓝莓</v>
      </c>
    </row>
    <row r="530" spans="1:5">
      <c r="A530" s="5" t="s">
        <v>2339</v>
      </c>
      <c r="B530" s="4" t="str">
        <f ca="1">IFERROR(__xludf.DUMMYFUNCTION("IFERROR(GOOGLETRANSLATE(A530,""ko"",""en""),)"),"mandarin")</f>
        <v>mandarin</v>
      </c>
      <c r="C530" s="4" t="str">
        <f ca="1">IFERROR(__xludf.DUMMYFUNCTION("IFERROR(GOOGLETRANSLATE(B530,""en"",""ja""),)"),"北京語")</f>
        <v>北京語</v>
      </c>
      <c r="D530" s="4" t="str">
        <f ca="1">IFERROR(__xludf.DUMMYFUNCTION("IFERROR(GOOGLETRANSLATE(B530,""en"",""zh-TW""),)"),"國語")</f>
        <v>國語</v>
      </c>
      <c r="E530" s="4" t="str">
        <f ca="1">IFERROR(__xludf.DUMMYFUNCTION("IFERROR(GOOGLETRANSLATE(B530,""en"",""zh-CN""),)"),"普通话")</f>
        <v>普通话</v>
      </c>
    </row>
    <row r="531" spans="1:5">
      <c r="A531" s="3" t="s">
        <v>2342</v>
      </c>
      <c r="B531" s="4" t="s">
        <v>2343</v>
      </c>
      <c r="C531" s="4" t="str">
        <f ca="1">IFERROR(__xludf.DUMMYFUNCTION("IFERROR(GOOGLETRANSLATE(B531,""en"",""ja""),)"),"お茶")</f>
        <v>お茶</v>
      </c>
      <c r="D531" s="4" t="str">
        <f ca="1">IFERROR(__xludf.DUMMYFUNCTION("IFERROR(GOOGLETRANSLATE(B531,""en"",""zh-TW""),)"),"茶")</f>
        <v>茶</v>
      </c>
      <c r="E531" s="4" t="str">
        <f ca="1">IFERROR(__xludf.DUMMYFUNCTION("IFERROR(GOOGLETRANSLATE(B531,""en"",""zh-CN""),)"),"茶")</f>
        <v>茶</v>
      </c>
    </row>
    <row r="532" spans="1:5">
      <c r="A532" s="3" t="s">
        <v>2346</v>
      </c>
      <c r="B532" s="4" t="str">
        <f ca="1">IFERROR(__xludf.DUMMYFUNCTION("IFERROR(GOOGLETRANSLATE(A532,""ko"",""en""),)"),"green tea")</f>
        <v>green tea</v>
      </c>
      <c r="C532" s="4" t="str">
        <f ca="1">IFERROR(__xludf.DUMMYFUNCTION("IFERROR(GOOGLETRANSLATE(B532,""en"",""ja""),)"),"緑茶")</f>
        <v>緑茶</v>
      </c>
      <c r="D532" s="4" t="str">
        <f ca="1">IFERROR(__xludf.DUMMYFUNCTION("IFERROR(GOOGLETRANSLATE(B532,""en"",""zh-TW""),)"),"綠茶")</f>
        <v>綠茶</v>
      </c>
      <c r="E532" s="4" t="str">
        <f ca="1">IFERROR(__xludf.DUMMYFUNCTION("IFERROR(GOOGLETRANSLATE(B532,""en"",""zh-CN""),)"),"绿茶")</f>
        <v>绿茶</v>
      </c>
    </row>
    <row r="533" spans="1:5">
      <c r="A533" s="5" t="s">
        <v>2349</v>
      </c>
      <c r="B533" s="4" t="str">
        <f ca="1">IFERROR(__xludf.DUMMYFUNCTION("IFERROR(GOOGLETRANSLATE(A533,""ko"",""en""),)"),"black tea")</f>
        <v>black tea</v>
      </c>
      <c r="C533" s="4" t="str">
        <f ca="1">IFERROR(__xludf.DUMMYFUNCTION("IFERROR(GOOGLETRANSLATE(B533,""en"",""ja""),)"),"紅茶")</f>
        <v>紅茶</v>
      </c>
      <c r="D533" s="4" t="str">
        <f ca="1">IFERROR(__xludf.DUMMYFUNCTION("IFERROR(GOOGLETRANSLATE(B533,""en"",""zh-TW""),)"),"紅茶")</f>
        <v>紅茶</v>
      </c>
      <c r="E533" s="4" t="str">
        <f ca="1">IFERROR(__xludf.DUMMYFUNCTION("IFERROR(GOOGLETRANSLATE(B533,""en"",""zh-CN""),)"),"红茶")</f>
        <v>红茶</v>
      </c>
    </row>
    <row r="534" spans="1:5">
      <c r="A534" s="3" t="s">
        <v>2351</v>
      </c>
      <c r="B534" s="4" t="str">
        <f ca="1">IFERROR(__xludf.DUMMYFUNCTION("IFERROR(GOOGLETRANSLATE(A534,""ko"",""en""),)"),"milk")</f>
        <v>milk</v>
      </c>
      <c r="C534" s="4" t="str">
        <f ca="1">IFERROR(__xludf.DUMMYFUNCTION("IFERROR(GOOGLETRANSLATE(B534,""en"",""ja""),)"),"牛乳")</f>
        <v>牛乳</v>
      </c>
      <c r="D534" s="4" t="str">
        <f ca="1">IFERROR(__xludf.DUMMYFUNCTION("IFERROR(GOOGLETRANSLATE(B534,""en"",""zh-TW""),)"),"牛奶")</f>
        <v>牛奶</v>
      </c>
      <c r="E534" s="4" t="str">
        <f ca="1">IFERROR(__xludf.DUMMYFUNCTION("IFERROR(GOOGLETRANSLATE(B534,""en"",""zh-CN""),)"),"牛奶")</f>
        <v>牛奶</v>
      </c>
    </row>
    <row r="535" spans="1:5">
      <c r="A535" s="3" t="s">
        <v>289</v>
      </c>
      <c r="B535" s="4" t="str">
        <f ca="1">IFERROR(__xludf.DUMMYFUNCTION("IFERROR(GOOGLETRANSLATE(A535,""ko"",""en""),)"),"snack")</f>
        <v>snack</v>
      </c>
      <c r="C535" s="4" t="str">
        <f ca="1">IFERROR(__xludf.DUMMYFUNCTION("IFERROR(GOOGLETRANSLATE(B535,""en"",""ja""),)"),"スナック")</f>
        <v>スナック</v>
      </c>
      <c r="D535" s="4" t="str">
        <f ca="1">IFERROR(__xludf.DUMMYFUNCTION("IFERROR(GOOGLETRANSLATE(B535,""en"",""zh-TW""),)"),"小吃")</f>
        <v>小吃</v>
      </c>
      <c r="E535" s="4" t="str">
        <f ca="1">IFERROR(__xludf.DUMMYFUNCTION("IFERROR(GOOGLETRANSLATE(B535,""en"",""zh-CN""),)"),"小吃")</f>
        <v>小吃</v>
      </c>
    </row>
    <row r="536" spans="1:5">
      <c r="A536" s="3" t="s">
        <v>2354</v>
      </c>
      <c r="B536" s="4" t="str">
        <f ca="1">IFERROR(__xludf.DUMMYFUNCTION("IFERROR(GOOGLETRANSLATE(A536,""ko"",""en""),)"),"ice cream")</f>
        <v>ice cream</v>
      </c>
      <c r="C536" s="4" t="str">
        <f ca="1">IFERROR(__xludf.DUMMYFUNCTION("IFERROR(GOOGLETRANSLATE(B536,""en"",""ja""),)"),"アイスクリーム")</f>
        <v>アイスクリーム</v>
      </c>
      <c r="D536" s="4" t="str">
        <f ca="1">IFERROR(__xludf.DUMMYFUNCTION("IFERROR(GOOGLETRANSLATE(B536,""en"",""zh-TW""),)"),"冰淇淋")</f>
        <v>冰淇淋</v>
      </c>
      <c r="E536" s="4" t="str">
        <f ca="1">IFERROR(__xludf.DUMMYFUNCTION("IFERROR(GOOGLETRANSLATE(B536,""en"",""zh-CN""),)"),"冰淇淋")</f>
        <v>冰淇淋</v>
      </c>
    </row>
    <row r="537" spans="1:5">
      <c r="A537" s="3" t="s">
        <v>1606</v>
      </c>
      <c r="B537" s="4" t="str">
        <f ca="1">IFERROR(__xludf.DUMMYFUNCTION("IFERROR(GOOGLETRANSLATE(A537,""ko"",""en""),)"),"here")</f>
        <v>here</v>
      </c>
      <c r="C537" s="4" t="str">
        <f ca="1">IFERROR(__xludf.DUMMYFUNCTION("IFERROR(GOOGLETRANSLATE(B537,""en"",""ja""),)"),"ここ")</f>
        <v>ここ</v>
      </c>
      <c r="D537" s="4" t="str">
        <f ca="1">IFERROR(__xludf.DUMMYFUNCTION("IFERROR(GOOGLETRANSLATE(B537,""en"",""zh-TW""),)"),"這裡")</f>
        <v>這裡</v>
      </c>
      <c r="E537" s="4" t="str">
        <f ca="1">IFERROR(__xludf.DUMMYFUNCTION("IFERROR(GOOGLETRANSLATE(B537,""en"",""zh-CN""),)"),"这里")</f>
        <v>这里</v>
      </c>
    </row>
    <row r="538" spans="1:5">
      <c r="A538" s="3" t="s">
        <v>2359</v>
      </c>
      <c r="B538" s="4" t="str">
        <f ca="1">IFERROR(__xludf.DUMMYFUNCTION("IFERROR(GOOGLETRANSLATE(A538,""ko"",""en""),)"),"department store")</f>
        <v>department store</v>
      </c>
      <c r="C538" s="4" t="str">
        <f ca="1">IFERROR(__xludf.DUMMYFUNCTION("IFERROR(GOOGLETRANSLATE(B538,""en"",""ja""),)"),"デパート")</f>
        <v>デパート</v>
      </c>
      <c r="D538" s="4" t="str">
        <f ca="1">IFERROR(__xludf.DUMMYFUNCTION("IFERROR(GOOGLETRANSLATE(B538,""en"",""zh-TW""),)"),"百貨公司")</f>
        <v>百貨公司</v>
      </c>
      <c r="E538" s="4" t="str">
        <f ca="1">IFERROR(__xludf.DUMMYFUNCTION("IFERROR(GOOGLETRANSLATE(B538,""en"",""zh-CN""),)"),"百货商店")</f>
        <v>百货商店</v>
      </c>
    </row>
    <row r="539" spans="1:5">
      <c r="A539" s="3" t="s">
        <v>1789</v>
      </c>
      <c r="B539" s="4" t="str">
        <f ca="1">IFERROR(__xludf.DUMMYFUNCTION("IFERROR(GOOGLETRANSLATE(A539,""ko"",""en""),)"),"shoes")</f>
        <v>shoes</v>
      </c>
      <c r="C539" s="4" t="str">
        <f ca="1">IFERROR(__xludf.DUMMYFUNCTION("IFERROR(GOOGLETRANSLATE(B539,""en"",""ja""),)"),"靴")</f>
        <v>靴</v>
      </c>
      <c r="D539" s="4" t="str">
        <f ca="1">IFERROR(__xludf.DUMMYFUNCTION("IFERROR(GOOGLETRANSLATE(B539,""en"",""zh-TW""),)"),"鞋")</f>
        <v>鞋</v>
      </c>
      <c r="E539" s="4" t="str">
        <f ca="1">IFERROR(__xludf.DUMMYFUNCTION("IFERROR(GOOGLETRANSLATE(B539,""en"",""zh-CN""),)"),"鞋")</f>
        <v>鞋</v>
      </c>
    </row>
    <row r="540" spans="1:5">
      <c r="A540" s="3" t="s">
        <v>1458</v>
      </c>
      <c r="B540" s="4" t="str">
        <f ca="1">IFERROR(__xludf.DUMMYFUNCTION("IFERROR(GOOGLETRANSLATE(A540,""ko"",""en""),)"),"shoes")</f>
        <v>shoes</v>
      </c>
      <c r="C540" s="4" t="str">
        <f ca="1">IFERROR(__xludf.DUMMYFUNCTION("IFERROR(GOOGLETRANSLATE(B540,""en"",""ja""),)"),"靴")</f>
        <v>靴</v>
      </c>
      <c r="D540" s="4" t="str">
        <f ca="1">IFERROR(__xludf.DUMMYFUNCTION("IFERROR(GOOGLETRANSLATE(B540,""en"",""zh-TW""),)"),"鞋")</f>
        <v>鞋</v>
      </c>
      <c r="E540" s="4" t="str">
        <f ca="1">IFERROR(__xludf.DUMMYFUNCTION("IFERROR(GOOGLETRANSLATE(B540,""en"",""zh-CN""),)"),"鞋")</f>
        <v>鞋</v>
      </c>
    </row>
    <row r="541" spans="1:5">
      <c r="A541" s="3" t="s">
        <v>2365</v>
      </c>
      <c r="B541" s="4" t="str">
        <f ca="1">IFERROR(__xludf.DUMMYFUNCTION("IFERROR(GOOGLETRANSLATE(A541,""ko"",""en""),)"),"who")</f>
        <v>who</v>
      </c>
      <c r="C541" s="4" t="str">
        <f ca="1">IFERROR(__xludf.DUMMYFUNCTION("IFERROR(GOOGLETRANSLATE(B541,""en"",""ja""),)"),"誰が")</f>
        <v>誰が</v>
      </c>
      <c r="D541" s="4" t="str">
        <f ca="1">IFERROR(__xludf.DUMMYFUNCTION("IFERROR(GOOGLETRANSLATE(B541,""en"",""zh-TW""),)"),"世界衛生組織")</f>
        <v>世界衛生組織</v>
      </c>
      <c r="E541" s="4" t="str">
        <f ca="1">IFERROR(__xludf.DUMMYFUNCTION("IFERROR(GOOGLETRANSLATE(B541,""en"",""zh-CN""),)"),"WHO")</f>
        <v>WHO</v>
      </c>
    </row>
    <row r="542" spans="1:5">
      <c r="A542" s="3" t="s">
        <v>2367</v>
      </c>
      <c r="B542" s="4" t="str">
        <f ca="1">IFERROR(__xludf.DUMMYFUNCTION("IFERROR(GOOGLETRANSLATE(A542,""ko"",""en""),)"),"Who is the younger sibling?")</f>
        <v>Who is the younger sibling?</v>
      </c>
      <c r="C542" s="4" t="str">
        <f ca="1">IFERROR(__xludf.DUMMYFUNCTION("IFERROR(GOOGLETRANSLATE(B542,""en"",""ja""),)"),"弟はどちらですか？")</f>
        <v>弟はどちらですか？</v>
      </c>
      <c r="D542" s="4" t="str">
        <f ca="1">IFERROR(__xludf.DUMMYFUNCTION("IFERROR(GOOGLETRANSLATE(B542,""en"",""zh-TW""),)"),"誰是弟弟或妹妹？")</f>
        <v>誰是弟弟或妹妹？</v>
      </c>
      <c r="E542" s="4" t="str">
        <f ca="1">IFERROR(__xludf.DUMMYFUNCTION("IFERROR(GOOGLETRANSLATE(B542,""en"",""zh-CN""),)"),"谁是弟弟或妹妹？")</f>
        <v>谁是弟弟或妹妹？</v>
      </c>
    </row>
    <row r="543" spans="1:5">
      <c r="A543" s="3" t="s">
        <v>2370</v>
      </c>
      <c r="B543" s="4" t="s">
        <v>2371</v>
      </c>
      <c r="C543" s="4" t="str">
        <f ca="1">IFERROR(__xludf.DUMMYFUNCTION("IFERROR(GOOGLETRANSLATE(B543,""en"",""ja""),)"),"りんご")</f>
        <v>りんご</v>
      </c>
      <c r="D543" s="4" t="str">
        <f ca="1">IFERROR(__xludf.DUMMYFUNCTION("IFERROR(GOOGLETRANSLATE(B543,""en"",""zh-TW""),)"),"蘋果")</f>
        <v>蘋果</v>
      </c>
      <c r="E543" s="4" t="str">
        <f ca="1">IFERROR(__xludf.DUMMYFUNCTION("IFERROR(GOOGLETRANSLATE(B543,""en"",""zh-CN""),)"),"苹果")</f>
        <v>苹果</v>
      </c>
    </row>
    <row r="544" spans="1:5">
      <c r="A544" s="3" t="s">
        <v>2373</v>
      </c>
      <c r="B544" s="4" t="str">
        <f ca="1">IFERROR(__xludf.DUMMYFUNCTION("IFERROR(GOOGLETRANSLATE(A544,""ko"",""en""),)"),"grape")</f>
        <v>grape</v>
      </c>
      <c r="C544" s="4" t="str">
        <f ca="1">IFERROR(__xludf.DUMMYFUNCTION("IFERROR(GOOGLETRANSLATE(B544,""en"",""ja""),)"),"グレープ")</f>
        <v>グレープ</v>
      </c>
      <c r="D544" s="4" t="str">
        <f ca="1">IFERROR(__xludf.DUMMYFUNCTION("IFERROR(GOOGLETRANSLATE(B544,""en"",""zh-TW""),)"),"葡萄")</f>
        <v>葡萄</v>
      </c>
      <c r="E544" s="4" t="str">
        <f ca="1">IFERROR(__xludf.DUMMYFUNCTION("IFERROR(GOOGLETRANSLATE(B544,""en"",""zh-CN""),)"),"葡萄")</f>
        <v>葡萄</v>
      </c>
    </row>
    <row r="545" spans="1:5">
      <c r="A545" s="3" t="s">
        <v>263</v>
      </c>
      <c r="B545" s="4" t="str">
        <f ca="1">IFERROR(__xludf.DUMMYFUNCTION("IFERROR(GOOGLETRANSLATE(A545,""ko"",""en""),)"),"cake")</f>
        <v>cake</v>
      </c>
      <c r="C545" s="4" t="str">
        <f ca="1">IFERROR(__xludf.DUMMYFUNCTION("IFERROR(GOOGLETRANSLATE(B545,""en"",""ja""),)"),"ケーキ")</f>
        <v>ケーキ</v>
      </c>
      <c r="D545" s="4" t="str">
        <f ca="1">IFERROR(__xludf.DUMMYFUNCTION("IFERROR(GOOGLETRANSLATE(B545,""en"",""zh-TW""),)"),"蛋糕")</f>
        <v>蛋糕</v>
      </c>
      <c r="E545" s="4" t="str">
        <f ca="1">IFERROR(__xludf.DUMMYFUNCTION("IFERROR(GOOGLETRANSLATE(B545,""en"",""zh-CN""),)"),"蛋糕")</f>
        <v>蛋糕</v>
      </c>
    </row>
    <row r="546" spans="1:5">
      <c r="A546" s="3" t="s">
        <v>128</v>
      </c>
      <c r="B546" s="4" t="str">
        <f ca="1">IFERROR(__xludf.DUMMYFUNCTION("IFERROR(GOOGLETRANSLATE(A546,""ko"",""en""),)"),"kimbap")</f>
        <v>kimbap</v>
      </c>
      <c r="C546" s="4" t="str">
        <f ca="1">IFERROR(__xludf.DUMMYFUNCTION("IFERROR(GOOGLETRANSLATE(B546,""en"",""ja""),)"),"キンパ")</f>
        <v>キンパ</v>
      </c>
      <c r="D546" s="4" t="str">
        <f ca="1">IFERROR(__xludf.DUMMYFUNCTION("IFERROR(GOOGLETRANSLATE(B546,""en"",""zh-TW""),)"),"紫菜包飯")</f>
        <v>紫菜包飯</v>
      </c>
      <c r="E546" s="4" t="str">
        <f ca="1">IFERROR(__xludf.DUMMYFUNCTION("IFERROR(GOOGLETRANSLATE(B546,""en"",""zh-CN""),)"),"紫菜包饭")</f>
        <v>紫菜包饭</v>
      </c>
    </row>
    <row r="547" spans="1:5">
      <c r="A547" s="3" t="s">
        <v>2381</v>
      </c>
      <c r="B547" s="4" t="str">
        <f ca="1">IFERROR(__xludf.DUMMYFUNCTION("IFERROR(GOOGLETRANSLATE(A547,""ko"",""en""),)"),"english")</f>
        <v>english</v>
      </c>
      <c r="C547" s="4" t="str">
        <f ca="1">IFERROR(__xludf.DUMMYFUNCTION("IFERROR(GOOGLETRANSLATE(B547,""en"",""ja""),)"),"英語")</f>
        <v>英語</v>
      </c>
      <c r="D547" s="4" t="str">
        <f ca="1">IFERROR(__xludf.DUMMYFUNCTION("IFERROR(GOOGLETRANSLATE(B547,""en"",""zh-TW""),)"),"英語")</f>
        <v>英語</v>
      </c>
      <c r="E547" s="4" t="str">
        <f ca="1">IFERROR(__xludf.DUMMYFUNCTION("IFERROR(GOOGLETRANSLATE(B547,""en"",""zh-CN""),)"),"英语")</f>
        <v>英语</v>
      </c>
    </row>
    <row r="548" spans="1:5">
      <c r="A548" s="3" t="s">
        <v>2383</v>
      </c>
      <c r="B548" s="4" t="str">
        <f ca="1">IFERROR(__xludf.DUMMYFUNCTION("IFERROR(GOOGLETRANSLATE(A548,""ko"",""en""),)"),"number of animals")</f>
        <v>number of animals</v>
      </c>
      <c r="C548" s="4" t="str">
        <f ca="1">IFERROR(__xludf.DUMMYFUNCTION("IFERROR(GOOGLETRANSLATE(B548,""en"",""ja""),)"),"動物の数")</f>
        <v>動物の数</v>
      </c>
      <c r="D548" s="4" t="str">
        <f ca="1">IFERROR(__xludf.DUMMYFUNCTION("IFERROR(GOOGLETRANSLATE(B548,""en"",""zh-TW""),)"),"動物數量")</f>
        <v>動物數量</v>
      </c>
      <c r="E548" s="4" t="str">
        <f ca="1">IFERROR(__xludf.DUMMYFUNCTION("IFERROR(GOOGLETRANSLATE(B548,""en"",""zh-CN""),)"),"动物数量")</f>
        <v>动物数量</v>
      </c>
    </row>
    <row r="549" spans="1:5">
      <c r="A549" s="5" t="s">
        <v>2384</v>
      </c>
      <c r="B549" s="4" t="str">
        <f ca="1">IFERROR(__xludf.DUMMYFUNCTION("IFERROR(GOOGLETRANSLATE(A549,""ko"",""en""),)"),"There is a puppy.")</f>
        <v>There is a puppy.</v>
      </c>
      <c r="C549" s="4" t="str">
        <f ca="1">IFERROR(__xludf.DUMMYFUNCTION("IFERROR(GOOGLETRANSLATE(B549,""en"",""ja""),)"),"子犬がいます。")</f>
        <v>子犬がいます。</v>
      </c>
      <c r="D549" s="4" t="str">
        <f ca="1">IFERROR(__xludf.DUMMYFUNCTION("IFERROR(GOOGLETRANSLATE(B549,""en"",""zh-TW""),)"),"這裡有一隻小狗。")</f>
        <v>這裡有一隻小狗。</v>
      </c>
      <c r="E549" s="4" t="str">
        <f ca="1">IFERROR(__xludf.DUMMYFUNCTION("IFERROR(GOOGLETRANSLATE(B549,""en"",""zh-CN""),)"),"这里有一只小狗。")</f>
        <v>这里有一只小狗。</v>
      </c>
    </row>
    <row r="550" spans="1:5">
      <c r="A550" s="3" t="s">
        <v>2387</v>
      </c>
      <c r="B550" s="4" t="str">
        <f ca="1">IFERROR(__xludf.DUMMYFUNCTION("IFERROR(GOOGLETRANSLATE(A550,""ko"",""en""),)"),"glass")</f>
        <v>glass</v>
      </c>
      <c r="C550" s="4" t="str">
        <f ca="1">IFERROR(__xludf.DUMMYFUNCTION("IFERROR(GOOGLETRANSLATE(B550,""en"",""ja""),)"),"ガラス")</f>
        <v>ガラス</v>
      </c>
      <c r="D550" s="4" t="str">
        <f ca="1">IFERROR(__xludf.DUMMYFUNCTION("IFERROR(GOOGLETRANSLATE(B550,""en"",""zh-TW""),)"),"玻璃")</f>
        <v>玻璃</v>
      </c>
      <c r="E550" s="4" t="str">
        <f ca="1">IFERROR(__xludf.DUMMYFUNCTION("IFERROR(GOOGLETRANSLATE(B550,""en"",""zh-CN""),)"),"玻璃")</f>
        <v>玻璃</v>
      </c>
    </row>
    <row r="551" spans="1:5">
      <c r="A551" s="3" t="s">
        <v>107</v>
      </c>
      <c r="B551" s="4" t="s">
        <v>108</v>
      </c>
      <c r="C551" s="4" t="str">
        <f ca="1">IFERROR(__xludf.DUMMYFUNCTION("IFERROR(GOOGLETRANSLATE(B551,""en"",""ja""),)"),"ボトル")</f>
        <v>ボトル</v>
      </c>
      <c r="D551" s="4" t="str">
        <f ca="1">IFERROR(__xludf.DUMMYFUNCTION("IFERROR(GOOGLETRANSLATE(B551,""en"",""zh-TW""),)"),"瓶子")</f>
        <v>瓶子</v>
      </c>
      <c r="E551" s="4" t="str">
        <f ca="1">IFERROR(__xludf.DUMMYFUNCTION("IFERROR(GOOGLETRANSLATE(B551,""en"",""zh-CN""),)"),"瓶子")</f>
        <v>瓶子</v>
      </c>
    </row>
    <row r="552" spans="1:5">
      <c r="A552" s="3" t="s">
        <v>2391</v>
      </c>
      <c r="B552" s="4" t="str">
        <f ca="1">IFERROR(__xludf.DUMMYFUNCTION("IFERROR(GOOGLETRANSLATE(A552,""ko"",""en""),)"),"volume")</f>
        <v>volume</v>
      </c>
      <c r="C552" s="4" t="str">
        <f ca="1">IFERROR(__xludf.DUMMYFUNCTION("IFERROR(GOOGLETRANSLATE(B552,""en"",""ja""),)"),"音量")</f>
        <v>音量</v>
      </c>
      <c r="D552" s="4" t="str">
        <f ca="1">IFERROR(__xludf.DUMMYFUNCTION("IFERROR(GOOGLETRANSLATE(B552,""en"",""zh-TW""),)"),"體積")</f>
        <v>體積</v>
      </c>
      <c r="E552" s="4" t="str">
        <f ca="1">IFERROR(__xludf.DUMMYFUNCTION("IFERROR(GOOGLETRANSLATE(B552,""en"",""zh-CN""),)"),"体积")</f>
        <v>体积</v>
      </c>
    </row>
    <row r="553" spans="1:5">
      <c r="A553" s="3" t="s">
        <v>2394</v>
      </c>
      <c r="B553" s="4" t="str">
        <f ca="1">IFERROR(__xludf.DUMMYFUNCTION("IFERROR(GOOGLETRANSLATE(A553,""ko"",""en""),)"),"I have three Korean books.")</f>
        <v>I have three Korean books.</v>
      </c>
      <c r="C553" s="4" t="str">
        <f ca="1">IFERROR(__xludf.DUMMYFUNCTION("IFERROR(GOOGLETRANSLATE(B553,""en"",""ja""),)"),"私は韓国語の本を3冊持っています。")</f>
        <v>私は韓国語の本を3冊持っています。</v>
      </c>
      <c r="D553" s="4" t="str">
        <f ca="1">IFERROR(__xludf.DUMMYFUNCTION("IFERROR(GOOGLETRANSLATE(B553,""en"",""zh-TW""),)"),"我有三本韓語書。")</f>
        <v>我有三本韓語書。</v>
      </c>
      <c r="E553" s="4" t="str">
        <f ca="1">IFERROR(__xludf.DUMMYFUNCTION("IFERROR(GOOGLETRANSLATE(B553,""en"",""zh-CN""),)"),"我有三本韩语书。")</f>
        <v>我有三本韩语书。</v>
      </c>
    </row>
    <row r="554" spans="1:5">
      <c r="A554" s="3" t="s">
        <v>2397</v>
      </c>
      <c r="B554" s="4" t="str">
        <f ca="1">IFERROR(__xludf.DUMMYFUNCTION("IFERROR(GOOGLETRANSLATE(A554,""ko"",""en""),)"),"page")</f>
        <v>page</v>
      </c>
      <c r="C554" s="4" t="str">
        <f ca="1">IFERROR(__xludf.DUMMYFUNCTION("IFERROR(GOOGLETRANSLATE(B554,""en"",""ja""),)"),"ページ")</f>
        <v>ページ</v>
      </c>
      <c r="D554" s="4" t="str">
        <f ca="1">IFERROR(__xludf.DUMMYFUNCTION("IFERROR(GOOGLETRANSLATE(B554,""en"",""zh-TW""),)"),"頁")</f>
        <v>頁</v>
      </c>
      <c r="E554" s="4" t="str">
        <f ca="1">IFERROR(__xludf.DUMMYFUNCTION("IFERROR(GOOGLETRANSLATE(B554,""en"",""zh-CN""),)"),"页")</f>
        <v>页</v>
      </c>
    </row>
    <row r="555" spans="1:5">
      <c r="A555" s="3" t="s">
        <v>2400</v>
      </c>
      <c r="B555" s="4" t="s">
        <v>2401</v>
      </c>
      <c r="C555" s="4" t="str">
        <f ca="1">IFERROR(__xludf.DUMMYFUNCTION("IFERROR(GOOGLETRANSLATE(B555,""en"",""ja""),)"),"年齢")</f>
        <v>年齢</v>
      </c>
      <c r="D555" s="4" t="str">
        <f ca="1">IFERROR(__xludf.DUMMYFUNCTION("IFERROR(GOOGLETRANSLATE(B555,""en"",""zh-TW""),)"),"年齡")</f>
        <v>年齡</v>
      </c>
      <c r="E555" s="4" t="str">
        <f ca="1">IFERROR(__xludf.DUMMYFUNCTION("IFERROR(GOOGLETRANSLATE(B555,""en"",""zh-CN""),)"),"年龄")</f>
        <v>年龄</v>
      </c>
    </row>
    <row r="556" spans="1:5">
      <c r="A556" s="3" t="s">
        <v>2066</v>
      </c>
      <c r="B556" s="4" t="str">
        <f ca="1">IFERROR(__xludf.DUMMYFUNCTION("IFERROR(GOOGLETRANSLATE(A556,""ko"",""en""),)"),"window")</f>
        <v>window</v>
      </c>
      <c r="C556" s="4" t="str">
        <f ca="1">IFERROR(__xludf.DUMMYFUNCTION("IFERROR(GOOGLETRANSLATE(B556,""en"",""ja""),)"),"ウィンドウ")</f>
        <v>ウィンドウ</v>
      </c>
      <c r="D556" s="4" t="str">
        <f ca="1">IFERROR(__xludf.DUMMYFUNCTION("IFERROR(GOOGLETRANSLATE(B556,""en"",""zh-TW""),)"),"窗戶")</f>
        <v>窗戶</v>
      </c>
      <c r="E556" s="4" t="str">
        <f ca="1">IFERROR(__xludf.DUMMYFUNCTION("IFERROR(GOOGLETRANSLATE(B556,""en"",""zh-CN""),)"),"窗户")</f>
        <v>窗户</v>
      </c>
    </row>
    <row r="557" spans="1:5">
      <c r="A557" s="3" t="s">
        <v>1134</v>
      </c>
      <c r="B557" s="4" t="str">
        <f ca="1">IFERROR(__xludf.DUMMYFUNCTION("IFERROR(GOOGLETRANSLATE(A557,""ko"",""en""),)"),"sit")</f>
        <v>sit</v>
      </c>
      <c r="C557" s="4" t="str">
        <f ca="1">IFERROR(__xludf.DUMMYFUNCTION("IFERROR(GOOGLETRANSLATE(B557,""en"",""ja""),)"),"座る")</f>
        <v>座る</v>
      </c>
      <c r="D557" s="4" t="str">
        <f ca="1">IFERROR(__xludf.DUMMYFUNCTION("IFERROR(GOOGLETRANSLATE(B557,""en"",""zh-TW""),)"),"坐")</f>
        <v>坐</v>
      </c>
      <c r="E557" s="4" t="str">
        <f ca="1">IFERROR(__xludf.DUMMYFUNCTION("IFERROR(GOOGLETRANSLATE(B557,""en"",""zh-CN""),)"),"坐")</f>
        <v>坐</v>
      </c>
    </row>
    <row r="558" spans="1:5">
      <c r="A558" s="5" t="s">
        <v>2408</v>
      </c>
      <c r="B558" s="4" t="str">
        <f ca="1">IFERROR(__xludf.DUMMYFUNCTION("IFERROR(GOOGLETRANSLATE(A558,""ko"",""en""),)"),"Please wake up")</f>
        <v>Please wake up</v>
      </c>
      <c r="C558" s="4" t="str">
        <f ca="1">IFERROR(__xludf.DUMMYFUNCTION("IFERROR(GOOGLETRANSLATE(B558,""en"",""ja""),)"),"目を覚ましてください")</f>
        <v>目を覚ましてください</v>
      </c>
      <c r="D558" s="4" t="str">
        <f ca="1">IFERROR(__xludf.DUMMYFUNCTION("IFERROR(GOOGLETRANSLATE(B558,""en"",""zh-TW""),)"),"請醒醒")</f>
        <v>請醒醒</v>
      </c>
      <c r="E558" s="4" t="str">
        <f ca="1">IFERROR(__xludf.DUMMYFUNCTION("IFERROR(GOOGLETRANSLATE(B558,""en"",""zh-CN""),)"),"请醒醒")</f>
        <v>请醒醒</v>
      </c>
    </row>
    <row r="559" spans="1:5">
      <c r="A559" s="3" t="s">
        <v>2410</v>
      </c>
      <c r="B559" s="4" t="str">
        <f ca="1">IFERROR(__xludf.DUMMYFUNCTION("IFERROR(GOOGLETRANSLATE(A559,""ko"",""en""),)"),"thanks")</f>
        <v>thanks</v>
      </c>
      <c r="C559" s="4" t="str">
        <f ca="1">IFERROR(__xludf.DUMMYFUNCTION("IFERROR(GOOGLETRANSLATE(B559,""en"",""ja""),)"),"ありがとう")</f>
        <v>ありがとう</v>
      </c>
      <c r="D559" s="4" t="str">
        <f ca="1">IFERROR(__xludf.DUMMYFUNCTION("IFERROR(GOOGLETRANSLATE(B559,""en"",""zh-TW""),)"),"謝謝")</f>
        <v>謝謝</v>
      </c>
      <c r="E559" s="4" t="str">
        <f ca="1">IFERROR(__xludf.DUMMYFUNCTION("IFERROR(GOOGLETRANSLATE(B559,""en"",""zh-CN""),)"),"谢谢")</f>
        <v>谢谢</v>
      </c>
    </row>
    <row r="560" spans="1:5">
      <c r="A560" s="3" t="s">
        <v>18</v>
      </c>
      <c r="B560" s="4" t="str">
        <f ca="1">IFERROR(__xludf.DUMMYFUNCTION("IFERROR(GOOGLETRANSLATE(A560,""ko"",""en""),)"),"thank you.")</f>
        <v>thank you.</v>
      </c>
      <c r="C560" s="4" t="str">
        <f ca="1">IFERROR(__xludf.DUMMYFUNCTION("IFERROR(GOOGLETRANSLATE(B560,""en"",""ja""),)"),"ありがとう。")</f>
        <v>ありがとう。</v>
      </c>
      <c r="D560" s="4" t="str">
        <f ca="1">IFERROR(__xludf.DUMMYFUNCTION("IFERROR(GOOGLETRANSLATE(B560,""en"",""zh-TW""),)"),"謝謝。")</f>
        <v>謝謝。</v>
      </c>
      <c r="E560" s="4" t="str">
        <f ca="1">IFERROR(__xludf.DUMMYFUNCTION("IFERROR(GOOGLETRANSLATE(B560,""en"",""zh-CN""),)"),"谢谢。")</f>
        <v>谢谢。</v>
      </c>
    </row>
    <row r="561" spans="1:5">
      <c r="A561" s="3" t="s">
        <v>2413</v>
      </c>
      <c r="B561" s="4" t="str">
        <f ca="1">IFERROR(__xludf.DUMMYFUNCTION("IFERROR(GOOGLETRANSLATE(A561,""ko"",""en""),)"),"thanks")</f>
        <v>thanks</v>
      </c>
      <c r="C561" s="4" t="str">
        <f ca="1">IFERROR(__xludf.DUMMYFUNCTION("IFERROR(GOOGLETRANSLATE(B561,""en"",""ja""),)"),"ありがとう")</f>
        <v>ありがとう</v>
      </c>
      <c r="D561" s="4" t="str">
        <f ca="1">IFERROR(__xludf.DUMMYFUNCTION("IFERROR(GOOGLETRANSLATE(B561,""en"",""zh-TW""),)"),"謝謝")</f>
        <v>謝謝</v>
      </c>
      <c r="E561" s="4" t="str">
        <f ca="1">IFERROR(__xludf.DUMMYFUNCTION("IFERROR(GOOGLETRANSLATE(B561,""en"",""zh-CN""),)"),"谢谢")</f>
        <v>谢谢</v>
      </c>
    </row>
    <row r="562" spans="1:5">
      <c r="A562" s="3" t="s">
        <v>1140</v>
      </c>
      <c r="B562" s="4" t="str">
        <f ca="1">IFERROR(__xludf.DUMMYFUNCTION("IFERROR(GOOGLETRANSLATE(A562,""ko"",""en""),)"),"give")</f>
        <v>give</v>
      </c>
      <c r="C562" s="4" t="str">
        <f ca="1">IFERROR(__xludf.DUMMYFUNCTION("IFERROR(GOOGLETRANSLATE(B562,""en"",""ja""),)"),"与える")</f>
        <v>与える</v>
      </c>
      <c r="D562" s="4" t="str">
        <f ca="1">IFERROR(__xludf.DUMMYFUNCTION("IFERROR(GOOGLETRANSLATE(B562,""en"",""zh-TW""),)"),"給")</f>
        <v>給</v>
      </c>
      <c r="E562" s="4" t="str">
        <f ca="1">IFERROR(__xludf.DUMMYFUNCTION("IFERROR(GOOGLETRANSLATE(B562,""en"",""zh-CN""),)"),"给")</f>
        <v>给</v>
      </c>
    </row>
    <row r="563" spans="1:5">
      <c r="A563" s="3" t="s">
        <v>1397</v>
      </c>
      <c r="B563" s="4" t="str">
        <f ca="1">IFERROR(__xludf.DUMMYFUNCTION("IFERROR(GOOGLETRANSLATE(A563,""ko"",""en""),)"),"write")</f>
        <v>write</v>
      </c>
      <c r="C563" s="4" t="str">
        <f ca="1">IFERROR(__xludf.DUMMYFUNCTION("IFERROR(GOOGLETRANSLATE(B563,""en"",""ja""),)"),"書く")</f>
        <v>書く</v>
      </c>
      <c r="D563" s="4" t="str">
        <f ca="1">IFERROR(__xludf.DUMMYFUNCTION("IFERROR(GOOGLETRANSLATE(B563,""en"",""zh-TW""),)"),"寫")</f>
        <v>寫</v>
      </c>
      <c r="E563" s="4" t="str">
        <f ca="1">IFERROR(__xludf.DUMMYFUNCTION("IFERROR(GOOGLETRANSLATE(B563,""en"",""zh-CN""),)"),"写")</f>
        <v>写</v>
      </c>
    </row>
    <row r="564" spans="1:5">
      <c r="A564" s="3" t="s">
        <v>2417</v>
      </c>
      <c r="B564" s="4" t="str">
        <f ca="1">IFERROR(__xludf.DUMMYFUNCTION("IFERROR(GOOGLETRANSLATE(A564,""ko"",""en""),)"),"Answer")</f>
        <v>Answer</v>
      </c>
      <c r="C564" s="4" t="str">
        <f ca="1">IFERROR(__xludf.DUMMYFUNCTION("IFERROR(GOOGLETRANSLATE(B564,""en"",""ja""),)"),"答え")</f>
        <v>答え</v>
      </c>
      <c r="D564" s="4" t="str">
        <f ca="1">IFERROR(__xludf.DUMMYFUNCTION("IFERROR(GOOGLETRANSLATE(B564,""en"",""zh-TW""),)"),"回答")</f>
        <v>回答</v>
      </c>
      <c r="E564" s="4" t="str">
        <f ca="1">IFERROR(__xludf.DUMMYFUNCTION("IFERROR(GOOGLETRANSLATE(B564,""en"",""zh-CN""),)"),"回答")</f>
        <v>回答</v>
      </c>
    </row>
    <row r="565" spans="1:5">
      <c r="A565" s="3" t="s">
        <v>2420</v>
      </c>
      <c r="B565" s="4" t="str">
        <f ca="1">IFERROR(__xludf.DUMMYFUNCTION("IFERROR(GOOGLETRANSLATE(A565,""ko"",""en""),)"),"Answer.")</f>
        <v>Answer.</v>
      </c>
      <c r="C565" s="4" t="str">
        <f ca="1">IFERROR(__xludf.DUMMYFUNCTION("IFERROR(GOOGLETRANSLATE(B565,""en"",""ja""),)"),"答え。")</f>
        <v>答え。</v>
      </c>
      <c r="D565" s="4" t="str">
        <f ca="1">IFERROR(__xludf.DUMMYFUNCTION("IFERROR(GOOGLETRANSLATE(B565,""en"",""zh-TW""),)"),"回答。")</f>
        <v>回答。</v>
      </c>
      <c r="E565" s="4" t="str">
        <f ca="1">IFERROR(__xludf.DUMMYFUNCTION("IFERROR(GOOGLETRANSLATE(B565,""en"",""zh-CN""),)"),"回答。")</f>
        <v>回答。</v>
      </c>
    </row>
    <row r="566" spans="1:5">
      <c r="A566" s="3" t="s">
        <v>2421</v>
      </c>
      <c r="B566" s="4" t="s">
        <v>2422</v>
      </c>
      <c r="C566" s="4" t="str">
        <f ca="1">IFERROR(__xludf.DUMMYFUNCTION("IFERROR(GOOGLETRANSLATE(B566,""en"",""ja""),)"),"開ける")</f>
        <v>開ける</v>
      </c>
      <c r="D566" s="4" t="str">
        <f ca="1">IFERROR(__xludf.DUMMYFUNCTION("IFERROR(GOOGLETRANSLATE(B566,""en"",""zh-TW""),)"),"打開")</f>
        <v>打開</v>
      </c>
      <c r="E566" s="4" t="str">
        <f ca="1">IFERROR(__xludf.DUMMYFUNCTION("IFERROR(GOOGLETRANSLATE(B566,""en"",""zh-CN""),)"),"打开")</f>
        <v>打开</v>
      </c>
    </row>
    <row r="567" spans="1:5">
      <c r="A567" s="3" t="s">
        <v>1297</v>
      </c>
      <c r="B567" s="4" t="str">
        <f ca="1">IFERROR(__xludf.DUMMYFUNCTION("IFERROR(GOOGLETRANSLATE(A567,""ko"",""en""),)"),"Open the book.")</f>
        <v>Open the book.</v>
      </c>
      <c r="C567" s="4" t="str">
        <f ca="1">IFERROR(__xludf.DUMMYFUNCTION("IFERROR(GOOGLETRANSLATE(B567,""en"",""ja""),)"),"本を開いてください。")</f>
        <v>本を開いてください。</v>
      </c>
      <c r="D567" s="4" t="str">
        <f ca="1">IFERROR(__xludf.DUMMYFUNCTION("IFERROR(GOOGLETRANSLATE(B567,""en"",""zh-TW""),)"),"打開這本書。")</f>
        <v>打開這本書。</v>
      </c>
      <c r="E567" s="4" t="str">
        <f ca="1">IFERROR(__xludf.DUMMYFUNCTION("IFERROR(GOOGLETRANSLATE(B567,""en"",""zh-CN""),)"),"打开这本书。")</f>
        <v>打开这本书。</v>
      </c>
    </row>
    <row r="568" spans="1:5">
      <c r="A568" s="3" t="s">
        <v>2426</v>
      </c>
      <c r="B568" s="4" t="str">
        <f ca="1">IFERROR(__xludf.DUMMYFUNCTION("IFERROR(GOOGLETRANSLATE(A568,""ko"",""en""),)"),"Open the window.")</f>
        <v>Open the window.</v>
      </c>
      <c r="C568" s="4" t="str">
        <f ca="1">IFERROR(__xludf.DUMMYFUNCTION("IFERROR(GOOGLETRANSLATE(B568,""en"",""ja""),)"),"窓を開けてください。")</f>
        <v>窓を開けてください。</v>
      </c>
      <c r="D568" s="4" t="str">
        <f ca="1">IFERROR(__xludf.DUMMYFUNCTION("IFERROR(GOOGLETRANSLATE(B568,""en"",""zh-TW""),)"),"打開窗戶。")</f>
        <v>打開窗戶。</v>
      </c>
      <c r="E568" s="4" t="str">
        <f ca="1">IFERROR(__xludf.DUMMYFUNCTION("IFERROR(GOOGLETRANSLATE(B568,""en"",""zh-CN""),)"),"打开窗户。")</f>
        <v>打开窗户。</v>
      </c>
    </row>
    <row r="569" spans="1:5">
      <c r="A569" s="3" t="s">
        <v>1210</v>
      </c>
      <c r="B569" s="4" t="str">
        <f ca="1">IFERROR(__xludf.DUMMYFUNCTION("IFERROR(GOOGLETRANSLATE(A569,""ko"",""en""),)"),"early")</f>
        <v>early</v>
      </c>
      <c r="C569" s="4" t="str">
        <f ca="1">IFERROR(__xludf.DUMMYFUNCTION("IFERROR(GOOGLETRANSLATE(B569,""en"",""ja""),)"),"早い")</f>
        <v>早い</v>
      </c>
      <c r="D569" s="4" t="str">
        <f ca="1">IFERROR(__xludf.DUMMYFUNCTION("IFERROR(GOOGLETRANSLATE(B569,""en"",""zh-TW""),)"),"早期的")</f>
        <v>早期的</v>
      </c>
      <c r="E569" s="4" t="str">
        <f ca="1">IFERROR(__xludf.DUMMYFUNCTION("IFERROR(GOOGLETRANSLATE(B569,""en"",""zh-CN""),)"),"早期的")</f>
        <v>早期的</v>
      </c>
    </row>
    <row r="570" spans="1:5">
      <c r="A570" s="3" t="s">
        <v>2431</v>
      </c>
      <c r="B570" s="4" t="str">
        <f ca="1">IFERROR(__xludf.DUMMYFUNCTION("IFERROR(GOOGLETRANSLATE(A570,""ko"",""en""),)"),"come")</f>
        <v>come</v>
      </c>
      <c r="C570" s="4" t="str">
        <f ca="1">IFERROR(__xludf.DUMMYFUNCTION("IFERROR(GOOGLETRANSLATE(B570,""en"",""ja""),)"),"来る")</f>
        <v>来る</v>
      </c>
      <c r="D570" s="4" t="str">
        <f ca="1">IFERROR(__xludf.DUMMYFUNCTION("IFERROR(GOOGLETRANSLATE(B570,""en"",""zh-TW""),)"),"來")</f>
        <v>來</v>
      </c>
      <c r="E570" s="4" t="str">
        <f ca="1">IFERROR(__xludf.DUMMYFUNCTION("IFERROR(GOOGLETRANSLATE(B570,""en"",""zh-CN""),)"),"来")</f>
        <v>来</v>
      </c>
    </row>
    <row r="571" spans="1:5">
      <c r="A571" s="3" t="s">
        <v>2434</v>
      </c>
      <c r="B571" s="4" t="str">
        <f ca="1">IFERROR(__xludf.DUMMYFUNCTION("IFERROR(GOOGLETRANSLATE(A571,""ko"",""en""),)"),"Come here.")</f>
        <v>Come here.</v>
      </c>
      <c r="C571" s="4" t="str">
        <f ca="1">IFERROR(__xludf.DUMMYFUNCTION("IFERROR(GOOGLETRANSLATE(B571,""en"",""ja""),)"),"ここに来て。")</f>
        <v>ここに来て。</v>
      </c>
      <c r="D571" s="4" t="str">
        <f ca="1">IFERROR(__xludf.DUMMYFUNCTION("IFERROR(GOOGLETRANSLATE(B571,""en"",""zh-TW""),)"),"過來。")</f>
        <v>過來。</v>
      </c>
      <c r="E571" s="4" t="str">
        <f ca="1">IFERROR(__xludf.DUMMYFUNCTION("IFERROR(GOOGLETRANSLATE(B571,""en"",""zh-CN""),)"),"过来。")</f>
        <v>过来。</v>
      </c>
    </row>
    <row r="572" spans="1:5">
      <c r="A572" s="3" t="s">
        <v>2437</v>
      </c>
      <c r="B572" s="4" t="str">
        <f ca="1">IFERROR(__xludf.DUMMYFUNCTION("IFERROR(GOOGLETRANSLATE(A572,""ko"",""en""),)"),"bus")</f>
        <v>bus</v>
      </c>
      <c r="C572" s="4" t="str">
        <f ca="1">IFERROR(__xludf.DUMMYFUNCTION("IFERROR(GOOGLETRANSLATE(B572,""en"",""ja""),)"),"バス")</f>
        <v>バス</v>
      </c>
      <c r="D572" s="4" t="str">
        <f ca="1">IFERROR(__xludf.DUMMYFUNCTION("IFERROR(GOOGLETRANSLATE(B572,""en"",""zh-TW""),)"),"公車")</f>
        <v>公車</v>
      </c>
      <c r="E572" s="4" t="str">
        <f ca="1">IFERROR(__xludf.DUMMYFUNCTION("IFERROR(GOOGLETRANSLATE(B572,""en"",""zh-CN""),)"),"公共汽车")</f>
        <v>公共汽车</v>
      </c>
    </row>
    <row r="573" spans="1:5">
      <c r="A573" s="3" t="s">
        <v>1430</v>
      </c>
      <c r="B573" s="4" t="str">
        <f ca="1">IFERROR(__xludf.DUMMYFUNCTION("IFERROR(GOOGLETRANSLATE(A573,""ko"",""en""),)"),"subway")</f>
        <v>subway</v>
      </c>
      <c r="C573" s="4" t="str">
        <f ca="1">IFERROR(__xludf.DUMMYFUNCTION("IFERROR(GOOGLETRANSLATE(B573,""en"",""ja""),)"),"地下鉄")</f>
        <v>地下鉄</v>
      </c>
      <c r="D573" s="4" t="str">
        <f ca="1">IFERROR(__xludf.DUMMYFUNCTION("IFERROR(GOOGLETRANSLATE(B573,""en"",""zh-TW""),)"),"捷運")</f>
        <v>捷運</v>
      </c>
      <c r="E573" s="4" t="str">
        <f ca="1">IFERROR(__xludf.DUMMYFUNCTION("IFERROR(GOOGLETRANSLATE(B573,""en"",""zh-CN""),)"),"地铁")</f>
        <v>地铁</v>
      </c>
    </row>
    <row r="574" spans="1:5">
      <c r="A574" s="3" t="s">
        <v>2441</v>
      </c>
      <c r="B574" s="4" t="str">
        <f ca="1">IFERROR(__xludf.DUMMYFUNCTION("IFERROR(GOOGLETRANSLATE(A574,""ko"",""en""),)"),"ride")</f>
        <v>ride</v>
      </c>
      <c r="C574" s="4" t="str">
        <f ca="1">IFERROR(__xludf.DUMMYFUNCTION("IFERROR(GOOGLETRANSLATE(B574,""en"",""ja""),)"),"乗る")</f>
        <v>乗る</v>
      </c>
      <c r="D574" s="4" t="str">
        <f ca="1">IFERROR(__xludf.DUMMYFUNCTION("IFERROR(GOOGLETRANSLATE(B574,""en"",""zh-TW""),)"),"騎")</f>
        <v>騎</v>
      </c>
      <c r="E574" s="4" t="str">
        <f ca="1">IFERROR(__xludf.DUMMYFUNCTION("IFERROR(GOOGLETRANSLATE(B574,""en"",""zh-CN""),)"),"骑")</f>
        <v>骑</v>
      </c>
    </row>
    <row r="575" spans="1:5">
      <c r="A575" s="3" t="s">
        <v>2443</v>
      </c>
      <c r="B575" s="4" t="str">
        <f ca="1">IFERROR(__xludf.DUMMYFUNCTION("IFERROR(GOOGLETRANSLATE(A575,""ko"",""en""),)"),"store")</f>
        <v>store</v>
      </c>
      <c r="C575" s="4" t="str">
        <f ca="1">IFERROR(__xludf.DUMMYFUNCTION("IFERROR(GOOGLETRANSLATE(B575,""en"",""ja""),)"),"店")</f>
        <v>店</v>
      </c>
      <c r="D575" s="4" t="str">
        <f ca="1">IFERROR(__xludf.DUMMYFUNCTION("IFERROR(GOOGLETRANSLATE(B575,""en"",""zh-TW""),)"),"店鋪")</f>
        <v>店鋪</v>
      </c>
      <c r="E575" s="4" t="str">
        <f ca="1">IFERROR(__xludf.DUMMYFUNCTION("IFERROR(GOOGLETRANSLATE(B575,""en"",""zh-CN""),)"),"店铺")</f>
        <v>店铺</v>
      </c>
    </row>
    <row r="576" spans="1:5">
      <c r="A576" s="3" t="s">
        <v>1657</v>
      </c>
      <c r="B576" s="4" t="str">
        <f ca="1">IFERROR(__xludf.DUMMYFUNCTION("IFERROR(GOOGLETRANSLATE(A576,""ko"",""en""),)"),"sunday")</f>
        <v>sunday</v>
      </c>
      <c r="C576" s="4" t="str">
        <f ca="1">IFERROR(__xludf.DUMMYFUNCTION("IFERROR(GOOGLETRANSLATE(B576,""en"",""ja""),)"),"日曜日")</f>
        <v>日曜日</v>
      </c>
      <c r="D576" s="4" t="str">
        <f ca="1">IFERROR(__xludf.DUMMYFUNCTION("IFERROR(GOOGLETRANSLATE(B576,""en"",""zh-TW""),)"),"星期日")</f>
        <v>星期日</v>
      </c>
      <c r="E576" s="4" t="str">
        <f ca="1">IFERROR(__xludf.DUMMYFUNCTION("IFERROR(GOOGLETRANSLATE(B576,""en"",""zh-CN""),)"),"星期日")</f>
        <v>星期日</v>
      </c>
    </row>
    <row r="577" spans="1:5">
      <c r="A577" s="3" t="s">
        <v>1631</v>
      </c>
      <c r="B577" s="4" t="str">
        <f ca="1">IFERROR(__xludf.DUMMYFUNCTION("IFERROR(GOOGLETRANSLATE(A577,""ko"",""en""),)"),"monday")</f>
        <v>monday</v>
      </c>
      <c r="C577" s="4" t="str">
        <f ca="1">IFERROR(__xludf.DUMMYFUNCTION("IFERROR(GOOGLETRANSLATE(B577,""en"",""ja""),)"),"月曜日")</f>
        <v>月曜日</v>
      </c>
      <c r="D577" s="4" t="str">
        <f ca="1">IFERROR(__xludf.DUMMYFUNCTION("IFERROR(GOOGLETRANSLATE(B577,""en"",""zh-TW""),)"),"週一")</f>
        <v>週一</v>
      </c>
      <c r="E577" s="4" t="str">
        <f ca="1">IFERROR(__xludf.DUMMYFUNCTION("IFERROR(GOOGLETRANSLATE(B577,""en"",""zh-CN""),)"),"周一")</f>
        <v>周一</v>
      </c>
    </row>
    <row r="578" spans="1:5">
      <c r="A578" s="3" t="s">
        <v>1636</v>
      </c>
      <c r="B578" s="4" t="str">
        <f ca="1">IFERROR(__xludf.DUMMYFUNCTION("IFERROR(GOOGLETRANSLATE(A578,""ko"",""en""),)"),"tuesday")</f>
        <v>tuesday</v>
      </c>
      <c r="C578" s="4" t="str">
        <f ca="1">IFERROR(__xludf.DUMMYFUNCTION("IFERROR(GOOGLETRANSLATE(B578,""en"",""ja""),)"),"火曜日")</f>
        <v>火曜日</v>
      </c>
      <c r="D578" s="4" t="str">
        <f ca="1">IFERROR(__xludf.DUMMYFUNCTION("IFERROR(GOOGLETRANSLATE(B578,""en"",""zh-TW""),)"),"週二")</f>
        <v>週二</v>
      </c>
      <c r="E578" s="4" t="str">
        <f ca="1">IFERROR(__xludf.DUMMYFUNCTION("IFERROR(GOOGLETRANSLATE(B578,""en"",""zh-CN""),)"),"周二")</f>
        <v>周二</v>
      </c>
    </row>
    <row r="579" spans="1:5">
      <c r="A579" s="3" t="s">
        <v>1641</v>
      </c>
      <c r="B579" s="4" t="str">
        <f ca="1">IFERROR(__xludf.DUMMYFUNCTION("IFERROR(GOOGLETRANSLATE(A579,""ko"",""en""),)"),"wednesday")</f>
        <v>wednesday</v>
      </c>
      <c r="C579" s="4" t="str">
        <f ca="1">IFERROR(__xludf.DUMMYFUNCTION("IFERROR(GOOGLETRANSLATE(B579,""en"",""ja""),)"),"水曜日")</f>
        <v>水曜日</v>
      </c>
      <c r="D579" s="4" t="str">
        <f ca="1">IFERROR(__xludf.DUMMYFUNCTION("IFERROR(GOOGLETRANSLATE(B579,""en"",""zh-TW""),)"),"週三")</f>
        <v>週三</v>
      </c>
      <c r="E579" s="4" t="str">
        <f ca="1">IFERROR(__xludf.DUMMYFUNCTION("IFERROR(GOOGLETRANSLATE(B579,""en"",""zh-CN""),)"),"周三")</f>
        <v>周三</v>
      </c>
    </row>
    <row r="580" spans="1:5">
      <c r="A580" s="3" t="s">
        <v>1644</v>
      </c>
      <c r="B580" s="4" t="str">
        <f ca="1">IFERROR(__xludf.DUMMYFUNCTION("IFERROR(GOOGLETRANSLATE(A580,""ko"",""en""),)"),"thursday")</f>
        <v>thursday</v>
      </c>
      <c r="C580" s="4" t="str">
        <f ca="1">IFERROR(__xludf.DUMMYFUNCTION("IFERROR(GOOGLETRANSLATE(B580,""en"",""ja""),)"),"木曜日")</f>
        <v>木曜日</v>
      </c>
      <c r="D580" s="4" t="str">
        <f ca="1">IFERROR(__xludf.DUMMYFUNCTION("IFERROR(GOOGLETRANSLATE(B580,""en"",""zh-TW""),)"),"週四")</f>
        <v>週四</v>
      </c>
      <c r="E580" s="4" t="str">
        <f ca="1">IFERROR(__xludf.DUMMYFUNCTION("IFERROR(GOOGLETRANSLATE(B580,""en"",""zh-CN""),)"),"周四")</f>
        <v>周四</v>
      </c>
    </row>
    <row r="581" spans="1:5">
      <c r="A581" s="3" t="s">
        <v>1648</v>
      </c>
      <c r="B581" s="4" t="str">
        <f ca="1">IFERROR(__xludf.DUMMYFUNCTION("IFERROR(GOOGLETRANSLATE(A581,""ko"",""en""),)"),"friday")</f>
        <v>friday</v>
      </c>
      <c r="C581" s="4" t="str">
        <f ca="1">IFERROR(__xludf.DUMMYFUNCTION("IFERROR(GOOGLETRANSLATE(B581,""en"",""ja""),)"),"金曜日")</f>
        <v>金曜日</v>
      </c>
      <c r="D581" s="4" t="str">
        <f ca="1">IFERROR(__xludf.DUMMYFUNCTION("IFERROR(GOOGLETRANSLATE(B581,""en"",""zh-TW""),)"),"星期五")</f>
        <v>星期五</v>
      </c>
      <c r="E581" s="4" t="str">
        <f ca="1">IFERROR(__xludf.DUMMYFUNCTION("IFERROR(GOOGLETRANSLATE(B581,""en"",""zh-CN""),)"),"星期五")</f>
        <v>星期五</v>
      </c>
    </row>
    <row r="582" spans="1:5">
      <c r="A582" s="3" t="s">
        <v>1652</v>
      </c>
      <c r="B582" s="4" t="str">
        <f ca="1">IFERROR(__xludf.DUMMYFUNCTION("IFERROR(GOOGLETRANSLATE(A582,""ko"",""en""),)"),"Saturday")</f>
        <v>Saturday</v>
      </c>
      <c r="C582" s="4" t="str">
        <f ca="1">IFERROR(__xludf.DUMMYFUNCTION("IFERROR(GOOGLETRANSLATE(B582,""en"",""ja""),)"),"土曜日")</f>
        <v>土曜日</v>
      </c>
      <c r="D582" s="4" t="str">
        <f ca="1">IFERROR(__xludf.DUMMYFUNCTION("IFERROR(GOOGLETRANSLATE(B582,""en"",""zh-TW""),)"),"週六")</f>
        <v>週六</v>
      </c>
      <c r="E582" s="4" t="str">
        <f ca="1">IFERROR(__xludf.DUMMYFUNCTION("IFERROR(GOOGLETRANSLATE(B582,""en"",""zh-CN""),)"),"周六")</f>
        <v>周六</v>
      </c>
    </row>
    <row r="583" spans="1:5">
      <c r="A583" s="3" t="s">
        <v>2457</v>
      </c>
      <c r="B583" s="4" t="str">
        <f ca="1">IFERROR(__xludf.DUMMYFUNCTION("IFERROR(GOOGLETRANSLATE(A583,""ko"",""en""),)"),"It's seven one.")</f>
        <v>It's seven one.</v>
      </c>
      <c r="C583" s="4" t="str">
        <f ca="1">IFERROR(__xludf.DUMMYFUNCTION("IFERROR(GOOGLETRANSLATE(B583,""en"",""ja""),)"),"71です。")</f>
        <v>71です。</v>
      </c>
      <c r="D583" s="4" t="str">
        <f ca="1">IFERROR(__xludf.DUMMYFUNCTION("IFERROR(GOOGLETRANSLATE(B583,""en"",""zh-TW""),)"),"現在是七點一分。")</f>
        <v>現在是七點一分。</v>
      </c>
      <c r="E583" s="4" t="str">
        <f ca="1">IFERROR(__xludf.DUMMYFUNCTION("IFERROR(GOOGLETRANSLATE(B583,""en"",""zh-CN""),)"),"现在是七点一分。")</f>
        <v>现在是七点一分。</v>
      </c>
    </row>
    <row r="584" spans="1:5">
      <c r="A584" s="3" t="s">
        <v>1836</v>
      </c>
      <c r="B584" s="4" t="str">
        <f ca="1">IFERROR(__xludf.DUMMYFUNCTION("IFERROR(GOOGLETRANSLATE(A584,""ko"",""en""),)"),"birthday")</f>
        <v>birthday</v>
      </c>
      <c r="C584" s="4" t="str">
        <f ca="1">IFERROR(__xludf.DUMMYFUNCTION("IFERROR(GOOGLETRANSLATE(B584,""en"",""ja""),)"),"誕生日")</f>
        <v>誕生日</v>
      </c>
      <c r="D584" s="4" t="str">
        <f ca="1">IFERROR(__xludf.DUMMYFUNCTION("IFERROR(GOOGLETRANSLATE(B584,""en"",""zh-TW""),)"),"生日")</f>
        <v>生日</v>
      </c>
      <c r="E584" s="4" t="str">
        <f ca="1">IFERROR(__xludf.DUMMYFUNCTION("IFERROR(GOOGLETRANSLATE(B584,""en"",""zh-CN""),)"),"生日")</f>
        <v>生日</v>
      </c>
    </row>
    <row r="585" spans="1:5">
      <c r="A585" s="3" t="s">
        <v>2460</v>
      </c>
      <c r="B585" s="4" t="str">
        <f ca="1">IFERROR(__xludf.DUMMYFUNCTION("IFERROR(GOOGLETRANSLATE(A585,""ko"",""en""),)"),"My birthday")</f>
        <v>My birthday</v>
      </c>
      <c r="C585" s="4" t="str">
        <f ca="1">IFERROR(__xludf.DUMMYFUNCTION("IFERROR(GOOGLETRANSLATE(B585,""en"",""ja""),)"),"私の誕生日")</f>
        <v>私の誕生日</v>
      </c>
      <c r="D585" s="4" t="str">
        <f ca="1">IFERROR(__xludf.DUMMYFUNCTION("IFERROR(GOOGLETRANSLATE(B585,""en"",""zh-TW""),)"),"我的生日")</f>
        <v>我的生日</v>
      </c>
      <c r="E585" s="4" t="str">
        <f ca="1">IFERROR(__xludf.DUMMYFUNCTION("IFERROR(GOOGLETRANSLATE(B585,""en"",""zh-CN""),)"),"我的生日")</f>
        <v>我的生日</v>
      </c>
    </row>
    <row r="586" spans="1:5">
      <c r="A586" s="3" t="s">
        <v>1616</v>
      </c>
      <c r="B586" s="4" t="str">
        <f ca="1">IFERROR(__xludf.DUMMYFUNCTION("IFERROR(GOOGLETRANSLATE(A586,""ko"",""en""),)"),"When is your birthday?")</f>
        <v>When is your birthday?</v>
      </c>
      <c r="C586" s="4" t="str">
        <f ca="1">IFERROR(__xludf.DUMMYFUNCTION("IFERROR(GOOGLETRANSLATE(B586,""en"",""ja""),)"),"あなたの誕生日はいつですか？")</f>
        <v>あなたの誕生日はいつですか？</v>
      </c>
      <c r="D586" s="4" t="str">
        <f ca="1">IFERROR(__xludf.DUMMYFUNCTION("IFERROR(GOOGLETRANSLATE(B586,""en"",""zh-TW""),)"),"你的生日是什麼時候？")</f>
        <v>你的生日是什麼時候？</v>
      </c>
      <c r="E586" s="4" t="str">
        <f ca="1">IFERROR(__xludf.DUMMYFUNCTION("IFERROR(GOOGLETRANSLATE(B586,""en"",""zh-CN""),)"),"你的生日是什么时候？")</f>
        <v>你的生日是什么时候？</v>
      </c>
    </row>
    <row r="587" spans="1:5">
      <c r="A587" s="3" t="s">
        <v>1739</v>
      </c>
      <c r="B587" s="4" t="str">
        <f ca="1">IFERROR(__xludf.DUMMYFUNCTION("IFERROR(GOOGLETRANSLATE(A587,""ko"",""en""),)"),"when")</f>
        <v>when</v>
      </c>
      <c r="C587" s="4" t="str">
        <f ca="1">IFERROR(__xludf.DUMMYFUNCTION("IFERROR(GOOGLETRANSLATE(B587,""en"",""ja""),)"),"いつ")</f>
        <v>いつ</v>
      </c>
      <c r="D587" s="4" t="str">
        <f ca="1">IFERROR(__xludf.DUMMYFUNCTION("IFERROR(GOOGLETRANSLATE(B587,""en"",""zh-TW""),)"),"什麼時候")</f>
        <v>什麼時候</v>
      </c>
      <c r="E587" s="4" t="str">
        <f ca="1">IFERROR(__xludf.DUMMYFUNCTION("IFERROR(GOOGLETRANSLATE(B587,""en"",""zh-CN""),)"),"什么时候")</f>
        <v>什么时候</v>
      </c>
    </row>
    <row r="588" spans="1:5">
      <c r="A588" s="3" t="s">
        <v>1747</v>
      </c>
      <c r="B588" s="4" t="str">
        <f ca="1">IFERROR(__xludf.DUMMYFUNCTION("IFERROR(GOOGLETRANSLATE(A588,""ko"",""en""),)"),"weekend")</f>
        <v>weekend</v>
      </c>
      <c r="C588" s="4" t="str">
        <f ca="1">IFERROR(__xludf.DUMMYFUNCTION("IFERROR(GOOGLETRANSLATE(B588,""en"",""ja""),)"),"週末")</f>
        <v>週末</v>
      </c>
      <c r="D588" s="4" t="str">
        <f ca="1">IFERROR(__xludf.DUMMYFUNCTION("IFERROR(GOOGLETRANSLATE(B588,""en"",""zh-TW""),)"),"週末")</f>
        <v>週末</v>
      </c>
      <c r="E588" s="4" t="str">
        <f ca="1">IFERROR(__xludf.DUMMYFUNCTION("IFERROR(GOOGLETRANSLATE(B588,""en"",""zh-CN""),)"),"周末")</f>
        <v>周末</v>
      </c>
    </row>
    <row r="589" spans="1:5">
      <c r="A589" s="5" t="s">
        <v>1874</v>
      </c>
      <c r="B589" s="4" t="str">
        <f ca="1">IFERROR(__xludf.DUMMYFUNCTION("IFERROR(GOOGLETRANSLATE(A589,""ko"",""en""),)"),"weekdays")</f>
        <v>weekdays</v>
      </c>
      <c r="C589" s="4" t="str">
        <f ca="1">IFERROR(__xludf.DUMMYFUNCTION("IFERROR(GOOGLETRANSLATE(B589,""en"",""ja""),)"),"平日")</f>
        <v>平日</v>
      </c>
      <c r="D589" s="4" t="str">
        <f ca="1">IFERROR(__xludf.DUMMYFUNCTION("IFERROR(GOOGLETRANSLATE(B589,""en"",""zh-TW""),)"),"工作日")</f>
        <v>工作日</v>
      </c>
      <c r="E589" s="4" t="str">
        <f ca="1">IFERROR(__xludf.DUMMYFUNCTION("IFERROR(GOOGLETRANSLATE(B589,""en"",""zh-CN""),)"),"工作日")</f>
        <v>工作日</v>
      </c>
    </row>
    <row r="590" spans="1:5">
      <c r="A590" s="3" t="s">
        <v>1881</v>
      </c>
      <c r="B590" s="4" t="str">
        <f ca="1">IFERROR(__xludf.DUMMYFUNCTION("IFERROR(GOOGLETRANSLATE(A590,""ko"",""en""),)"),"weekdays")</f>
        <v>weekdays</v>
      </c>
      <c r="C590" s="4" t="str">
        <f ca="1">IFERROR(__xludf.DUMMYFUNCTION("IFERROR(GOOGLETRANSLATE(B590,""en"",""ja""),)"),"平日")</f>
        <v>平日</v>
      </c>
      <c r="D590" s="4" t="str">
        <f ca="1">IFERROR(__xludf.DUMMYFUNCTION("IFERROR(GOOGLETRANSLATE(B590,""en"",""zh-TW""),)"),"工作日")</f>
        <v>工作日</v>
      </c>
      <c r="E590" s="4" t="str">
        <f ca="1">IFERROR(__xludf.DUMMYFUNCTION("IFERROR(GOOGLETRANSLATE(B590,""en"",""zh-CN""),)"),"工作日")</f>
        <v>工作日</v>
      </c>
    </row>
    <row r="591" spans="1:5">
      <c r="A591" s="3" t="s">
        <v>1758</v>
      </c>
      <c r="B591" s="4" t="str">
        <f ca="1">IFERROR(__xludf.DUMMYFUNCTION("IFERROR(GOOGLETRANSLATE(A591,""ko"",""en""),)"),"class")</f>
        <v>class</v>
      </c>
      <c r="C591" s="4" t="str">
        <f ca="1">IFERROR(__xludf.DUMMYFUNCTION("IFERROR(GOOGLETRANSLATE(B591,""en"",""ja""),)"),"クラス")</f>
        <v>クラス</v>
      </c>
      <c r="D591" s="4" t="str">
        <f ca="1">IFERROR(__xludf.DUMMYFUNCTION("IFERROR(GOOGLETRANSLATE(B591,""en"",""zh-TW""),)"),"班級")</f>
        <v>班級</v>
      </c>
      <c r="E591" s="4" t="str">
        <f ca="1">IFERROR(__xludf.DUMMYFUNCTION("IFERROR(GOOGLETRANSLATE(B591,""en"",""zh-CN""),)"),"班级")</f>
        <v>班级</v>
      </c>
    </row>
    <row r="592" spans="1:5">
      <c r="A592" s="3" t="s">
        <v>2472</v>
      </c>
      <c r="B592" s="4" t="str">
        <f ca="1">IFERROR(__xludf.DUMMYFUNCTION("IFERROR(GOOGLETRANSLATE(A592,""ko"",""en""),)"),"travel")</f>
        <v>travel</v>
      </c>
      <c r="C592" s="4" t="str">
        <f ca="1">IFERROR(__xludf.DUMMYFUNCTION("IFERROR(GOOGLETRANSLATE(B592,""en"",""ja""),)"),"旅行")</f>
        <v>旅行</v>
      </c>
      <c r="D592" s="4" t="str">
        <f ca="1">IFERROR(__xludf.DUMMYFUNCTION("IFERROR(GOOGLETRANSLATE(B592,""en"",""zh-TW""),)"),"旅行")</f>
        <v>旅行</v>
      </c>
      <c r="E592" s="4" t="str">
        <f ca="1">IFERROR(__xludf.DUMMYFUNCTION("IFERROR(GOOGLETRANSLATE(B592,""en"",""zh-CN""),)"),"旅行")</f>
        <v>旅行</v>
      </c>
    </row>
    <row r="593" spans="1:5">
      <c r="A593" s="3" t="s">
        <v>2474</v>
      </c>
      <c r="B593" s="4" t="str">
        <f ca="1">IFERROR(__xludf.DUMMYFUNCTION("IFERROR(GOOGLETRANSLATE(A593,""ko"",""en""),)"),"A few days")</f>
        <v>A few days</v>
      </c>
      <c r="C593" s="4" t="str">
        <f ca="1">IFERROR(__xludf.DUMMYFUNCTION("IFERROR(GOOGLETRANSLATE(B593,""en"",""ja""),)"),"数日")</f>
        <v>数日</v>
      </c>
      <c r="D593" s="4" t="str">
        <f ca="1">IFERROR(__xludf.DUMMYFUNCTION("IFERROR(GOOGLETRANSLATE(B593,""en"",""zh-TW""),)"),"幾天")</f>
        <v>幾天</v>
      </c>
      <c r="E593" s="4" t="str">
        <f ca="1">IFERROR(__xludf.DUMMYFUNCTION("IFERROR(GOOGLETRANSLATE(B593,""en"",""zh-CN""),)"),"几天")</f>
        <v>几天</v>
      </c>
    </row>
    <row r="594" spans="1:5">
      <c r="A594" s="3" t="s">
        <v>2477</v>
      </c>
      <c r="B594" s="4" t="str">
        <f ca="1">IFERROR(__xludf.DUMMYFUNCTION("IFERROR(GOOGLETRANSLATE(A594,""ko"",""en""),)"),"picture")</f>
        <v>picture</v>
      </c>
      <c r="C594" s="4" t="str">
        <f ca="1">IFERROR(__xludf.DUMMYFUNCTION("IFERROR(GOOGLETRANSLATE(B594,""en"",""ja""),)"),"写真")</f>
        <v>写真</v>
      </c>
      <c r="D594" s="4" t="str">
        <f ca="1">IFERROR(__xludf.DUMMYFUNCTION("IFERROR(GOOGLETRANSLATE(B594,""en"",""zh-TW""),)"),"圖片")</f>
        <v>圖片</v>
      </c>
      <c r="E594" s="4" t="str">
        <f ca="1">IFERROR(__xludf.DUMMYFUNCTION("IFERROR(GOOGLETRANSLATE(B594,""en"",""zh-CN""),)"),"图片")</f>
        <v>图片</v>
      </c>
    </row>
    <row r="595" spans="1:5">
      <c r="A595" s="3" t="s">
        <v>2480</v>
      </c>
      <c r="B595" s="4" t="str">
        <f ca="1">IFERROR(__xludf.DUMMYFUNCTION("IFERROR(GOOGLETRANSLATE(A595,""ko"",""en""),)"),"I take a picture.")</f>
        <v>I take a picture.</v>
      </c>
      <c r="C595" s="4" t="str">
        <f ca="1">IFERROR(__xludf.DUMMYFUNCTION("IFERROR(GOOGLETRANSLATE(B595,""en"",""ja""),)"),"私は写真を撮る。")</f>
        <v>私は写真を撮る。</v>
      </c>
      <c r="D595" s="4" t="str">
        <f ca="1">IFERROR(__xludf.DUMMYFUNCTION("IFERROR(GOOGLETRANSLATE(B595,""en"",""zh-TW""),)"),"我拍張照片。")</f>
        <v>我拍張照片。</v>
      </c>
      <c r="E595" s="4" t="str">
        <f ca="1">IFERROR(__xludf.DUMMYFUNCTION("IFERROR(GOOGLETRANSLATE(B595,""en"",""zh-CN""),)"),"我拍张照片。")</f>
        <v>我拍张照片。</v>
      </c>
    </row>
    <row r="596" spans="1:5">
      <c r="A596" s="3" t="s">
        <v>2079</v>
      </c>
      <c r="B596" s="4" t="str">
        <f ca="1">IFERROR(__xludf.DUMMYFUNCTION("IFERROR(GOOGLETRANSLATE(A596,""ko"",""en""),)"),"meeting")</f>
        <v>meeting</v>
      </c>
      <c r="C596" s="4" t="str">
        <f ca="1">IFERROR(__xludf.DUMMYFUNCTION("IFERROR(GOOGLETRANSLATE(B596,""en"",""ja""),)"),"ミーティング")</f>
        <v>ミーティング</v>
      </c>
      <c r="D596" s="4" t="str">
        <f ca="1">IFERROR(__xludf.DUMMYFUNCTION("IFERROR(GOOGLETRANSLATE(B596,""en"",""zh-TW""),)"),"會議")</f>
        <v>會議</v>
      </c>
      <c r="E596" s="4" t="str">
        <f ca="1">IFERROR(__xludf.DUMMYFUNCTION("IFERROR(GOOGLETRANSLATE(B596,""en"",""zh-CN""),)"),"会议")</f>
        <v>会议</v>
      </c>
    </row>
    <row r="597" spans="1:5">
      <c r="A597" s="3" t="s">
        <v>2483</v>
      </c>
      <c r="B597" s="4" t="str">
        <f ca="1">IFERROR(__xludf.DUMMYFUNCTION("IFERROR(GOOGLETRANSLATE(A597,""ko"",""en""),)"),"meeting")</f>
        <v>meeting</v>
      </c>
      <c r="C597" s="4" t="str">
        <f ca="1">IFERROR(__xludf.DUMMYFUNCTION("IFERROR(GOOGLETRANSLATE(B597,""en"",""ja""),)"),"ミーティング")</f>
        <v>ミーティング</v>
      </c>
      <c r="D597" s="4" t="str">
        <f ca="1">IFERROR(__xludf.DUMMYFUNCTION("IFERROR(GOOGLETRANSLATE(B597,""en"",""zh-TW""),)"),"會議")</f>
        <v>會議</v>
      </c>
      <c r="E597" s="4" t="str">
        <f ca="1">IFERROR(__xludf.DUMMYFUNCTION("IFERROR(GOOGLETRANSLATE(B597,""en"",""zh-CN""),)"),"会议")</f>
        <v>会议</v>
      </c>
    </row>
    <row r="598" spans="1:5">
      <c r="A598" s="3" t="s">
        <v>23</v>
      </c>
      <c r="B598" s="4" t="str">
        <f ca="1">IFERROR(__xludf.DUMMYFUNCTION("IFERROR(GOOGLETRANSLATE(A598,""ko"",""en""),)"),"afternoon")</f>
        <v>afternoon</v>
      </c>
      <c r="C598" s="4" t="str">
        <f ca="1">IFERROR(__xludf.DUMMYFUNCTION("IFERROR(GOOGLETRANSLATE(B598,""en"",""ja""),)"),"午後")</f>
        <v>午後</v>
      </c>
      <c r="D598" s="4" t="str">
        <f ca="1">IFERROR(__xludf.DUMMYFUNCTION("IFERROR(GOOGLETRANSLATE(B598,""en"",""zh-TW""),)"),"午安")</f>
        <v>午安</v>
      </c>
      <c r="E598" s="4" t="str">
        <f ca="1">IFERROR(__xludf.DUMMYFUNCTION("IFERROR(GOOGLETRANSLATE(B598,""en"",""zh-CN""),)"),"下午")</f>
        <v>下午</v>
      </c>
    </row>
    <row r="599" spans="1:5">
      <c r="A599" s="3" t="s">
        <v>29</v>
      </c>
      <c r="B599" s="4" t="str">
        <f ca="1">IFERROR(__xludf.DUMMYFUNCTION("IFERROR(GOOGLETRANSLATE(A599,""ko"",""en""),)"),"night")</f>
        <v>night</v>
      </c>
      <c r="C599" s="4" t="str">
        <f ca="1">IFERROR(__xludf.DUMMYFUNCTION("IFERROR(GOOGLETRANSLATE(B599,""en"",""ja""),)"),"夜")</f>
        <v>夜</v>
      </c>
      <c r="D599" s="4" t="str">
        <f ca="1">IFERROR(__xludf.DUMMYFUNCTION("IFERROR(GOOGLETRANSLATE(B599,""en"",""zh-TW""),)"),"夜晚")</f>
        <v>夜晚</v>
      </c>
      <c r="E599" s="4" t="str">
        <f ca="1">IFERROR(__xludf.DUMMYFUNCTION("IFERROR(GOOGLETRANSLATE(B599,""en"",""zh-CN""),)"),"夜晚")</f>
        <v>夜晚</v>
      </c>
    </row>
    <row r="600" spans="1:5">
      <c r="A600" s="3" t="s">
        <v>2489</v>
      </c>
      <c r="B600" s="4" t="str">
        <f ca="1">IFERROR(__xludf.DUMMYFUNCTION("IFERROR(GOOGLETRANSLATE(A600,""ko"",""en""),)"),"afternoon")</f>
        <v>afternoon</v>
      </c>
      <c r="C600" s="4" t="str">
        <f ca="1">IFERROR(__xludf.DUMMYFUNCTION("IFERROR(GOOGLETRANSLATE(B600,""en"",""ja""),)"),"午後")</f>
        <v>午後</v>
      </c>
      <c r="D600" s="4" t="str">
        <f ca="1">IFERROR(__xludf.DUMMYFUNCTION("IFERROR(GOOGLETRANSLATE(B600,""en"",""zh-TW""),)"),"午安")</f>
        <v>午安</v>
      </c>
      <c r="E600" s="4" t="str">
        <f ca="1">IFERROR(__xludf.DUMMYFUNCTION("IFERROR(GOOGLETRANSLATE(B600,""en"",""zh-CN""),)"),"下午")</f>
        <v>下午</v>
      </c>
    </row>
    <row r="601" spans="1:5">
      <c r="A601" s="3" t="s">
        <v>199</v>
      </c>
      <c r="B601" s="4" t="str">
        <f ca="1">IFERROR(__xludf.DUMMYFUNCTION("IFERROR(GOOGLETRANSLATE(A601,""ko"",""en""),)"),"drama")</f>
        <v>drama</v>
      </c>
      <c r="C601" s="4" t="str">
        <f ca="1">IFERROR(__xludf.DUMMYFUNCTION("IFERROR(GOOGLETRANSLATE(B601,""en"",""ja""),)"),"ドラマ")</f>
        <v>ドラマ</v>
      </c>
      <c r="D601" s="4" t="str">
        <f ca="1">IFERROR(__xludf.DUMMYFUNCTION("IFERROR(GOOGLETRANSLATE(B601,""en"",""zh-TW""),)"),"戲劇")</f>
        <v>戲劇</v>
      </c>
      <c r="E601" s="4" t="str">
        <f ca="1">IFERROR(__xludf.DUMMYFUNCTION("IFERROR(GOOGLETRANSLATE(B601,""en"",""zh-CN""),)"),"戏剧")</f>
        <v>戏剧</v>
      </c>
    </row>
    <row r="602" spans="1:5">
      <c r="A602" s="3" t="s">
        <v>2492</v>
      </c>
      <c r="B602" s="4" t="str">
        <f ca="1">IFERROR(__xludf.DUMMYFUNCTION("IFERROR(GOOGLETRANSLATE(A602,""ko"",""en""),)"),"start")</f>
        <v>start</v>
      </c>
      <c r="C602" s="4" t="str">
        <f ca="1">IFERROR(__xludf.DUMMYFUNCTION("IFERROR(GOOGLETRANSLATE(B602,""en"",""ja""),)"),"始める")</f>
        <v>始める</v>
      </c>
      <c r="D602" s="4" t="str">
        <f ca="1">IFERROR(__xludf.DUMMYFUNCTION("IFERROR(GOOGLETRANSLATE(B602,""en"",""zh-TW""),)"),"開始")</f>
        <v>開始</v>
      </c>
      <c r="E602" s="4" t="str">
        <f ca="1">IFERROR(__xludf.DUMMYFUNCTION("IFERROR(GOOGLETRANSLATE(B602,""en"",""zh-CN""),)"),"开始")</f>
        <v>开始</v>
      </c>
    </row>
    <row r="603" spans="1:5">
      <c r="A603" s="3" t="s">
        <v>1762</v>
      </c>
      <c r="B603" s="4" t="str">
        <f ca="1">IFERROR(__xludf.DUMMYFUNCTION("IFERROR(GOOGLETRANSLATE(A603,""ko"",""en""),)"),"morning")</f>
        <v>morning</v>
      </c>
      <c r="C603" s="4" t="str">
        <f ca="1">IFERROR(__xludf.DUMMYFUNCTION("IFERROR(GOOGLETRANSLATE(B603,""en"",""ja""),)"),"朝")</f>
        <v>朝</v>
      </c>
      <c r="D603" s="4" t="str">
        <f ca="1">IFERROR(__xludf.DUMMYFUNCTION("IFERROR(GOOGLETRANSLATE(B603,""en"",""zh-TW""),)"),"早晨")</f>
        <v>早晨</v>
      </c>
      <c r="E603" s="4" t="str">
        <f ca="1">IFERROR(__xludf.DUMMYFUNCTION("IFERROR(GOOGLETRANSLATE(B603,""en"",""zh-CN""),)"),"早晨")</f>
        <v>早晨</v>
      </c>
    </row>
    <row r="604" spans="1:5">
      <c r="A604" s="3" t="s">
        <v>2183</v>
      </c>
      <c r="B604" s="4" t="str">
        <f ca="1">IFERROR(__xludf.DUMMYFUNCTION("IFERROR(GOOGLETRANSLATE(A604,""ko"",""en""),)"),"lunch")</f>
        <v>lunch</v>
      </c>
      <c r="C604" s="4" t="str">
        <f ca="1">IFERROR(__xludf.DUMMYFUNCTION("IFERROR(GOOGLETRANSLATE(B604,""en"",""ja""),)"),"ランチ")</f>
        <v>ランチ</v>
      </c>
      <c r="D604" s="4" t="str">
        <f ca="1">IFERROR(__xludf.DUMMYFUNCTION("IFERROR(GOOGLETRANSLATE(B604,""en"",""zh-TW""),)"),"午餐")</f>
        <v>午餐</v>
      </c>
      <c r="E604" s="4" t="str">
        <f ca="1">IFERROR(__xludf.DUMMYFUNCTION("IFERROR(GOOGLETRANSLATE(B604,""en"",""zh-CN""),)"),"午餐")</f>
        <v>午餐</v>
      </c>
    </row>
    <row r="605" spans="1:5">
      <c r="A605" s="3" t="s">
        <v>230</v>
      </c>
      <c r="B605" s="4" t="str">
        <f ca="1">IFERROR(__xludf.DUMMYFUNCTION("IFERROR(GOOGLETRANSLATE(A605,""ko"",""en""),)"),"dinner")</f>
        <v>dinner</v>
      </c>
      <c r="C605" s="4" t="str">
        <f ca="1">IFERROR(__xludf.DUMMYFUNCTION("IFERROR(GOOGLETRANSLATE(B605,""en"",""ja""),)"),"夕食")</f>
        <v>夕食</v>
      </c>
      <c r="D605" s="4" t="str">
        <f ca="1">IFERROR(__xludf.DUMMYFUNCTION("IFERROR(GOOGLETRANSLATE(B605,""en"",""zh-TW""),)"),"晚餐")</f>
        <v>晚餐</v>
      </c>
      <c r="E605" s="4" t="str">
        <f ca="1">IFERROR(__xludf.DUMMYFUNCTION("IFERROR(GOOGLETRANSLATE(B605,""en"",""zh-CN""),)"),"晚餐")</f>
        <v>晚餐</v>
      </c>
    </row>
    <row r="606" spans="1:5">
      <c r="A606" s="3" t="s">
        <v>2498</v>
      </c>
      <c r="B606" s="4" t="str">
        <f ca="1">IFERROR(__xludf.DUMMYFUNCTION("IFERROR(GOOGLETRANSLATE(A606,""ko"",""en""),)"),"Day")</f>
        <v>Day</v>
      </c>
      <c r="C606" s="4" t="str">
        <f ca="1">IFERROR(__xludf.DUMMYFUNCTION("IFERROR(GOOGLETRANSLATE(B606,""en"",""ja""),)"),"日")</f>
        <v>日</v>
      </c>
      <c r="D606" s="4" t="str">
        <f ca="1">IFERROR(__xludf.DUMMYFUNCTION("IFERROR(GOOGLETRANSLATE(B606,""en"",""zh-TW""),)"),"天")</f>
        <v>天</v>
      </c>
      <c r="E606" s="4" t="str">
        <f ca="1">IFERROR(__xludf.DUMMYFUNCTION("IFERROR(GOOGLETRANSLATE(B606,""en"",""zh-CN""),)"),"天")</f>
        <v>天</v>
      </c>
    </row>
    <row r="607" spans="1:5">
      <c r="A607" s="3" t="s">
        <v>170</v>
      </c>
      <c r="B607" s="4" t="str">
        <f ca="1">IFERROR(__xludf.DUMMYFUNCTION("IFERROR(GOOGLETRANSLATE(A607,""ko"",""en""),)"),"day")</f>
        <v>day</v>
      </c>
      <c r="C607" s="4" t="str">
        <f ca="1">IFERROR(__xludf.DUMMYFUNCTION("IFERROR(GOOGLETRANSLATE(B607,""en"",""ja""),)"),"日")</f>
        <v>日</v>
      </c>
      <c r="D607" s="4" t="str">
        <f ca="1">IFERROR(__xludf.DUMMYFUNCTION("IFERROR(GOOGLETRANSLATE(B607,""en"",""zh-TW""),)"),"天")</f>
        <v>天</v>
      </c>
      <c r="E607" s="4" t="str">
        <f ca="1">IFERROR(__xludf.DUMMYFUNCTION("IFERROR(GOOGLETRANSLATE(B607,""en"",""zh-CN""),)"),"天")</f>
        <v>天</v>
      </c>
    </row>
    <row r="608" spans="1:5">
      <c r="A608" s="3" t="s">
        <v>2503</v>
      </c>
      <c r="B608" s="4" t="str">
        <f ca="1">IFERROR(__xludf.DUMMYFUNCTION("IFERROR(GOOGLETRANSLATE(A608,""ko"",""en""),)"),"I'm going to Sejong Institute.")</f>
        <v>I'm going to Sejong Institute.</v>
      </c>
      <c r="C608" s="4" t="str">
        <f ca="1">IFERROR(__xludf.DUMMYFUNCTION("IFERROR(GOOGLETRANSLATE(B608,""en"",""ja""),)"),"私は世宗学院に通います。")</f>
        <v>私は世宗学院に通います。</v>
      </c>
      <c r="D608" s="4" t="str">
        <f ca="1">IFERROR(__xludf.DUMMYFUNCTION("IFERROR(GOOGLETRANSLATE(B608,""en"",""zh-TW""),)"),"我要去世宗學院。")</f>
        <v>我要去世宗學院。</v>
      </c>
      <c r="E608" s="4" t="str">
        <f ca="1">IFERROR(__xludf.DUMMYFUNCTION("IFERROR(GOOGLETRANSLATE(B608,""en"",""zh-CN""),)"),"我要去世宗学院。")</f>
        <v>我要去世宗学院。</v>
      </c>
    </row>
    <row r="609" spans="1:5">
      <c r="A609" s="3" t="s">
        <v>2505</v>
      </c>
      <c r="B609" s="4" t="str">
        <f ca="1">IFERROR(__xludf.DUMMYFUNCTION("IFERROR(GOOGLETRANSLATE(A609,""ko"",""en""),)"),"I'm going to the supermarket.")</f>
        <v>I'm going to the supermarket.</v>
      </c>
      <c r="C609" s="4" t="str">
        <f ca="1">IFERROR(__xludf.DUMMYFUNCTION("IFERROR(GOOGLETRANSLATE(B609,""en"",""ja""),)"),"スーパーマーケットに行きます。")</f>
        <v>スーパーマーケットに行きます。</v>
      </c>
      <c r="D609" s="4" t="str">
        <f ca="1">IFERROR(__xludf.DUMMYFUNCTION("IFERROR(GOOGLETRANSLATE(B609,""en"",""zh-TW""),)"),"我要去超市。")</f>
        <v>我要去超市。</v>
      </c>
      <c r="E609" s="4" t="str">
        <f ca="1">IFERROR(__xludf.DUMMYFUNCTION("IFERROR(GOOGLETRANSLATE(B609,""en"",""zh-CN""),)"),"我要去超市。")</f>
        <v>我要去超市。</v>
      </c>
    </row>
    <row r="610" spans="1:5">
      <c r="A610" s="3" t="s">
        <v>2509</v>
      </c>
      <c r="B610" s="4" t="str">
        <f ca="1">IFERROR(__xludf.DUMMYFUNCTION("IFERROR(GOOGLETRANSLATE(A610,""ko"",""en""),)"),"Marie goes to the department store.")</f>
        <v>Marie goes to the department store.</v>
      </c>
      <c r="C610" s="4" t="str">
        <f ca="1">IFERROR(__xludf.DUMMYFUNCTION("IFERROR(GOOGLETRANSLATE(B610,""en"",""ja""),)"),"マリーはデパートに行く。")</f>
        <v>マリーはデパートに行く。</v>
      </c>
      <c r="D610" s="4" t="str">
        <f ca="1">IFERROR(__xludf.DUMMYFUNCTION("IFERROR(GOOGLETRANSLATE(B610,""en"",""zh-TW""),)"),"瑪麗去了百貨公司。")</f>
        <v>瑪麗去了百貨公司。</v>
      </c>
      <c r="E610" s="4" t="str">
        <f ca="1">IFERROR(__xludf.DUMMYFUNCTION("IFERROR(GOOGLETRANSLATE(B610,""en"",""zh-CN""),)"),"玛丽去了百货商店。")</f>
        <v>玛丽去了百货商店。</v>
      </c>
    </row>
    <row r="611" spans="1:5">
      <c r="A611" s="3" t="s">
        <v>2512</v>
      </c>
      <c r="B611" s="4" t="str">
        <f ca="1">IFERROR(__xludf.DUMMYFUNCTION("IFERROR(GOOGLETRANSLATE(A611,""ko"",""en""),)"),"Mari, where are you going?")</f>
        <v>Mari, where are you going?</v>
      </c>
      <c r="C611" s="4" t="str">
        <f ca="1">IFERROR(__xludf.DUMMYFUNCTION("IFERROR(GOOGLETRANSLATE(B611,""en"",""ja""),)"),"マリ、どこへ行くの？")</f>
        <v>マリ、どこへ行くの？</v>
      </c>
      <c r="D611" s="4" t="str">
        <f ca="1">IFERROR(__xludf.DUMMYFUNCTION("IFERROR(GOOGLETRANSLATE(B611,""en"",""zh-TW""),)"),"瑪麗，你要去哪裡？")</f>
        <v>瑪麗，你要去哪裡？</v>
      </c>
      <c r="E611" s="4" t="str">
        <f ca="1">IFERROR(__xludf.DUMMYFUNCTION("IFERROR(GOOGLETRANSLATE(B611,""en"",""zh-CN""),)"),"玛丽，你要去哪里？")</f>
        <v>玛丽，你要去哪里？</v>
      </c>
    </row>
    <row r="612" spans="1:5">
      <c r="A612" s="3" t="s">
        <v>2513</v>
      </c>
      <c r="B612" s="4" t="str">
        <f ca="1">IFERROR(__xludf.DUMMYFUNCTION("IFERROR(GOOGLETRANSLATE(A612,""ko"",""en""),)"),"I'm going to the movie theater.")</f>
        <v>I'm going to the movie theater.</v>
      </c>
      <c r="C612" s="4" t="str">
        <f ca="1">IFERROR(__xludf.DUMMYFUNCTION("IFERROR(GOOGLETRANSLATE(B612,""en"",""ja""),)"),"映画館に行くよ。")</f>
        <v>映画館に行くよ。</v>
      </c>
      <c r="D612" s="4" t="str">
        <f ca="1">IFERROR(__xludf.DUMMYFUNCTION("IFERROR(GOOGLETRANSLATE(B612,""en"",""zh-TW""),)"),"我要去電影院。")</f>
        <v>我要去電影院。</v>
      </c>
      <c r="E612" s="4" t="str">
        <f ca="1">IFERROR(__xludf.DUMMYFUNCTION("IFERROR(GOOGLETRANSLATE(B612,""en"",""zh-CN""),)"),"我要去电影院。")</f>
        <v>我要去电影院。</v>
      </c>
    </row>
    <row r="613" spans="1:5">
      <c r="A613" s="3" t="s">
        <v>2516</v>
      </c>
      <c r="B613" s="4" t="str">
        <f ca="1">IFERROR(__xludf.DUMMYFUNCTION("IFERROR(GOOGLETRANSLATE(A613,""ko"",""en""),)"),"Jaemin, are you going home?")</f>
        <v>Jaemin, are you going home?</v>
      </c>
      <c r="C613" s="4" t="str">
        <f ca="1">IFERROR(__xludf.DUMMYFUNCTION("IFERROR(GOOGLETRANSLATE(B613,""en"",""ja""),)"),"ジェミン、家に帰るの？")</f>
        <v>ジェミン、家に帰るの？</v>
      </c>
      <c r="D613" s="4" t="str">
        <f ca="1">IFERROR(__xludf.DUMMYFUNCTION("IFERROR(GOOGLETRANSLATE(B613,""en"",""zh-TW""),)"),"渽民，你要回家嗎？")</f>
        <v>渽民，你要回家嗎？</v>
      </c>
      <c r="E613" s="4" t="str">
        <f ca="1">IFERROR(__xludf.DUMMYFUNCTION("IFERROR(GOOGLETRANSLATE(B613,""en"",""zh-CN""),)"),"渽民，你要回家吗？")</f>
        <v>渽民，你要回家吗？</v>
      </c>
    </row>
    <row r="614" spans="1:5">
      <c r="A614" s="3" t="s">
        <v>2520</v>
      </c>
      <c r="B614" s="4" t="str">
        <f ca="1">IFERROR(__xludf.DUMMYFUNCTION("IFERROR(GOOGLETRANSLATE(A614,""ko"",""en""),)"),"No, I'm going to the department store.")</f>
        <v>No, I'm going to the department store.</v>
      </c>
      <c r="C614" s="4" t="str">
        <f ca="1">IFERROR(__xludf.DUMMYFUNCTION("IFERROR(GOOGLETRANSLATE(B614,""en"",""ja""),)"),"いいえ、デパートに行くんです。")</f>
        <v>いいえ、デパートに行くんです。</v>
      </c>
      <c r="D614" s="4" t="str">
        <f ca="1">IFERROR(__xludf.DUMMYFUNCTION("IFERROR(GOOGLETRANSLATE(B614,""en"",""zh-TW""),)"),"不，我要去百貨公司。")</f>
        <v>不，我要去百貨公司。</v>
      </c>
      <c r="E614" s="4" t="str">
        <f ca="1">IFERROR(__xludf.DUMMYFUNCTION("IFERROR(GOOGLETRANSLATE(B614,""en"",""zh-CN""),)"),"不，我要去百货商店。")</f>
        <v>不，我要去百货商店。</v>
      </c>
    </row>
    <row r="615" spans="1:5">
      <c r="A615" s="3" t="s">
        <v>2524</v>
      </c>
      <c r="B615" s="4" t="str">
        <f ca="1">IFERROR(__xludf.DUMMYFUNCTION("IFERROR(GOOGLETRANSLATE(A615,""ko"",""en""),)"),"I bought a gift for my father.")</f>
        <v>I bought a gift for my father.</v>
      </c>
      <c r="C615" s="4" t="str">
        <f ca="1">IFERROR(__xludf.DUMMYFUNCTION("IFERROR(GOOGLETRANSLATE(B615,""en"",""ja""),)"),"私は父へのプレゼントを買いました。")</f>
        <v>私は父へのプレゼントを買いました。</v>
      </c>
      <c r="D615" s="4" t="str">
        <f ca="1">IFERROR(__xludf.DUMMYFUNCTION("IFERROR(GOOGLETRANSLATE(B615,""en"",""zh-TW""),)"),"我買了一份禮物給父親。")</f>
        <v>我買了一份禮物給父親。</v>
      </c>
      <c r="E615" s="4" t="str">
        <f ca="1">IFERROR(__xludf.DUMMYFUNCTION("IFERROR(GOOGLETRANSLATE(B615,""en"",""zh-CN""),)"),"我给父亲买了一份礼物。")</f>
        <v>我给父亲买了一份礼物。</v>
      </c>
    </row>
    <row r="616" spans="1:5">
      <c r="A616" s="3" t="s">
        <v>2529</v>
      </c>
      <c r="B616" s="4" t="str">
        <f ca="1">IFERROR(__xludf.DUMMYFUNCTION("IFERROR(GOOGLETRANSLATE(A616,""ko"",""en""),)"),"I eat ramen and gimbap.")</f>
        <v>I eat ramen and gimbap.</v>
      </c>
      <c r="C616" s="4" t="str">
        <f ca="1">IFERROR(__xludf.DUMMYFUNCTION("IFERROR(GOOGLETRANSLATE(B616,""en"",""ja""),)"),"私はラーメンとキンパを食べます。")</f>
        <v>私はラーメンとキンパを食べます。</v>
      </c>
      <c r="D616" s="4" t="str">
        <f ca="1">IFERROR(__xludf.DUMMYFUNCTION("IFERROR(GOOGLETRANSLATE(B616,""en"",""zh-TW""),)"),"我吃拉麵和紫菜包飯。")</f>
        <v>我吃拉麵和紫菜包飯。</v>
      </c>
      <c r="E616" s="4" t="str">
        <f ca="1">IFERROR(__xludf.DUMMYFUNCTION("IFERROR(GOOGLETRANSLATE(B616,""en"",""zh-CN""),)"),"我吃拉面和紫菜包饭。")</f>
        <v>我吃拉面和紫菜包饭。</v>
      </c>
    </row>
    <row r="617" spans="1:5">
      <c r="A617" s="3" t="s">
        <v>2534</v>
      </c>
      <c r="B617" s="4" t="str">
        <f ca="1">IFERROR(__xludf.DUMMYFUNCTION("IFERROR(GOOGLETRANSLATE(A617,""ko"",""en""),)"),"Yujin buys cosmetics and bags.")</f>
        <v>Yujin buys cosmetics and bags.</v>
      </c>
      <c r="C617" s="4" t="str">
        <f ca="1">IFERROR(__xludf.DUMMYFUNCTION("IFERROR(GOOGLETRANSLATE(B617,""en"",""ja""),)"),"ユジンは化粧品とバッグを買う。")</f>
        <v>ユジンは化粧品とバッグを買う。</v>
      </c>
      <c r="D617" s="4" t="str">
        <f ca="1">IFERROR(__xludf.DUMMYFUNCTION("IFERROR(GOOGLETRANSLATE(B617,""en"",""zh-TW""),)"),"裕真購買化妝品和包包。")</f>
        <v>裕真購買化妝品和包包。</v>
      </c>
      <c r="E617" s="4" t="str">
        <f ca="1">IFERROR(__xludf.DUMMYFUNCTION("IFERROR(GOOGLETRANSLATE(B617,""en"",""zh-CN""),)"),"裕真购买化妆品和包包。")</f>
        <v>裕真购买化妆品和包包。</v>
      </c>
    </row>
    <row r="618" spans="1:5">
      <c r="A618" s="3" t="s">
        <v>362</v>
      </c>
      <c r="B618" s="4" t="str">
        <f ca="1">IFERROR(__xludf.DUMMYFUNCTION("IFERROR(GOOGLETRANSLATE(A618,""ko"",""en""),)"),"There is a clock and a blackboard.")</f>
        <v>There is a clock and a blackboard.</v>
      </c>
      <c r="C618" s="4" t="str">
        <f ca="1">IFERROR(__xludf.DUMMYFUNCTION("IFERROR(GOOGLETRANSLATE(B618,""en"",""ja""),)"),"時計と黒板がある。")</f>
        <v>時計と黒板がある。</v>
      </c>
      <c r="D618" s="4" t="str">
        <f ca="1">IFERROR(__xludf.DUMMYFUNCTION("IFERROR(GOOGLETRANSLATE(B618,""en"",""zh-TW""),)"),"這裡有一座鐘和一塊黑板。")</f>
        <v>這裡有一座鐘和一塊黑板。</v>
      </c>
      <c r="E618" s="4" t="str">
        <f ca="1">IFERROR(__xludf.DUMMYFUNCTION("IFERROR(GOOGLETRANSLATE(B618,""en"",""zh-CN""),)"),"这里有一座钟和一块黑板。")</f>
        <v>这里有一座钟和一块黑板。</v>
      </c>
    </row>
    <row r="619" spans="1:5">
      <c r="A619" s="3" t="s">
        <v>1051</v>
      </c>
      <c r="B619" s="4" t="str">
        <f ca="1">IFERROR(__xludf.DUMMYFUNCTION("IFERROR(GOOGLETRANSLATE(A619,""ko"",""en""),)"),"What are you buying?")</f>
        <v>What are you buying?</v>
      </c>
      <c r="C619" s="4" t="str">
        <f ca="1">IFERROR(__xludf.DUMMYFUNCTION("IFERROR(GOOGLETRANSLATE(B619,""en"",""ja""),)"),"何を買うんですか？")</f>
        <v>何を買うんですか？</v>
      </c>
      <c r="D619" s="4" t="str">
        <f ca="1">IFERROR(__xludf.DUMMYFUNCTION("IFERROR(GOOGLETRANSLATE(B619,""en"",""zh-TW""),)"),"你在買什麼？")</f>
        <v>你在買什麼？</v>
      </c>
      <c r="E619" s="4" t="str">
        <f ca="1">IFERROR(__xludf.DUMMYFUNCTION("IFERROR(GOOGLETRANSLATE(B619,""en"",""zh-CN""),)"),"你在买什么？")</f>
        <v>你在买什么？</v>
      </c>
    </row>
    <row r="620" spans="1:5">
      <c r="A620" s="3" t="s">
        <v>2544</v>
      </c>
      <c r="B620" s="4" t="str">
        <f ca="1">IFERROR(__xludf.DUMMYFUNCTION("IFERROR(GOOGLETRANSLATE(A620,""ko"",""en""),)"),"I'm buying a bag and shoes.")</f>
        <v>I'm buying a bag and shoes.</v>
      </c>
      <c r="C620" s="4" t="str">
        <f ca="1">IFERROR(__xludf.DUMMYFUNCTION("IFERROR(GOOGLETRANSLATE(B620,""en"",""ja""),)"),"バッグと靴を買います。")</f>
        <v>バッグと靴を買います。</v>
      </c>
      <c r="D620" s="4" t="str">
        <f ca="1">IFERROR(__xludf.DUMMYFUNCTION("IFERROR(GOOGLETRANSLATE(B620,""en"",""zh-TW""),)"),"我要買一個包包和一雙鞋。")</f>
        <v>我要買一個包包和一雙鞋。</v>
      </c>
      <c r="E620" s="4" t="str">
        <f ca="1">IFERROR(__xludf.DUMMYFUNCTION("IFERROR(GOOGLETRANSLATE(B620,""en"",""zh-CN""),)"),"我要买一个包和一双鞋。")</f>
        <v>我要买一个包和一双鞋。</v>
      </c>
    </row>
    <row r="621" spans="1:5">
      <c r="A621" s="3" t="s">
        <v>2547</v>
      </c>
      <c r="B621" s="4" t="str">
        <f ca="1">IFERROR(__xludf.DUMMYFUNCTION("IFERROR(GOOGLETRANSLATE(A621,""ko"",""en""),)"),"Who is in the classroom?")</f>
        <v>Who is in the classroom?</v>
      </c>
      <c r="C621" s="4" t="str">
        <f ca="1">IFERROR(__xludf.DUMMYFUNCTION("IFERROR(GOOGLETRANSLATE(B621,""en"",""ja""),)"),"教室には誰がいますか？")</f>
        <v>教室には誰がいますか？</v>
      </c>
      <c r="D621" s="4" t="str">
        <f ca="1">IFERROR(__xludf.DUMMYFUNCTION("IFERROR(GOOGLETRANSLATE(B621,""en"",""zh-TW""),)"),"教室裡都有誰？")</f>
        <v>教室裡都有誰？</v>
      </c>
      <c r="E621" s="4" t="str">
        <f ca="1">IFERROR(__xludf.DUMMYFUNCTION("IFERROR(GOOGLETRANSLATE(B621,""en"",""zh-CN""),)"),"教室里都有谁？")</f>
        <v>教室里都有谁？</v>
      </c>
    </row>
    <row r="622" spans="1:5">
      <c r="A622" s="3" t="s">
        <v>2551</v>
      </c>
      <c r="B622" s="4" t="str">
        <f ca="1">IFERROR(__xludf.DUMMYFUNCTION("IFERROR(GOOGLETRANSLATE(A622,""ko"",""en""),)"),"There is the teacher and Anna.")</f>
        <v>There is the teacher and Anna.</v>
      </c>
      <c r="C622" s="4" t="str">
        <f ca="1">IFERROR(__xludf.DUMMYFUNCTION("IFERROR(GOOGLETRANSLATE(B622,""en"",""ja""),)"),"先生とアンナがいる。")</f>
        <v>先生とアンナがいる。</v>
      </c>
      <c r="D622" s="4" t="str">
        <f ca="1">IFERROR(__xludf.DUMMYFUNCTION("IFERROR(GOOGLETRANSLATE(B622,""en"",""zh-TW""),)"),"這裡有老師和安娜。")</f>
        <v>這裡有老師和安娜。</v>
      </c>
      <c r="E622" s="4" t="str">
        <f ca="1">IFERROR(__xludf.DUMMYFUNCTION("IFERROR(GOOGLETRANSLATE(B622,""en"",""zh-CN""),)"),"这里有老师和安娜。")</f>
        <v>这里有老师和安娜。</v>
      </c>
    </row>
    <row r="623" spans="1:5">
      <c r="A623" s="3" t="s">
        <v>2556</v>
      </c>
      <c r="B623" s="4" t="str">
        <f ca="1">IFERROR(__xludf.DUMMYFUNCTION("IFERROR(GOOGLETRANSLATE(A623,""ko"",""en""),)"),"There is one desk.")</f>
        <v>There is one desk.</v>
      </c>
      <c r="C623" s="4" t="str">
        <f ca="1">IFERROR(__xludf.DUMMYFUNCTION("IFERROR(GOOGLETRANSLATE(B623,""en"",""ja""),)"),"机は1つあります。")</f>
        <v>机は1つあります。</v>
      </c>
      <c r="D623" s="4" t="str">
        <f ca="1">IFERROR(__xludf.DUMMYFUNCTION("IFERROR(GOOGLETRANSLATE(B623,""en"",""zh-TW""),)"),"這裡有一張桌子。")</f>
        <v>這裡有一張桌子。</v>
      </c>
      <c r="E623" s="4" t="str">
        <f ca="1">IFERROR(__xludf.DUMMYFUNCTION("IFERROR(GOOGLETRANSLATE(B623,""en"",""zh-CN""),)"),"这里有一张桌子。")</f>
        <v>这里有一张桌子。</v>
      </c>
    </row>
    <row r="624" spans="1:5">
      <c r="A624" s="3" t="s">
        <v>2560</v>
      </c>
      <c r="B624" s="4" t="str">
        <f ca="1">IFERROR(__xludf.DUMMYFUNCTION("IFERROR(GOOGLETRANSLATE(A624,""ko"",""en""),)"),"There are five chairs.")</f>
        <v>There are five chairs.</v>
      </c>
      <c r="C624" s="4" t="str">
        <f ca="1">IFERROR(__xludf.DUMMYFUNCTION("IFERROR(GOOGLETRANSLATE(B624,""en"",""ja""),)"),"椅子は5脚あります。")</f>
        <v>椅子は5脚あります。</v>
      </c>
      <c r="D624" s="4" t="str">
        <f ca="1">IFERROR(__xludf.DUMMYFUNCTION("IFERROR(GOOGLETRANSLATE(B624,""en"",""zh-TW""),)"),"這裡有五把椅子。")</f>
        <v>這裡有五把椅子。</v>
      </c>
      <c r="E624" s="4" t="str">
        <f ca="1">IFERROR(__xludf.DUMMYFUNCTION("IFERROR(GOOGLETRANSLATE(B624,""en"",""zh-CN""),)"),"这里有五把椅子。")</f>
        <v>这里有五把椅子。</v>
      </c>
    </row>
    <row r="625" spans="1:5">
      <c r="A625" s="5" t="s">
        <v>2567</v>
      </c>
      <c r="B625" s="4" t="str">
        <f ca="1">IFERROR(__xludf.DUMMYFUNCTION("IFERROR(GOOGLETRANSLATE(A625,""ko"",""en""),)"),"I am twenty years old.")</f>
        <v>I am twenty years old.</v>
      </c>
      <c r="C625" s="4" t="str">
        <f ca="1">IFERROR(__xludf.DUMMYFUNCTION("IFERROR(GOOGLETRANSLATE(B625,""en"",""ja""),)"),"私は20歳です。")</f>
        <v>私は20歳です。</v>
      </c>
      <c r="D625" s="4" t="str">
        <f ca="1">IFERROR(__xludf.DUMMYFUNCTION("IFERROR(GOOGLETRANSLATE(B625,""en"",""zh-TW""),)"),"我今年二十歲。")</f>
        <v>我今年二十歲。</v>
      </c>
      <c r="E625" s="4" t="str">
        <f ca="1">IFERROR(__xludf.DUMMYFUNCTION("IFERROR(GOOGLETRANSLATE(B625,""en"",""zh-CN""),)"),"我今年二十岁。")</f>
        <v>我今年二十岁。</v>
      </c>
    </row>
    <row r="626" spans="1:5">
      <c r="A626" s="3" t="s">
        <v>2572</v>
      </c>
      <c r="B626" s="4" t="str">
        <f ca="1">IFERROR(__xludf.DUMMYFUNCTION("IFERROR(GOOGLETRANSLATE(A626,""ko"",""en""),)"),"There are four bottles of juice.")</f>
        <v>There are four bottles of juice.</v>
      </c>
      <c r="C626" s="4" t="str">
        <f ca="1">IFERROR(__xludf.DUMMYFUNCTION("IFERROR(GOOGLETRANSLATE(B626,""en"",""ja""),)"),"ジュースのボトルが4本あります。")</f>
        <v>ジュースのボトルが4本あります。</v>
      </c>
      <c r="D626" s="4" t="str">
        <f ca="1">IFERROR(__xludf.DUMMYFUNCTION("IFERROR(GOOGLETRANSLATE(B626,""en"",""zh-TW""),)"),"這裡有四瓶果汁。")</f>
        <v>這裡有四瓶果汁。</v>
      </c>
      <c r="E626" s="4" t="str">
        <f ca="1">IFERROR(__xludf.DUMMYFUNCTION("IFERROR(GOOGLETRANSLATE(B626,""en"",""zh-CN""),)"),"这里有四瓶果汁。")</f>
        <v>这里有四瓶果汁。</v>
      </c>
    </row>
    <row r="627" spans="1:5">
      <c r="A627" s="3" t="s">
        <v>2576</v>
      </c>
      <c r="B627" s="4" t="str">
        <f ca="1">IFERROR(__xludf.DUMMYFUNCTION("IFERROR(GOOGLETRANSLATE(A627,""ko"",""en""),)"),"There are two books.")</f>
        <v>There are two books.</v>
      </c>
      <c r="C627" s="4" t="str">
        <f ca="1">IFERROR(__xludf.DUMMYFUNCTION("IFERROR(GOOGLETRANSLATE(B627,""en"",""ja""),)"),"本は2冊あります。")</f>
        <v>本は2冊あります。</v>
      </c>
      <c r="D627" s="4" t="str">
        <f ca="1">IFERROR(__xludf.DUMMYFUNCTION("IFERROR(GOOGLETRANSLATE(B627,""en"",""zh-TW""),)"),"共有兩本書。")</f>
        <v>共有兩本書。</v>
      </c>
      <c r="E627" s="4" t="str">
        <f ca="1">IFERROR(__xludf.DUMMYFUNCTION("IFERROR(GOOGLETRANSLATE(B627,""en"",""zh-CN""),)"),"共有两本书。")</f>
        <v>共有两本书。</v>
      </c>
    </row>
    <row r="628" spans="1:5">
      <c r="A628" s="3" t="s">
        <v>882</v>
      </c>
      <c r="B628" s="4" t="str">
        <f ca="1">IFERROR(__xludf.DUMMYFUNCTION("IFERROR(GOOGLETRANSLATE(A628,""ko"",""en""),)"),"I have three cats.")</f>
        <v>I have three cats.</v>
      </c>
      <c r="C628" s="4" t="str">
        <f ca="1">IFERROR(__xludf.DUMMYFUNCTION("IFERROR(GOOGLETRANSLATE(B628,""en"",""ja""),)"),"私は猫を3匹飼っています。")</f>
        <v>私は猫を3匹飼っています。</v>
      </c>
      <c r="D628" s="4" t="str">
        <f ca="1">IFERROR(__xludf.DUMMYFUNCTION("IFERROR(GOOGLETRANSLATE(B628,""en"",""zh-TW""),)"),"我養了三隻貓。")</f>
        <v>我養了三隻貓。</v>
      </c>
      <c r="E628" s="4" t="str">
        <f ca="1">IFERROR(__xludf.DUMMYFUNCTION("IFERROR(GOOGLETRANSLATE(B628,""en"",""zh-CN""),)"),"我养了三只猫。")</f>
        <v>我养了三只猫。</v>
      </c>
    </row>
    <row r="629" spans="1:5">
      <c r="A629" s="3" t="s">
        <v>2585</v>
      </c>
      <c r="B629" s="4" t="str">
        <f ca="1">IFERROR(__xludf.DUMMYFUNCTION("IFERROR(GOOGLETRANSLATE(A629,""ko"",""en""),)"),"I have a bottle of beer.")</f>
        <v>I have a bottle of beer.</v>
      </c>
      <c r="C629" s="4" t="str">
        <f ca="1">IFERROR(__xludf.DUMMYFUNCTION("IFERROR(GOOGLETRANSLATE(B629,""en"",""ja""),)"),"ビールが1本あります。")</f>
        <v>ビールが1本あります。</v>
      </c>
      <c r="D629" s="4" t="str">
        <f ca="1">IFERROR(__xludf.DUMMYFUNCTION("IFERROR(GOOGLETRANSLATE(B629,""en"",""zh-TW""),)"),"我有一瓶啤酒。")</f>
        <v>我有一瓶啤酒。</v>
      </c>
      <c r="E629" s="4" t="str">
        <f ca="1">IFERROR(__xludf.DUMMYFUNCTION("IFERROR(GOOGLETRANSLATE(B629,""en"",""zh-CN""),)"),"我有一瓶啤酒。")</f>
        <v>我有一瓶啤酒。</v>
      </c>
    </row>
    <row r="630" spans="1:5">
      <c r="A630" s="3" t="s">
        <v>2592</v>
      </c>
      <c r="B630" s="4" t="str">
        <f ca="1">IFERROR(__xludf.DUMMYFUNCTION("IFERROR(GOOGLETRANSLATE(A630,""ko"",""en""),)"),"Buy a loaf of bread.")</f>
        <v>Buy a loaf of bread.</v>
      </c>
      <c r="C630" s="4" t="str">
        <f ca="1">IFERROR(__xludf.DUMMYFUNCTION("IFERROR(GOOGLETRANSLATE(B630,""en"",""ja""),)"),"パンを1斤買ってください。")</f>
        <v>パンを1斤買ってください。</v>
      </c>
      <c r="D630" s="4" t="str">
        <f ca="1">IFERROR(__xludf.DUMMYFUNCTION("IFERROR(GOOGLETRANSLATE(B630,""en"",""zh-TW""),)"),"買一條麵包。")</f>
        <v>買一條麵包。</v>
      </c>
      <c r="E630" s="4" t="str">
        <f ca="1">IFERROR(__xludf.DUMMYFUNCTION("IFERROR(GOOGLETRANSLATE(B630,""en"",""zh-CN""),)"),"买一条面包。")</f>
        <v>买一条面包。</v>
      </c>
    </row>
    <row r="631" spans="1:5">
      <c r="A631" s="3" t="s">
        <v>2602</v>
      </c>
      <c r="B631" s="4" t="str">
        <f ca="1">IFERROR(__xludf.DUMMYFUNCTION("IFERROR(GOOGLETRANSLATE(A631,""ko"",""en""),)"),"Please give me three packs of ramen.")</f>
        <v>Please give me three packs of ramen.</v>
      </c>
      <c r="C631" s="4" t="str">
        <f ca="1">IFERROR(__xludf.DUMMYFUNCTION("IFERROR(GOOGLETRANSLATE(B631,""en"",""ja""),)"),"ラーメンを3袋ください。")</f>
        <v>ラーメンを3袋ください。</v>
      </c>
      <c r="D631" s="4" t="str">
        <f ca="1">IFERROR(__xludf.DUMMYFUNCTION("IFERROR(GOOGLETRANSLATE(B631,""en"",""zh-TW""),)"),"請給我三包拉麵。")</f>
        <v>請給我三包拉麵。</v>
      </c>
      <c r="E631" s="4" t="str">
        <f ca="1">IFERROR(__xludf.DUMMYFUNCTION("IFERROR(GOOGLETRANSLATE(B631,""en"",""zh-CN""),)"),"请给我三包拉面。")</f>
        <v>请给我三包拉面。</v>
      </c>
    </row>
    <row r="632" spans="1:5">
      <c r="A632" s="3" t="s">
        <v>2608</v>
      </c>
      <c r="B632" s="4" t="str">
        <f ca="1">IFERROR(__xludf.DUMMYFUNCTION("IFERROR(GOOGLETRANSLATE(A632,""ko"",""en""),)"),"Write the answer.")</f>
        <v>Write the answer.</v>
      </c>
      <c r="C632" s="4" t="str">
        <f ca="1">IFERROR(__xludf.DUMMYFUNCTION("IFERROR(GOOGLETRANSLATE(B632,""en"",""ja""),)"),"答えを書いてください。")</f>
        <v>答えを書いてください。</v>
      </c>
      <c r="D632" s="4" t="str">
        <f ca="1">IFERROR(__xludf.DUMMYFUNCTION("IFERROR(GOOGLETRANSLATE(B632,""en"",""zh-TW""),)"),"請寫下答案。")</f>
        <v>請寫下答案。</v>
      </c>
      <c r="E632" s="4" t="str">
        <f ca="1">IFERROR(__xludf.DUMMYFUNCTION("IFERROR(GOOGLETRANSLATE(B632,""en"",""zh-CN""),)"),"请写下答案。")</f>
        <v>请写下答案。</v>
      </c>
    </row>
    <row r="633" spans="1:5">
      <c r="A633" s="3" t="s">
        <v>2613</v>
      </c>
      <c r="B633" s="4" t="str">
        <f ca="1">IFERROR(__xludf.DUMMYFUNCTION("IFERROR(GOOGLETRANSLATE(A633,""ko"",""en""),)"),"Come early tomorrow.")</f>
        <v>Come early tomorrow.</v>
      </c>
      <c r="C633" s="4" t="str">
        <f ca="1">IFERROR(__xludf.DUMMYFUNCTION("IFERROR(GOOGLETRANSLATE(B633,""en"",""ja""),)"),"明日は早めに来てください。")</f>
        <v>明日は早めに来てください。</v>
      </c>
      <c r="D633" s="4" t="str">
        <f ca="1">IFERROR(__xludf.DUMMYFUNCTION("IFERROR(GOOGLETRANSLATE(B633,""en"",""zh-TW""),)"),"明天早點來。")</f>
        <v>明天早點來。</v>
      </c>
      <c r="E633" s="4" t="str">
        <f ca="1">IFERROR(__xludf.DUMMYFUNCTION("IFERROR(GOOGLETRANSLATE(B633,""en"",""zh-CN""),)"),"明天早点来。")</f>
        <v>明天早点来。</v>
      </c>
    </row>
    <row r="634" spans="1:5">
      <c r="A634" s="3" t="s">
        <v>2621</v>
      </c>
      <c r="B634" s="4" t="str">
        <f ca="1">IFERROR(__xludf.DUMMYFUNCTION("IFERROR(GOOGLETRANSLATE(A634,""ko"",""en""),)"),"Read a book.")</f>
        <v>Read a book.</v>
      </c>
      <c r="C634" s="4" t="str">
        <f ca="1">IFERROR(__xludf.DUMMYFUNCTION("IFERROR(GOOGLETRANSLATE(B634,""en"",""ja""),)"),"本を読みなさい。")</f>
        <v>本を読みなさい。</v>
      </c>
      <c r="D634" s="4" t="str">
        <f ca="1">IFERROR(__xludf.DUMMYFUNCTION("IFERROR(GOOGLETRANSLATE(B634,""en"",""zh-TW""),)"),"讀一本書。")</f>
        <v>讀一本書。</v>
      </c>
      <c r="E634" s="4" t="str">
        <f ca="1">IFERROR(__xludf.DUMMYFUNCTION("IFERROR(GOOGLETRANSLATE(B634,""en"",""zh-CN""),)"),"读一本书。")</f>
        <v>读一本书。</v>
      </c>
    </row>
    <row r="635" spans="1:5">
      <c r="A635" s="3" t="s">
        <v>2626</v>
      </c>
      <c r="B635" s="4" t="str">
        <f ca="1">IFERROR(__xludf.DUMMYFUNCTION("IFERROR(GOOGLETRANSLATE(A635,""ko"",""en""),)"),"Take bus number 8.")</f>
        <v>Take bus number 8.</v>
      </c>
      <c r="C635" s="4" t="str">
        <f ca="1">IFERROR(__xludf.DUMMYFUNCTION("IFERROR(GOOGLETRANSLATE(B635,""en"",""ja""),)"),"8番のバスに乗ってください。")</f>
        <v>8番のバスに乗ってください。</v>
      </c>
      <c r="D635" s="4" t="str">
        <f ca="1">IFERROR(__xludf.DUMMYFUNCTION("IFERROR(GOOGLETRANSLATE(B635,""en"",""zh-TW""),)"),"搭乘8號公車。")</f>
        <v>搭乘8號公車。</v>
      </c>
      <c r="E635" s="4" t="str">
        <f ca="1">IFERROR(__xludf.DUMMYFUNCTION("IFERROR(GOOGLETRANSLATE(B635,""en"",""zh-CN""),)"),"乘坐8路公交车。")</f>
        <v>乘坐8路公交车。</v>
      </c>
    </row>
    <row r="636" spans="1:5">
      <c r="A636" s="3" t="s">
        <v>2631</v>
      </c>
      <c r="B636" s="4" t="str">
        <f ca="1">IFERROR(__xludf.DUMMYFUNCTION("IFERROR(GOOGLETRANSLATE(A636,""ko"",""en""),)"),"Please sit here.")</f>
        <v>Please sit here.</v>
      </c>
      <c r="C636" s="4" t="str">
        <f ca="1">IFERROR(__xludf.DUMMYFUNCTION("IFERROR(GOOGLETRANSLATE(B636,""en"",""ja""),)"),"こちらにお座りください。")</f>
        <v>こちらにお座りください。</v>
      </c>
      <c r="D636" s="4" t="str">
        <f ca="1">IFERROR(__xludf.DUMMYFUNCTION("IFERROR(GOOGLETRANSLATE(B636,""en"",""zh-TW""),)"),"請坐。")</f>
        <v>請坐。</v>
      </c>
      <c r="E636" s="4" t="str">
        <f ca="1">IFERROR(__xludf.DUMMYFUNCTION("IFERROR(GOOGLETRANSLATE(B636,""en"",""zh-CN""),)"),"请坐。")</f>
        <v>请坐。</v>
      </c>
    </row>
    <row r="637" spans="1:5">
      <c r="A637" s="5" t="s">
        <v>2636</v>
      </c>
      <c r="B637" s="4" t="str">
        <f ca="1">IFERROR(__xludf.DUMMYFUNCTION("IFERROR(GOOGLETRANSLATE(A637,""ko"",""en""),)"),"try hard")</f>
        <v>try hard</v>
      </c>
      <c r="C637" s="4" t="str">
        <f ca="1">IFERROR(__xludf.DUMMYFUNCTION("IFERROR(GOOGLETRANSLATE(B637,""en"",""ja""),)"),"頑張って")</f>
        <v>頑張って</v>
      </c>
      <c r="D637" s="4" t="str">
        <f ca="1">IFERROR(__xludf.DUMMYFUNCTION("IFERROR(GOOGLETRANSLATE(B637,""en"",""zh-TW""),)"),"努力")</f>
        <v>努力</v>
      </c>
      <c r="E637" s="4" t="str">
        <f ca="1">IFERROR(__xludf.DUMMYFUNCTION("IFERROR(GOOGLETRANSLATE(B637,""en"",""zh-CN""),)"),"努力")</f>
        <v>努力</v>
      </c>
    </row>
    <row r="638" spans="1:5">
      <c r="A638" s="3" t="s">
        <v>2641</v>
      </c>
      <c r="B638" s="4" t="str">
        <f ca="1">IFERROR(__xludf.DUMMYFUNCTION("IFERROR(GOOGLETRANSLATE(A638,""ko"",""en""),)"),"Study hard.")</f>
        <v>Study hard.</v>
      </c>
      <c r="C638" s="4" t="str">
        <f ca="1">IFERROR(__xludf.DUMMYFUNCTION("IFERROR(GOOGLETRANSLATE(B638,""en"",""ja""),)"),"一生懸命勉強してください。")</f>
        <v>一生懸命勉強してください。</v>
      </c>
      <c r="D638" s="4" t="str">
        <f ca="1">IFERROR(__xludf.DUMMYFUNCTION("IFERROR(GOOGLETRANSLATE(B638,""en"",""zh-TW""),)"),"努力學習。")</f>
        <v>努力學習。</v>
      </c>
      <c r="E638" s="4" t="str">
        <f ca="1">IFERROR(__xludf.DUMMYFUNCTION("IFERROR(GOOGLETRANSLATE(B638,""en"",""zh-CN""),)"),"努力学习。")</f>
        <v>努力学习。</v>
      </c>
    </row>
    <row r="639" spans="1:5">
      <c r="A639" s="3" t="s">
        <v>1276</v>
      </c>
      <c r="B639" s="4" t="str">
        <f ca="1">IFERROR(__xludf.DUMMYFUNCTION("IFERROR(GOOGLETRANSLATE(A639,""ko"",""en""),)"),"Answer the question.")</f>
        <v>Answer the question.</v>
      </c>
      <c r="C639" s="4" t="str">
        <f ca="1">IFERROR(__xludf.DUMMYFUNCTION("IFERROR(GOOGLETRANSLATE(B639,""en"",""ja""),)"),"質問に答えてください。")</f>
        <v>質問に答えてください。</v>
      </c>
      <c r="D639" s="4" t="str">
        <f ca="1">IFERROR(__xludf.DUMMYFUNCTION("IFERROR(GOOGLETRANSLATE(B639,""en"",""zh-TW""),)"),"回答問題。")</f>
        <v>回答問題。</v>
      </c>
      <c r="E639" s="4" t="str">
        <f ca="1">IFERROR(__xludf.DUMMYFUNCTION("IFERROR(GOOGLETRANSLATE(B639,""en"",""zh-CN""),)"),"回答问题。")</f>
        <v>回答问题。</v>
      </c>
    </row>
    <row r="640" spans="1:5">
      <c r="A640" s="3" t="s">
        <v>2652</v>
      </c>
      <c r="B640" s="4" t="str">
        <f ca="1">IFERROR(__xludf.DUMMYFUNCTION("IFERROR(GOOGLETRANSLATE(A640,""ko"",""en""),)"),"I go swimming on Friday.")</f>
        <v>I go swimming on Friday.</v>
      </c>
      <c r="C640" s="4" t="str">
        <f ca="1">IFERROR(__xludf.DUMMYFUNCTION("IFERROR(GOOGLETRANSLATE(B640,""en"",""ja""),)"),"私は金曜日に泳ぎに行きます。")</f>
        <v>私は金曜日に泳ぎに行きます。</v>
      </c>
      <c r="D640" s="4" t="str">
        <f ca="1">IFERROR(__xludf.DUMMYFUNCTION("IFERROR(GOOGLETRANSLATE(B640,""en"",""zh-TW""),)"),"我星期五去游泳。")</f>
        <v>我星期五去游泳。</v>
      </c>
      <c r="E640" s="4" t="str">
        <f ca="1">IFERROR(__xludf.DUMMYFUNCTION("IFERROR(GOOGLETRANSLATE(B640,""en"",""zh-CN""),)"),"我星期五去游泳。")</f>
        <v>我星期五去游泳。</v>
      </c>
    </row>
    <row r="641" spans="1:5">
      <c r="A641" s="3" t="s">
        <v>2655</v>
      </c>
      <c r="B641" s="4" t="str">
        <f ca="1">IFERROR(__xludf.DUMMYFUNCTION("IFERROR(GOOGLETRANSLATE(A641,""ko"",""en""),)"),"I am meeting a friend for lunch today.")</f>
        <v>I am meeting a friend for lunch today.</v>
      </c>
      <c r="C641" s="4" t="str">
        <f ca="1">IFERROR(__xludf.DUMMYFUNCTION("IFERROR(GOOGLETRANSLATE(B641,""en"",""ja""),)"),"今日は友達とランチの約束をしています。")</f>
        <v>今日は友達とランチの約束をしています。</v>
      </c>
      <c r="D641" s="4" t="str">
        <f ca="1">IFERROR(__xludf.DUMMYFUNCTION("IFERROR(GOOGLETRANSLATE(B641,""en"",""zh-TW""),)"),"我今天和朋友一起吃午餐。")</f>
        <v>我今天和朋友一起吃午餐。</v>
      </c>
      <c r="E641" s="4" t="str">
        <f ca="1">IFERROR(__xludf.DUMMYFUNCTION("IFERROR(GOOGLETRANSLATE(B641,""en"",""zh-CN""),)"),"我今天和朋友一起吃午饭。")</f>
        <v>我今天和朋友一起吃午饭。</v>
      </c>
    </row>
    <row r="642" spans="1:5">
      <c r="A642" s="3" t="s">
        <v>2657</v>
      </c>
      <c r="B642" s="4" t="str">
        <f ca="1">IFERROR(__xludf.DUMMYFUNCTION("IFERROR(GOOGLETRANSLATE(A642,""ko"",""en""),)"),"I'm working a part-time job this afternoon.")</f>
        <v>I'm working a part-time job this afternoon.</v>
      </c>
      <c r="C642" s="4" t="str">
        <f ca="1">IFERROR(__xludf.DUMMYFUNCTION("IFERROR(GOOGLETRANSLATE(B642,""en"",""ja""),)"),"私は今日の午後、アルバイトをしています。")</f>
        <v>私は今日の午後、アルバイトをしています。</v>
      </c>
      <c r="D642" s="4" t="str">
        <f ca="1">IFERROR(__xludf.DUMMYFUNCTION("IFERROR(GOOGLETRANSLATE(B642,""en"",""zh-TW""),)"),"我今天下午做兼職。")</f>
        <v>我今天下午做兼職。</v>
      </c>
      <c r="E642" s="4" t="str">
        <f ca="1">IFERROR(__xludf.DUMMYFUNCTION("IFERROR(GOOGLETRANSLATE(B642,""en"",""zh-CN""),)"),"我今天下午做兼职。")</f>
        <v>我今天下午做兼职。</v>
      </c>
    </row>
    <row r="643" spans="1:5">
      <c r="A643" s="3" t="s">
        <v>2661</v>
      </c>
      <c r="B643" s="4" t="str">
        <f ca="1">IFERROR(__xludf.DUMMYFUNCTION("IFERROR(GOOGLETRANSLATE(A643,""ko"",""en""),)"),"When do I meet Yujin?")</f>
        <v>When do I meet Yujin?</v>
      </c>
      <c r="C643" s="4" t="str">
        <f ca="1">IFERROR(__xludf.DUMMYFUNCTION("IFERROR(GOOGLETRANSLATE(B643,""en"",""ja""),)"),"ユジンとはいつ会えますか？")</f>
        <v>ユジンとはいつ会えますか？</v>
      </c>
      <c r="D643" s="4" t="str">
        <f ca="1">IFERROR(__xludf.DUMMYFUNCTION("IFERROR(GOOGLETRANSLATE(B643,""en"",""zh-TW""),)"),"我什麼時候能見到裕真？")</f>
        <v>我什麼時候能見到裕真？</v>
      </c>
      <c r="E643" s="4" t="str">
        <f ca="1">IFERROR(__xludf.DUMMYFUNCTION("IFERROR(GOOGLETRANSLATE(B643,""en"",""zh-CN""),)"),"我什么时候能见到裕真？")</f>
        <v>我什么时候能见到裕真？</v>
      </c>
    </row>
    <row r="644" spans="1:5">
      <c r="A644" s="3" t="s">
        <v>2665</v>
      </c>
      <c r="B644" s="4" t="str">
        <f ca="1">IFERROR(__xludf.DUMMYFUNCTION("IFERROR(GOOGLETRANSLATE(A644,""ko"",""en""),)"),"See you on the weekend.")</f>
        <v>See you on the weekend.</v>
      </c>
      <c r="C644" s="4" t="str">
        <f ca="1">IFERROR(__xludf.DUMMYFUNCTION("IFERROR(GOOGLETRANSLATE(B644,""en"",""ja""),)"),"週末に会いましょう。")</f>
        <v>週末に会いましょう。</v>
      </c>
      <c r="D644" s="4" t="str">
        <f ca="1">IFERROR(__xludf.DUMMYFUNCTION("IFERROR(GOOGLETRANSLATE(B644,""en"",""zh-TW""),)"),"週末見。")</f>
        <v>週末見。</v>
      </c>
      <c r="E644" s="4" t="str">
        <f ca="1">IFERROR(__xludf.DUMMYFUNCTION("IFERROR(GOOGLETRANSLATE(B644,""en"",""zh-CN""),)"),"周末见。")</f>
        <v>周末见。</v>
      </c>
    </row>
    <row r="645" spans="1:5">
      <c r="A645" s="3" t="s">
        <v>2669</v>
      </c>
      <c r="B645" s="4" t="str">
        <f ca="1">IFERROR(__xludf.DUMMYFUNCTION("IFERROR(GOOGLETRANSLATE(A645,""ko"",""en""),)"),"I'm busy during the week.")</f>
        <v>I'm busy during the week.</v>
      </c>
      <c r="C645" s="4" t="str">
        <f ca="1">IFERROR(__xludf.DUMMYFUNCTION("IFERROR(GOOGLETRANSLATE(B645,""en"",""ja""),)"),"私は平日は忙しいです。")</f>
        <v>私は平日は忙しいです。</v>
      </c>
      <c r="D645" s="4" t="str">
        <f ca="1">IFERROR(__xludf.DUMMYFUNCTION("IFERROR(GOOGLETRANSLATE(B645,""en"",""zh-TW""),)"),"我工作日很忙。")</f>
        <v>我工作日很忙。</v>
      </c>
      <c r="E645" s="4" t="str">
        <f ca="1">IFERROR(__xludf.DUMMYFUNCTION("IFERROR(GOOGLETRANSLATE(B645,""en"",""zh-CN""),)"),"我工作日很忙。")</f>
        <v>我工作日很忙。</v>
      </c>
    </row>
    <row r="646" spans="1:5">
      <c r="A646" s="3" t="s">
        <v>1941</v>
      </c>
      <c r="B646" s="4" t="str">
        <f ca="1">IFERROR(__xludf.DUMMYFUNCTION("IFERROR(GOOGLETRANSLATE(A646,""ko"",""en""),)"),"Do you have a Korean class on Wednesday?")</f>
        <v>Do you have a Korean class on Wednesday?</v>
      </c>
      <c r="C646" s="4" t="str">
        <f ca="1">IFERROR(__xludf.DUMMYFUNCTION("IFERROR(GOOGLETRANSLATE(B646,""en"",""ja""),)"),"水曜日に韓国語の授業はありますか？")</f>
        <v>水曜日に韓国語の授業はありますか？</v>
      </c>
      <c r="D646" s="4" t="str">
        <f ca="1">IFERROR(__xludf.DUMMYFUNCTION("IFERROR(GOOGLETRANSLATE(B646,""en"",""zh-TW""),)"),"你周三有韓語課嗎？")</f>
        <v>你周三有韓語課嗎？</v>
      </c>
      <c r="E646" s="4" t="str">
        <f ca="1">IFERROR(__xludf.DUMMYFUNCTION("IFERROR(GOOGLETRANSLATE(B646,""en"",""zh-CN""),)"),"你周三有韩语课吗？")</f>
        <v>你周三有韩语课吗？</v>
      </c>
    </row>
    <row r="647" spans="1:5">
      <c r="A647" s="3" t="s">
        <v>252</v>
      </c>
      <c r="B647" s="4" t="str">
        <f ca="1">IFERROR(__xludf.DUMMYFUNCTION("IFERROR(GOOGLETRANSLATE(A647,""ko"",""en""),)"),"Yes, there is.")</f>
        <v>Yes, there is.</v>
      </c>
      <c r="C647" s="4" t="str">
        <f ca="1">IFERROR(__xludf.DUMMYFUNCTION("IFERROR(GOOGLETRANSLATE(B647,""en"",""ja""),)"),"はい、あります。")</f>
        <v>はい、あります。</v>
      </c>
      <c r="D647" s="4" t="str">
        <f ca="1">IFERROR(__xludf.DUMMYFUNCTION("IFERROR(GOOGLETRANSLATE(B647,""en"",""zh-TW""),)"),"是的，有。")</f>
        <v>是的，有。</v>
      </c>
      <c r="E647" s="4" t="str">
        <f ca="1">IFERROR(__xludf.DUMMYFUNCTION("IFERROR(GOOGLETRANSLATE(B647,""en"",""zh-CN""),)"),"是的，有。")</f>
        <v>是的，有。</v>
      </c>
    </row>
    <row r="648" spans="1:5">
      <c r="A648" s="3" t="s">
        <v>2680</v>
      </c>
      <c r="B648" s="4" t="str">
        <f ca="1">IFERROR(__xludf.DUMMYFUNCTION("IFERROR(GOOGLETRANSLATE(A648,""ko"",""en""),)"),"I eat lunch at 12:30.")</f>
        <v>I eat lunch at 12:30.</v>
      </c>
      <c r="C648" s="4" t="str">
        <f ca="1">IFERROR(__xludf.DUMMYFUNCTION("IFERROR(GOOGLETRANSLATE(B648,""en"",""ja""),)"),"私は12時30分に昼食をとります。")</f>
        <v>私は12時30分に昼食をとります。</v>
      </c>
      <c r="D648" s="4" t="str">
        <f ca="1">IFERROR(__xludf.DUMMYFUNCTION("IFERROR(GOOGLETRANSLATE(B648,""en"",""zh-TW""),)"),"我中午12點30分吃午餐。")</f>
        <v>我中午12點30分吃午餐。</v>
      </c>
      <c r="E648" s="4" t="str">
        <f ca="1">IFERROR(__xludf.DUMMYFUNCTION("IFERROR(GOOGLETRANSLATE(B648,""en"",""zh-CN""),)"),"我中午12点30分吃午饭。")</f>
        <v>我中午12点30分吃午饭。</v>
      </c>
    </row>
    <row r="649" spans="1:5">
      <c r="A649" s="3" t="s">
        <v>2684</v>
      </c>
      <c r="B649" s="4" t="str">
        <f ca="1">IFERROR(__xludf.DUMMYFUNCTION("IFERROR(GOOGLETRANSLATE(A649,""ko"",""en""),)"),"I meet a friend at three in the afternoon.")</f>
        <v>I meet a friend at three in the afternoon.</v>
      </c>
      <c r="C649" s="4" t="str">
        <f ca="1">IFERROR(__xludf.DUMMYFUNCTION("IFERROR(GOOGLETRANSLATE(B649,""en"",""ja""),)"),"私は午後3時に友人と会う。")</f>
        <v>私は午後3時に友人と会う。</v>
      </c>
      <c r="D649" s="4" t="str">
        <f ca="1">IFERROR(__xludf.DUMMYFUNCTION("IFERROR(GOOGLETRANSLATE(B649,""en"",""zh-TW""),)"),"我下午三點和朋友見面。")</f>
        <v>我下午三點和朋友見面。</v>
      </c>
      <c r="E649" s="4" t="str">
        <f ca="1">IFERROR(__xludf.DUMMYFUNCTION("IFERROR(GOOGLETRANSLATE(B649,""en"",""zh-CN""),)"),"我下午三点和朋友见面。")</f>
        <v>我下午三点和朋友见面。</v>
      </c>
    </row>
    <row r="650" spans="1:5">
      <c r="A650" s="3" t="s">
        <v>2690</v>
      </c>
      <c r="B650" s="4" t="str">
        <f ca="1">IFERROR(__xludf.DUMMYFUNCTION("IFERROR(GOOGLETRANSLATE(A650,""ko"",""en""),)"),"I learn to cook at 4 PM.")</f>
        <v>I learn to cook at 4 PM.</v>
      </c>
      <c r="C650" s="4" t="str">
        <f ca="1">IFERROR(__xludf.DUMMYFUNCTION("IFERROR(GOOGLETRANSLATE(B650,""en"",""ja""),)"),"私は午後4時に料理を習い始めます。")</f>
        <v>私は午後4時に料理を習い始めます。</v>
      </c>
      <c r="D650" s="4" t="str">
        <f ca="1">IFERROR(__xludf.DUMMYFUNCTION("IFERROR(GOOGLETRANSLATE(B650,""en"",""zh-TW""),)"),"我下午4點學做菜。")</f>
        <v>我下午4點學做菜。</v>
      </c>
      <c r="E650" s="4" t="str">
        <f ca="1">IFERROR(__xludf.DUMMYFUNCTION("IFERROR(GOOGLETRANSLATE(B650,""en"",""zh-CN""),)"),"我下午4点学做饭。")</f>
        <v>我下午4点学做饭。</v>
      </c>
    </row>
    <row r="651" spans="1:5">
      <c r="A651" s="3" t="s">
        <v>2025</v>
      </c>
      <c r="B651" s="4" t="str">
        <f ca="1">IFERROR(__xludf.DUMMYFUNCTION("IFERROR(GOOGLETRANSLATE(A651,""ko"",""en""),)"),"What time is it now?")</f>
        <v>What time is it now?</v>
      </c>
      <c r="C651" s="4" t="str">
        <f ca="1">IFERROR(__xludf.DUMMYFUNCTION("IFERROR(GOOGLETRANSLATE(B651,""en"",""ja""),)"),"今何時ですか？")</f>
        <v>今何時ですか？</v>
      </c>
      <c r="D651" s="4" t="str">
        <f ca="1">IFERROR(__xludf.DUMMYFUNCTION("IFERROR(GOOGLETRANSLATE(B651,""en"",""zh-TW""),)"),"現在幾點？")</f>
        <v>現在幾點？</v>
      </c>
      <c r="E651" s="4" t="str">
        <f ca="1">IFERROR(__xludf.DUMMYFUNCTION("IFERROR(GOOGLETRANSLATE(B651,""en"",""zh-CN""),)"),"现在几点？")</f>
        <v>现在几点？</v>
      </c>
    </row>
    <row r="652" spans="1:5">
      <c r="A652" s="3" t="s">
        <v>2697</v>
      </c>
      <c r="B652" s="4" t="str">
        <f ca="1">IFERROR(__xludf.DUMMYFUNCTION("IFERROR(GOOGLETRANSLATE(A652,""ko"",""en""),)"),"It's seven thirty.")</f>
        <v>It's seven thirty.</v>
      </c>
      <c r="C652" s="4" t="str">
        <f ca="1">IFERROR(__xludf.DUMMYFUNCTION("IFERROR(GOOGLETRANSLATE(B652,""en"",""ja""),)"),"7時30分です。")</f>
        <v>7時30分です。</v>
      </c>
      <c r="D652" s="4" t="str">
        <f ca="1">IFERROR(__xludf.DUMMYFUNCTION("IFERROR(GOOGLETRANSLATE(B652,""en"",""zh-TW""),)"),"現在是七點半。")</f>
        <v>現在是七點半。</v>
      </c>
      <c r="E652" s="4" t="str">
        <f ca="1">IFERROR(__xludf.DUMMYFUNCTION("IFERROR(GOOGLETRANSLATE(B652,""en"",""zh-CN""),)"),"现在是七点半。")</f>
        <v>现在是七点半。</v>
      </c>
    </row>
    <row r="653" spans="1:5">
      <c r="A653" s="3" t="s">
        <v>2201</v>
      </c>
      <c r="B653" s="4" t="str">
        <f ca="1">IFERROR(__xludf.DUMMYFUNCTION("IFERROR(GOOGLETRANSLATE(A653,""ko"",""en""),)"),"When do you have lunch?")</f>
        <v>When do you have lunch?</v>
      </c>
      <c r="C653" s="4" t="str">
        <f ca="1">IFERROR(__xludf.DUMMYFUNCTION("IFERROR(GOOGLETRANSLATE(B653,""en"",""ja""),)"),"昼食は何時ですか？")</f>
        <v>昼食は何時ですか？</v>
      </c>
      <c r="D653" s="4" t="str">
        <f ca="1">IFERROR(__xludf.DUMMYFUNCTION("IFERROR(GOOGLETRANSLATE(B653,""en"",""zh-TW""),)"),"你什麼時候吃午餐？")</f>
        <v>你什麼時候吃午餐？</v>
      </c>
      <c r="E653" s="4" t="str">
        <f ca="1">IFERROR(__xludf.DUMMYFUNCTION("IFERROR(GOOGLETRANSLATE(B653,""en"",""zh-CN""),)"),"你什么时候吃午饭？")</f>
        <v>你什么时候吃午饭？</v>
      </c>
    </row>
    <row r="654" spans="1:5">
      <c r="A654" s="3" t="s">
        <v>2203</v>
      </c>
      <c r="B654" s="4" t="str">
        <f ca="1">IFERROR(__xludf.DUMMYFUNCTION("IFERROR(GOOGLETRANSLATE(A654,""ko"",""en""),)"),"I eat lunch at twelve.")</f>
        <v>I eat lunch at twelve.</v>
      </c>
      <c r="C654" s="4" t="str">
        <f ca="1">IFERROR(__xludf.DUMMYFUNCTION("IFERROR(GOOGLETRANSLATE(B654,""en"",""ja""),)"),"私は12時に昼食をとります。")</f>
        <v>私は12時に昼食をとります。</v>
      </c>
      <c r="D654" s="4" t="str">
        <f ca="1">IFERROR(__xludf.DUMMYFUNCTION("IFERROR(GOOGLETRANSLATE(B654,""en"",""zh-TW""),)"),"我中午十二點吃午餐。")</f>
        <v>我中午十二點吃午餐。</v>
      </c>
      <c r="E654" s="4" t="str">
        <f ca="1">IFERROR(__xludf.DUMMYFUNCTION("IFERROR(GOOGLETRANSLATE(B654,""en"",""zh-CN""),)"),"我中午十二点吃午饭。")</f>
        <v>我中午十二点吃午饭。</v>
      </c>
    </row>
    <row r="655" spans="1:5">
      <c r="A655" s="3" t="s">
        <v>2712</v>
      </c>
      <c r="B655" s="4" t="str">
        <f ca="1">IFERROR(__xludf.DUMMYFUNCTION("IFERROR(GOOGLETRANSLATE(A655,""ko"",""en""),)"),"weather")</f>
        <v>weather</v>
      </c>
      <c r="C655" s="4" t="str">
        <f ca="1">IFERROR(__xludf.DUMMYFUNCTION("IFERROR(GOOGLETRANSLATE(B655,""en"",""ja""),)"),"天気")</f>
        <v>天気</v>
      </c>
      <c r="D655" s="4" t="str">
        <f ca="1">IFERROR(__xludf.DUMMYFUNCTION("IFERROR(GOOGLETRANSLATE(B655,""en"",""zh-TW""),)"),"天氣")</f>
        <v>天氣</v>
      </c>
      <c r="E655" s="4" t="str">
        <f ca="1">IFERROR(__xludf.DUMMYFUNCTION("IFERROR(GOOGLETRANSLATE(B655,""en"",""zh-CN""),)"),"天气")</f>
        <v>天气</v>
      </c>
    </row>
    <row r="656" spans="1:5">
      <c r="A656" s="3" t="s">
        <v>2718</v>
      </c>
      <c r="B656" s="4" t="str">
        <f ca="1">IFERROR(__xludf.DUMMYFUNCTION("IFERROR(GOOGLETRANSLATE(A656,""ko"",""en""),)"),"season")</f>
        <v>season</v>
      </c>
      <c r="C656" s="4" t="str">
        <f ca="1">IFERROR(__xludf.DUMMYFUNCTION("IFERROR(GOOGLETRANSLATE(B656,""en"",""ja""),)"),"季節")</f>
        <v>季節</v>
      </c>
      <c r="D656" s="4" t="str">
        <f ca="1">IFERROR(__xludf.DUMMYFUNCTION("IFERROR(GOOGLETRANSLATE(B656,""en"",""zh-TW""),)"),"季節")</f>
        <v>季節</v>
      </c>
      <c r="E656" s="4" t="str">
        <f ca="1">IFERROR(__xludf.DUMMYFUNCTION("IFERROR(GOOGLETRANSLATE(B656,""en"",""zh-CN""),)"),"季节")</f>
        <v>季节</v>
      </c>
    </row>
    <row r="657" spans="1:5">
      <c r="A657" s="3" t="s">
        <v>2723</v>
      </c>
      <c r="B657" s="4" t="str">
        <f ca="1">IFERROR(__xludf.DUMMYFUNCTION("IFERROR(GOOGLETRANSLATE(A657,""ko"",""en""),)"),"It's clear.")</f>
        <v>It's clear.</v>
      </c>
      <c r="C657" s="4" t="str">
        <f ca="1">IFERROR(__xludf.DUMMYFUNCTION("IFERROR(GOOGLETRANSLATE(B657,""en"",""ja""),)"),"それは明らかだ。")</f>
        <v>それは明らかだ。</v>
      </c>
      <c r="D657" s="4" t="str">
        <f ca="1">IFERROR(__xludf.DUMMYFUNCTION("IFERROR(GOOGLETRANSLATE(B657,""en"",""zh-TW""),)"),"天氣晴朗。")</f>
        <v>天氣晴朗。</v>
      </c>
      <c r="E657" s="4" t="str">
        <f ca="1">IFERROR(__xludf.DUMMYFUNCTION("IFERROR(GOOGLETRANSLATE(B657,""en"",""zh-CN""),)"),"天气晴朗。")</f>
        <v>天气晴朗。</v>
      </c>
    </row>
    <row r="658" spans="1:5">
      <c r="A658" s="3" t="s">
        <v>2727</v>
      </c>
      <c r="B658" s="4" t="str">
        <f ca="1">IFERROR(__xludf.DUMMYFUNCTION("IFERROR(GOOGLETRANSLATE(A658,""ko"",""en""),)"),"clear")</f>
        <v>clear</v>
      </c>
      <c r="C658" s="4" t="str">
        <f ca="1">IFERROR(__xludf.DUMMYFUNCTION("IFERROR(GOOGLETRANSLATE(B658,""en"",""ja""),)"),"クリア")</f>
        <v>クリア</v>
      </c>
      <c r="D658" s="4" t="str">
        <f ca="1">IFERROR(__xludf.DUMMYFUNCTION("IFERROR(GOOGLETRANSLATE(B658,""en"",""zh-TW""),)"),"清除")</f>
        <v>清除</v>
      </c>
      <c r="E658" s="4" t="str">
        <f ca="1">IFERROR(__xludf.DUMMYFUNCTION("IFERROR(GOOGLETRANSLATE(B658,""en"",""zh-CN""),)"),"清除")</f>
        <v>清除</v>
      </c>
    </row>
    <row r="659" spans="1:5">
      <c r="A659" s="3" t="s">
        <v>2731</v>
      </c>
      <c r="B659" s="4" t="str">
        <f ca="1">IFERROR(__xludf.DUMMYFUNCTION("IFERROR(GOOGLETRANSLATE(A659,""ko"",""en""),)"),"It's cloudy")</f>
        <v>It's cloudy</v>
      </c>
      <c r="C659" s="4" t="str">
        <f ca="1">IFERROR(__xludf.DUMMYFUNCTION("IFERROR(GOOGLETRANSLATE(B659,""en"",""ja""),)"),"曇りです")</f>
        <v>曇りです</v>
      </c>
      <c r="D659" s="4" t="str">
        <f ca="1">IFERROR(__xludf.DUMMYFUNCTION("IFERROR(GOOGLETRANSLATE(B659,""en"",""zh-TW""),)"),"今天多雲")</f>
        <v>今天多雲</v>
      </c>
      <c r="E659" s="4" t="str">
        <f ca="1">IFERROR(__xludf.DUMMYFUNCTION("IFERROR(GOOGLETRANSLATE(B659,""en"",""zh-CN""),)"),"今天多云")</f>
        <v>今天多云</v>
      </c>
    </row>
    <row r="660" spans="1:5">
      <c r="A660" s="3" t="s">
        <v>2735</v>
      </c>
      <c r="B660" s="4" t="str">
        <f ca="1">IFERROR(__xludf.DUMMYFUNCTION("IFERROR(GOOGLETRANSLATE(A660,""ko"",""en""),)"),"hazy")</f>
        <v>hazy</v>
      </c>
      <c r="C660" s="4" t="str">
        <f ca="1">IFERROR(__xludf.DUMMYFUNCTION("IFERROR(GOOGLETRANSLATE(B660,""en"",""ja""),)"),"霞がかった")</f>
        <v>霞がかった</v>
      </c>
      <c r="D660" s="4" t="str">
        <f ca="1">IFERROR(__xludf.DUMMYFUNCTION("IFERROR(GOOGLETRANSLATE(B660,""en"",""zh-TW""),)"),"朦朧")</f>
        <v>朦朧</v>
      </c>
      <c r="E660" s="4" t="str">
        <f ca="1">IFERROR(__xludf.DUMMYFUNCTION("IFERROR(GOOGLETRANSLATE(B660,""en"",""zh-CN""),)"),"朦胧")</f>
        <v>朦胧</v>
      </c>
    </row>
    <row r="661" spans="1:5">
      <c r="A661" s="3" t="s">
        <v>2741</v>
      </c>
      <c r="B661" s="4" t="str">
        <f ca="1">IFERROR(__xludf.DUMMYFUNCTION("IFERROR(GOOGLETRANSLATE(A661,""ko"",""en""),)"),"cloud")</f>
        <v>cloud</v>
      </c>
      <c r="C661" s="4" t="str">
        <f ca="1">IFERROR(__xludf.DUMMYFUNCTION("IFERROR(GOOGLETRANSLATE(B661,""en"",""ja""),)"),"雲")</f>
        <v>雲</v>
      </c>
      <c r="D661" s="4" t="str">
        <f ca="1">IFERROR(__xludf.DUMMYFUNCTION("IFERROR(GOOGLETRANSLATE(B661,""en"",""zh-TW""),)"),"雲")</f>
        <v>雲</v>
      </c>
      <c r="E661" s="4" t="str">
        <f ca="1">IFERROR(__xludf.DUMMYFUNCTION("IFERROR(GOOGLETRANSLATE(B661,""en"",""zh-CN""),)"),"云")</f>
        <v>云</v>
      </c>
    </row>
    <row r="662" spans="1:5">
      <c r="A662" s="3" t="s">
        <v>2746</v>
      </c>
      <c r="B662" s="4" t="str">
        <f ca="1">IFERROR(__xludf.DUMMYFUNCTION("IFERROR(GOOGLETRANSLATE(A662,""ko"",""en""),)"),"The wind is blowing.")</f>
        <v>The wind is blowing.</v>
      </c>
      <c r="C662" s="4" t="str">
        <f ca="1">IFERROR(__xludf.DUMMYFUNCTION("IFERROR(GOOGLETRANSLATE(B662,""en"",""ja""),)"),"風が吹いている。")</f>
        <v>風が吹いている。</v>
      </c>
      <c r="D662" s="4" t="str">
        <f ca="1">IFERROR(__xludf.DUMMYFUNCTION("IFERROR(GOOGLETRANSLATE(B662,""en"",""zh-TW""),)"),"風在吹。")</f>
        <v>風在吹。</v>
      </c>
      <c r="E662" s="4" t="str">
        <f ca="1">IFERROR(__xludf.DUMMYFUNCTION("IFERROR(GOOGLETRANSLATE(B662,""en"",""zh-CN""),)"),"风在吹。")</f>
        <v>风在吹。</v>
      </c>
    </row>
    <row r="663" spans="1:5">
      <c r="A663" s="3" t="s">
        <v>2752</v>
      </c>
      <c r="B663" s="4" t="str">
        <f ca="1">IFERROR(__xludf.DUMMYFUNCTION("IFERROR(GOOGLETRANSLATE(A663,""ko"",""en""),)"),"blow")</f>
        <v>blow</v>
      </c>
      <c r="C663" s="4" t="str">
        <f ca="1">IFERROR(__xludf.DUMMYFUNCTION("IFERROR(GOOGLETRANSLATE(B663,""en"",""ja""),)"),"吹く")</f>
        <v>吹く</v>
      </c>
      <c r="D663" s="4" t="str">
        <f ca="1">IFERROR(__xludf.DUMMYFUNCTION("IFERROR(GOOGLETRANSLATE(B663,""en"",""zh-TW""),)"),"吹")</f>
        <v>吹</v>
      </c>
      <c r="E663" s="4" t="str">
        <f ca="1">IFERROR(__xludf.DUMMYFUNCTION("IFERROR(GOOGLETRANSLATE(B663,""en"",""zh-CN""),)"),"吹")</f>
        <v>吹</v>
      </c>
    </row>
    <row r="664" spans="1:5">
      <c r="A664" s="3" t="s">
        <v>2755</v>
      </c>
      <c r="B664" s="4" t="str">
        <f ca="1">IFERROR(__xludf.DUMMYFUNCTION("IFERROR(GOOGLETRANSLATE(A664,""ko"",""en""),)"),"It is very windy.")</f>
        <v>It is very windy.</v>
      </c>
      <c r="C664" s="4" t="str">
        <f ca="1">IFERROR(__xludf.DUMMYFUNCTION("IFERROR(GOOGLETRANSLATE(B664,""en"",""ja""),)"),"風がとても強い。")</f>
        <v>風がとても強い。</v>
      </c>
      <c r="D664" s="4" t="str">
        <f ca="1">IFERROR(__xludf.DUMMYFUNCTION("IFERROR(GOOGLETRANSLATE(B664,""en"",""zh-TW""),)"),"風很大。")</f>
        <v>風很大。</v>
      </c>
      <c r="E664" s="4" t="str">
        <f ca="1">IFERROR(__xludf.DUMMYFUNCTION("IFERROR(GOOGLETRANSLATE(B664,""en"",""zh-CN""),)"),"风很大。")</f>
        <v>风很大。</v>
      </c>
    </row>
    <row r="665" spans="1:5">
      <c r="A665" s="3" t="s">
        <v>2760</v>
      </c>
      <c r="B665" s="4" t="str">
        <f ca="1">IFERROR(__xludf.DUMMYFUNCTION("IFERROR(GOOGLETRANSLATE(A665,""ko"",""en""),)"),"It's snowing.")</f>
        <v>It's snowing.</v>
      </c>
      <c r="C665" s="4" t="str">
        <f ca="1">IFERROR(__xludf.DUMMYFUNCTION("IFERROR(GOOGLETRANSLATE(B665,""en"",""ja""),)"),"雪が降っています。")</f>
        <v>雪が降っています。</v>
      </c>
      <c r="D665" s="4" t="str">
        <f ca="1">IFERROR(__xludf.DUMMYFUNCTION("IFERROR(GOOGLETRANSLATE(B665,""en"",""zh-TW""),)"),"正在下雪。")</f>
        <v>正在下雪。</v>
      </c>
      <c r="E665" s="4" t="str">
        <f ca="1">IFERROR(__xludf.DUMMYFUNCTION("IFERROR(GOOGLETRANSLATE(B665,""en"",""zh-CN""),)"),"正在下雪。")</f>
        <v>正在下雪。</v>
      </c>
    </row>
    <row r="666" spans="1:5">
      <c r="A666" s="3" t="s">
        <v>2431</v>
      </c>
      <c r="B666" s="4" t="str">
        <f ca="1">IFERROR(__xludf.DUMMYFUNCTION("IFERROR(GOOGLETRANSLATE(A666,""ko"",""en""),)"),"come")</f>
        <v>come</v>
      </c>
      <c r="C666" s="4" t="str">
        <f ca="1">IFERROR(__xludf.DUMMYFUNCTION("IFERROR(GOOGLETRANSLATE(B666,""en"",""ja""),)"),"来る")</f>
        <v>来る</v>
      </c>
      <c r="D666" s="4" t="str">
        <f ca="1">IFERROR(__xludf.DUMMYFUNCTION("IFERROR(GOOGLETRANSLATE(B666,""en"",""zh-TW""),)"),"來")</f>
        <v>來</v>
      </c>
      <c r="E666" s="4" t="str">
        <f ca="1">IFERROR(__xludf.DUMMYFUNCTION("IFERROR(GOOGLETRANSLATE(B666,""en"",""zh-CN""),)"),"来")</f>
        <v>来</v>
      </c>
    </row>
    <row r="667" spans="1:5">
      <c r="A667" s="3" t="s">
        <v>2774</v>
      </c>
      <c r="B667" s="4" t="str">
        <f ca="1">IFERROR(__xludf.DUMMYFUNCTION("IFERROR(GOOGLETRANSLATE(A667,""ko"",""en""),)"),"It's raining.")</f>
        <v>It's raining.</v>
      </c>
      <c r="C667" s="4" t="str">
        <f ca="1">IFERROR(__xludf.DUMMYFUNCTION("IFERROR(GOOGLETRANSLATE(B667,""en"",""ja""),)"),"雨が降っている。")</f>
        <v>雨が降っている。</v>
      </c>
      <c r="D667" s="4" t="str">
        <f ca="1">IFERROR(__xludf.DUMMYFUNCTION("IFERROR(GOOGLETRANSLATE(B667,""en"",""zh-TW""),)"),"下雨了。")</f>
        <v>下雨了。</v>
      </c>
      <c r="E667" s="4" t="str">
        <f ca="1">IFERROR(__xludf.DUMMYFUNCTION("IFERROR(GOOGLETRANSLATE(B667,""en"",""zh-CN""),)"),"下雨了。")</f>
        <v>下雨了。</v>
      </c>
    </row>
    <row r="668" spans="1:5">
      <c r="A668" s="3" t="s">
        <v>2780</v>
      </c>
      <c r="B668" s="4" t="str">
        <f ca="1">IFERROR(__xludf.DUMMYFUNCTION("IFERROR(GOOGLETRANSLATE(A668,""ko"",""en""),)"),"It is humid")</f>
        <v>It is humid</v>
      </c>
      <c r="C668" s="4" t="str">
        <f ca="1">IFERROR(__xludf.DUMMYFUNCTION("IFERROR(GOOGLETRANSLATE(B668,""en"",""ja""),)"),"湿気が多い")</f>
        <v>湿気が多い</v>
      </c>
      <c r="D668" s="4" t="str">
        <f ca="1">IFERROR(__xludf.DUMMYFUNCTION("IFERROR(GOOGLETRANSLATE(B668,""en"",""zh-TW""),)"),"天氣潮濕")</f>
        <v>天氣潮濕</v>
      </c>
      <c r="E668" s="4" t="str">
        <f ca="1">IFERROR(__xludf.DUMMYFUNCTION("IFERROR(GOOGLETRANSLATE(B668,""en"",""zh-CN""),)"),"天气潮湿")</f>
        <v>天气潮湿</v>
      </c>
    </row>
    <row r="669" spans="1:5">
      <c r="A669" s="3" t="s">
        <v>8</v>
      </c>
      <c r="B669" s="4" t="str">
        <f ca="1">IFERROR(__xludf.DUMMYFUNCTION("IFERROR(GOOGLETRANSLATE(A669,""ko"",""en""),)"),"It's humid.")</f>
        <v>It's humid.</v>
      </c>
      <c r="C669" s="4" t="str">
        <f ca="1">IFERROR(__xludf.DUMMYFUNCTION("IFERROR(GOOGLETRANSLATE(B669,""en"",""ja""),)"),"湿度が高い。")</f>
        <v>湿度が高い。</v>
      </c>
      <c r="D669" s="4" t="str">
        <f ca="1">IFERROR(__xludf.DUMMYFUNCTION("IFERROR(GOOGLETRANSLATE(B669,""en"",""zh-TW""),)"),"天氣潮濕。")</f>
        <v>天氣潮濕。</v>
      </c>
      <c r="E669" s="4" t="str">
        <f ca="1">IFERROR(__xludf.DUMMYFUNCTION("IFERROR(GOOGLETRANSLATE(B669,""en"",""zh-CN""),)"),"天气潮湿。")</f>
        <v>天气潮湿。</v>
      </c>
    </row>
    <row r="670" spans="1:5">
      <c r="A670" s="3" t="s">
        <v>2788</v>
      </c>
      <c r="B670" s="4" t="str">
        <f ca="1">IFERROR(__xludf.DUMMYFUNCTION("IFERROR(GOOGLETRANSLATE(A670,""ko"",""en""),)"),"It's warm")</f>
        <v>It's warm</v>
      </c>
      <c r="C670" s="4" t="str">
        <f ca="1">IFERROR(__xludf.DUMMYFUNCTION("IFERROR(GOOGLETRANSLATE(B670,""en"",""ja""),)"),"暖かいです")</f>
        <v>暖かいです</v>
      </c>
      <c r="D670" s="4" t="str">
        <f ca="1">IFERROR(__xludf.DUMMYFUNCTION("IFERROR(GOOGLETRANSLATE(B670,""en"",""zh-TW""),)"),"很溫暖")</f>
        <v>很溫暖</v>
      </c>
      <c r="E670" s="4" t="str">
        <f ca="1">IFERROR(__xludf.DUMMYFUNCTION("IFERROR(GOOGLETRANSLATE(B670,""en"",""zh-CN""),)"),"很温暖")</f>
        <v>很温暖</v>
      </c>
    </row>
    <row r="671" spans="1:5">
      <c r="A671" s="3" t="s">
        <v>2793</v>
      </c>
      <c r="B671" s="4" t="str">
        <f ca="1">IFERROR(__xludf.DUMMYFUNCTION("IFERROR(GOOGLETRANSLATE(A671,""ko"",""en""),)"),"It's hot.")</f>
        <v>It's hot.</v>
      </c>
      <c r="C671" s="4" t="str">
        <f ca="1">IFERROR(__xludf.DUMMYFUNCTION("IFERROR(GOOGLETRANSLATE(B671,""en"",""ja""),)"),"暑いです。")</f>
        <v>暑いです。</v>
      </c>
      <c r="D671" s="4" t="str">
        <f ca="1">IFERROR(__xludf.DUMMYFUNCTION("IFERROR(GOOGLETRANSLATE(B671,""en"",""zh-TW""),)"),"很熱。")</f>
        <v>很熱。</v>
      </c>
      <c r="E671" s="4" t="str">
        <f ca="1">IFERROR(__xludf.DUMMYFUNCTION("IFERROR(GOOGLETRANSLATE(B671,""en"",""zh-CN""),)"),"很热。")</f>
        <v>很热。</v>
      </c>
    </row>
    <row r="672" spans="1:5">
      <c r="A672" s="3" t="s">
        <v>2798</v>
      </c>
      <c r="B672" s="4" t="str">
        <f ca="1">IFERROR(__xludf.DUMMYFUNCTION("IFERROR(GOOGLETRANSLATE(A672,""ko"",""en""),)"),"It's hot")</f>
        <v>It's hot</v>
      </c>
      <c r="C672" s="4" t="str">
        <f ca="1">IFERROR(__xludf.DUMMYFUNCTION("IFERROR(GOOGLETRANSLATE(B672,""en"",""ja""),)"),"暑いです")</f>
        <v>暑いです</v>
      </c>
      <c r="D672" s="4" t="str">
        <f ca="1">IFERROR(__xludf.DUMMYFUNCTION("IFERROR(GOOGLETRANSLATE(B672,""en"",""zh-TW""),)"),"很熱")</f>
        <v>很熱</v>
      </c>
      <c r="E672" s="4" t="str">
        <f ca="1">IFERROR(__xludf.DUMMYFUNCTION("IFERROR(GOOGLETRANSLATE(B672,""en"",""zh-CN""),)"),"很热")</f>
        <v>很热</v>
      </c>
    </row>
    <row r="673" spans="1:5">
      <c r="A673" s="3" t="s">
        <v>2804</v>
      </c>
      <c r="B673" s="4" t="str">
        <f ca="1">IFERROR(__xludf.DUMMYFUNCTION("IFERROR(GOOGLETRANSLATE(A673,""ko"",""en""),)"),"It's refreshing.")</f>
        <v>It's refreshing.</v>
      </c>
      <c r="C673" s="4" t="str">
        <f ca="1">IFERROR(__xludf.DUMMYFUNCTION("IFERROR(GOOGLETRANSLATE(B673,""en"",""ja""),)"),"爽快だ。")</f>
        <v>爽快だ。</v>
      </c>
      <c r="D673" s="4" t="str">
        <f ca="1">IFERROR(__xludf.DUMMYFUNCTION("IFERROR(GOOGLETRANSLATE(B673,""en"",""zh-TW""),)"),"令人耳目一新。")</f>
        <v>令人耳目一新。</v>
      </c>
      <c r="E673" s="4" t="str">
        <f ca="1">IFERROR(__xludf.DUMMYFUNCTION("IFERROR(GOOGLETRANSLATE(B673,""en"",""zh-CN""),)"),"令人耳目一新。")</f>
        <v>令人耳目一新。</v>
      </c>
    </row>
    <row r="674" spans="1:5">
      <c r="A674" s="3" t="s">
        <v>2809</v>
      </c>
      <c r="B674" s="4" t="str">
        <f ca="1">IFERROR(__xludf.DUMMYFUNCTION("IFERROR(GOOGLETRANSLATE(A674,""ko"",""en""),)"),"It's refreshing")</f>
        <v>It's refreshing</v>
      </c>
      <c r="C674" s="4" t="str">
        <f ca="1">IFERROR(__xludf.DUMMYFUNCTION("IFERROR(GOOGLETRANSLATE(B674,""en"",""ja""),)"),"爽快だ")</f>
        <v>爽快だ</v>
      </c>
      <c r="D674" s="4" t="str">
        <f ca="1">IFERROR(__xludf.DUMMYFUNCTION("IFERROR(GOOGLETRANSLATE(B674,""en"",""zh-TW""),)"),"令人耳目一新")</f>
        <v>令人耳目一新</v>
      </c>
      <c r="E674" s="4" t="str">
        <f ca="1">IFERROR(__xludf.DUMMYFUNCTION("IFERROR(GOOGLETRANSLATE(B674,""en"",""zh-CN""),)"),"令人耳目一新")</f>
        <v>令人耳目一新</v>
      </c>
    </row>
    <row r="675" spans="1:5">
      <c r="A675" s="3" t="s">
        <v>2812</v>
      </c>
      <c r="B675" s="4" t="str">
        <f ca="1">IFERROR(__xludf.DUMMYFUNCTION("IFERROR(GOOGLETRANSLATE(A675,""ko"",""en""),)"),"It's chilly.")</f>
        <v>It's chilly.</v>
      </c>
      <c r="C675" s="4" t="str">
        <f ca="1">IFERROR(__xludf.DUMMYFUNCTION("IFERROR(GOOGLETRANSLATE(B675,""en"",""ja""),)"),"肌寒い。")</f>
        <v>肌寒い。</v>
      </c>
      <c r="D675" s="4" t="str">
        <f ca="1">IFERROR(__xludf.DUMMYFUNCTION("IFERROR(GOOGLETRANSLATE(B675,""en"",""zh-TW""),)"),"天氣冷。")</f>
        <v>天氣冷。</v>
      </c>
      <c r="E675" s="4" t="str">
        <f ca="1">IFERROR(__xludf.DUMMYFUNCTION("IFERROR(GOOGLETRANSLATE(B675,""en"",""zh-CN""),)"),"天气冷。")</f>
        <v>天气冷。</v>
      </c>
    </row>
    <row r="676" spans="1:5">
      <c r="A676" s="3" t="s">
        <v>2818</v>
      </c>
      <c r="B676" s="4" t="str">
        <f ca="1">IFERROR(__xludf.DUMMYFUNCTION("IFERROR(GOOGLETRANSLATE(A676,""ko"",""en""),)"),"cold")</f>
        <v>cold</v>
      </c>
      <c r="C676" s="4" t="str">
        <f ca="1">IFERROR(__xludf.DUMMYFUNCTION("IFERROR(GOOGLETRANSLATE(B676,""en"",""ja""),)"),"寒い")</f>
        <v>寒い</v>
      </c>
      <c r="D676" s="4" t="str">
        <f ca="1">IFERROR(__xludf.DUMMYFUNCTION("IFERROR(GOOGLETRANSLATE(B676,""en"",""zh-TW""),)"),"寒冷的")</f>
        <v>寒冷的</v>
      </c>
      <c r="E676" s="4" t="str">
        <f ca="1">IFERROR(__xludf.DUMMYFUNCTION("IFERROR(GOOGLETRANSLATE(B676,""en"",""zh-CN""),)"),"寒冷的")</f>
        <v>寒冷的</v>
      </c>
    </row>
    <row r="677" spans="1:5">
      <c r="A677" s="3" t="s">
        <v>2822</v>
      </c>
      <c r="B677" s="4" t="str">
        <f ca="1">IFERROR(__xludf.DUMMYFUNCTION("IFERROR(GOOGLETRANSLATE(A677,""ko"",""en""),)"),"cold")</f>
        <v>cold</v>
      </c>
      <c r="C677" s="4" t="str">
        <f ca="1">IFERROR(__xludf.DUMMYFUNCTION("IFERROR(GOOGLETRANSLATE(B677,""en"",""ja""),)"),"寒い")</f>
        <v>寒い</v>
      </c>
      <c r="D677" s="4" t="str">
        <f ca="1">IFERROR(__xludf.DUMMYFUNCTION("IFERROR(GOOGLETRANSLATE(B677,""en"",""zh-TW""),)"),"寒冷的")</f>
        <v>寒冷的</v>
      </c>
      <c r="E677" s="4" t="str">
        <f ca="1">IFERROR(__xludf.DUMMYFUNCTION("IFERROR(GOOGLETRANSLATE(B677,""en"",""zh-CN""),)"),"寒冷的")</f>
        <v>寒冷的</v>
      </c>
    </row>
    <row r="678" spans="1:5">
      <c r="A678" s="3" t="s">
        <v>2828</v>
      </c>
      <c r="B678" s="4" t="s">
        <v>2829</v>
      </c>
      <c r="C678" s="4" t="str">
        <f ca="1">IFERROR(__xludf.DUMMYFUNCTION("IFERROR(GOOGLETRANSLATE(B678,""en"",""ja""),)"),"今日の天気はどうですか？")</f>
        <v>今日の天気はどうですか？</v>
      </c>
      <c r="D678" s="4" t="str">
        <f ca="1">IFERROR(__xludf.DUMMYFUNCTION("IFERROR(GOOGLETRANSLATE(B678,""en"",""zh-TW""),)"),"今天天氣怎麼樣？")</f>
        <v>今天天氣怎麼樣？</v>
      </c>
      <c r="E678" s="4" t="str">
        <f ca="1">IFERROR(__xludf.DUMMYFUNCTION("IFERROR(GOOGLETRANSLATE(B678,""en"",""zh-CN""),)"),"今天天气怎么样？")</f>
        <v>今天天气怎么样？</v>
      </c>
    </row>
    <row r="679" spans="1:5">
      <c r="A679" s="3" t="s">
        <v>2835</v>
      </c>
      <c r="B679" s="4" t="str">
        <f ca="1">IFERROR(__xludf.DUMMYFUNCTION("IFERROR(GOOGLETRANSLATE(A679,""ko"",""en""),)"),"It is a little windy today.")</f>
        <v>It is a little windy today.</v>
      </c>
      <c r="C679" s="4" t="str">
        <f ca="1">IFERROR(__xludf.DUMMYFUNCTION("IFERROR(GOOGLETRANSLATE(B679,""en"",""ja""),)"),"今日は少し風が強い。")</f>
        <v>今日は少し風が強い。</v>
      </c>
      <c r="D679" s="4" t="str">
        <f ca="1">IFERROR(__xludf.DUMMYFUNCTION("IFERROR(GOOGLETRANSLATE(B679,""en"",""zh-TW""),)"),"今天有點風。")</f>
        <v>今天有點風。</v>
      </c>
      <c r="E679" s="4" t="str">
        <f ca="1">IFERROR(__xludf.DUMMYFUNCTION("IFERROR(GOOGLETRANSLATE(B679,""en"",""zh-CN""),)"),"今天有点风。")</f>
        <v>今天有点风。</v>
      </c>
    </row>
    <row r="680" spans="1:5">
      <c r="A680" s="3" t="s">
        <v>2840</v>
      </c>
      <c r="B680" s="4" t="str">
        <f ca="1">IFERROR(__xludf.DUMMYFUNCTION("IFERROR(GOOGLETRANSLATE(A680,""ko"",""en""),)"),"What is the weather like tomorrow?")</f>
        <v>What is the weather like tomorrow?</v>
      </c>
      <c r="C680" s="4" t="str">
        <f ca="1">IFERROR(__xludf.DUMMYFUNCTION("IFERROR(GOOGLETRANSLATE(B680,""en"",""ja""),)"),"明日の天気はどうですか？")</f>
        <v>明日の天気はどうですか？</v>
      </c>
      <c r="D680" s="4" t="str">
        <f ca="1">IFERROR(__xludf.DUMMYFUNCTION("IFERROR(GOOGLETRANSLATE(B680,""en"",""zh-TW""),)"),"明天天氣怎麼樣？")</f>
        <v>明天天氣怎麼樣？</v>
      </c>
      <c r="E680" s="4" t="str">
        <f ca="1">IFERROR(__xludf.DUMMYFUNCTION("IFERROR(GOOGLETRANSLATE(B680,""en"",""zh-CN""),)"),"明天天气怎么样？")</f>
        <v>明天天气怎么样？</v>
      </c>
    </row>
    <row r="681" spans="1:5">
      <c r="A681" s="3" t="s">
        <v>2843</v>
      </c>
      <c r="B681" s="4" t="str">
        <f ca="1">IFERROR(__xludf.DUMMYFUNCTION("IFERROR(GOOGLETRANSLATE(A681,""ko"",""en""),)"),"Four seasons")</f>
        <v>Four seasons</v>
      </c>
      <c r="C681" s="4" t="str">
        <f ca="1">IFERROR(__xludf.DUMMYFUNCTION("IFERROR(GOOGLETRANSLATE(B681,""en"",""ja""),)"),"四季")</f>
        <v>四季</v>
      </c>
      <c r="D681" s="4" t="str">
        <f ca="1">IFERROR(__xludf.DUMMYFUNCTION("IFERROR(GOOGLETRANSLATE(B681,""en"",""zh-TW""),)"),"四季")</f>
        <v>四季</v>
      </c>
      <c r="E681" s="4" t="str">
        <f ca="1">IFERROR(__xludf.DUMMYFUNCTION("IFERROR(GOOGLETRANSLATE(B681,""en"",""zh-CN""),)"),"四季")</f>
        <v>四季</v>
      </c>
    </row>
    <row r="682" spans="1:5">
      <c r="A682" s="3" t="s">
        <v>2849</v>
      </c>
      <c r="B682" s="4" t="str">
        <f ca="1">IFERROR(__xludf.DUMMYFUNCTION("IFERROR(GOOGLETRANSLATE(A682,""ko"",""en""),)"),"There are four seasons.")</f>
        <v>There are four seasons.</v>
      </c>
      <c r="C682" s="4" t="str">
        <f ca="1">IFERROR(__xludf.DUMMYFUNCTION("IFERROR(GOOGLETRANSLATE(B682,""en"",""ja""),)"),"四季がある。")</f>
        <v>四季がある。</v>
      </c>
      <c r="D682" s="4" t="str">
        <f ca="1">IFERROR(__xludf.DUMMYFUNCTION("IFERROR(GOOGLETRANSLATE(B682,""en"",""zh-TW""),)"),"一年有四季。")</f>
        <v>一年有四季。</v>
      </c>
      <c r="E682" s="4" t="str">
        <f ca="1">IFERROR(__xludf.DUMMYFUNCTION("IFERROR(GOOGLETRANSLATE(B682,""en"",""zh-CN""),)"),"一年有四季。")</f>
        <v>一年有四季。</v>
      </c>
    </row>
    <row r="683" spans="1:5">
      <c r="A683" s="3" t="s">
        <v>2853</v>
      </c>
      <c r="B683" s="4" t="str">
        <f ca="1">IFERROR(__xludf.DUMMYFUNCTION("IFERROR(GOOGLETRANSLATE(A683,""ko"",""en""),)"),"Australia has four seasons.")</f>
        <v>Australia has four seasons.</v>
      </c>
      <c r="C683" s="4" t="str">
        <f ca="1">IFERROR(__xludf.DUMMYFUNCTION("IFERROR(GOOGLETRANSLATE(B683,""en"",""ja""),)"),"オーストラリアには四季がある。")</f>
        <v>オーストラリアには四季がある。</v>
      </c>
      <c r="D683" s="4" t="str">
        <f ca="1">IFERROR(__xludf.DUMMYFUNCTION("IFERROR(GOOGLETRANSLATE(B683,""en"",""zh-TW""),)"),"澳洲有四季。")</f>
        <v>澳洲有四季。</v>
      </c>
      <c r="E683" s="4" t="str">
        <f ca="1">IFERROR(__xludf.DUMMYFUNCTION("IFERROR(GOOGLETRANSLATE(B683,""en"",""zh-CN""),)"),"澳大利亚有四季。")</f>
        <v>澳大利亚有四季。</v>
      </c>
    </row>
    <row r="684" spans="1:5">
      <c r="A684" s="5" t="s">
        <v>2857</v>
      </c>
      <c r="B684" s="4" t="str">
        <f ca="1">IFERROR(__xludf.DUMMYFUNCTION("IFERROR(GOOGLETRANSLATE(A684,""ko"",""en""),)"),"but")</f>
        <v>but</v>
      </c>
      <c r="C684" s="4" t="str">
        <f ca="1">IFERROR(__xludf.DUMMYFUNCTION("IFERROR(GOOGLETRANSLATE(B684,""en"",""ja""),)"),"しかし")</f>
        <v>しかし</v>
      </c>
      <c r="D684" s="4" t="str">
        <f ca="1">IFERROR(__xludf.DUMMYFUNCTION("IFERROR(GOOGLETRANSLATE(B684,""en"",""zh-TW""),)"),"但")</f>
        <v>但</v>
      </c>
      <c r="E684" s="4" t="str">
        <f ca="1">IFERROR(__xludf.DUMMYFUNCTION("IFERROR(GOOGLETRANSLATE(B684,""en"",""zh-CN""),)"),"但")</f>
        <v>但</v>
      </c>
    </row>
    <row r="685" spans="1:5">
      <c r="A685" s="3" t="s">
        <v>68</v>
      </c>
      <c r="B685" s="4" t="str">
        <f ca="1">IFERROR(__xludf.DUMMYFUNCTION("IFERROR(GOOGLETRANSLATE(A685,""ko"",""en""),)"),"spring")</f>
        <v>spring</v>
      </c>
      <c r="C685" s="4" t="str">
        <f ca="1">IFERROR(__xludf.DUMMYFUNCTION("IFERROR(GOOGLETRANSLATE(B685,""en"",""ja""),)"),"春")</f>
        <v>春</v>
      </c>
      <c r="D685" s="4" t="str">
        <f ca="1">IFERROR(__xludf.DUMMYFUNCTION("IFERROR(GOOGLETRANSLATE(B685,""en"",""zh-TW""),)"),"春天")</f>
        <v>春天</v>
      </c>
      <c r="E685" s="4" t="str">
        <f ca="1">IFERROR(__xludf.DUMMYFUNCTION("IFERROR(GOOGLETRANSLATE(B685,""en"",""zh-CN""),)"),"春天")</f>
        <v>春天</v>
      </c>
    </row>
    <row r="686" spans="1:5">
      <c r="A686" s="3" t="s">
        <v>2864</v>
      </c>
      <c r="B686" s="4" t="str">
        <f ca="1">IFERROR(__xludf.DUMMYFUNCTION("IFERROR(GOOGLETRANSLATE(A686,""ko"",""en""),)"),"summer")</f>
        <v>summer</v>
      </c>
      <c r="C686" s="4" t="str">
        <f ca="1">IFERROR(__xludf.DUMMYFUNCTION("IFERROR(GOOGLETRANSLATE(B686,""en"",""ja""),)"),"夏")</f>
        <v>夏</v>
      </c>
      <c r="D686" s="4" t="str">
        <f ca="1">IFERROR(__xludf.DUMMYFUNCTION("IFERROR(GOOGLETRANSLATE(B686,""en"",""zh-TW""),)"),"夏天")</f>
        <v>夏天</v>
      </c>
      <c r="E686" s="4" t="str">
        <f ca="1">IFERROR(__xludf.DUMMYFUNCTION("IFERROR(GOOGLETRANSLATE(B686,""en"",""zh-CN""),)"),"夏天")</f>
        <v>夏天</v>
      </c>
    </row>
    <row r="687" spans="1:5">
      <c r="A687" s="3" t="s">
        <v>2868</v>
      </c>
      <c r="B687" s="4" t="str">
        <f ca="1">IFERROR(__xludf.DUMMYFUNCTION("IFERROR(GOOGLETRANSLATE(A687,""ko"",""en""),)"),"autumn")</f>
        <v>autumn</v>
      </c>
      <c r="C687" s="4" t="str">
        <f ca="1">IFERROR(__xludf.DUMMYFUNCTION("IFERROR(GOOGLETRANSLATE(B687,""en"",""ja""),)"),"秋")</f>
        <v>秋</v>
      </c>
      <c r="D687" s="4" t="str">
        <f ca="1">IFERROR(__xludf.DUMMYFUNCTION("IFERROR(GOOGLETRANSLATE(B687,""en"",""zh-TW""),)"),"秋天")</f>
        <v>秋天</v>
      </c>
      <c r="E687" s="4" t="str">
        <f ca="1">IFERROR(__xludf.DUMMYFUNCTION("IFERROR(GOOGLETRANSLATE(B687,""en"",""zh-CN""),)"),"秋天")</f>
        <v>秋天</v>
      </c>
    </row>
    <row r="688" spans="1:5">
      <c r="A688" s="3" t="s">
        <v>2873</v>
      </c>
      <c r="B688" s="4" t="str">
        <f ca="1">IFERROR(__xludf.DUMMYFUNCTION("IFERROR(GOOGLETRANSLATE(A688,""ko"",""en""),)"),"winter")</f>
        <v>winter</v>
      </c>
      <c r="C688" s="4" t="str">
        <f ca="1">IFERROR(__xludf.DUMMYFUNCTION("IFERROR(GOOGLETRANSLATE(B688,""en"",""ja""),)"),"冬")</f>
        <v>冬</v>
      </c>
      <c r="D688" s="4" t="str">
        <f ca="1">IFERROR(__xludf.DUMMYFUNCTION("IFERROR(GOOGLETRANSLATE(B688,""en"",""zh-TW""),)"),"冬天")</f>
        <v>冬天</v>
      </c>
      <c r="E688" s="4" t="str">
        <f ca="1">IFERROR(__xludf.DUMMYFUNCTION("IFERROR(GOOGLETRANSLATE(B688,""en"",""zh-CN""),)"),"冬天")</f>
        <v>冬天</v>
      </c>
    </row>
    <row r="689" spans="1:5">
      <c r="A689" s="3" t="s">
        <v>2875</v>
      </c>
      <c r="B689" s="4" t="str">
        <f ca="1">IFERROR(__xludf.DUMMYFUNCTION("IFERROR(GOOGLETRANSLATE(A689,""ko"",""en""),)"),"autumn leaves")</f>
        <v>autumn leaves</v>
      </c>
      <c r="C689" s="4" t="str">
        <f ca="1">IFERROR(__xludf.DUMMYFUNCTION("IFERROR(GOOGLETRANSLATE(B689,""en"",""ja""),)"),"秋の紅葉")</f>
        <v>秋の紅葉</v>
      </c>
      <c r="D689" s="4" t="str">
        <f ca="1">IFERROR(__xludf.DUMMYFUNCTION("IFERROR(GOOGLETRANSLATE(B689,""en"",""zh-TW""),)"),"秋葉")</f>
        <v>秋葉</v>
      </c>
      <c r="E689" s="4" t="str">
        <f ca="1">IFERROR(__xludf.DUMMYFUNCTION("IFERROR(GOOGLETRANSLATE(B689,""en"",""zh-CN""),)"),"秋叶")</f>
        <v>秋叶</v>
      </c>
    </row>
    <row r="690" spans="1:5">
      <c r="A690" s="3" t="s">
        <v>2878</v>
      </c>
      <c r="B690" s="4" t="str">
        <f ca="1">IFERROR(__xludf.DUMMYFUNCTION("IFERROR(GOOGLETRANSLATE(A690,""ko"",""en""),)"),"Look at the autumn leaves.")</f>
        <v>Look at the autumn leaves.</v>
      </c>
      <c r="C690" s="4" t="str">
        <f ca="1">IFERROR(__xludf.DUMMYFUNCTION("IFERROR(GOOGLETRANSLATE(B690,""en"",""ja""),)"),"秋の紅葉を見てください。")</f>
        <v>秋の紅葉を見てください。</v>
      </c>
      <c r="D690" s="4" t="str">
        <f ca="1">IFERROR(__xludf.DUMMYFUNCTION("IFERROR(GOOGLETRANSLATE(B690,""en"",""zh-TW""),)"),"看看秋天的落葉。")</f>
        <v>看看秋天的落葉。</v>
      </c>
      <c r="E690" s="4" t="str">
        <f ca="1">IFERROR(__xludf.DUMMYFUNCTION("IFERROR(GOOGLETRANSLATE(B690,""en"",""zh-CN""),)"),"看看秋天的落叶。")</f>
        <v>看看秋天的落叶。</v>
      </c>
    </row>
    <row r="691" spans="1:5">
      <c r="A691" s="3" t="s">
        <v>2882</v>
      </c>
      <c r="B691" s="4" t="str">
        <f ca="1">IFERROR(__xludf.DUMMYFUNCTION("IFERROR(GOOGLETRANSLATE(A691,""ko"",""en""),)"),"There are many flowers.")</f>
        <v>There are many flowers.</v>
      </c>
      <c r="C691" s="4" t="str">
        <f ca="1">IFERROR(__xludf.DUMMYFUNCTION("IFERROR(GOOGLETRANSLATE(B691,""en"",""ja""),)"),"花がたくさんある。")</f>
        <v>花がたくさんある。</v>
      </c>
      <c r="D691" s="4" t="str">
        <f ca="1">IFERROR(__xludf.DUMMYFUNCTION("IFERROR(GOOGLETRANSLATE(B691,""en"",""zh-TW""),)"),"這裡有很多花。")</f>
        <v>這裡有很多花。</v>
      </c>
      <c r="E691" s="4" t="str">
        <f ca="1">IFERROR(__xludf.DUMMYFUNCTION("IFERROR(GOOGLETRANSLATE(B691,""en"",""zh-CN""),)"),"这里有很多花。")</f>
        <v>这里有很多花。</v>
      </c>
    </row>
    <row r="692" spans="1:5">
      <c r="A692" s="3" t="s">
        <v>2887</v>
      </c>
      <c r="B692" s="4" t="str">
        <f ca="1">IFERROR(__xludf.DUMMYFUNCTION("IFERROR(GOOGLETRANSLATE(A692,""ko"",""en""),)"),"snowman")</f>
        <v>snowman</v>
      </c>
      <c r="C692" s="4" t="str">
        <f ca="1">IFERROR(__xludf.DUMMYFUNCTION("IFERROR(GOOGLETRANSLATE(B692,""en"",""ja""),)"),"雪だるま")</f>
        <v>雪だるま</v>
      </c>
      <c r="D692" s="4" t="str">
        <f ca="1">IFERROR(__xludf.DUMMYFUNCTION("IFERROR(GOOGLETRANSLATE(B692,""en"",""zh-TW""),)"),"雪人")</f>
        <v>雪人</v>
      </c>
      <c r="E692" s="4" t="str">
        <f ca="1">IFERROR(__xludf.DUMMYFUNCTION("IFERROR(GOOGLETRANSLATE(B692,""en"",""zh-CN""),)"),"雪人")</f>
        <v>雪人</v>
      </c>
    </row>
    <row r="693" spans="1:5">
      <c r="A693" s="3" t="s">
        <v>2893</v>
      </c>
      <c r="B693" s="4" t="str">
        <f ca="1">IFERROR(__xludf.DUMMYFUNCTION("IFERROR(GOOGLETRANSLATE(A693,""ko"",""en""),)"),"I swim in the sea")</f>
        <v>I swim in the sea</v>
      </c>
      <c r="C693" s="4" t="str">
        <f ca="1">IFERROR(__xludf.DUMMYFUNCTION("IFERROR(GOOGLETRANSLATE(B693,""en"",""ja""),)"),"私は海で泳ぐ")</f>
        <v>私は海で泳ぐ</v>
      </c>
      <c r="D693" s="4" t="str">
        <f ca="1">IFERROR(__xludf.DUMMYFUNCTION("IFERROR(GOOGLETRANSLATE(B693,""en"",""zh-TW""),)"),"我在海裡游泳")</f>
        <v>我在海裡游泳</v>
      </c>
      <c r="E693" s="4" t="str">
        <f ca="1">IFERROR(__xludf.DUMMYFUNCTION("IFERROR(GOOGLETRANSLATE(B693,""en"",""zh-CN""),)"),"我在海里游泳")</f>
        <v>我在海里游泳</v>
      </c>
    </row>
    <row r="694" spans="1:5">
      <c r="A694" s="3" t="s">
        <v>2897</v>
      </c>
      <c r="B694" s="4" t="str">
        <f ca="1">IFERROR(__xludf.DUMMYFUNCTION("IFERROR(GOOGLETRANSLATE(A694,""ko"",""en""),)"),"Let's make a snowman")</f>
        <v>Let's make a snowman</v>
      </c>
      <c r="C694" s="4" t="str">
        <f ca="1">IFERROR(__xludf.DUMMYFUNCTION("IFERROR(GOOGLETRANSLATE(B694,""en"",""ja""),)"),"雪だるまを作ろう")</f>
        <v>雪だるまを作ろう</v>
      </c>
      <c r="D694" s="4" t="str">
        <f ca="1">IFERROR(__xludf.DUMMYFUNCTION("IFERROR(GOOGLETRANSLATE(B694,""en"",""zh-TW""),)"),"我們來堆個雪人吧")</f>
        <v>我們來堆個雪人吧</v>
      </c>
      <c r="E694" s="4" t="str">
        <f ca="1">IFERROR(__xludf.DUMMYFUNCTION("IFERROR(GOOGLETRANSLATE(B694,""en"",""zh-CN""),)"),"我们来堆个雪人吧")</f>
        <v>我们来堆个雪人吧</v>
      </c>
    </row>
    <row r="695" spans="1:5">
      <c r="A695" s="3" t="s">
        <v>2903</v>
      </c>
      <c r="B695" s="4" t="str">
        <f ca="1">IFERROR(__xludf.DUMMYFUNCTION("IFERROR(GOOGLETRANSLATE(A695,""ko"",""en""),)"),"How is the weather this weekend?")</f>
        <v>How is the weather this weekend?</v>
      </c>
      <c r="C695" s="4" t="str">
        <f ca="1">IFERROR(__xludf.DUMMYFUNCTION("IFERROR(GOOGLETRANSLATE(B695,""en"",""ja""),)"),"今週末の天気はどうですか？")</f>
        <v>今週末の天気はどうですか？</v>
      </c>
      <c r="D695" s="4" t="str">
        <f ca="1">IFERROR(__xludf.DUMMYFUNCTION("IFERROR(GOOGLETRANSLATE(B695,""en"",""zh-TW""),)"),"這週末天氣怎麼樣？")</f>
        <v>這週末天氣怎麼樣？</v>
      </c>
      <c r="E695" s="4" t="str">
        <f ca="1">IFERROR(__xludf.DUMMYFUNCTION("IFERROR(GOOGLETRANSLATE(B695,""en"",""zh-CN""),)"),"这周末天气怎么样？")</f>
        <v>这周末天气怎么样？</v>
      </c>
    </row>
    <row r="696" spans="1:5">
      <c r="A696" s="3" t="s">
        <v>2908</v>
      </c>
      <c r="B696" s="4" t="str">
        <f ca="1">IFERROR(__xludf.DUMMYFUNCTION("IFERROR(GOOGLETRANSLATE(A696,""ko"",""en""),)"),"last weekend")</f>
        <v>last weekend</v>
      </c>
      <c r="C696" s="4" t="str">
        <f ca="1">IFERROR(__xludf.DUMMYFUNCTION("IFERROR(GOOGLETRANSLATE(B696,""en"",""ja""),)"),"先週末")</f>
        <v>先週末</v>
      </c>
      <c r="D696" s="4" t="str">
        <f ca="1">IFERROR(__xludf.DUMMYFUNCTION("IFERROR(GOOGLETRANSLATE(B696,""en"",""zh-TW""),)"),"上週末")</f>
        <v>上週末</v>
      </c>
      <c r="E696" s="4" t="str">
        <f ca="1">IFERROR(__xludf.DUMMYFUNCTION("IFERROR(GOOGLETRANSLATE(B696,""en"",""zh-CN""),)"),"上周末")</f>
        <v>上周末</v>
      </c>
    </row>
    <row r="697" spans="1:5">
      <c r="A697" s="3" t="s">
        <v>2912</v>
      </c>
      <c r="B697" s="4" t="str">
        <f ca="1">IFERROR(__xludf.DUMMYFUNCTION("IFERROR(GOOGLETRANSLATE(A697,""ko"",""en""),)"),"This weekend")</f>
        <v>This weekend</v>
      </c>
      <c r="C697" s="4" t="str">
        <f ca="1">IFERROR(__xludf.DUMMYFUNCTION("IFERROR(GOOGLETRANSLATE(B697,""en"",""ja""),)"),"今週末")</f>
        <v>今週末</v>
      </c>
      <c r="D697" s="4" t="str">
        <f ca="1">IFERROR(__xludf.DUMMYFUNCTION("IFERROR(GOOGLETRANSLATE(B697,""en"",""zh-TW""),)"),"本週末")</f>
        <v>本週末</v>
      </c>
      <c r="E697" s="4" t="str">
        <f ca="1">IFERROR(__xludf.DUMMYFUNCTION("IFERROR(GOOGLETRANSLATE(B697,""en"",""zh-CN""),)"),"本周末")</f>
        <v>本周末</v>
      </c>
    </row>
    <row r="698" spans="1:5">
      <c r="A698" s="3" t="s">
        <v>2917</v>
      </c>
      <c r="B698" s="4" t="str">
        <f ca="1">IFERROR(__xludf.DUMMYFUNCTION("IFERROR(GOOGLETRANSLATE(A698,""ko"",""en""),)"),"Next weekend")</f>
        <v>Next weekend</v>
      </c>
      <c r="C698" s="4" t="str">
        <f ca="1">IFERROR(__xludf.DUMMYFUNCTION("IFERROR(GOOGLETRANSLATE(B698,""en"",""ja""),)"),"来週末")</f>
        <v>来週末</v>
      </c>
      <c r="D698" s="4" t="str">
        <f ca="1">IFERROR(__xludf.DUMMYFUNCTION("IFERROR(GOOGLETRANSLATE(B698,""en"",""zh-TW""),)"),"下週末")</f>
        <v>下週末</v>
      </c>
      <c r="E698" s="4" t="str">
        <f ca="1">IFERROR(__xludf.DUMMYFUNCTION("IFERROR(GOOGLETRANSLATE(B698,""en"",""zh-CN""),)"),"下周末")</f>
        <v>下周末</v>
      </c>
    </row>
    <row r="699" spans="1:5">
      <c r="A699" s="3" t="s">
        <v>2921</v>
      </c>
      <c r="B699" s="4" t="str">
        <f ca="1">IFERROR(__xludf.DUMMYFUNCTION("IFERROR(GOOGLETRANSLATE(A699,""ko"",""en""),)"),"butterfly")</f>
        <v>butterfly</v>
      </c>
      <c r="C699" s="4" t="str">
        <f ca="1">IFERROR(__xludf.DUMMYFUNCTION("IFERROR(GOOGLETRANSLATE(B699,""en"",""ja""),)"),"蝶")</f>
        <v>蝶</v>
      </c>
      <c r="D699" s="4" t="str">
        <f ca="1">IFERROR(__xludf.DUMMYFUNCTION("IFERROR(GOOGLETRANSLATE(B699,""en"",""zh-TW""),)"),"蝴蝶")</f>
        <v>蝴蝶</v>
      </c>
      <c r="E699" s="4" t="str">
        <f ca="1">IFERROR(__xludf.DUMMYFUNCTION("IFERROR(GOOGLETRANSLATE(B699,""en"",""zh-CN""),)"),"蝴蝶")</f>
        <v>蝴蝶</v>
      </c>
    </row>
    <row r="700" spans="1:5">
      <c r="A700" s="3" t="s">
        <v>2924</v>
      </c>
      <c r="B700" s="4" t="str">
        <f ca="1">IFERROR(__xludf.DUMMYFUNCTION("IFERROR(GOOGLETRANSLATE(A700,""ko"",""en""),)"),"It is very windy.")</f>
        <v>It is very windy.</v>
      </c>
      <c r="C700" s="4" t="str">
        <f ca="1">IFERROR(__xludf.DUMMYFUNCTION("IFERROR(GOOGLETRANSLATE(B700,""en"",""ja""),)"),"風がとても強い。")</f>
        <v>風がとても強い。</v>
      </c>
      <c r="D700" s="4" t="str">
        <f ca="1">IFERROR(__xludf.DUMMYFUNCTION("IFERROR(GOOGLETRANSLATE(B700,""en"",""zh-TW""),)"),"風很大。")</f>
        <v>風很大。</v>
      </c>
      <c r="E700" s="4" t="str">
        <f ca="1">IFERROR(__xludf.DUMMYFUNCTION("IFERROR(GOOGLETRANSLATE(B700,""en"",""zh-CN""),)"),"风很大。")</f>
        <v>风很大。</v>
      </c>
    </row>
    <row r="701" spans="1:5">
      <c r="A701" s="3" t="s">
        <v>2929</v>
      </c>
      <c r="B701" s="4" t="str">
        <f ca="1">IFERROR(__xludf.DUMMYFUNCTION("IFERROR(GOOGLETRANSLATE(A701,""ko"",""en""),)"),"It's raining.")</f>
        <v>It's raining.</v>
      </c>
      <c r="C701" s="4" t="str">
        <f ca="1">IFERROR(__xludf.DUMMYFUNCTION("IFERROR(GOOGLETRANSLATE(B701,""en"",""ja""),)"),"雨が降っている。")</f>
        <v>雨が降っている。</v>
      </c>
      <c r="D701" s="4" t="str">
        <f ca="1">IFERROR(__xludf.DUMMYFUNCTION("IFERROR(GOOGLETRANSLATE(B701,""en"",""zh-TW""),)"),"下雨了。")</f>
        <v>下雨了。</v>
      </c>
      <c r="E701" s="4" t="str">
        <f ca="1">IFERROR(__xludf.DUMMYFUNCTION("IFERROR(GOOGLETRANSLATE(B701,""en"",""zh-CN""),)"),"下雨了。")</f>
        <v>下雨了。</v>
      </c>
    </row>
    <row r="702" spans="1:5">
      <c r="A702" s="3" t="s">
        <v>2933</v>
      </c>
      <c r="B702" s="4" t="str">
        <f ca="1">IFERROR(__xludf.DUMMYFUNCTION("IFERROR(GOOGLETRANSLATE(A702,""ko"",""en""),)"),"I need an umbrella.")</f>
        <v>I need an umbrella.</v>
      </c>
      <c r="C702" s="4" t="str">
        <f ca="1">IFERROR(__xludf.DUMMYFUNCTION("IFERROR(GOOGLETRANSLATE(B702,""en"",""ja""),)"),"傘が必要です。")</f>
        <v>傘が必要です。</v>
      </c>
      <c r="D702" s="4" t="str">
        <f ca="1">IFERROR(__xludf.DUMMYFUNCTION("IFERROR(GOOGLETRANSLATE(B702,""en"",""zh-TW""),)"),"我需要一把傘。")</f>
        <v>我需要一把傘。</v>
      </c>
      <c r="E702" s="4" t="str">
        <f ca="1">IFERROR(__xludf.DUMMYFUNCTION("IFERROR(GOOGLETRANSLATE(B702,""en"",""zh-CN""),)"),"我需要一把伞。")</f>
        <v>我需要一把伞。</v>
      </c>
    </row>
    <row r="703" spans="1:5">
      <c r="A703" s="3" t="s">
        <v>2938</v>
      </c>
      <c r="B703" s="4" t="str">
        <f ca="1">IFERROR(__xludf.DUMMYFUNCTION("IFERROR(GOOGLETRANSLATE(A703,""ko"",""en""),)"),"It's snowing.")</f>
        <v>It's snowing.</v>
      </c>
      <c r="C703" s="4" t="str">
        <f ca="1">IFERROR(__xludf.DUMMYFUNCTION("IFERROR(GOOGLETRANSLATE(B703,""en"",""ja""),)"),"雪が降っています。")</f>
        <v>雪が降っています。</v>
      </c>
      <c r="D703" s="4" t="str">
        <f ca="1">IFERROR(__xludf.DUMMYFUNCTION("IFERROR(GOOGLETRANSLATE(B703,""en"",""zh-TW""),)"),"正在下雪。")</f>
        <v>正在下雪。</v>
      </c>
      <c r="E703" s="4" t="str">
        <f ca="1">IFERROR(__xludf.DUMMYFUNCTION("IFERROR(GOOGLETRANSLATE(B703,""en"",""zh-CN""),)"),"正在下雪。")</f>
        <v>正在下雪。</v>
      </c>
    </row>
    <row r="704" spans="1:5">
      <c r="A704" s="5" t="s">
        <v>2941</v>
      </c>
      <c r="B704" s="4" t="str">
        <f ca="1">IFERROR(__xludf.DUMMYFUNCTION("IFERROR(GOOGLETRANSLATE(A704,""ko"",""en""),)"),"sometimes")</f>
        <v>sometimes</v>
      </c>
      <c r="C704" s="4" t="str">
        <f ca="1">IFERROR(__xludf.DUMMYFUNCTION("IFERROR(GOOGLETRANSLATE(B704,""en"",""ja""),)"),"時々")</f>
        <v>時々</v>
      </c>
      <c r="D704" s="4" t="str">
        <f ca="1">IFERROR(__xludf.DUMMYFUNCTION("IFERROR(GOOGLETRANSLATE(B704,""en"",""zh-TW""),)"),"有時")</f>
        <v>有時</v>
      </c>
      <c r="E704" s="4" t="str">
        <f ca="1">IFERROR(__xludf.DUMMYFUNCTION("IFERROR(GOOGLETRANSLATE(B704,""en"",""zh-CN""),)"),"有时")</f>
        <v>有时</v>
      </c>
    </row>
    <row r="705" spans="1:5">
      <c r="A705" s="3" t="s">
        <v>2944</v>
      </c>
      <c r="B705" s="4" t="str">
        <f ca="1">IFERROR(__xludf.DUMMYFUNCTION("IFERROR(GOOGLETRANSLATE(A705,""ko"",""en""),)"),"always")</f>
        <v>always</v>
      </c>
      <c r="C705" s="4" t="str">
        <f ca="1">IFERROR(__xludf.DUMMYFUNCTION("IFERROR(GOOGLETRANSLATE(B705,""en"",""ja""),)"),"いつも")</f>
        <v>いつも</v>
      </c>
      <c r="D705" s="4" t="str">
        <f ca="1">IFERROR(__xludf.DUMMYFUNCTION("IFERROR(GOOGLETRANSLATE(B705,""en"",""zh-TW""),)"),"總是")</f>
        <v>總是</v>
      </c>
      <c r="E705" s="4" t="str">
        <f ca="1">IFERROR(__xludf.DUMMYFUNCTION("IFERROR(GOOGLETRANSLATE(B705,""en"",""zh-CN""),)"),"总是")</f>
        <v>总是</v>
      </c>
    </row>
    <row r="706" spans="1:5">
      <c r="A706" s="3" t="s">
        <v>131</v>
      </c>
      <c r="B706" s="4" t="str">
        <f ca="1">IFERROR(__xludf.DUMMYFUNCTION("IFERROR(GOOGLETRANSLATE(A706,""ko"",""en""),)"),"often")</f>
        <v>often</v>
      </c>
      <c r="C706" s="4" t="str">
        <f ca="1">IFERROR(__xludf.DUMMYFUNCTION("IFERROR(GOOGLETRANSLATE(B706,""en"",""ja""),)"),"頻繁")</f>
        <v>頻繁</v>
      </c>
      <c r="D706" s="4" t="str">
        <f ca="1">IFERROR(__xludf.DUMMYFUNCTION("IFERROR(GOOGLETRANSLATE(B706,""en"",""zh-TW""),)"),"常")</f>
        <v>常</v>
      </c>
      <c r="E706" s="4" t="str">
        <f ca="1">IFERROR(__xludf.DUMMYFUNCTION("IFERROR(GOOGLETRANSLATE(B706,""en"",""zh-CN""),)"),"经常")</f>
        <v>经常</v>
      </c>
    </row>
    <row r="707" spans="1:5">
      <c r="A707" s="3" t="s">
        <v>2949</v>
      </c>
      <c r="B707" s="4" t="str">
        <f ca="1">IFERROR(__xludf.DUMMYFUNCTION("IFERROR(GOOGLETRANSLATE(A707,""ko"",""en""),)"),"It is raining. And it is humid.")</f>
        <v>It is raining. And it is humid.</v>
      </c>
      <c r="C707" s="4" t="str">
        <f ca="1">IFERROR(__xludf.DUMMYFUNCTION("IFERROR(GOOGLETRANSLATE(B707,""en"",""ja""),)"),"雨が降っている。そして、蒸し暑い。")</f>
        <v>雨が降っている。そして、蒸し暑い。</v>
      </c>
      <c r="D707" s="4" t="str">
        <f ca="1">IFERROR(__xludf.DUMMYFUNCTION("IFERROR(GOOGLETRANSLATE(B707,""en"",""zh-TW""),)"),"下雨了，而且很潮濕。")</f>
        <v>下雨了，而且很潮濕。</v>
      </c>
      <c r="E707" s="4" t="str">
        <f ca="1">IFERROR(__xludf.DUMMYFUNCTION("IFERROR(GOOGLETRANSLATE(B707,""en"",""zh-CN""),)"),"下雨了，而且很潮湿。")</f>
        <v>下雨了，而且很潮湿。</v>
      </c>
    </row>
    <row r="708" spans="1:5">
      <c r="A708" s="3" t="s">
        <v>2953</v>
      </c>
      <c r="B708" s="4" t="str">
        <f ca="1">IFERROR(__xludf.DUMMYFUNCTION("IFERROR(GOOGLETRANSLATE(A708,""ko"",""en""),)"),"I need a kiss.")</f>
        <v>I need a kiss.</v>
      </c>
      <c r="C708" s="4" t="str">
        <f ca="1">IFERROR(__xludf.DUMMYFUNCTION("IFERROR(GOOGLETRANSLATE(B708,""en"",""ja""),)"),"キスが欲しい。")</f>
        <v>キスが欲しい。</v>
      </c>
      <c r="D708" s="4" t="str">
        <f ca="1">IFERROR(__xludf.DUMMYFUNCTION("IFERROR(GOOGLETRANSLATE(B708,""en"",""zh-TW""),)"),"我需要一個吻。")</f>
        <v>我需要一個吻。</v>
      </c>
      <c r="E708" s="4" t="str">
        <f ca="1">IFERROR(__xludf.DUMMYFUNCTION("IFERROR(GOOGLETRANSLATE(B708,""en"",""zh-CN""),)"),"我需要一个吻。")</f>
        <v>我需要一个吻。</v>
      </c>
    </row>
    <row r="709" spans="1:5">
      <c r="A709" s="3" t="s">
        <v>2959</v>
      </c>
      <c r="B709" s="4" t="str">
        <f ca="1">IFERROR(__xludf.DUMMYFUNCTION("IFERROR(GOOGLETRANSLATE(A709,""ko"",""en""),)"),"I need money.")</f>
        <v>I need money.</v>
      </c>
      <c r="C709" s="4" t="str">
        <f ca="1">IFERROR(__xludf.DUMMYFUNCTION("IFERROR(GOOGLETRANSLATE(B709,""en"",""ja""),)"),"お金が必要です。")</f>
        <v>お金が必要です。</v>
      </c>
      <c r="D709" s="4" t="str">
        <f ca="1">IFERROR(__xludf.DUMMYFUNCTION("IFERROR(GOOGLETRANSLATE(B709,""en"",""zh-TW""),)"),"我需要錢。")</f>
        <v>我需要錢。</v>
      </c>
      <c r="E709" s="4" t="str">
        <f ca="1">IFERROR(__xludf.DUMMYFUNCTION("IFERROR(GOOGLETRANSLATE(B709,""en"",""zh-CN""),)"),"我需要钱。")</f>
        <v>我需要钱。</v>
      </c>
    </row>
    <row r="710" spans="1:5">
      <c r="A710" s="3" t="s">
        <v>2963</v>
      </c>
      <c r="B710" s="4" t="str">
        <f ca="1">IFERROR(__xludf.DUMMYFUNCTION("IFERROR(GOOGLETRANSLATE(A710,""ko"",""en""),)"),"It's snowing. And it's cold.")</f>
        <v>It's snowing. And it's cold.</v>
      </c>
      <c r="C710" s="4" t="str">
        <f ca="1">IFERROR(__xludf.DUMMYFUNCTION("IFERROR(GOOGLETRANSLATE(B710,""en"",""ja""),)"),"雪が降っている。そして寒い。")</f>
        <v>雪が降っている。そして寒い。</v>
      </c>
      <c r="D710" s="4" t="str">
        <f ca="1">IFERROR(__xludf.DUMMYFUNCTION("IFERROR(GOOGLETRANSLATE(B710,""en"",""zh-TW""),)"),"下雪了，天氣很冷。")</f>
        <v>下雪了，天氣很冷。</v>
      </c>
      <c r="E710" s="4" t="str">
        <f ca="1">IFERROR(__xludf.DUMMYFUNCTION("IFERROR(GOOGLETRANSLATE(B710,""en"",""zh-CN""),)"),"下雪了，天气很冷。")</f>
        <v>下雪了，天气很冷。</v>
      </c>
    </row>
    <row r="711" spans="1:5">
      <c r="A711" s="3" t="s">
        <v>2968</v>
      </c>
      <c r="B711" s="4" t="str">
        <f ca="1">IFERROR(__xludf.DUMMYFUNCTION("IFERROR(GOOGLETRANSLATE(A711,""ko"",""en""),)"),"It is very windy. And it is cool.")</f>
        <v>It is very windy. And it is cool.</v>
      </c>
      <c r="C711" s="4" t="str">
        <f ca="1">IFERROR(__xludf.DUMMYFUNCTION("IFERROR(GOOGLETRANSLATE(B711,""en"",""ja""),)"),"風がとても強い。そして、涼しい。")</f>
        <v>風がとても強い。そして、涼しい。</v>
      </c>
      <c r="D711" s="4" t="str">
        <f ca="1">IFERROR(__xludf.DUMMYFUNCTION("IFERROR(GOOGLETRANSLATE(B711,""en"",""zh-TW""),)"),"風很大，天氣很涼。")</f>
        <v>風很大，天氣很涼。</v>
      </c>
      <c r="E711" s="4" t="str">
        <f ca="1">IFERROR(__xludf.DUMMYFUNCTION("IFERROR(GOOGLETRANSLATE(B711,""en"",""zh-CN""),)"),"风很大，天气很凉。")</f>
        <v>风很大，天气很凉。</v>
      </c>
    </row>
    <row r="712" spans="1:5">
      <c r="A712" s="3" t="s">
        <v>2973</v>
      </c>
      <c r="B712" s="4" t="str">
        <f ca="1">IFERROR(__xludf.DUMMYFUNCTION("IFERROR(GOOGLETRANSLATE(A712,""ko"",""en""),)"),"It's hot. I need water.")</f>
        <v>It's hot. I need water.</v>
      </c>
      <c r="C712" s="4" t="str">
        <f ca="1">IFERROR(__xludf.DUMMYFUNCTION("IFERROR(GOOGLETRANSLATE(B712,""en"",""ja""),)"),"暑い。水が欲しい。")</f>
        <v>暑い。水が欲しい。</v>
      </c>
      <c r="D712" s="4" t="str">
        <f ca="1">IFERROR(__xludf.DUMMYFUNCTION("IFERROR(GOOGLETRANSLATE(B712,""en"",""zh-TW""),)"),"好熱。我需要水。")</f>
        <v>好熱。我需要水。</v>
      </c>
      <c r="E712" s="4" t="str">
        <f ca="1">IFERROR(__xludf.DUMMYFUNCTION("IFERROR(GOOGLETRANSLATE(B712,""en"",""zh-CN""),)"),"好热。我需要水。")</f>
        <v>好热。我需要水。</v>
      </c>
    </row>
    <row r="713" spans="1:5">
      <c r="A713" s="3" t="s">
        <v>2977</v>
      </c>
      <c r="B713" s="4" t="str">
        <f ca="1">IFERROR(__xludf.DUMMYFUNCTION("IFERROR(GOOGLETRANSLATE(A713,""ko"",""en""),)"),"It's thirty-five degrees.")</f>
        <v>It's thirty-five degrees.</v>
      </c>
      <c r="C713" s="4" t="str">
        <f ca="1">IFERROR(__xludf.DUMMYFUNCTION("IFERROR(GOOGLETRANSLATE(B713,""en"",""ja""),)"),"気温は35度です。")</f>
        <v>気温は35度です。</v>
      </c>
      <c r="D713" s="4" t="str">
        <f ca="1">IFERROR(__xludf.DUMMYFUNCTION("IFERROR(GOOGLETRANSLATE(B713,""en"",""zh-TW""),)"),"現在是三十五度。")</f>
        <v>現在是三十五度。</v>
      </c>
      <c r="E713" s="4" t="str">
        <f ca="1">IFERROR(__xludf.DUMMYFUNCTION("IFERROR(GOOGLETRANSLATE(B713,""en"",""zh-CN""),)"),"现在是三十五度。")</f>
        <v>现在是三十五度。</v>
      </c>
    </row>
    <row r="714" spans="1:5">
      <c r="A714" s="3" t="s">
        <v>2924</v>
      </c>
      <c r="B714" s="4" t="str">
        <f ca="1">IFERROR(__xludf.DUMMYFUNCTION("IFERROR(GOOGLETRANSLATE(A714,""ko"",""en""),)"),"It is very windy.")</f>
        <v>It is very windy.</v>
      </c>
      <c r="C714" s="4" t="str">
        <f ca="1">IFERROR(__xludf.DUMMYFUNCTION("IFERROR(GOOGLETRANSLATE(B714,""en"",""ja""),)"),"風がとても強い。")</f>
        <v>風がとても強い。</v>
      </c>
      <c r="D714" s="4" t="str">
        <f ca="1">IFERROR(__xludf.DUMMYFUNCTION("IFERROR(GOOGLETRANSLATE(B714,""en"",""zh-TW""),)"),"風很大。")</f>
        <v>風很大。</v>
      </c>
      <c r="E714" s="4" t="str">
        <f ca="1">IFERROR(__xludf.DUMMYFUNCTION("IFERROR(GOOGLETRANSLATE(B714,""en"",""zh-CN""),)"),"风很大。")</f>
        <v>风很大。</v>
      </c>
    </row>
    <row r="715" spans="1:5">
      <c r="A715" s="3" t="s">
        <v>2987</v>
      </c>
      <c r="B715" s="4" t="str">
        <f ca="1">IFERROR(__xludf.DUMMYFUNCTION("IFERROR(GOOGLETRANSLATE(A715,""ko"",""en""),)"),"It's cloudy. There are a lot of clouds.")</f>
        <v>It's cloudy. There are a lot of clouds.</v>
      </c>
      <c r="C715" s="4" t="str">
        <f ca="1">IFERROR(__xludf.DUMMYFUNCTION("IFERROR(GOOGLETRANSLATE(B715,""en"",""ja""),)"),"曇っている。雲がたくさん出ている。")</f>
        <v>曇っている。雲がたくさん出ている。</v>
      </c>
      <c r="D715" s="4" t="str">
        <f ca="1">IFERROR(__xludf.DUMMYFUNCTION("IFERROR(GOOGLETRANSLATE(B715,""en"",""zh-TW""),)"),"陰天，雲很多。")</f>
        <v>陰天，雲很多。</v>
      </c>
      <c r="E715" s="4" t="str">
        <f ca="1">IFERROR(__xludf.DUMMYFUNCTION("IFERROR(GOOGLETRANSLATE(B715,""en"",""zh-CN""),)"),"阴天，云很多。")</f>
        <v>阴天，云很多。</v>
      </c>
    </row>
    <row r="716" spans="1:5">
      <c r="A716" s="3" t="s">
        <v>2828</v>
      </c>
      <c r="B716" s="4" t="str">
        <f ca="1">IFERROR(__xludf.DUMMYFUNCTION("IFERROR(GOOGLETRANSLATE(A716,""ko"",""en""),)"),"How is the weather today?")</f>
        <v>How is the weather today?</v>
      </c>
      <c r="C716" s="4" t="str">
        <f ca="1">IFERROR(__xludf.DUMMYFUNCTION("IFERROR(GOOGLETRANSLATE(B716,""en"",""ja""),)"),"今日の天気はいかがですか？")</f>
        <v>今日の天気はいかがですか？</v>
      </c>
      <c r="D716" s="4" t="str">
        <f ca="1">IFERROR(__xludf.DUMMYFUNCTION("IFERROR(GOOGLETRANSLATE(B716,""en"",""zh-TW""),)"),"今天的天氣如何？")</f>
        <v>今天的天氣如何？</v>
      </c>
      <c r="E716" s="4" t="str">
        <f ca="1">IFERROR(__xludf.DUMMYFUNCTION("IFERROR(GOOGLETRANSLATE(B716,""en"",""zh-CN""),)"),"今天的天气如何？")</f>
        <v>今天的天气如何？</v>
      </c>
    </row>
    <row r="717" spans="1:5">
      <c r="A717" s="3" t="s">
        <v>2997</v>
      </c>
      <c r="B717" s="4" t="str">
        <f ca="1">IFERROR(__xludf.DUMMYFUNCTION("IFERROR(GOOGLETRANSLATE(A717,""ko"",""en""),)"),"It's a bit chilly. And the wind is blowing.")</f>
        <v>It's a bit chilly. And the wind is blowing.</v>
      </c>
      <c r="C717" s="4" t="str">
        <f ca="1">IFERROR(__xludf.DUMMYFUNCTION("IFERROR(GOOGLETRANSLATE(B717,""en"",""ja""),)"),"少し肌寒い。風も吹いている。")</f>
        <v>少し肌寒い。風も吹いている。</v>
      </c>
      <c r="D717" s="4" t="str">
        <f ca="1">IFERROR(__xludf.DUMMYFUNCTION("IFERROR(GOOGLETRANSLATE(B717,""en"",""zh-TW""),)"),"有點冷，風也很大。")</f>
        <v>有點冷，風也很大。</v>
      </c>
      <c r="E717" s="4" t="str">
        <f ca="1">IFERROR(__xludf.DUMMYFUNCTION("IFERROR(GOOGLETRANSLATE(B717,""en"",""zh-CN""),)"),"有点冷，风也很大。")</f>
        <v>有点冷，风也很大。</v>
      </c>
    </row>
    <row r="718" spans="1:5">
      <c r="A718" s="3" t="s">
        <v>3000</v>
      </c>
      <c r="B718" s="4" t="str">
        <f ca="1">IFERROR(__xludf.DUMMYFUNCTION("IFERROR(GOOGLETRANSLATE(A718,""ko"",""en""),)"),"Is the weather cloudy in Seoul right now?")</f>
        <v>Is the weather cloudy in Seoul right now?</v>
      </c>
      <c r="C718" s="4" t="str">
        <f ca="1">IFERROR(__xludf.DUMMYFUNCTION("IFERROR(GOOGLETRANSLATE(B718,""en"",""ja""),)"),"ソウルの天気は今、曇りですか？")</f>
        <v>ソウルの天気は今、曇りですか？</v>
      </c>
      <c r="D718" s="4" t="str">
        <f ca="1">IFERROR(__xludf.DUMMYFUNCTION("IFERROR(GOOGLETRANSLATE(B718,""en"",""zh-TW""),)"),"首爾現在天氣陰天嗎？")</f>
        <v>首爾現在天氣陰天嗎？</v>
      </c>
      <c r="E718" s="4" t="str">
        <f ca="1">IFERROR(__xludf.DUMMYFUNCTION("IFERROR(GOOGLETRANSLATE(B718,""en"",""zh-CN""),)"),"首尔现在天气阴天吗？")</f>
        <v>首尔现在天气阴天吗？</v>
      </c>
    </row>
    <row r="719" spans="1:5">
      <c r="A719" s="3" t="s">
        <v>3004</v>
      </c>
      <c r="B719" s="4" t="str">
        <f ca="1">IFERROR(__xludf.DUMMYFUNCTION("IFERROR(GOOGLETRANSLATE(A719,""ko"",""en""),)"),"No, it is clear. And it is warm.")</f>
        <v>No, it is clear. And it is warm.</v>
      </c>
      <c r="C719" s="4" t="str">
        <f ca="1">IFERROR(__xludf.DUMMYFUNCTION("IFERROR(GOOGLETRANSLATE(B719,""en"",""ja""),)"),"いいえ、晴れています。それに暖かいです。")</f>
        <v>いいえ、晴れています。それに暖かいです。</v>
      </c>
      <c r="D719" s="4" t="str">
        <f ca="1">IFERROR(__xludf.DUMMYFUNCTION("IFERROR(GOOGLETRANSLATE(B719,""en"",""zh-TW""),)"),"不，很清澈。而且很暖和。")</f>
        <v>不，很清澈。而且很暖和。</v>
      </c>
      <c r="E719" s="4" t="str">
        <f ca="1">IFERROR(__xludf.DUMMYFUNCTION("IFERROR(GOOGLETRANSLATE(B719,""en"",""zh-CN""),)"),"不，很清澈。而且很暖和。")</f>
        <v>不，很清澈。而且很暖和。</v>
      </c>
    </row>
    <row r="720" spans="1:5">
      <c r="A720" s="3" t="s">
        <v>3009</v>
      </c>
      <c r="B720" s="4" t="str">
        <f ca="1">IFERROR(__xludf.DUMMYFUNCTION("IFERROR(GOOGLETRANSLATE(A720,""ko"",""en""),)"),"What is the summer weather like in Korea?")</f>
        <v>What is the summer weather like in Korea?</v>
      </c>
      <c r="C720" s="4" t="str">
        <f ca="1">IFERROR(__xludf.DUMMYFUNCTION("IFERROR(GOOGLETRANSLATE(B720,""en"",""ja""),)"),"韓国の夏の天気はどんな感じですか？")</f>
        <v>韓国の夏の天気はどんな感じですか？</v>
      </c>
      <c r="D720" s="4" t="str">
        <f ca="1">IFERROR(__xludf.DUMMYFUNCTION("IFERROR(GOOGLETRANSLATE(B720,""en"",""zh-TW""),)"),"韓國的夏季天氣如何？")</f>
        <v>韓國的夏季天氣如何？</v>
      </c>
      <c r="E720" s="4" t="str">
        <f ca="1">IFERROR(__xludf.DUMMYFUNCTION("IFERROR(GOOGLETRANSLATE(B720,""en"",""zh-CN""),)"),"韩国的夏季天气如何？")</f>
        <v>韩国的夏季天气如何？</v>
      </c>
    </row>
    <row r="721" spans="1:5">
      <c r="A721" s="3" t="s">
        <v>3013</v>
      </c>
      <c r="B721" s="4" t="str">
        <f ca="1">IFERROR(__xludf.DUMMYFUNCTION("IFERROR(GOOGLETRANSLATE(A721,""ko"",""en""),)"),"Is it snowing on Saturday?")</f>
        <v>Is it snowing on Saturday?</v>
      </c>
      <c r="C721" s="4" t="str">
        <f ca="1">IFERROR(__xludf.DUMMYFUNCTION("IFERROR(GOOGLETRANSLATE(B721,""en"",""ja""),)"),"土曜日は雪が降るのでしょうか？")</f>
        <v>土曜日は雪が降るのでしょうか？</v>
      </c>
      <c r="D721" s="4" t="str">
        <f ca="1">IFERROR(__xludf.DUMMYFUNCTION("IFERROR(GOOGLETRANSLATE(B721,""en"",""zh-TW""),)"),"星期六會下雪嗎？")</f>
        <v>星期六會下雪嗎？</v>
      </c>
      <c r="E721" s="4" t="str">
        <f ca="1">IFERROR(__xludf.DUMMYFUNCTION("IFERROR(GOOGLETRANSLATE(B721,""en"",""zh-CN""),)"),"星期六会下雪吗？")</f>
        <v>星期六会下雪吗？</v>
      </c>
    </row>
    <row r="722" spans="1:5">
      <c r="A722" s="3" t="s">
        <v>3018</v>
      </c>
      <c r="B722" s="4" t="str">
        <f ca="1">IFERROR(__xludf.DUMMYFUNCTION("IFERROR(GOOGLETRANSLATE(A722,""ko"",""en""),)"),"Yes, it is snowing. And it is cold.")</f>
        <v>Yes, it is snowing. And it is cold.</v>
      </c>
      <c r="C722" s="4" t="str">
        <f ca="1">IFERROR(__xludf.DUMMYFUNCTION("IFERROR(GOOGLETRANSLATE(B722,""en"",""ja""),)"),"はい、雪が降っています。そして寒いです。")</f>
        <v>はい、雪が降っています。そして寒いです。</v>
      </c>
      <c r="D722" s="4" t="str">
        <f ca="1">IFERROR(__xludf.DUMMYFUNCTION("IFERROR(GOOGLETRANSLATE(B722,""en"",""zh-TW""),)"),"是的，下雪了。而且很冷。")</f>
        <v>是的，下雪了。而且很冷。</v>
      </c>
      <c r="E722" s="4" t="str">
        <f ca="1">IFERROR(__xludf.DUMMYFUNCTION("IFERROR(GOOGLETRANSLATE(B722,""en"",""zh-CN""),)"),"是的，下雪了。而且很冷。")</f>
        <v>是的，下雪了。而且很冷。</v>
      </c>
    </row>
    <row r="723" spans="1:5">
      <c r="A723" s="3" t="s">
        <v>3023</v>
      </c>
      <c r="B723" s="4" t="str">
        <f ca="1">IFERROR(__xludf.DUMMYFUNCTION("IFERROR(GOOGLETRANSLATE(A723,""ko"",""en""),)"),"I drink milk.")</f>
        <v>I drink milk.</v>
      </c>
      <c r="C723" s="4" t="str">
        <f ca="1">IFERROR(__xludf.DUMMYFUNCTION("IFERROR(GOOGLETRANSLATE(B723,""en"",""ja""),)"),"私は牛乳を飲みます。")</f>
        <v>私は牛乳を飲みます。</v>
      </c>
      <c r="D723" s="4" t="str">
        <f ca="1">IFERROR(__xludf.DUMMYFUNCTION("IFERROR(GOOGLETRANSLATE(B723,""en"",""zh-TW""),)"),"我喝牛奶。")</f>
        <v>我喝牛奶。</v>
      </c>
      <c r="E723" s="4" t="str">
        <f ca="1">IFERROR(__xludf.DUMMYFUNCTION("IFERROR(GOOGLETRANSLATE(B723,""en"",""zh-CN""),)"),"我喝牛奶。")</f>
        <v>我喝牛奶。</v>
      </c>
    </row>
    <row r="724" spans="1:5">
      <c r="A724" s="3" t="s">
        <v>3028</v>
      </c>
      <c r="B724" s="4" t="str">
        <f ca="1">IFERROR(__xludf.DUMMYFUNCTION("IFERROR(GOOGLETRANSLATE(A724,""ko"",""en""),)"),"I don't drink milk.")</f>
        <v>I don't drink milk.</v>
      </c>
      <c r="C724" s="4" t="str">
        <f ca="1">IFERROR(__xludf.DUMMYFUNCTION("IFERROR(GOOGLETRANSLATE(B724,""en"",""ja""),)"),"私は牛乳を飲みません。")</f>
        <v>私は牛乳を飲みません。</v>
      </c>
      <c r="D724" s="4" t="str">
        <f ca="1">IFERROR(__xludf.DUMMYFUNCTION("IFERROR(GOOGLETRANSLATE(B724,""en"",""zh-TW""),)"),"我不喝牛奶。")</f>
        <v>我不喝牛奶。</v>
      </c>
      <c r="E724" s="4" t="str">
        <f ca="1">IFERROR(__xludf.DUMMYFUNCTION("IFERROR(GOOGLETRANSLATE(B724,""en"",""zh-CN""),)"),"我不喝牛奶。")</f>
        <v>我不喝牛奶。</v>
      </c>
    </row>
    <row r="725" spans="1:5">
      <c r="A725" s="3" t="s">
        <v>3033</v>
      </c>
      <c r="B725" s="4" t="str">
        <f ca="1">IFERROR(__xludf.DUMMYFUNCTION("IFERROR(GOOGLETRANSLATE(A725,""ko"",""en""),)"),"I can't drink milk.")</f>
        <v>I can't drink milk.</v>
      </c>
      <c r="C725" s="4" t="str">
        <f ca="1">IFERROR(__xludf.DUMMYFUNCTION("IFERROR(GOOGLETRANSLATE(B725,""en"",""ja""),)"),"私は牛乳が飲めません。")</f>
        <v>私は牛乳が飲めません。</v>
      </c>
      <c r="D725" s="4" t="str">
        <f ca="1">IFERROR(__xludf.DUMMYFUNCTION("IFERROR(GOOGLETRANSLATE(B725,""en"",""zh-TW""),)"),"我不能喝牛奶。")</f>
        <v>我不能喝牛奶。</v>
      </c>
      <c r="E725" s="4" t="str">
        <f ca="1">IFERROR(__xludf.DUMMYFUNCTION("IFERROR(GOOGLETRANSLATE(B725,""en"",""zh-CN""),)"),"我不能喝牛奶。")</f>
        <v>我不能喝牛奶。</v>
      </c>
    </row>
    <row r="726" spans="1:5">
      <c r="A726" s="3" t="s">
        <v>3038</v>
      </c>
      <c r="B726" s="4" t="str">
        <f ca="1">IFERROR(__xludf.DUMMYFUNCTION("IFERROR(GOOGLETRANSLATE(A726,""ko"",""en""),)"),"It's not pretty.")</f>
        <v>It's not pretty.</v>
      </c>
      <c r="C726" s="4" t="str">
        <f ca="1">IFERROR(__xludf.DUMMYFUNCTION("IFERROR(GOOGLETRANSLATE(B726,""en"",""ja""),)"),"見苦しい光景だ。")</f>
        <v>見苦しい光景だ。</v>
      </c>
      <c r="D726" s="4" t="str">
        <f ca="1">IFERROR(__xludf.DUMMYFUNCTION("IFERROR(GOOGLETRANSLATE(B726,""en"",""zh-TW""),)"),"情況不太好。")</f>
        <v>情況不太好。</v>
      </c>
      <c r="E726" s="4" t="str">
        <f ca="1">IFERROR(__xludf.DUMMYFUNCTION("IFERROR(GOOGLETRANSLATE(B726,""en"",""zh-CN""),)"),"情况不太好。")</f>
        <v>情况不太好。</v>
      </c>
    </row>
    <row r="727" spans="1:5">
      <c r="A727" s="3" t="s">
        <v>3042</v>
      </c>
      <c r="B727" s="4" t="str">
        <f ca="1">IFERROR(__xludf.DUMMYFUNCTION("IFERROR(GOOGLETRANSLATE(A727,""ko"",""en""),)"),"The weather is nice.")</f>
        <v>The weather is nice.</v>
      </c>
      <c r="C727" s="4" t="str">
        <f ca="1">IFERROR(__xludf.DUMMYFUNCTION("IFERROR(GOOGLETRANSLATE(B727,""en"",""ja""),)"),"天気は良い。")</f>
        <v>天気は良い。</v>
      </c>
      <c r="D727" s="4" t="str">
        <f ca="1">IFERROR(__xludf.DUMMYFUNCTION("IFERROR(GOOGLETRANSLATE(B727,""en"",""zh-TW""),)"),"天氣很好。")</f>
        <v>天氣很好。</v>
      </c>
      <c r="E727" s="4" t="str">
        <f ca="1">IFERROR(__xludf.DUMMYFUNCTION("IFERROR(GOOGLETRANSLATE(B727,""en"",""zh-CN""),)"),"天气很好。")</f>
        <v>天气很好。</v>
      </c>
    </row>
    <row r="728" spans="1:5">
      <c r="A728" s="3" t="s">
        <v>3048</v>
      </c>
      <c r="B728" s="4" t="str">
        <f ca="1">IFERROR(__xludf.DUMMYFUNCTION("IFERROR(GOOGLETRANSLATE(A728,""ko"",""en""),)"),"The weather is bad.")</f>
        <v>The weather is bad.</v>
      </c>
      <c r="C728" s="4" t="str">
        <f ca="1">IFERROR(__xludf.DUMMYFUNCTION("IFERROR(GOOGLETRANSLATE(B728,""en"",""ja""),)"),"天気が悪い。")</f>
        <v>天気が悪い。</v>
      </c>
      <c r="D728" s="4" t="str">
        <f ca="1">IFERROR(__xludf.DUMMYFUNCTION("IFERROR(GOOGLETRANSLATE(B728,""en"",""zh-TW""),)"),"天氣很糟。")</f>
        <v>天氣很糟。</v>
      </c>
      <c r="E728" s="4" t="str">
        <f ca="1">IFERROR(__xludf.DUMMYFUNCTION("IFERROR(GOOGLETRANSLATE(B728,""en"",""zh-CN""),)"),"天气很糟糕。")</f>
        <v>天气很糟糕。</v>
      </c>
    </row>
    <row r="729" spans="1:5">
      <c r="A729" s="3" t="s">
        <v>3053</v>
      </c>
      <c r="B729" s="4" t="str">
        <f ca="1">IFERROR(__xludf.DUMMYFUNCTION("IFERROR(GOOGLETRANSLATE(A729,""ko"",""en""),)"),"It's bad.")</f>
        <v>It's bad.</v>
      </c>
      <c r="C729" s="4" t="str">
        <f ca="1">IFERROR(__xludf.DUMMYFUNCTION("IFERROR(GOOGLETRANSLATE(B729,""en"",""ja""),)"),"それは良くない。")</f>
        <v>それは良くない。</v>
      </c>
      <c r="D729" s="4" t="str">
        <f ca="1">IFERROR(__xludf.DUMMYFUNCTION("IFERROR(GOOGLETRANSLATE(B729,""en"",""zh-TW""),)"),"情況很糟。")</f>
        <v>情況很糟。</v>
      </c>
      <c r="E729" s="4" t="str">
        <f ca="1">IFERROR(__xludf.DUMMYFUNCTION("IFERROR(GOOGLETRANSLATE(B729,""en"",""zh-CN""),)"),"情况很糟糕。")</f>
        <v>情况很糟糕。</v>
      </c>
    </row>
    <row r="730" spans="1:5">
      <c r="A730" s="3" t="s">
        <v>3057</v>
      </c>
      <c r="B730" s="4" t="str">
        <f ca="1">IFERROR(__xludf.DUMMYFUNCTION("IFERROR(GOOGLETRANSLATE(A730,""ko"",""en""),)"),"I don't eat it.")</f>
        <v>I don't eat it.</v>
      </c>
      <c r="C730" s="4" t="str">
        <f ca="1">IFERROR(__xludf.DUMMYFUNCTION("IFERROR(GOOGLETRANSLATE(B730,""en"",""ja""),)"),"私はそれを食べません。")</f>
        <v>私はそれを食べません。</v>
      </c>
      <c r="D730" s="4" t="str">
        <f ca="1">IFERROR(__xludf.DUMMYFUNCTION("IFERROR(GOOGLETRANSLATE(B730,""en"",""zh-TW""),)"),"我不吃。")</f>
        <v>我不吃。</v>
      </c>
      <c r="E730" s="4" t="str">
        <f ca="1">IFERROR(__xludf.DUMMYFUNCTION("IFERROR(GOOGLETRANSLATE(B730,""en"",""zh-CN""),)"),"我不吃。")</f>
        <v>我不吃。</v>
      </c>
    </row>
    <row r="731" spans="1:5">
      <c r="A731" s="3" t="s">
        <v>3062</v>
      </c>
      <c r="B731" s="4" t="str">
        <f ca="1">IFERROR(__xludf.DUMMYFUNCTION("IFERROR(GOOGLETRANSLATE(A731,""ko"",""en""),)"),"It's not good")</f>
        <v>It's not good</v>
      </c>
      <c r="C731" s="4" t="str">
        <f ca="1">IFERROR(__xludf.DUMMYFUNCTION("IFERROR(GOOGLETRANSLATE(B731,""en"",""ja""),)"),"良くない")</f>
        <v>良くない</v>
      </c>
      <c r="D731" s="4" t="str">
        <f ca="1">IFERROR(__xludf.DUMMYFUNCTION("IFERROR(GOOGLETRANSLATE(B731,""en"",""zh-TW""),)"),"這不好")</f>
        <v>這不好</v>
      </c>
      <c r="E731" s="4" t="str">
        <f ca="1">IFERROR(__xludf.DUMMYFUNCTION("IFERROR(GOOGLETRANSLATE(B731,""en"",""zh-CN""),)"),"这不好")</f>
        <v>这不好</v>
      </c>
    </row>
    <row r="732" spans="1:5">
      <c r="A732" s="3" t="s">
        <v>3068</v>
      </c>
      <c r="B732" s="4" t="str">
        <f ca="1">IFERROR(__xludf.DUMMYFUNCTION("IFERROR(GOOGLETRANSLATE(A732,""ko"",""en""),)"),"They aren't coming.")</f>
        <v>They aren't coming.</v>
      </c>
      <c r="C732" s="4" t="str">
        <f ca="1">IFERROR(__xludf.DUMMYFUNCTION("IFERROR(GOOGLETRANSLATE(B732,""en"",""ja""),)"),"彼らは来ない。")</f>
        <v>彼らは来ない。</v>
      </c>
      <c r="D732" s="4" t="str">
        <f ca="1">IFERROR(__xludf.DUMMYFUNCTION("IFERROR(GOOGLETRANSLATE(B732,""en"",""zh-TW""),)"),"他們不會來了。")</f>
        <v>他們不會來了。</v>
      </c>
      <c r="E732" s="4" t="str">
        <f ca="1">IFERROR(__xludf.DUMMYFUNCTION("IFERROR(GOOGLETRANSLATE(B732,""en"",""zh-CN""),)"),"他们不会来了。")</f>
        <v>他们不会来了。</v>
      </c>
    </row>
    <row r="733" spans="1:5">
      <c r="A733" s="3" t="s">
        <v>3070</v>
      </c>
      <c r="B733" s="4" t="str">
        <f ca="1">IFERROR(__xludf.DUMMYFUNCTION("IFERROR(GOOGLETRANSLATE(A733,""ko"",""en""),)"),"I don't exercise.")</f>
        <v>I don't exercise.</v>
      </c>
      <c r="C733" s="4" t="str">
        <f ca="1">IFERROR(__xludf.DUMMYFUNCTION("IFERROR(GOOGLETRANSLATE(B733,""en"",""ja""),)"),"私は運動をしません。")</f>
        <v>私は運動をしません。</v>
      </c>
      <c r="D733" s="4" t="str">
        <f ca="1">IFERROR(__xludf.DUMMYFUNCTION("IFERROR(GOOGLETRANSLATE(B733,""en"",""zh-TW""),)"),"我不運動。")</f>
        <v>我不運動。</v>
      </c>
      <c r="E733" s="4" t="str">
        <f ca="1">IFERROR(__xludf.DUMMYFUNCTION("IFERROR(GOOGLETRANSLATE(B733,""en"",""zh-CN""),)"),"我不运动。")</f>
        <v>我不运动。</v>
      </c>
    </row>
    <row r="734" spans="1:5">
      <c r="A734" s="3" t="s">
        <v>3073</v>
      </c>
      <c r="B734" s="4" t="str">
        <f ca="1">IFERROR(__xludf.DUMMYFUNCTION("IFERROR(GOOGLETRANSLATE(A734,""ko"",""en""),)"),"Are you meeting a friend today?")</f>
        <v>Are you meeting a friend today?</v>
      </c>
      <c r="C734" s="4" t="str">
        <f ca="1">IFERROR(__xludf.DUMMYFUNCTION("IFERROR(GOOGLETRANSLATE(B734,""en"",""ja""),)"),"今日は友達と会う予定ですか？")</f>
        <v>今日は友達と会う予定ですか？</v>
      </c>
      <c r="D734" s="4" t="str">
        <f ca="1">IFERROR(__xludf.DUMMYFUNCTION("IFERROR(GOOGLETRANSLATE(B734,""en"",""zh-TW""),)"),"你今天和朋友見面嗎？")</f>
        <v>你今天和朋友見面嗎？</v>
      </c>
      <c r="E734" s="4" t="str">
        <f ca="1">IFERROR(__xludf.DUMMYFUNCTION("IFERROR(GOOGLETRANSLATE(B734,""en"",""zh-CN""),)"),"你今天和朋友见面吗？")</f>
        <v>你今天和朋友见面吗？</v>
      </c>
    </row>
    <row r="735" spans="1:5">
      <c r="A735" s="3" t="s">
        <v>3083</v>
      </c>
      <c r="B735" s="4" t="str">
        <f ca="1">IFERROR(__xludf.DUMMYFUNCTION("IFERROR(GOOGLETRANSLATE(A735,""ko"",""en""),)"),"No, I'm not meeting.")</f>
        <v>No, I'm not meeting.</v>
      </c>
      <c r="C735" s="4" t="str">
        <f ca="1">IFERROR(__xludf.DUMMYFUNCTION("IFERROR(GOOGLETRANSLATE(B735,""en"",""ja""),)"),"いいえ、会議には出席しません。")</f>
        <v>いいえ、会議には出席しません。</v>
      </c>
      <c r="D735" s="4" t="str">
        <f ca="1">IFERROR(__xludf.DUMMYFUNCTION("IFERROR(GOOGLETRANSLATE(B735,""en"",""zh-TW""),)"),"不，我不參加會議。")</f>
        <v>不，我不參加會議。</v>
      </c>
      <c r="E735" s="4" t="str">
        <f ca="1">IFERROR(__xludf.DUMMYFUNCTION("IFERROR(GOOGLETRANSLATE(B735,""en"",""zh-CN""),)"),"不，我不参加会议。")</f>
        <v>不，我不参加会议。</v>
      </c>
    </row>
    <row r="736" spans="1:5">
      <c r="A736" s="3" t="s">
        <v>3088</v>
      </c>
      <c r="B736" s="4" t="str">
        <f ca="1">IFERROR(__xludf.DUMMYFUNCTION("IFERROR(GOOGLETRANSLATE(A736,""ko"",""en""),)"),"Are you watching a movie today?")</f>
        <v>Are you watching a movie today?</v>
      </c>
      <c r="C736" s="4" t="str">
        <f ca="1">IFERROR(__xludf.DUMMYFUNCTION("IFERROR(GOOGLETRANSLATE(B736,""en"",""ja""),)"),"今日は映画を観ますか？")</f>
        <v>今日は映画を観ますか？</v>
      </c>
      <c r="D736" s="4" t="str">
        <f ca="1">IFERROR(__xludf.DUMMYFUNCTION("IFERROR(GOOGLETRANSLATE(B736,""en"",""zh-TW""),)"),"你今天看電影嗎？")</f>
        <v>你今天看電影嗎？</v>
      </c>
      <c r="E736" s="4" t="str">
        <f ca="1">IFERROR(__xludf.DUMMYFUNCTION("IFERROR(GOOGLETRANSLATE(B736,""en"",""zh-CN""),)"),"你今天看电影吗？")</f>
        <v>你今天看电影吗？</v>
      </c>
    </row>
    <row r="737" spans="1:5">
      <c r="A737" s="3" t="s">
        <v>3092</v>
      </c>
      <c r="B737" s="4" t="str">
        <f ca="1">IFERROR(__xludf.DUMMYFUNCTION("IFERROR(GOOGLETRANSLATE(A737,""ko"",""en""),)"),"No, I don't watch it.")</f>
        <v>No, I don't watch it.</v>
      </c>
      <c r="C737" s="4" t="str">
        <f ca="1">IFERROR(__xludf.DUMMYFUNCTION("IFERROR(GOOGLETRANSLATE(B737,""en"",""ja""),)"),"いいえ、見ていません。")</f>
        <v>いいえ、見ていません。</v>
      </c>
      <c r="D737" s="4" t="str">
        <f ca="1">IFERROR(__xludf.DUMMYFUNCTION("IFERROR(GOOGLETRANSLATE(B737,""en"",""zh-TW""),)"),"不，我不看。")</f>
        <v>不，我不看。</v>
      </c>
      <c r="E737" s="4" t="str">
        <f ca="1">IFERROR(__xludf.DUMMYFUNCTION("IFERROR(GOOGLETRANSLATE(B737,""en"",""zh-CN""),)"),"不，我不看。")</f>
        <v>不，我不看。</v>
      </c>
    </row>
    <row r="738" spans="1:5">
      <c r="A738" s="3" t="s">
        <v>3097</v>
      </c>
      <c r="B738" s="4" t="str">
        <f ca="1">IFERROR(__xludf.DUMMYFUNCTION("IFERROR(GOOGLETRANSLATE(A738,""ko"",""en""),)"),"Are you going to the park on the weekend?")</f>
        <v>Are you going to the park on the weekend?</v>
      </c>
      <c r="C738" s="4" t="str">
        <f ca="1">IFERROR(__xludf.DUMMYFUNCTION("IFERROR(GOOGLETRANSLATE(B738,""en"",""ja""),)"),"週末に公園に行く予定ですか？")</f>
        <v>週末に公園に行く予定ですか？</v>
      </c>
      <c r="D738" s="4" t="str">
        <f ca="1">IFERROR(__xludf.DUMMYFUNCTION("IFERROR(GOOGLETRANSLATE(B738,""en"",""zh-TW""),)"),"你週末要去公園嗎？")</f>
        <v>你週末要去公園嗎？</v>
      </c>
      <c r="E738" s="4" t="str">
        <f ca="1">IFERROR(__xludf.DUMMYFUNCTION("IFERROR(GOOGLETRANSLATE(B738,""en"",""zh-CN""),)"),"你周末要去公园吗？")</f>
        <v>你周末要去公园吗？</v>
      </c>
    </row>
    <row r="739" spans="1:5">
      <c r="A739" s="3" t="s">
        <v>3102</v>
      </c>
      <c r="B739" s="4" t="str">
        <f ca="1">IFERROR(__xludf.DUMMYFUNCTION("IFERROR(GOOGLETRANSLATE(A739,""ko"",""en""),)"),"No, I'm not going.")</f>
        <v>No, I'm not going.</v>
      </c>
      <c r="C739" s="4" t="str">
        <f ca="1">IFERROR(__xludf.DUMMYFUNCTION("IFERROR(GOOGLETRANSLATE(B739,""en"",""ja""),)"),"いいえ、行きません。")</f>
        <v>いいえ、行きません。</v>
      </c>
      <c r="D739" s="4" t="str">
        <f ca="1">IFERROR(__xludf.DUMMYFUNCTION("IFERROR(GOOGLETRANSLATE(B739,""en"",""zh-TW""),)"),"不，我不去。")</f>
        <v>不，我不去。</v>
      </c>
      <c r="E739" s="4" t="str">
        <f ca="1">IFERROR(__xludf.DUMMYFUNCTION("IFERROR(GOOGLETRANSLATE(B739,""en"",""zh-CN""),)"),"不，我不去。")</f>
        <v>不，我不去。</v>
      </c>
    </row>
    <row r="740" spans="1:5">
      <c r="A740" s="3" t="s">
        <v>3110</v>
      </c>
      <c r="B740" s="4" t="str">
        <f ca="1">IFERROR(__xludf.DUMMYFUNCTION("IFERROR(GOOGLETRANSLATE(A740,""ko"",""en""),)"),"Are you busy today?")</f>
        <v>Are you busy today?</v>
      </c>
      <c r="C740" s="4" t="str">
        <f ca="1">IFERROR(__xludf.DUMMYFUNCTION("IFERROR(GOOGLETRANSLATE(B740,""en"",""ja""),)"),"今日は忙しいですか？")</f>
        <v>今日は忙しいですか？</v>
      </c>
      <c r="D740" s="4" t="str">
        <f ca="1">IFERROR(__xludf.DUMMYFUNCTION("IFERROR(GOOGLETRANSLATE(B740,""en"",""zh-TW""),)"),"你今天忙嗎？")</f>
        <v>你今天忙嗎？</v>
      </c>
      <c r="E740" s="4" t="str">
        <f ca="1">IFERROR(__xludf.DUMMYFUNCTION("IFERROR(GOOGLETRANSLATE(B740,""en"",""zh-CN""),)"),"你今天忙吗？")</f>
        <v>你今天忙吗？</v>
      </c>
    </row>
    <row r="741" spans="1:5">
      <c r="A741" s="3" t="s">
        <v>3116</v>
      </c>
      <c r="B741" s="4" t="str">
        <f ca="1">IFERROR(__xludf.DUMMYFUNCTION("IFERROR(GOOGLETRANSLATE(A741,""ko"",""en""),)"),"No, I'm not busy.")</f>
        <v>No, I'm not busy.</v>
      </c>
      <c r="C741" s="4" t="str">
        <f ca="1">IFERROR(__xludf.DUMMYFUNCTION("IFERROR(GOOGLETRANSLATE(B741,""en"",""ja""),)"),"いいえ、忙しくありません。")</f>
        <v>いいえ、忙しくありません。</v>
      </c>
      <c r="D741" s="4" t="str">
        <f ca="1">IFERROR(__xludf.DUMMYFUNCTION("IFERROR(GOOGLETRANSLATE(B741,""en"",""zh-TW""),)"),"不，我不忙。")</f>
        <v>不，我不忙。</v>
      </c>
      <c r="E741" s="4" t="str">
        <f ca="1">IFERROR(__xludf.DUMMYFUNCTION("IFERROR(GOOGLETRANSLATE(B741,""en"",""zh-CN""),)"),"不，我不忙。")</f>
        <v>不，我不忙。</v>
      </c>
    </row>
    <row r="742" spans="1:5">
      <c r="A742" s="3" t="s">
        <v>3123</v>
      </c>
      <c r="B742" s="4" t="str">
        <f ca="1">IFERROR(__xludf.DUMMYFUNCTION("IFERROR(GOOGLETRANSLATE(A742,""ko"",""en""),)"),"I have time")</f>
        <v>I have time</v>
      </c>
      <c r="C742" s="4" t="str">
        <f ca="1">IFERROR(__xludf.DUMMYFUNCTION("IFERROR(GOOGLETRANSLATE(B742,""en"",""ja""),)"),"私には時間がある")</f>
        <v>私には時間がある</v>
      </c>
      <c r="D742" s="4" t="str">
        <f ca="1">IFERROR(__xludf.DUMMYFUNCTION("IFERROR(GOOGLETRANSLATE(B742,""en"",""zh-TW""),)"),"我有時間")</f>
        <v>我有時間</v>
      </c>
      <c r="E742" s="4" t="str">
        <f ca="1">IFERROR(__xludf.DUMMYFUNCTION("IFERROR(GOOGLETRANSLATE(B742,""en"",""zh-CN""),)"),"我有时间")</f>
        <v>我有时间</v>
      </c>
    </row>
    <row r="743" spans="1:5">
      <c r="A743" s="3" t="s">
        <v>3129</v>
      </c>
      <c r="B743" s="4" t="str">
        <f ca="1">IFERROR(__xludf.DUMMYFUNCTION("IFERROR(GOOGLETRANSLATE(A743,""ko"",""en""),)"),"I have plenty of time.")</f>
        <v>I have plenty of time.</v>
      </c>
      <c r="C743" s="4" t="str">
        <f ca="1">IFERROR(__xludf.DUMMYFUNCTION("IFERROR(GOOGLETRANSLATE(B743,""en"",""ja""),)"),"時間はたっぷりある。")</f>
        <v>時間はたっぷりある。</v>
      </c>
      <c r="D743" s="4" t="str">
        <f ca="1">IFERROR(__xludf.DUMMYFUNCTION("IFERROR(GOOGLETRANSLATE(B743,""en"",""zh-TW""),)"),"我有充足的時間。")</f>
        <v>我有充足的時間。</v>
      </c>
      <c r="E743" s="4" t="str">
        <f ca="1">IFERROR(__xludf.DUMMYFUNCTION("IFERROR(GOOGLETRANSLATE(B743,""en"",""zh-CN""),)"),"我有充足的时间。")</f>
        <v>我有充足的时间。</v>
      </c>
    </row>
    <row r="744" spans="1:5">
      <c r="A744" s="3" t="s">
        <v>3139</v>
      </c>
      <c r="B744" s="4" t="str">
        <f ca="1">IFERROR(__xludf.DUMMYFUNCTION("IFERROR(GOOGLETRANSLATE(A744,""ko"",""en""),)"),"Do you shop on Sundays?")</f>
        <v>Do you shop on Sundays?</v>
      </c>
      <c r="C744" s="4" t="str">
        <f ca="1">IFERROR(__xludf.DUMMYFUNCTION("IFERROR(GOOGLETRANSLATE(B744,""en"",""ja""),)"),"あなたは日曜日に買い物に行きますか？")</f>
        <v>あなたは日曜日に買い物に行きますか？</v>
      </c>
      <c r="D744" s="4" t="str">
        <f ca="1">IFERROR(__xludf.DUMMYFUNCTION("IFERROR(GOOGLETRANSLATE(B744,""en"",""zh-TW""),)"),"你星期天購物嗎？")</f>
        <v>你星期天購物嗎？</v>
      </c>
      <c r="E744" s="4" t="str">
        <f ca="1">IFERROR(__xludf.DUMMYFUNCTION("IFERROR(GOOGLETRANSLATE(B744,""en"",""zh-CN""),)"),"你星期天购物吗？")</f>
        <v>你星期天购物吗？</v>
      </c>
    </row>
    <row r="745" spans="1:5">
      <c r="A745" s="3" t="s">
        <v>3144</v>
      </c>
      <c r="B745" s="4" t="str">
        <f ca="1">IFERROR(__xludf.DUMMYFUNCTION("IFERROR(GOOGLETRANSLATE(A745,""ko"",""en""),)"),"No, I don't shop.")</f>
        <v>No, I don't shop.</v>
      </c>
      <c r="C745" s="4" t="str">
        <f ca="1">IFERROR(__xludf.DUMMYFUNCTION("IFERROR(GOOGLETRANSLATE(B745,""en"",""ja""),)"),"いいえ、私は買い物はしません。")</f>
        <v>いいえ、私は買い物はしません。</v>
      </c>
      <c r="D745" s="4" t="str">
        <f ca="1">IFERROR(__xludf.DUMMYFUNCTION("IFERROR(GOOGLETRANSLATE(B745,""en"",""zh-TW""),)"),"不，我不購物。")</f>
        <v>不，我不購物。</v>
      </c>
      <c r="E745" s="4" t="str">
        <f ca="1">IFERROR(__xludf.DUMMYFUNCTION("IFERROR(GOOGLETRANSLATE(B745,""en"",""zh-CN""),)"),"不，我不购物。")</f>
        <v>不，我不购物。</v>
      </c>
    </row>
    <row r="746" spans="1:5">
      <c r="A746" s="3" t="s">
        <v>3149</v>
      </c>
      <c r="B746" s="4" t="str">
        <f ca="1">IFERROR(__xludf.DUMMYFUNCTION("IFERROR(GOOGLETRANSLATE(A746,""ko"",""en""),)"),"I like summer.")</f>
        <v>I like summer.</v>
      </c>
      <c r="C746" s="4" t="str">
        <f ca="1">IFERROR(__xludf.DUMMYFUNCTION("IFERROR(GOOGLETRANSLATE(B746,""en"",""ja""),)"),"私は夏が好きです。")</f>
        <v>私は夏が好きです。</v>
      </c>
      <c r="D746" s="4" t="str">
        <f ca="1">IFERROR(__xludf.DUMMYFUNCTION("IFERROR(GOOGLETRANSLATE(B746,""en"",""zh-TW""),)"),"我喜歡夏天。")</f>
        <v>我喜歡夏天。</v>
      </c>
      <c r="E746" s="4" t="str">
        <f ca="1">IFERROR(__xludf.DUMMYFUNCTION("IFERROR(GOOGLETRANSLATE(B746,""en"",""zh-CN""),)"),"我喜欢夏天。")</f>
        <v>我喜欢夏天。</v>
      </c>
    </row>
    <row r="747" spans="1:5">
      <c r="A747" s="3" t="s">
        <v>3154</v>
      </c>
      <c r="B747" s="4" t="str">
        <f ca="1">IFERROR(__xludf.DUMMYFUNCTION("IFERROR(GOOGLETRANSLATE(A747,""ko"",""en""),)"),"I like summer.")</f>
        <v>I like summer.</v>
      </c>
      <c r="C747" s="4" t="str">
        <f ca="1">IFERROR(__xludf.DUMMYFUNCTION("IFERROR(GOOGLETRANSLATE(B747,""en"",""ja""),)"),"私は夏が好きです。")</f>
        <v>私は夏が好きです。</v>
      </c>
      <c r="D747" s="4" t="str">
        <f ca="1">IFERROR(__xludf.DUMMYFUNCTION("IFERROR(GOOGLETRANSLATE(B747,""en"",""zh-TW""),)"),"我喜歡夏天。")</f>
        <v>我喜歡夏天。</v>
      </c>
      <c r="E747" s="4" t="str">
        <f ca="1">IFERROR(__xludf.DUMMYFUNCTION("IFERROR(GOOGLETRANSLATE(B747,""en"",""zh-CN""),)"),"我喜欢夏天。")</f>
        <v>我喜欢夏天。</v>
      </c>
    </row>
    <row r="748" spans="1:5">
      <c r="A748" s="5" t="s">
        <v>308</v>
      </c>
      <c r="B748" s="4" t="str">
        <f ca="1">IFERROR(__xludf.DUMMYFUNCTION("IFERROR(GOOGLETRANSLATE(A748,""ko"",""en""),)"),"What season do you like?")</f>
        <v>What season do you like?</v>
      </c>
      <c r="C748" s="4" t="str">
        <f ca="1">IFERROR(__xludf.DUMMYFUNCTION("IFERROR(GOOGLETRANSLATE(B748,""en"",""ja""),)"),"あなたはどの季節が好きですか？")</f>
        <v>あなたはどの季節が好きですか？</v>
      </c>
      <c r="D748" s="4" t="str">
        <f ca="1">IFERROR(__xludf.DUMMYFUNCTION("IFERROR(GOOGLETRANSLATE(B748,""en"",""zh-TW""),)"),"你喜歡哪個季節？")</f>
        <v>你喜歡哪個季節？</v>
      </c>
      <c r="E748" s="4" t="str">
        <f ca="1">IFERROR(__xludf.DUMMYFUNCTION("IFERROR(GOOGLETRANSLATE(B748,""en"",""zh-CN""),)"),"你喜欢哪个季节？")</f>
        <v>你喜欢哪个季节？</v>
      </c>
    </row>
    <row r="749" spans="1:5">
      <c r="A749" s="3" t="s">
        <v>3159</v>
      </c>
      <c r="B749" s="4" t="str">
        <f ca="1">IFERROR(__xludf.DUMMYFUNCTION("IFERROR(GOOGLETRANSLATE(A749,""ko"",""en""),)"),"I don't buy bananas. I buy strawberries.")</f>
        <v>I don't buy bananas. I buy strawberries.</v>
      </c>
      <c r="C749" s="4" t="str">
        <f ca="1">IFERROR(__xludf.DUMMYFUNCTION("IFERROR(GOOGLETRANSLATE(B749,""en"",""ja""),)"),"私はバナナは買いません。イチゴを買います。")</f>
        <v>私はバナナは買いません。イチゴを買います。</v>
      </c>
      <c r="D749" s="4" t="str">
        <f ca="1">IFERROR(__xludf.DUMMYFUNCTION("IFERROR(GOOGLETRANSLATE(B749,""en"",""zh-TW""),)"),"我不買香蕉，我買草莓。")</f>
        <v>我不買香蕉，我買草莓。</v>
      </c>
      <c r="E749" s="4" t="str">
        <f ca="1">IFERROR(__xludf.DUMMYFUNCTION("IFERROR(GOOGLETRANSLATE(B749,""en"",""zh-CN""),)"),"我不买香蕉，我买草莓。")</f>
        <v>我不买香蕉，我买草莓。</v>
      </c>
    </row>
    <row r="750" spans="1:5">
      <c r="A750" s="3" t="s">
        <v>3161</v>
      </c>
      <c r="B750" s="4" t="str">
        <f ca="1">IFERROR(__xludf.DUMMYFUNCTION("IFERROR(GOOGLETRANSLATE(A750,""ko"",""en""),)"),"The weather is bad. It is cloudy.")</f>
        <v>The weather is bad. It is cloudy.</v>
      </c>
      <c r="C750" s="4" t="str">
        <f ca="1">IFERROR(__xludf.DUMMYFUNCTION("IFERROR(GOOGLETRANSLATE(B750,""en"",""ja""),)"),"天気が悪い。曇っている。")</f>
        <v>天気が悪い。曇っている。</v>
      </c>
      <c r="D750" s="4" t="str">
        <f ca="1">IFERROR(__xludf.DUMMYFUNCTION("IFERROR(GOOGLETRANSLATE(B750,""en"",""zh-TW""),)"),"天氣不好，陰天。")</f>
        <v>天氣不好，陰天。</v>
      </c>
      <c r="E750" s="4" t="str">
        <f ca="1">IFERROR(__xludf.DUMMYFUNCTION("IFERROR(GOOGLETRANSLATE(B750,""en"",""zh-CN""),)"),"天气不好，阴天。")</f>
        <v>天气不好，阴天。</v>
      </c>
    </row>
    <row r="751" spans="1:5">
      <c r="A751" s="3" t="s">
        <v>3165</v>
      </c>
      <c r="B751" s="4" t="str">
        <f ca="1">IFERROR(__xludf.DUMMYFUNCTION("IFERROR(GOOGLETRANSLATE(A751,""ko"",""en""),)"),"Is Korean difficult?")</f>
        <v>Is Korean difficult?</v>
      </c>
      <c r="C751" s="4" t="str">
        <f ca="1">IFERROR(__xludf.DUMMYFUNCTION("IFERROR(GOOGLETRANSLATE(B751,""en"",""ja""),)"),"韓国語は難しいですか？")</f>
        <v>韓国語は難しいですか？</v>
      </c>
      <c r="D751" s="4" t="str">
        <f ca="1">IFERROR(__xludf.DUMMYFUNCTION("IFERROR(GOOGLETRANSLATE(B751,""en"",""zh-TW""),)"),"韓語難嗎？")</f>
        <v>韓語難嗎？</v>
      </c>
      <c r="E751" s="4" t="str">
        <f ca="1">IFERROR(__xludf.DUMMYFUNCTION("IFERROR(GOOGLETRANSLATE(B751,""en"",""zh-CN""),)"),"韩语难吗？")</f>
        <v>韩语难吗？</v>
      </c>
    </row>
    <row r="752" spans="1:5">
      <c r="A752" s="3" t="s">
        <v>3170</v>
      </c>
      <c r="B752" s="4" t="str">
        <f ca="1">IFERROR(__xludf.DUMMYFUNCTION("IFERROR(GOOGLETRANSLATE(A752,""ko"",""en""),)"),"No, it's not difficult. It's easy.")</f>
        <v>No, it's not difficult. It's easy.</v>
      </c>
      <c r="C752" s="4" t="str">
        <f ca="1">IFERROR(__xludf.DUMMYFUNCTION("IFERROR(GOOGLETRANSLATE(B752,""en"",""ja""),)"),"いいえ、難しくありません。簡単です。")</f>
        <v>いいえ、難しくありません。簡単です。</v>
      </c>
      <c r="D752" s="4" t="str">
        <f ca="1">IFERROR(__xludf.DUMMYFUNCTION("IFERROR(GOOGLETRANSLATE(B752,""en"",""zh-TW""),)"),"不，這並不難，很簡單。")</f>
        <v>不，這並不難，很簡單。</v>
      </c>
      <c r="E752" s="4" t="str">
        <f ca="1">IFERROR(__xludf.DUMMYFUNCTION("IFERROR(GOOGLETRANSLATE(B752,""en"",""zh-CN""),)"),"不，这并不难，很简单。")</f>
        <v>不，这并不难，很简单。</v>
      </c>
    </row>
    <row r="753" spans="1:5">
      <c r="A753" s="3" t="s">
        <v>3175</v>
      </c>
      <c r="B753" s="4" t="s">
        <v>3177</v>
      </c>
      <c r="C753" s="4" t="str">
        <f ca="1">IFERROR(__xludf.DUMMYFUNCTION("IFERROR(GOOGLETRANSLATE(B753,""en"",""ja""),)"),"今、外は雨が降っていますか？いいえ、雨は降っていません。")</f>
        <v>今、外は雨が降っていますか？いいえ、雨は降っていません。</v>
      </c>
      <c r="D753" s="4" t="str">
        <f ca="1">IFERROR(__xludf.DUMMYFUNCTION("IFERROR(GOOGLETRANSLATE(B753,""en"",""zh-TW""),)"),"外面現在下雨了嗎？沒有，沒下雨。")</f>
        <v>外面現在下雨了嗎？沒有，沒下雨。</v>
      </c>
      <c r="E753" s="4" t="str">
        <f ca="1">IFERROR(__xludf.DUMMYFUNCTION("IFERROR(GOOGLETRANSLATE(B753,""en"",""zh-CN""),)"),"外面现在下雨了吗？没有，没下雨。")</f>
        <v>外面现在下雨了吗？没有，没下雨。</v>
      </c>
    </row>
    <row r="754" spans="1:5">
      <c r="A754" s="3" t="s">
        <v>3183</v>
      </c>
      <c r="B754" s="4" t="str">
        <f ca="1">IFERROR(__xludf.DUMMYFUNCTION("IFERROR(GOOGLETRANSLATE(A754,""ko"",""en""),)"),"It's a bit chilly at night.")</f>
        <v>It's a bit chilly at night.</v>
      </c>
      <c r="C754" s="4" t="str">
        <f ca="1">IFERROR(__xludf.DUMMYFUNCTION("IFERROR(GOOGLETRANSLATE(B754,""en"",""ja""),)"),"夜は少し肌寒いです。")</f>
        <v>夜は少し肌寒いです。</v>
      </c>
      <c r="D754" s="4" t="str">
        <f ca="1">IFERROR(__xludf.DUMMYFUNCTION("IFERROR(GOOGLETRANSLATE(B754,""en"",""zh-TW""),)"),"晚上有點冷。")</f>
        <v>晚上有點冷。</v>
      </c>
      <c r="E754" s="4" t="str">
        <f ca="1">IFERROR(__xludf.DUMMYFUNCTION("IFERROR(GOOGLETRANSLATE(B754,""en"",""zh-CN""),)"),"晚上有点冷。")</f>
        <v>晚上有点冷。</v>
      </c>
    </row>
    <row r="755" spans="1:5">
      <c r="A755" s="3" t="s">
        <v>3188</v>
      </c>
      <c r="B755" s="4" t="str">
        <f ca="1">IFERROR(__xludf.DUMMYFUNCTION("IFERROR(GOOGLETRANSLATE(A755,""ko"",""en""),)"),"Are you calling now?")</f>
        <v>Are you calling now?</v>
      </c>
      <c r="C755" s="4" t="str">
        <f ca="1">IFERROR(__xludf.DUMMYFUNCTION("IFERROR(GOOGLETRANSLATE(B755,""en"",""ja""),)"),"今、お電話ですか？")</f>
        <v>今、お電話ですか？</v>
      </c>
      <c r="D755" s="4" t="str">
        <f ca="1">IFERROR(__xludf.DUMMYFUNCTION("IFERROR(GOOGLETRANSLATE(B755,""en"",""zh-TW""),)"),"您現在打電話嗎？")</f>
        <v>您現在打電話嗎？</v>
      </c>
      <c r="E755" s="4" t="str">
        <f ca="1">IFERROR(__xludf.DUMMYFUNCTION("IFERROR(GOOGLETRANSLATE(B755,""en"",""zh-CN""),)"),"您现在打电话吗？")</f>
        <v>您现在打电话吗？</v>
      </c>
    </row>
    <row r="756" spans="1:5">
      <c r="A756" s="3" t="s">
        <v>3193</v>
      </c>
      <c r="B756" s="4" t="str">
        <f ca="1">IFERROR(__xludf.DUMMYFUNCTION("IFERROR(GOOGLETRANSLATE(A756,""ko"",""en""),)"),"No, I don't call.")</f>
        <v>No, I don't call.</v>
      </c>
      <c r="C756" s="4" t="str">
        <f ca="1">IFERROR(__xludf.DUMMYFUNCTION("IFERROR(GOOGLETRANSLATE(B756,""en"",""ja""),)"),"いいえ、私は電話しません。")</f>
        <v>いいえ、私は電話しません。</v>
      </c>
      <c r="D756" s="4" t="str">
        <f ca="1">IFERROR(__xludf.DUMMYFUNCTION("IFERROR(GOOGLETRANSLATE(B756,""en"",""zh-TW""),)"),"不，我不打電話。")</f>
        <v>不，我不打電話。</v>
      </c>
      <c r="E756" s="4" t="str">
        <f ca="1">IFERROR(__xludf.DUMMYFUNCTION("IFERROR(GOOGLETRANSLATE(B756,""en"",""zh-CN""),)"),"不，我不打电话。")</f>
        <v>不，我不打电话。</v>
      </c>
    </row>
    <row r="757" spans="1:5">
      <c r="A757" s="3" t="s">
        <v>3196</v>
      </c>
      <c r="B757" s="4" t="str">
        <f ca="1">IFERROR(__xludf.DUMMYFUNCTION("IFERROR(GOOGLETRANSLATE(A757,""ko"",""en""),)"),"Send a message.")</f>
        <v>Send a message.</v>
      </c>
      <c r="C757" s="4" t="str">
        <f ca="1">IFERROR(__xludf.DUMMYFUNCTION("IFERROR(GOOGLETRANSLATE(B757,""en"",""ja""),)"),"メッセージを送る。")</f>
        <v>メッセージを送る。</v>
      </c>
      <c r="D757" s="4" t="str">
        <f ca="1">IFERROR(__xludf.DUMMYFUNCTION("IFERROR(GOOGLETRANSLATE(B757,""en"",""zh-TW""),)"),"發送訊息。")</f>
        <v>發送訊息。</v>
      </c>
      <c r="E757" s="4" t="str">
        <f ca="1">IFERROR(__xludf.DUMMYFUNCTION("IFERROR(GOOGLETRANSLATE(B757,""en"",""zh-CN""),)"),"发送消息。")</f>
        <v>发送消息。</v>
      </c>
    </row>
    <row r="758" spans="1:5">
      <c r="A758" s="3" t="s">
        <v>3203</v>
      </c>
      <c r="B758" s="4" t="str">
        <f ca="1">IFERROR(__xludf.DUMMYFUNCTION("IFERROR(GOOGLETRANSLATE(A758,""ko"",""en""),)"),"Send a KakaoTalk.")</f>
        <v>Send a KakaoTalk.</v>
      </c>
      <c r="C758" s="4" t="str">
        <f ca="1">IFERROR(__xludf.DUMMYFUNCTION("IFERROR(GOOGLETRANSLATE(B758,""en"",""ja""),)"),"カカオトークを送信してください。")</f>
        <v>カカオトークを送信してください。</v>
      </c>
      <c r="D758" s="4" t="str">
        <f ca="1">IFERROR(__xludf.DUMMYFUNCTION("IFERROR(GOOGLETRANSLATE(B758,""en"",""zh-TW""),)"),"發送 KakaoTalk。")</f>
        <v>發送 KakaoTalk。</v>
      </c>
      <c r="E758" s="4" t="str">
        <f ca="1">IFERROR(__xludf.DUMMYFUNCTION("IFERROR(GOOGLETRANSLATE(B758,""en"",""zh-CN""),)"),"发送 KakaoTalk。")</f>
        <v>发送 KakaoTalk。</v>
      </c>
    </row>
    <row r="759" spans="1:5">
      <c r="A759" s="5" t="s">
        <v>3209</v>
      </c>
      <c r="B759" s="4" t="str">
        <f ca="1">IFERROR(__xludf.DUMMYFUNCTION("IFERROR(GOOGLETRANSLATE(A759,""ko"",""en""),)"),"Send a text message.")</f>
        <v>Send a text message.</v>
      </c>
      <c r="C759" s="4" t="str">
        <f ca="1">IFERROR(__xludf.DUMMYFUNCTION("IFERROR(GOOGLETRANSLATE(B759,""en"",""ja""),)"),"テキストメッセージを送信してください。")</f>
        <v>テキストメッセージを送信してください。</v>
      </c>
      <c r="D759" s="4" t="str">
        <f ca="1">IFERROR(__xludf.DUMMYFUNCTION("IFERROR(GOOGLETRANSLATE(B759,""en"",""zh-TW""),)"),"傳簡訊.")</f>
        <v>傳簡訊.</v>
      </c>
      <c r="E759" s="4" t="str">
        <f ca="1">IFERROR(__xludf.DUMMYFUNCTION("IFERROR(GOOGLETRANSLATE(B759,""en"",""zh-CN""),)"),"发送短信。")</f>
        <v>发送短信。</v>
      </c>
    </row>
    <row r="760" spans="1:5">
      <c r="A760" s="3" t="s">
        <v>3215</v>
      </c>
      <c r="B760" s="4" t="str">
        <f ca="1">IFERROR(__xludf.DUMMYFUNCTION("IFERROR(GOOGLETRANSLATE(A760,""ko"",""en""),)"),"I'm not going")</f>
        <v>I'm not going</v>
      </c>
      <c r="C760" s="4" t="str">
        <f ca="1">IFERROR(__xludf.DUMMYFUNCTION("IFERROR(GOOGLETRANSLATE(B760,""en"",""ja""),)"),"私は行かない")</f>
        <v>私は行かない</v>
      </c>
      <c r="D760" s="4" t="str">
        <f ca="1">IFERROR(__xludf.DUMMYFUNCTION("IFERROR(GOOGLETRANSLATE(B760,""en"",""zh-TW""),)"),"我不去")</f>
        <v>我不去</v>
      </c>
      <c r="E760" s="4" t="str">
        <f ca="1">IFERROR(__xludf.DUMMYFUNCTION("IFERROR(GOOGLETRANSLATE(B760,""en"",""zh-CN""),)"),"我不去")</f>
        <v>我不去</v>
      </c>
    </row>
    <row r="761" spans="1:5">
      <c r="A761" s="3" t="s">
        <v>3057</v>
      </c>
      <c r="B761" s="4" t="str">
        <f ca="1">IFERROR(__xludf.DUMMYFUNCTION("IFERROR(GOOGLETRANSLATE(A761,""ko"",""en""),)"),"I don't eat it.")</f>
        <v>I don't eat it.</v>
      </c>
      <c r="C761" s="4" t="str">
        <f ca="1">IFERROR(__xludf.DUMMYFUNCTION("IFERROR(GOOGLETRANSLATE(B761,""en"",""ja""),)"),"私はそれを食べません。")</f>
        <v>私はそれを食べません。</v>
      </c>
      <c r="D761" s="4" t="str">
        <f ca="1">IFERROR(__xludf.DUMMYFUNCTION("IFERROR(GOOGLETRANSLATE(B761,""en"",""zh-TW""),)"),"我不吃。")</f>
        <v>我不吃。</v>
      </c>
      <c r="E761" s="4" t="str">
        <f ca="1">IFERROR(__xludf.DUMMYFUNCTION("IFERROR(GOOGLETRANSLATE(B761,""en"",""zh-CN""),)"),"我不吃。")</f>
        <v>我不吃。</v>
      </c>
    </row>
    <row r="762" spans="1:5">
      <c r="A762" s="3" t="s">
        <v>3068</v>
      </c>
      <c r="B762" s="4" t="str">
        <f ca="1">IFERROR(__xludf.DUMMYFUNCTION("IFERROR(GOOGLETRANSLATE(A762,""ko"",""en""),)"),"They aren't coming.")</f>
        <v>They aren't coming.</v>
      </c>
      <c r="C762" s="4" t="str">
        <f ca="1">IFERROR(__xludf.DUMMYFUNCTION("IFERROR(GOOGLETRANSLATE(B762,""en"",""ja""),)"),"彼らは来ない。")</f>
        <v>彼らは来ない。</v>
      </c>
      <c r="D762" s="4" t="str">
        <f ca="1">IFERROR(__xludf.DUMMYFUNCTION("IFERROR(GOOGLETRANSLATE(B762,""en"",""zh-TW""),)"),"他們不會來了。")</f>
        <v>他們不會來了。</v>
      </c>
      <c r="E762" s="4" t="str">
        <f ca="1">IFERROR(__xludf.DUMMYFUNCTION("IFERROR(GOOGLETRANSLATE(B762,""en"",""zh-CN""),)"),"他们不会来了。")</f>
        <v>他们不会来了。</v>
      </c>
    </row>
    <row r="763" spans="1:5">
      <c r="A763" s="3" t="s">
        <v>3229</v>
      </c>
      <c r="B763" s="4" t="str">
        <f ca="1">IFERROR(__xludf.DUMMYFUNCTION("IFERROR(GOOGLETRANSLATE(A763,""ko"",""en""),)"),"I don't like it")</f>
        <v>I don't like it</v>
      </c>
      <c r="C763" s="4" t="str">
        <f ca="1">IFERROR(__xludf.DUMMYFUNCTION("IFERROR(GOOGLETRANSLATE(B763,""en"",""ja""),)"),"私はそれが気に入りません")</f>
        <v>私はそれが気に入りません</v>
      </c>
      <c r="D763" s="4" t="str">
        <f ca="1">IFERROR(__xludf.DUMMYFUNCTION("IFERROR(GOOGLETRANSLATE(B763,""en"",""zh-TW""),)"),"我不喜歡它")</f>
        <v>我不喜歡它</v>
      </c>
      <c r="E763" s="4" t="str">
        <f ca="1">IFERROR(__xludf.DUMMYFUNCTION("IFERROR(GOOGLETRANSLATE(B763,""en"",""zh-CN""),)"),"我不喜欢它")</f>
        <v>我不喜欢它</v>
      </c>
    </row>
    <row r="764" spans="1:5">
      <c r="A764" s="3" t="s">
        <v>3235</v>
      </c>
      <c r="B764" s="4" t="str">
        <f ca="1">IFERROR(__xludf.DUMMYFUNCTION("IFERROR(GOOGLETRANSLATE(A764,""ko"",""en""),)"),"I don't love you")</f>
        <v>I don't love you</v>
      </c>
      <c r="C764" s="4" t="str">
        <f ca="1">IFERROR(__xludf.DUMMYFUNCTION("IFERROR(GOOGLETRANSLATE(B764,""en"",""ja""),)"),"私はあなたを愛していません")</f>
        <v>私はあなたを愛していません</v>
      </c>
      <c r="D764" s="4" t="str">
        <f ca="1">IFERROR(__xludf.DUMMYFUNCTION("IFERROR(GOOGLETRANSLATE(B764,""en"",""zh-TW""),)"),"我不愛你")</f>
        <v>我不愛你</v>
      </c>
      <c r="E764" s="4" t="str">
        <f ca="1">IFERROR(__xludf.DUMMYFUNCTION("IFERROR(GOOGLETRANSLATE(B764,""en"",""zh-CN""),)"),"我不爱你")</f>
        <v>我不爱你</v>
      </c>
    </row>
    <row r="765" spans="1:5">
      <c r="A765" s="3" t="s">
        <v>3240</v>
      </c>
      <c r="B765" s="4" t="str">
        <f ca="1">IFERROR(__xludf.DUMMYFUNCTION("IFERROR(GOOGLETRANSLATE(A765,""ko"",""en""),)"),"I'm not working")</f>
        <v>I'm not working</v>
      </c>
      <c r="C765" s="4" t="str">
        <f ca="1">IFERROR(__xludf.DUMMYFUNCTION("IFERROR(GOOGLETRANSLATE(B765,""en"",""ja""),)"),"私は働いていません")</f>
        <v>私は働いていません</v>
      </c>
      <c r="D765" s="4" t="str">
        <f ca="1">IFERROR(__xludf.DUMMYFUNCTION("IFERROR(GOOGLETRANSLATE(B765,""en"",""zh-TW""),)"),"我沒在工作")</f>
        <v>我沒在工作</v>
      </c>
      <c r="E765" s="4" t="str">
        <f ca="1">IFERROR(__xludf.DUMMYFUNCTION("IFERROR(GOOGLETRANSLATE(B765,""en"",""zh-CN""),)"),"我没在工作")</f>
        <v>我没在工作</v>
      </c>
    </row>
    <row r="766" spans="1:5">
      <c r="A766" s="3" t="s">
        <v>3245</v>
      </c>
      <c r="B766" s="4" t="str">
        <f ca="1">IFERROR(__xludf.DUMMYFUNCTION("IFERROR(GOOGLETRANSLATE(A766,""ko"",""en""),)"),"I'm not studying")</f>
        <v>I'm not studying</v>
      </c>
      <c r="C766" s="4" t="str">
        <f ca="1">IFERROR(__xludf.DUMMYFUNCTION("IFERROR(GOOGLETRANSLATE(B766,""en"",""ja""),)"),"私は勉強していません")</f>
        <v>私は勉強していません</v>
      </c>
      <c r="D766" s="4" t="str">
        <f ca="1">IFERROR(__xludf.DUMMYFUNCTION("IFERROR(GOOGLETRANSLATE(B766,""en"",""zh-TW""),)"),"我沒在學習")</f>
        <v>我沒在學習</v>
      </c>
      <c r="E766" s="4" t="str">
        <f ca="1">IFERROR(__xludf.DUMMYFUNCTION("IFERROR(GOOGLETRANSLATE(B766,""en"",""zh-CN""),)"),"我没在学习")</f>
        <v>我没在学习</v>
      </c>
    </row>
    <row r="767" spans="1:5">
      <c r="A767" s="3" t="s">
        <v>3250</v>
      </c>
      <c r="B767" s="4" t="str">
        <f ca="1">IFERROR(__xludf.DUMMYFUNCTION("IFERROR(GOOGLETRANSLATE(A767,""ko"",""en""),)"),"I don't cook.")</f>
        <v>I don't cook.</v>
      </c>
      <c r="C767" s="4" t="str">
        <f ca="1">IFERROR(__xludf.DUMMYFUNCTION("IFERROR(GOOGLETRANSLATE(B767,""en"",""ja""),)"),"私は料理をしません。")</f>
        <v>私は料理をしません。</v>
      </c>
      <c r="D767" s="4" t="str">
        <f ca="1">IFERROR(__xludf.DUMMYFUNCTION("IFERROR(GOOGLETRANSLATE(B767,""en"",""zh-TW""),)"),"我不做飯。")</f>
        <v>我不做飯。</v>
      </c>
      <c r="E767" s="4" t="str">
        <f ca="1">IFERROR(__xludf.DUMMYFUNCTION("IFERROR(GOOGLETRANSLATE(B767,""en"",""zh-CN""),)"),"我不做饭。")</f>
        <v>我不做饭。</v>
      </c>
    </row>
    <row r="768" spans="1:5">
      <c r="A768" s="3" t="s">
        <v>3254</v>
      </c>
      <c r="B768" s="4" t="str">
        <f ca="1">IFERROR(__xludf.DUMMYFUNCTION("IFERROR(GOOGLETRANSLATE(A768,""ko"",""en""),)"),"I don't exercise.")</f>
        <v>I don't exercise.</v>
      </c>
      <c r="C768" s="4" t="str">
        <f ca="1">IFERROR(__xludf.DUMMYFUNCTION("IFERROR(GOOGLETRANSLATE(B768,""en"",""ja""),)"),"私は運動をしません。")</f>
        <v>私は運動をしません。</v>
      </c>
      <c r="D768" s="4" t="str">
        <f ca="1">IFERROR(__xludf.DUMMYFUNCTION("IFERROR(GOOGLETRANSLATE(B768,""en"",""zh-TW""),)"),"我不運動。")</f>
        <v>我不運動。</v>
      </c>
      <c r="E768" s="4" t="str">
        <f ca="1">IFERROR(__xludf.DUMMYFUNCTION("IFERROR(GOOGLETRANSLATE(B768,""en"",""zh-CN""),)"),"我不运动。")</f>
        <v>我不运动。</v>
      </c>
    </row>
    <row r="769" spans="1:5">
      <c r="A769" s="3" t="s">
        <v>3062</v>
      </c>
      <c r="B769" s="4" t="str">
        <f ca="1">IFERROR(__xludf.DUMMYFUNCTION("IFERROR(GOOGLETRANSLATE(A769,""ko"",""en""),)"),"It's not good")</f>
        <v>It's not good</v>
      </c>
      <c r="C769" s="4" t="str">
        <f ca="1">IFERROR(__xludf.DUMMYFUNCTION("IFERROR(GOOGLETRANSLATE(B769,""en"",""ja""),)"),"良くない")</f>
        <v>良くない</v>
      </c>
      <c r="D769" s="4" t="str">
        <f ca="1">IFERROR(__xludf.DUMMYFUNCTION("IFERROR(GOOGLETRANSLATE(B769,""en"",""zh-TW""),)"),"這不好")</f>
        <v>這不好</v>
      </c>
      <c r="E769" s="4" t="str">
        <f ca="1">IFERROR(__xludf.DUMMYFUNCTION("IFERROR(GOOGLETRANSLATE(B769,""en"",""zh-CN""),)"),"这不好")</f>
        <v>这不好</v>
      </c>
    </row>
    <row r="770" spans="1:5">
      <c r="A770" s="3" t="s">
        <v>3262</v>
      </c>
      <c r="B770" s="4" t="str">
        <f ca="1">IFERROR(__xludf.DUMMYFUNCTION("IFERROR(GOOGLETRANSLATE(A770,""ko"",""en""),)"),"It's not expensive.")</f>
        <v>It's not expensive.</v>
      </c>
      <c r="C770" s="4" t="str">
        <f ca="1">IFERROR(__xludf.DUMMYFUNCTION("IFERROR(GOOGLETRANSLATE(B770,""en"",""ja""),)"),"値段は高くない。")</f>
        <v>値段は高くない。</v>
      </c>
      <c r="D770" s="4" t="str">
        <f ca="1">IFERROR(__xludf.DUMMYFUNCTION("IFERROR(GOOGLETRANSLATE(B770,""en"",""zh-TW""),)"),"它並不貴。")</f>
        <v>它並不貴。</v>
      </c>
      <c r="E770" s="4" t="str">
        <f ca="1">IFERROR(__xludf.DUMMYFUNCTION("IFERROR(GOOGLETRANSLATE(B770,""en"",""zh-CN""),)"),"它并不贵。")</f>
        <v>它并不贵。</v>
      </c>
    </row>
    <row r="771" spans="1:5">
      <c r="A771" s="3" t="s">
        <v>3267</v>
      </c>
      <c r="B771" s="4" t="str">
        <f ca="1">IFERROR(__xludf.DUMMYFUNCTION("IFERROR(GOOGLETRANSLATE(A771,""ko"",""en""),)"),"It's not hot.")</f>
        <v>It's not hot.</v>
      </c>
      <c r="C771" s="4" t="str">
        <f ca="1">IFERROR(__xludf.DUMMYFUNCTION("IFERROR(GOOGLETRANSLATE(B771,""en"",""ja""),)"),"暑くない。")</f>
        <v>暑くない。</v>
      </c>
      <c r="D771" s="4" t="str">
        <f ca="1">IFERROR(__xludf.DUMMYFUNCTION("IFERROR(GOOGLETRANSLATE(B771,""en"",""zh-TW""),)"),"不熱。")</f>
        <v>不熱。</v>
      </c>
      <c r="E771" s="4" t="str">
        <f ca="1">IFERROR(__xludf.DUMMYFUNCTION("IFERROR(GOOGLETRANSLATE(B771,""en"",""zh-CN""),)"),"不热。")</f>
        <v>不热。</v>
      </c>
    </row>
    <row r="772" spans="1:5">
      <c r="A772" s="3" t="s">
        <v>3270</v>
      </c>
      <c r="B772" s="4" t="str">
        <f ca="1">IFERROR(__xludf.DUMMYFUNCTION("IFERROR(GOOGLETRANSLATE(A772,""ko"",""en""),)"),"It's not cold.")</f>
        <v>It's not cold.</v>
      </c>
      <c r="C772" s="4" t="str">
        <f ca="1">IFERROR(__xludf.DUMMYFUNCTION("IFERROR(GOOGLETRANSLATE(B772,""en"",""ja""),)"),"寒くはない。")</f>
        <v>寒くはない。</v>
      </c>
      <c r="D772" s="4" t="str">
        <f ca="1">IFERROR(__xludf.DUMMYFUNCTION("IFERROR(GOOGLETRANSLATE(B772,""en"",""zh-TW""),)"),"不冷。")</f>
        <v>不冷。</v>
      </c>
      <c r="E772" s="4" t="str">
        <f ca="1">IFERROR(__xludf.DUMMYFUNCTION("IFERROR(GOOGLETRANSLATE(B772,""en"",""zh-CN""),)"),"不冷。")</f>
        <v>不冷。</v>
      </c>
    </row>
    <row r="773" spans="1:5">
      <c r="A773" s="3" t="s">
        <v>3276</v>
      </c>
      <c r="B773" s="4" t="str">
        <f ca="1">IFERROR(__xludf.DUMMYFUNCTION("IFERROR(GOOGLETRANSLATE(A773,""ko"",""en""),)"),"Suzy goes to the park. Anna does not go to the park.")</f>
        <v>Suzy goes to the park. Anna does not go to the park.</v>
      </c>
      <c r="C773" s="4" t="str">
        <f ca="1">IFERROR(__xludf.DUMMYFUNCTION("IFERROR(GOOGLETRANSLATE(B773,""en"",""ja""),)"),"スージーは公園に行く。アンナは公園に行かない。")</f>
        <v>スージーは公園に行く。アンナは公園に行かない。</v>
      </c>
      <c r="D773" s="4" t="str">
        <f ca="1">IFERROR(__xludf.DUMMYFUNCTION("IFERROR(GOOGLETRANSLATE(B773,""en"",""zh-TW""),)"),"蘇西去了公園。安娜沒有去公園。")</f>
        <v>蘇西去了公園。安娜沒有去公園。</v>
      </c>
      <c r="E773" s="4" t="str">
        <f ca="1">IFERROR(__xludf.DUMMYFUNCTION("IFERROR(GOOGLETRANSLATE(B773,""en"",""zh-CN""),)"),"苏西去了公园。安娜没有去公园。")</f>
        <v>苏西去了公园。安娜没有去公园。</v>
      </c>
    </row>
    <row r="774" spans="1:5">
      <c r="A774" s="3" t="s">
        <v>3280</v>
      </c>
      <c r="B774" s="4" t="str">
        <f ca="1">IFERROR(__xludf.DUMMYFUNCTION("IFERROR(GOOGLETRANSLATE(A774,""ko"",""en""),)"),"Mari is studying now. Woojin is not studying.")</f>
        <v>Mari is studying now. Woojin is not studying.</v>
      </c>
      <c r="C774" s="4" t="str">
        <f ca="1">IFERROR(__xludf.DUMMYFUNCTION("IFERROR(GOOGLETRANSLATE(B774,""en"",""ja""),)"),"マリは今勉強しています。ウジンは勉強していません。")</f>
        <v>マリは今勉強しています。ウジンは勉強していません。</v>
      </c>
      <c r="D774" s="4" t="str">
        <f ca="1">IFERROR(__xludf.DUMMYFUNCTION("IFERROR(GOOGLETRANSLATE(B774,""en"",""zh-TW""),)"),"瑪麗現在正在學習。宇鎮沒有學習。")</f>
        <v>瑪麗現在正在學習。宇鎮沒有學習。</v>
      </c>
      <c r="E774" s="4" t="str">
        <f ca="1">IFERROR(__xludf.DUMMYFUNCTION("IFERROR(GOOGLETRANSLATE(B774,""en"",""zh-CN""),)"),"玛丽现在正在学习。宇镇没有学习。")</f>
        <v>玛丽现在正在学习。宇镇没有学习。</v>
      </c>
    </row>
    <row r="775" spans="1:5">
      <c r="A775" s="3" t="s">
        <v>3287</v>
      </c>
      <c r="B775" s="4" t="str">
        <f ca="1">IFERROR(__xludf.DUMMYFUNCTION("IFERROR(GOOGLETRANSLATE(A775,""ko"",""en""),)"),"It is raining in Seoul. It is not raining in Beijing.")</f>
        <v>It is raining in Seoul. It is not raining in Beijing.</v>
      </c>
      <c r="C775" s="4" t="str">
        <f ca="1">IFERROR(__xludf.DUMMYFUNCTION("IFERROR(GOOGLETRANSLATE(B775,""en"",""ja""),)"),"ソウルでは雨が降っている。北京では雨は降っていない。")</f>
        <v>ソウルでは雨が降っている。北京では雨は降っていない。</v>
      </c>
      <c r="D775" s="4" t="str">
        <f ca="1">IFERROR(__xludf.DUMMYFUNCTION("IFERROR(GOOGLETRANSLATE(B775,""en"",""zh-TW""),)"),"首爾下雨了。北京沒下雨。")</f>
        <v>首爾下雨了。北京沒下雨。</v>
      </c>
      <c r="E775" s="4" t="str">
        <f ca="1">IFERROR(__xludf.DUMMYFUNCTION("IFERROR(GOOGLETRANSLATE(B775,""en"",""zh-CN""),)"),"首尔下雨了。北京没下雨。")</f>
        <v>首尔下雨了。北京没下雨。</v>
      </c>
    </row>
    <row r="776" spans="1:5">
      <c r="A776" s="3" t="s">
        <v>3292</v>
      </c>
      <c r="B776" s="4" t="str">
        <f ca="1">IFERROR(__xludf.DUMMYFUNCTION("IFERROR(GOOGLETRANSLATE(A776,""ko"",""en""),)"),"I'm busy in the morning. I'm not busy in the evening.")</f>
        <v>I'm busy in the morning. I'm not busy in the evening.</v>
      </c>
      <c r="C776" s="4" t="str">
        <f ca="1">IFERROR(__xludf.DUMMYFUNCTION("IFERROR(GOOGLETRANSLATE(B776,""en"",""ja""),)"),"午前中は忙しい。夜は忙しくない。")</f>
        <v>午前中は忙しい。夜は忙しくない。</v>
      </c>
      <c r="D776" s="4" t="str">
        <f ca="1">IFERROR(__xludf.DUMMYFUNCTION("IFERROR(GOOGLETRANSLATE(B776,""en"",""zh-TW""),)"),"我上午很忙，晚上不忙。")</f>
        <v>我上午很忙，晚上不忙。</v>
      </c>
      <c r="E776" s="4" t="str">
        <f ca="1">IFERROR(__xludf.DUMMYFUNCTION("IFERROR(GOOGLETRANSLATE(B776,""en"",""zh-CN""),)"),"我上午很忙，晚上不忙。")</f>
        <v>我上午很忙，晚上不忙。</v>
      </c>
    </row>
    <row r="777" spans="1:5">
      <c r="A777" s="3" t="s">
        <v>3299</v>
      </c>
      <c r="B777" s="4" t="str">
        <f ca="1">IFERROR(__xludf.DUMMYFUNCTION("IFERROR(GOOGLETRANSLATE(A777,""ko"",""en""),)"),"I eat meat. My younger sibling doesn't.")</f>
        <v>I eat meat. My younger sibling doesn't.</v>
      </c>
      <c r="C777" s="4" t="str">
        <f ca="1">IFERROR(__xludf.DUMMYFUNCTION("IFERROR(GOOGLETRANSLATE(B777,""en"",""ja""),)"),"私は肉を食べます。私の弟は食べません。")</f>
        <v>私は肉を食べます。私の弟は食べません。</v>
      </c>
      <c r="D777" s="4" t="str">
        <f ca="1">IFERROR(__xludf.DUMMYFUNCTION("IFERROR(GOOGLETRANSLATE(B777,""en"",""zh-TW""),)"),"我吃肉，我的弟弟不吃。")</f>
        <v>我吃肉，我的弟弟不吃。</v>
      </c>
      <c r="E777" s="4" t="str">
        <f ca="1">IFERROR(__xludf.DUMMYFUNCTION("IFERROR(GOOGLETRANSLATE(B777,""en"",""zh-CN""),)"),"我吃肉，我的弟弟不吃。")</f>
        <v>我吃肉，我的弟弟不吃。</v>
      </c>
    </row>
    <row r="778" spans="1:5">
      <c r="A778" s="3" t="s">
        <v>3306</v>
      </c>
      <c r="B778" s="4" t="str">
        <f ca="1">IFERROR(__xludf.DUMMYFUNCTION("IFERROR(GOOGLETRANSLATE(A778,""ko"",""en""),)"),"I work part-time on Saturdays. I don't work part-time on Sundays.")</f>
        <v>I work part-time on Saturdays. I don't work part-time on Sundays.</v>
      </c>
      <c r="C778" s="4" t="str">
        <f ca="1">IFERROR(__xludf.DUMMYFUNCTION("IFERROR(GOOGLETRANSLATE(B778,""en"",""ja""),)"),"私は土曜日はパートタイムで働いています。日曜日はパートタイムで働いていません。")</f>
        <v>私は土曜日はパートタイムで働いています。日曜日はパートタイムで働いていません。</v>
      </c>
      <c r="D778" s="4" t="str">
        <f ca="1">IFERROR(__xludf.DUMMYFUNCTION("IFERROR(GOOGLETRANSLATE(B778,""en"",""zh-TW""),)"),"我星期六做兼職，週日不做兼職。")</f>
        <v>我星期六做兼職，週日不做兼職。</v>
      </c>
      <c r="E778" s="4" t="str">
        <f ca="1">IFERROR(__xludf.DUMMYFUNCTION("IFERROR(GOOGLETRANSLATE(B778,""en"",""zh-CN""),)"),"我周六做兼职，周日不做兼职。")</f>
        <v>我周六做兼职，周日不做兼职。</v>
      </c>
    </row>
    <row r="779" spans="1:5">
      <c r="A779" s="3" t="s">
        <v>3311</v>
      </c>
      <c r="B779" s="4" t="str">
        <f ca="1">IFERROR(__xludf.DUMMYFUNCTION("IFERROR(GOOGLETRANSLATE(A779,""ko"",""en""),)"),"Is it raining now?")</f>
        <v>Is it raining now?</v>
      </c>
      <c r="C779" s="4" t="str">
        <f ca="1">IFERROR(__xludf.DUMMYFUNCTION("IFERROR(GOOGLETRANSLATE(B779,""en"",""ja""),)"),"今、雨が降っていますか？")</f>
        <v>今、雨が降っていますか？</v>
      </c>
      <c r="D779" s="4" t="str">
        <f ca="1">IFERROR(__xludf.DUMMYFUNCTION("IFERROR(GOOGLETRANSLATE(B779,""en"",""zh-TW""),)"),"現在下雨了嗎？")</f>
        <v>現在下雨了嗎？</v>
      </c>
      <c r="E779" s="4" t="str">
        <f ca="1">IFERROR(__xludf.DUMMYFUNCTION("IFERROR(GOOGLETRANSLATE(B779,""en"",""zh-CN""),)"),"现在下雨了吗？")</f>
        <v>现在下雨了吗？</v>
      </c>
    </row>
    <row r="780" spans="1:5">
      <c r="A780" s="3" t="s">
        <v>3319</v>
      </c>
      <c r="B780" s="4" t="str">
        <f ca="1">IFERROR(__xludf.DUMMYFUNCTION("IFERROR(GOOGLETRANSLATE(A780,""ko"",""en""),)"),"No, it's not raining. It's snowing.")</f>
        <v>No, it's not raining. It's snowing.</v>
      </c>
      <c r="C780" s="4" t="str">
        <f ca="1">IFERROR(__xludf.DUMMYFUNCTION("IFERROR(GOOGLETRANSLATE(B780,""en"",""ja""),)"),"いいえ、雨ではありません。雪です。")</f>
        <v>いいえ、雨ではありません。雪です。</v>
      </c>
      <c r="D780" s="4" t="str">
        <f ca="1">IFERROR(__xludf.DUMMYFUNCTION("IFERROR(GOOGLETRANSLATE(B780,""en"",""zh-TW""),)"),"不，不是下雨，是下雪。")</f>
        <v>不，不是下雨，是下雪。</v>
      </c>
      <c r="E780" s="4" t="str">
        <f ca="1">IFERROR(__xludf.DUMMYFUNCTION("IFERROR(GOOGLETRANSLATE(B780,""en"",""zh-CN""),)"),"不，不是下雨，是下雪。")</f>
        <v>不，不是下雨，是下雪。</v>
      </c>
    </row>
    <row r="781" spans="1:5">
      <c r="A781" s="3" t="s">
        <v>3326</v>
      </c>
      <c r="B781" s="4" t="str">
        <f ca="1">IFERROR(__xludf.DUMMYFUNCTION("IFERROR(GOOGLETRANSLATE(A781,""ko"",""en""),)"),"Are you eating bibimbap today?")</f>
        <v>Are you eating bibimbap today?</v>
      </c>
      <c r="C781" s="4" t="str">
        <f ca="1">IFERROR(__xludf.DUMMYFUNCTION("IFERROR(GOOGLETRANSLATE(B781,""en"",""ja""),)"),"今日はビビンバを食べますか？")</f>
        <v>今日はビビンバを食べますか？</v>
      </c>
      <c r="D781" s="4" t="str">
        <f ca="1">IFERROR(__xludf.DUMMYFUNCTION("IFERROR(GOOGLETRANSLATE(B781,""en"",""zh-TW""),)"),"你今天吃拌飯嗎？")</f>
        <v>你今天吃拌飯嗎？</v>
      </c>
      <c r="E781" s="4" t="str">
        <f ca="1">IFERROR(__xludf.DUMMYFUNCTION("IFERROR(GOOGLETRANSLATE(B781,""en"",""zh-CN""),)"),"你今天吃拌饭吗？")</f>
        <v>你今天吃拌饭吗？</v>
      </c>
    </row>
    <row r="782" spans="1:5">
      <c r="A782" s="3" t="s">
        <v>3332</v>
      </c>
      <c r="B782" s="4" t="str">
        <f ca="1">IFERROR(__xludf.DUMMYFUNCTION("IFERROR(GOOGLETRANSLATE(A782,""ko"",""en""),)"),"No, I don't eat it. I eat bulgogi.")</f>
        <v>No, I don't eat it. I eat bulgogi.</v>
      </c>
      <c r="C782" s="4" t="str">
        <f ca="1">IFERROR(__xludf.DUMMYFUNCTION("IFERROR(GOOGLETRANSLATE(B782,""en"",""ja""),)"),"いいえ、食べません。プルコギを食べます。")</f>
        <v>いいえ、食べません。プルコギを食べます。</v>
      </c>
      <c r="D782" s="4" t="str">
        <f ca="1">IFERROR(__xludf.DUMMYFUNCTION("IFERROR(GOOGLETRANSLATE(B782,""en"",""zh-TW""),)"),"不，我不吃那個。我吃烤肉。")</f>
        <v>不，我不吃那個。我吃烤肉。</v>
      </c>
      <c r="E782" s="4" t="str">
        <f ca="1">IFERROR(__xludf.DUMMYFUNCTION("IFERROR(GOOGLETRANSLATE(B782,""en"",""zh-CN""),)"),"不，我不吃那个。我吃烤肉。")</f>
        <v>不，我不吃那个。我吃烤肉。</v>
      </c>
    </row>
    <row r="783" spans="1:5">
      <c r="A783" s="3" t="s">
        <v>3337</v>
      </c>
      <c r="B783" s="4" t="str">
        <f ca="1">IFERROR(__xludf.DUMMYFUNCTION("IFERROR(GOOGLETRANSLATE(A783,""ko"",""en""),)"),"Do you work on Saturdays?")</f>
        <v>Do you work on Saturdays?</v>
      </c>
      <c r="C783" s="4" t="str">
        <f ca="1">IFERROR(__xludf.DUMMYFUNCTION("IFERROR(GOOGLETRANSLATE(B783,""en"",""ja""),)"),"あなたは土曜日も働いていますか？")</f>
        <v>あなたは土曜日も働いていますか？</v>
      </c>
      <c r="D783" s="4" t="str">
        <f ca="1">IFERROR(__xludf.DUMMYFUNCTION("IFERROR(GOOGLETRANSLATE(B783,""en"",""zh-TW""),)"),"你星期六上班嗎？")</f>
        <v>你星期六上班嗎？</v>
      </c>
      <c r="E783" s="4" t="str">
        <f ca="1">IFERROR(__xludf.DUMMYFUNCTION("IFERROR(GOOGLETRANSLATE(B783,""en"",""zh-CN""),)"),"你周六上班吗？")</f>
        <v>你周六上班吗？</v>
      </c>
    </row>
    <row r="784" spans="1:5">
      <c r="A784" s="3" t="s">
        <v>3341</v>
      </c>
      <c r="B784" s="4" t="str">
        <f ca="1">IFERROR(__xludf.DUMMYFUNCTION("IFERROR(GOOGLETRANSLATE(A784,""ko"",""en""),)"),"No, I don't work. I watch movies.")</f>
        <v>No, I don't work. I watch movies.</v>
      </c>
      <c r="C784" s="4" t="str">
        <f ca="1">IFERROR(__xludf.DUMMYFUNCTION("IFERROR(GOOGLETRANSLATE(B784,""en"",""ja""),)"),"いいえ、私は働いていません。映画を観ています。")</f>
        <v>いいえ、私は働いていません。映画を観ています。</v>
      </c>
      <c r="D784" s="4" t="str">
        <f ca="1">IFERROR(__xludf.DUMMYFUNCTION("IFERROR(GOOGLETRANSLATE(B784,""en"",""zh-TW""),)"),"不，我不工作。我看電影。")</f>
        <v>不，我不工作。我看電影。</v>
      </c>
      <c r="E784" s="4" t="str">
        <f ca="1">IFERROR(__xludf.DUMMYFUNCTION("IFERROR(GOOGLETRANSLATE(B784,""en"",""zh-CN""),)"),"不，我不工作。我看电影。")</f>
        <v>不，我不工作。我看电影。</v>
      </c>
    </row>
    <row r="785" spans="1:5">
      <c r="A785" s="3" t="s">
        <v>3348</v>
      </c>
      <c r="B785" s="4" t="str">
        <f ca="1">IFERROR(__xludf.DUMMYFUNCTION("IFERROR(GOOGLETRANSLATE(A785,""ko"",""en""),)"),"Do you drink juice in the morning?")</f>
        <v>Do you drink juice in the morning?</v>
      </c>
      <c r="C785" s="4" t="str">
        <f ca="1">IFERROR(__xludf.DUMMYFUNCTION("IFERROR(GOOGLETRANSLATE(B785,""en"",""ja""),)"),"あなたは朝にジュースを飲みますか？")</f>
        <v>あなたは朝にジュースを飲みますか？</v>
      </c>
      <c r="D785" s="4" t="str">
        <f ca="1">IFERROR(__xludf.DUMMYFUNCTION("IFERROR(GOOGLETRANSLATE(B785,""en"",""zh-TW""),)"),"你早上喝果汁嗎？")</f>
        <v>你早上喝果汁嗎？</v>
      </c>
      <c r="E785" s="4" t="str">
        <f ca="1">IFERROR(__xludf.DUMMYFUNCTION("IFERROR(GOOGLETRANSLATE(B785,""en"",""zh-CN""),)"),"你早上喝果汁吗？")</f>
        <v>你早上喝果汁吗？</v>
      </c>
    </row>
    <row r="786" spans="1:5">
      <c r="A786" s="3" t="s">
        <v>3354</v>
      </c>
      <c r="B786" s="4" t="str">
        <f ca="1">IFERROR(__xludf.DUMMYFUNCTION("IFERROR(GOOGLETRANSLATE(A786,""ko"",""en""),)"),"No, I don't drink it. I drink milk.")</f>
        <v>No, I don't drink it. I drink milk.</v>
      </c>
      <c r="C786" s="4" t="str">
        <f ca="1">IFERROR(__xludf.DUMMYFUNCTION("IFERROR(GOOGLETRANSLATE(B786,""en"",""ja""),)"),"いいえ、私はそれを飲みません。私は牛乳を飲みます。")</f>
        <v>いいえ、私はそれを飲みません。私は牛乳を飲みます。</v>
      </c>
      <c r="D786" s="4" t="str">
        <f ca="1">IFERROR(__xludf.DUMMYFUNCTION("IFERROR(GOOGLETRANSLATE(B786,""en"",""zh-TW""),)"),"不，我不喝這個。我喝牛奶。")</f>
        <v>不，我不喝這個。我喝牛奶。</v>
      </c>
      <c r="E786" s="4" t="str">
        <f ca="1">IFERROR(__xludf.DUMMYFUNCTION("IFERROR(GOOGLETRANSLATE(B786,""en"",""zh-CN""),)"),"不，我不喝这个。我喝牛奶。")</f>
        <v>不，我不喝这个。我喝牛奶。</v>
      </c>
    </row>
    <row r="787" spans="1:5">
      <c r="A787" s="3" t="s">
        <v>3358</v>
      </c>
      <c r="B787" s="4" t="str">
        <f ca="1">IFERROR(__xludf.DUMMYFUNCTION("IFERROR(GOOGLETRANSLATE(A787,""ko"",""en""),)"),"What is the weather like in Sydney today?")</f>
        <v>What is the weather like in Sydney today?</v>
      </c>
      <c r="C787" s="4" t="str">
        <f ca="1">IFERROR(__xludf.DUMMYFUNCTION("IFERROR(GOOGLETRANSLATE(B787,""en"",""ja""),)"),"今日のシドニーの天気はどうですか？")</f>
        <v>今日のシドニーの天気はどうですか？</v>
      </c>
      <c r="D787" s="4" t="str">
        <f ca="1">IFERROR(__xludf.DUMMYFUNCTION("IFERROR(GOOGLETRANSLATE(B787,""en"",""zh-TW""),)"),"今天雪梨天氣怎麼樣？")</f>
        <v>今天雪梨天氣怎麼樣？</v>
      </c>
      <c r="E787" s="4" t="str">
        <f ca="1">IFERROR(__xludf.DUMMYFUNCTION("IFERROR(GOOGLETRANSLATE(B787,""en"",""zh-CN""),)"),"今天悉尼天气怎么样？")</f>
        <v>今天悉尼天气怎么样？</v>
      </c>
    </row>
    <row r="788" spans="1:5">
      <c r="A788" s="3" t="s">
        <v>3364</v>
      </c>
      <c r="B788" s="4" t="str">
        <f ca="1">IFERROR(__xludf.DUMMYFUNCTION("IFERROR(GOOGLETRANSLATE(A788,""ko"",""en""),)"),"It's warm.")</f>
        <v>It's warm.</v>
      </c>
      <c r="C788" s="4" t="str">
        <f ca="1">IFERROR(__xludf.DUMMYFUNCTION("IFERROR(GOOGLETRANSLATE(B788,""en"",""ja""),)"),"暖かいです。")</f>
        <v>暖かいです。</v>
      </c>
      <c r="D788" s="4" t="str">
        <f ca="1">IFERROR(__xludf.DUMMYFUNCTION("IFERROR(GOOGLETRANSLATE(B788,""en"",""zh-TW""),)"),"很溫暖。")</f>
        <v>很溫暖。</v>
      </c>
      <c r="E788" s="4" t="str">
        <f ca="1">IFERROR(__xludf.DUMMYFUNCTION("IFERROR(GOOGLETRANSLATE(B788,""en"",""zh-CN""),)"),"很温暖。")</f>
        <v>很温暖。</v>
      </c>
    </row>
    <row r="789" spans="1:5">
      <c r="A789" s="3" t="s">
        <v>3368</v>
      </c>
      <c r="B789" s="4" t="str">
        <f ca="1">IFERROR(__xludf.DUMMYFUNCTION("IFERROR(GOOGLETRANSLATE(A789,""ko"",""en""),)"),"Is it snowing today?")</f>
        <v>Is it snowing today?</v>
      </c>
      <c r="C789" s="4" t="str">
        <f ca="1">IFERROR(__xludf.DUMMYFUNCTION("IFERROR(GOOGLETRANSLATE(B789,""en"",""ja""),)"),"今日は雪が降っていますか？")</f>
        <v>今日は雪が降っていますか？</v>
      </c>
      <c r="D789" s="4" t="str">
        <f ca="1">IFERROR(__xludf.DUMMYFUNCTION("IFERROR(GOOGLETRANSLATE(B789,""en"",""zh-TW""),)"),"今天下雪了嗎？")</f>
        <v>今天下雪了嗎？</v>
      </c>
      <c r="E789" s="4" t="str">
        <f ca="1">IFERROR(__xludf.DUMMYFUNCTION("IFERROR(GOOGLETRANSLATE(B789,""en"",""zh-CN""),)"),"今天下雪了吗？")</f>
        <v>今天下雪了吗？</v>
      </c>
    </row>
    <row r="790" spans="1:5">
      <c r="A790" s="3" t="s">
        <v>3374</v>
      </c>
      <c r="B790" s="4" t="str">
        <f ca="1">IFERROR(__xludf.DUMMYFUNCTION("IFERROR(GOOGLETRANSLATE(A790,""ko"",""en""),)"),"No, it's not snowing.")</f>
        <v>No, it's not snowing.</v>
      </c>
      <c r="C790" s="4" t="str">
        <f ca="1">IFERROR(__xludf.DUMMYFUNCTION("IFERROR(GOOGLETRANSLATE(B790,""en"",""ja""),)"),"いいえ、雪は降っていません。")</f>
        <v>いいえ、雪は降っていません。</v>
      </c>
      <c r="D790" s="4" t="str">
        <f ca="1">IFERROR(__xludf.DUMMYFUNCTION("IFERROR(GOOGLETRANSLATE(B790,""en"",""zh-TW""),)"),"不，沒下雪。")</f>
        <v>不，沒下雪。</v>
      </c>
      <c r="E790" s="4" t="str">
        <f ca="1">IFERROR(__xludf.DUMMYFUNCTION("IFERROR(GOOGLETRANSLATE(B790,""en"",""zh-CN""),)"),"不，没下雪。")</f>
        <v>不，没下雪。</v>
      </c>
    </row>
    <row r="791" spans="1:5">
      <c r="A791" s="3" t="s">
        <v>3380</v>
      </c>
      <c r="B791" s="4" t="str">
        <f ca="1">IFERROR(__xludf.DUMMYFUNCTION("IFERROR(GOOGLETRANSLATE(A791,""ko"",""en""),)"),"Do you exercise?")</f>
        <v>Do you exercise?</v>
      </c>
      <c r="C791" s="4" t="str">
        <f ca="1">IFERROR(__xludf.DUMMYFUNCTION("IFERROR(GOOGLETRANSLATE(B791,""en"",""ja""),)"),"あなたは運動をしますか？")</f>
        <v>あなたは運動をしますか？</v>
      </c>
      <c r="D791" s="4" t="str">
        <f ca="1">IFERROR(__xludf.DUMMYFUNCTION("IFERROR(GOOGLETRANSLATE(B791,""en"",""zh-TW""),)"),"你平時運動嗎？")</f>
        <v>你平時運動嗎？</v>
      </c>
      <c r="E791" s="4" t="str">
        <f ca="1">IFERROR(__xludf.DUMMYFUNCTION("IFERROR(GOOGLETRANSLATE(B791,""en"",""zh-CN""),)"),"你平时锻炼吗？")</f>
        <v>你平时锻炼吗？</v>
      </c>
    </row>
    <row r="792" spans="1:5">
      <c r="A792" s="3" t="s">
        <v>3385</v>
      </c>
      <c r="B792" s="4" t="str">
        <f ca="1">IFERROR(__xludf.DUMMYFUNCTION("IFERROR(GOOGLETRANSLATE(A792,""ko"",""en""),)"),"No, I don't exercise.")</f>
        <v>No, I don't exercise.</v>
      </c>
      <c r="C792" s="4" t="str">
        <f ca="1">IFERROR(__xludf.DUMMYFUNCTION("IFERROR(GOOGLETRANSLATE(B792,""en"",""ja""),)"),"いいえ、運動はしません。")</f>
        <v>いいえ、運動はしません。</v>
      </c>
      <c r="D792" s="4" t="str">
        <f ca="1">IFERROR(__xludf.DUMMYFUNCTION("IFERROR(GOOGLETRANSLATE(B792,""en"",""zh-TW""),)"),"不，我不鍛鍊。")</f>
        <v>不，我不鍛鍊。</v>
      </c>
      <c r="E792" s="4" t="str">
        <f ca="1">IFERROR(__xludf.DUMMYFUNCTION("IFERROR(GOOGLETRANSLATE(B792,""en"",""zh-CN""),)"),"不，我不锻炼。")</f>
        <v>不，我不锻炼。</v>
      </c>
    </row>
    <row r="793" spans="1:5">
      <c r="A793" s="5" t="s">
        <v>3387</v>
      </c>
      <c r="B793" s="4" t="str">
        <f ca="1">IFERROR(__xludf.DUMMYFUNCTION("IFERROR(GOOGLETRANSLATE(A793,""ko"",""en""),)"),"There are four seasons.")</f>
        <v>There are four seasons.</v>
      </c>
      <c r="C793" s="4" t="str">
        <f ca="1">IFERROR(__xludf.DUMMYFUNCTION("IFERROR(GOOGLETRANSLATE(B793,""en"",""ja""),)"),"四季がある。")</f>
        <v>四季がある。</v>
      </c>
      <c r="D793" s="4" t="str">
        <f ca="1">IFERROR(__xludf.DUMMYFUNCTION("IFERROR(GOOGLETRANSLATE(B793,""en"",""zh-TW""),)"),"一年有四季。")</f>
        <v>一年有四季。</v>
      </c>
      <c r="E793" s="4" t="str">
        <f ca="1">IFERROR(__xludf.DUMMYFUNCTION("IFERROR(GOOGLETRANSLATE(B793,""en"",""zh-CN""),)"),"一年有四季。")</f>
        <v>一年有四季。</v>
      </c>
    </row>
    <row r="794" spans="1:5">
      <c r="A794" s="3" t="s">
        <v>3391</v>
      </c>
      <c r="B794" s="4" t="str">
        <f ca="1">IFERROR(__xludf.DUMMYFUNCTION("IFERROR(GOOGLETRANSLATE(A794,""ko"",""en""),)"),"irregularity")</f>
        <v>irregularity</v>
      </c>
      <c r="C794" s="4" t="str">
        <f ca="1">IFERROR(__xludf.DUMMYFUNCTION("IFERROR(GOOGLETRANSLATE(B794,""en"",""ja""),)"),"不規則性")</f>
        <v>不規則性</v>
      </c>
      <c r="D794" s="4" t="str">
        <f ca="1">IFERROR(__xludf.DUMMYFUNCTION("IFERROR(GOOGLETRANSLATE(B794,""en"",""zh-TW""),)"),"不規則")</f>
        <v>不規則</v>
      </c>
      <c r="E794" s="4" t="str">
        <f ca="1">IFERROR(__xludf.DUMMYFUNCTION("IFERROR(GOOGLETRANSLATE(B794,""en"",""zh-CN""),)"),"不规则")</f>
        <v>不规则</v>
      </c>
    </row>
    <row r="795" spans="1:5">
      <c r="A795" s="3" t="s">
        <v>3396</v>
      </c>
      <c r="B795" s="4" t="str">
        <f ca="1">IFERROR(__xludf.DUMMYFUNCTION("IFERROR(GOOGLETRANSLATE(A795,""ko"",""en""),)"),"I listen to Korean music.")</f>
        <v>I listen to Korean music.</v>
      </c>
      <c r="C795" s="4" t="str">
        <f ca="1">IFERROR(__xludf.DUMMYFUNCTION("IFERROR(GOOGLETRANSLATE(B795,""en"",""ja""),)"),"私は韓国音楽を聴きます。")</f>
        <v>私は韓国音楽を聴きます。</v>
      </c>
      <c r="D795" s="4" t="str">
        <f ca="1">IFERROR(__xludf.DUMMYFUNCTION("IFERROR(GOOGLETRANSLATE(B795,""en"",""zh-TW""),)"),"我聽韓國音樂。")</f>
        <v>我聽韓國音樂。</v>
      </c>
      <c r="E795" s="4" t="str">
        <f ca="1">IFERROR(__xludf.DUMMYFUNCTION("IFERROR(GOOGLETRANSLATE(B795,""en"",""zh-CN""),)"),"我听韩国音乐。")</f>
        <v>我听韩国音乐。</v>
      </c>
    </row>
    <row r="796" spans="1:5">
      <c r="A796" s="3" t="s">
        <v>3401</v>
      </c>
      <c r="B796" s="4" t="str">
        <f ca="1">IFERROR(__xludf.DUMMYFUNCTION("IFERROR(GOOGLETRANSLATE(A796,""ko"",""en""),)"),"walk")</f>
        <v>walk</v>
      </c>
      <c r="C796" s="4" t="str">
        <f ca="1">IFERROR(__xludf.DUMMYFUNCTION("IFERROR(GOOGLETRANSLATE(B796,""en"",""ja""),)"),"歩く")</f>
        <v>歩く</v>
      </c>
      <c r="D796" s="4" t="str">
        <f ca="1">IFERROR(__xludf.DUMMYFUNCTION("IFERROR(GOOGLETRANSLATE(B796,""en"",""zh-TW""),)"),"走")</f>
        <v>走</v>
      </c>
      <c r="E796" s="4" t="str">
        <f ca="1">IFERROR(__xludf.DUMMYFUNCTION("IFERROR(GOOGLETRANSLATE(B796,""en"",""zh-CN""),)"),"走")</f>
        <v>走</v>
      </c>
    </row>
    <row r="797" spans="1:5">
      <c r="A797" s="3" t="s">
        <v>3407</v>
      </c>
      <c r="B797" s="4" t="str">
        <f ca="1">IFERROR(__xludf.DUMMYFUNCTION("IFERROR(GOOGLETRANSLATE(A797,""ko"",""en""),)"),"Walk.")</f>
        <v>Walk.</v>
      </c>
      <c r="C797" s="4" t="str">
        <f ca="1">IFERROR(__xludf.DUMMYFUNCTION("IFERROR(GOOGLETRANSLATE(B797,""en"",""ja""),)"),"歩く。")</f>
        <v>歩く。</v>
      </c>
      <c r="D797" s="4" t="str">
        <f ca="1">IFERROR(__xludf.DUMMYFUNCTION("IFERROR(GOOGLETRANSLATE(B797,""en"",""zh-TW""),)"),"走。")</f>
        <v>走。</v>
      </c>
      <c r="E797" s="4" t="str">
        <f ca="1">IFERROR(__xludf.DUMMYFUNCTION("IFERROR(GOOGLETRANSLATE(B797,""en"",""zh-CN""),)"),"走。")</f>
        <v>走。</v>
      </c>
    </row>
    <row r="798" spans="1:5">
      <c r="A798" s="3" t="s">
        <v>2822</v>
      </c>
      <c r="B798" s="4" t="str">
        <f ca="1">IFERROR(__xludf.DUMMYFUNCTION("IFERROR(GOOGLETRANSLATE(A798,""ko"",""en""),)"),"cold")</f>
        <v>cold</v>
      </c>
      <c r="C798" s="4" t="str">
        <f ca="1">IFERROR(__xludf.DUMMYFUNCTION("IFERROR(GOOGLETRANSLATE(B798,""en"",""ja""),)"),"寒い")</f>
        <v>寒い</v>
      </c>
      <c r="D798" s="4" t="str">
        <f ca="1">IFERROR(__xludf.DUMMYFUNCTION("IFERROR(GOOGLETRANSLATE(B798,""en"",""zh-TW""),)"),"寒冷的")</f>
        <v>寒冷的</v>
      </c>
      <c r="E798" s="4" t="str">
        <f ca="1">IFERROR(__xludf.DUMMYFUNCTION("IFERROR(GOOGLETRANSLATE(B798,""en"",""zh-CN""),)"),"寒冷的")</f>
        <v>寒冷的</v>
      </c>
    </row>
    <row r="799" spans="1:5">
      <c r="A799" s="3" t="s">
        <v>2818</v>
      </c>
      <c r="B799" s="4" t="str">
        <f ca="1">IFERROR(__xludf.DUMMYFUNCTION("IFERROR(GOOGLETRANSLATE(A799,""ko"",""en""),)"),"cold")</f>
        <v>cold</v>
      </c>
      <c r="C799" s="4" t="str">
        <f ca="1">IFERROR(__xludf.DUMMYFUNCTION("IFERROR(GOOGLETRANSLATE(B799,""en"",""ja""),)"),"寒い")</f>
        <v>寒い</v>
      </c>
      <c r="D799" s="4" t="str">
        <f ca="1">IFERROR(__xludf.DUMMYFUNCTION("IFERROR(GOOGLETRANSLATE(B799,""en"",""zh-TW""),)"),"寒冷的")</f>
        <v>寒冷的</v>
      </c>
      <c r="E799" s="4" t="str">
        <f ca="1">IFERROR(__xludf.DUMMYFUNCTION("IFERROR(GOOGLETRANSLATE(B799,""en"",""zh-CN""),)"),"寒冷的")</f>
        <v>寒冷的</v>
      </c>
    </row>
    <row r="800" spans="1:5">
      <c r="A800" s="3" t="s">
        <v>3423</v>
      </c>
      <c r="B800" s="4" t="str">
        <f ca="1">IFERROR(__xludf.DUMMYFUNCTION("IFERROR(GOOGLETRANSLATE(A800,""ko"",""en""),)"),"beautiful")</f>
        <v>beautiful</v>
      </c>
      <c r="C800" s="4" t="str">
        <f ca="1">IFERROR(__xludf.DUMMYFUNCTION("IFERROR(GOOGLETRANSLATE(B800,""en"",""ja""),)"),"美しい")</f>
        <v>美しい</v>
      </c>
      <c r="D800" s="4" t="str">
        <f ca="1">IFERROR(__xludf.DUMMYFUNCTION("IFERROR(GOOGLETRANSLATE(B800,""en"",""zh-TW""),)"),"美麗的")</f>
        <v>美麗的</v>
      </c>
      <c r="E800" s="4" t="str">
        <f ca="1">IFERROR(__xludf.DUMMYFUNCTION("IFERROR(GOOGLETRANSLATE(B800,""en"",""zh-CN""),)"),"美丽的")</f>
        <v>美丽的</v>
      </c>
    </row>
    <row r="801" spans="1:5">
      <c r="A801" s="20" t="s">
        <v>3431</v>
      </c>
      <c r="B801" s="4" t="str">
        <f ca="1">IFERROR(__xludf.DUMMYFUNCTION("IFERROR(GOOGLETRANSLATE(A801,""ko"",""en""),)"),"It's beautiful")</f>
        <v>It's beautiful</v>
      </c>
      <c r="C801" s="4" t="str">
        <f ca="1">IFERROR(__xludf.DUMMYFUNCTION("IFERROR(GOOGLETRANSLATE(B801,""en"",""ja""),)"),"それは美しいです")</f>
        <v>それは美しいです</v>
      </c>
      <c r="D801" s="4" t="str">
        <f ca="1">IFERROR(__xludf.DUMMYFUNCTION("IFERROR(GOOGLETRANSLATE(B801,""en"",""zh-TW""),)"),"很美麗")</f>
        <v>很美麗</v>
      </c>
      <c r="E801" s="4" t="str">
        <f ca="1">IFERROR(__xludf.DUMMYFUNCTION("IFERROR(GOOGLETRANSLATE(B801,""en"",""zh-CN""),)"),"很美丽")</f>
        <v>很美丽</v>
      </c>
    </row>
    <row r="802" spans="1:5">
      <c r="A802" s="3" t="s">
        <v>3446</v>
      </c>
      <c r="B802" s="4" t="str">
        <f ca="1">IFERROR(__xludf.DUMMYFUNCTION("IFERROR(GOOGLETRANSLATE(A802,""ko"",""en""),)"),"travel bag")</f>
        <v>travel bag</v>
      </c>
      <c r="C802" s="4" t="str">
        <f ca="1">IFERROR(__xludf.DUMMYFUNCTION("IFERROR(GOOGLETRANSLATE(B802,""en"",""ja""),)"),"旅行用バッグ")</f>
        <v>旅行用バッグ</v>
      </c>
      <c r="D802" s="4" t="str">
        <f ca="1">IFERROR(__xludf.DUMMYFUNCTION("IFERROR(GOOGLETRANSLATE(B802,""en"",""zh-TW""),)"),"旅行包")</f>
        <v>旅行包</v>
      </c>
      <c r="E802" s="4" t="str">
        <f ca="1">IFERROR(__xludf.DUMMYFUNCTION("IFERROR(GOOGLETRANSLATE(B802,""en"",""zh-CN""),)"),"旅行包")</f>
        <v>旅行包</v>
      </c>
    </row>
    <row r="803" spans="1:5">
      <c r="A803" s="3" t="s">
        <v>3452</v>
      </c>
      <c r="B803" s="4" t="str">
        <f ca="1">IFERROR(__xludf.DUMMYFUNCTION("IFERROR(GOOGLETRANSLATE(A803,""ko"",""en""),)"),"be heavy")</f>
        <v>be heavy</v>
      </c>
      <c r="C803" s="4" t="str">
        <f ca="1">IFERROR(__xludf.DUMMYFUNCTION("IFERROR(GOOGLETRANSLATE(B803,""en"",""ja""),)"),"重い")</f>
        <v>重い</v>
      </c>
      <c r="D803" s="4" t="str">
        <f ca="1">IFERROR(__xludf.DUMMYFUNCTION("IFERROR(GOOGLETRANSLATE(B803,""en"",""zh-TW""),)"),"沉重")</f>
        <v>沉重</v>
      </c>
      <c r="E803" s="4" t="str">
        <f ca="1">IFERROR(__xludf.DUMMYFUNCTION("IFERROR(GOOGLETRANSLATE(B803,""en"",""zh-CN""),)"),"沉重")</f>
        <v>沉重</v>
      </c>
    </row>
    <row r="804" spans="1:5">
      <c r="A804" s="3" t="s">
        <v>3458</v>
      </c>
      <c r="B804" s="4" t="str">
        <f ca="1">IFERROR(__xludf.DUMMYFUNCTION("IFERROR(GOOGLETRANSLATE(A804,""ko"",""en""),)"),"Is your bag heavy?")</f>
        <v>Is your bag heavy?</v>
      </c>
      <c r="C804" s="4" t="str">
        <f ca="1">IFERROR(__xludf.DUMMYFUNCTION("IFERROR(GOOGLETRANSLATE(B804,""en"",""ja""),)"),"あなたのバッグは重いですか？")</f>
        <v>あなたのバッグは重いですか？</v>
      </c>
      <c r="D804" s="4" t="str">
        <f ca="1">IFERROR(__xludf.DUMMYFUNCTION("IFERROR(GOOGLETRANSLATE(B804,""en"",""zh-TW""),)"),"你的包包很重嗎？")</f>
        <v>你的包包很重嗎？</v>
      </c>
      <c r="E804" s="4" t="str">
        <f ca="1">IFERROR(__xludf.DUMMYFUNCTION("IFERROR(GOOGLETRANSLATE(B804,""en"",""zh-CN""),)"),"你的包很重吗？")</f>
        <v>你的包很重吗？</v>
      </c>
    </row>
    <row r="805" spans="1:5">
      <c r="A805" s="3" t="s">
        <v>3463</v>
      </c>
      <c r="B805" s="4" t="str">
        <f ca="1">IFERROR(__xludf.DUMMYFUNCTION("IFERROR(GOOGLETRANSLATE(A805,""ko"",""en""),)"),"No, it's light.")</f>
        <v>No, it's light.</v>
      </c>
      <c r="C805" s="4" t="str">
        <f ca="1">IFERROR(__xludf.DUMMYFUNCTION("IFERROR(GOOGLETRANSLATE(B805,""en"",""ja""),)"),"いいえ、軽いんです。")</f>
        <v>いいえ、軽いんです。</v>
      </c>
      <c r="D805" s="4" t="str">
        <f ca="1">IFERROR(__xludf.DUMMYFUNCTION("IFERROR(GOOGLETRANSLATE(B805,""en"",""zh-TW""),)"),"不，是光。")</f>
        <v>不，是光。</v>
      </c>
      <c r="E805" s="4" t="str">
        <f ca="1">IFERROR(__xludf.DUMMYFUNCTION("IFERROR(GOOGLETRANSLATE(B805,""en"",""zh-CN""),)"),"不，是光。")</f>
        <v>不，是光。</v>
      </c>
    </row>
    <row r="806" spans="1:5">
      <c r="A806" s="3" t="s">
        <v>2798</v>
      </c>
      <c r="B806" s="4" t="str">
        <f ca="1">IFERROR(__xludf.DUMMYFUNCTION("IFERROR(GOOGLETRANSLATE(A806,""ko"",""en""),)"),"It's hot")</f>
        <v>It's hot</v>
      </c>
      <c r="C806" s="4" t="str">
        <f ca="1">IFERROR(__xludf.DUMMYFUNCTION("IFERROR(GOOGLETRANSLATE(B806,""en"",""ja""),)"),"暑いです")</f>
        <v>暑いです</v>
      </c>
      <c r="D806" s="4" t="str">
        <f ca="1">IFERROR(__xludf.DUMMYFUNCTION("IFERROR(GOOGLETRANSLATE(B806,""en"",""zh-TW""),)"),"很熱")</f>
        <v>很熱</v>
      </c>
      <c r="E806" s="4" t="str">
        <f ca="1">IFERROR(__xludf.DUMMYFUNCTION("IFERROR(GOOGLETRANSLATE(B806,""en"",""zh-CN""),)"),"很热")</f>
        <v>很热</v>
      </c>
    </row>
    <row r="807" spans="1:5">
      <c r="A807" s="3" t="s">
        <v>2793</v>
      </c>
      <c r="B807" s="4" t="str">
        <f ca="1">IFERROR(__xludf.DUMMYFUNCTION("IFERROR(GOOGLETRANSLATE(A807,""ko"",""en""),)"),"It's hot.")</f>
        <v>It's hot.</v>
      </c>
      <c r="C807" s="4" t="str">
        <f ca="1">IFERROR(__xludf.DUMMYFUNCTION("IFERROR(GOOGLETRANSLATE(B807,""en"",""ja""),)"),"暑いです。")</f>
        <v>暑いです。</v>
      </c>
      <c r="D807" s="4" t="str">
        <f ca="1">IFERROR(__xludf.DUMMYFUNCTION("IFERROR(GOOGLETRANSLATE(B807,""en"",""zh-TW""),)"),"很熱。")</f>
        <v>很熱。</v>
      </c>
      <c r="E807" s="4" t="str">
        <f ca="1">IFERROR(__xludf.DUMMYFUNCTION("IFERROR(GOOGLETRANSLATE(B807,""en"",""zh-CN""),)"),"很热。")</f>
        <v>很热。</v>
      </c>
    </row>
    <row r="808" spans="1:5">
      <c r="A808" s="3" t="s">
        <v>2822</v>
      </c>
      <c r="B808" s="4" t="str">
        <f ca="1">IFERROR(__xludf.DUMMYFUNCTION("IFERROR(GOOGLETRANSLATE(A808,""ko"",""en""),)"),"cold")</f>
        <v>cold</v>
      </c>
      <c r="C808" s="4" t="str">
        <f ca="1">IFERROR(__xludf.DUMMYFUNCTION("IFERROR(GOOGLETRANSLATE(B808,""en"",""ja""),)"),"寒い")</f>
        <v>寒い</v>
      </c>
      <c r="D808" s="4" t="str">
        <f ca="1">IFERROR(__xludf.DUMMYFUNCTION("IFERROR(GOOGLETRANSLATE(B808,""en"",""zh-TW""),)"),"寒冷的")</f>
        <v>寒冷的</v>
      </c>
      <c r="E808" s="4" t="str">
        <f ca="1">IFERROR(__xludf.DUMMYFUNCTION("IFERROR(GOOGLETRANSLATE(B808,""en"",""zh-CN""),)"),"寒冷的")</f>
        <v>寒冷的</v>
      </c>
    </row>
    <row r="809" spans="1:5">
      <c r="A809" s="3" t="s">
        <v>2818</v>
      </c>
      <c r="B809" s="4" t="str">
        <f ca="1">IFERROR(__xludf.DUMMYFUNCTION("IFERROR(GOOGLETRANSLATE(A809,""ko"",""en""),)"),"cold")</f>
        <v>cold</v>
      </c>
      <c r="C809" s="4" t="str">
        <f ca="1">IFERROR(__xludf.DUMMYFUNCTION("IFERROR(GOOGLETRANSLATE(B809,""en"",""ja""),)"),"寒い")</f>
        <v>寒い</v>
      </c>
      <c r="D809" s="4" t="str">
        <f ca="1">IFERROR(__xludf.DUMMYFUNCTION("IFERROR(GOOGLETRANSLATE(B809,""en"",""zh-TW""),)"),"寒冷的")</f>
        <v>寒冷的</v>
      </c>
      <c r="E809" s="4" t="str">
        <f ca="1">IFERROR(__xludf.DUMMYFUNCTION("IFERROR(GOOGLETRANSLATE(B809,""en"",""zh-CN""),)"),"寒冷的")</f>
        <v>寒冷的</v>
      </c>
    </row>
    <row r="810" spans="1:5">
      <c r="A810" s="3" t="s">
        <v>3484</v>
      </c>
      <c r="B810" s="4" t="str">
        <f ca="1">IFERROR(__xludf.DUMMYFUNCTION("IFERROR(GOOGLETRANSLATE(A810,""ko"",""en""),)"),"It's spicy")</f>
        <v>It's spicy</v>
      </c>
      <c r="C810" s="4" t="str">
        <f ca="1">IFERROR(__xludf.DUMMYFUNCTION("IFERROR(GOOGLETRANSLATE(B810,""en"",""ja""),)"),"辛い")</f>
        <v>辛い</v>
      </c>
      <c r="D810" s="4" t="str">
        <f ca="1">IFERROR(__xludf.DUMMYFUNCTION("IFERROR(GOOGLETRANSLATE(B810,""en"",""zh-TW""),)"),"它很辣。")</f>
        <v>它很辣。</v>
      </c>
      <c r="E810" s="4" t="str">
        <f ca="1">IFERROR(__xludf.DUMMYFUNCTION("IFERROR(GOOGLETRANSLATE(B810,""en"",""zh-CN""),)"),"它很辣。")</f>
        <v>它很辣。</v>
      </c>
    </row>
    <row r="811" spans="1:5">
      <c r="A811" s="3" t="s">
        <v>3489</v>
      </c>
      <c r="B811" s="4" t="str">
        <f ca="1">IFERROR(__xludf.DUMMYFUNCTION("IFERROR(GOOGLETRANSLATE(A811,""ko"",""en""),)"),"It's spicy.")</f>
        <v>It's spicy.</v>
      </c>
      <c r="C811" s="4" t="str">
        <f ca="1">IFERROR(__xludf.DUMMYFUNCTION("IFERROR(GOOGLETRANSLATE(B811,""en"",""ja""),)"),"辛いです。")</f>
        <v>辛いです。</v>
      </c>
      <c r="D811" s="4" t="str">
        <f ca="1">IFERROR(__xludf.DUMMYFUNCTION("IFERROR(GOOGLETRANSLATE(B811,""en"",""zh-TW""),)"),"很辣。")</f>
        <v>很辣。</v>
      </c>
      <c r="E811" s="4" t="str">
        <f ca="1">IFERROR(__xludf.DUMMYFUNCTION("IFERROR(GOOGLETRANSLATE(B811,""en"",""zh-CN""),)"),"很辣。")</f>
        <v>很辣。</v>
      </c>
    </row>
    <row r="812" spans="1:5">
      <c r="A812" s="3" t="s">
        <v>3495</v>
      </c>
      <c r="B812" s="4" t="str">
        <f ca="1">IFERROR(__xludf.DUMMYFUNCTION("IFERROR(GOOGLETRANSLATE(A812,""ko"",""en""),)"),"Korean food is spicy.")</f>
        <v>Korean food is spicy.</v>
      </c>
      <c r="C812" s="4" t="str">
        <f ca="1">IFERROR(__xludf.DUMMYFUNCTION("IFERROR(GOOGLETRANSLATE(B812,""en"",""ja""),)"),"韓国料理は辛い。")</f>
        <v>韓国料理は辛い。</v>
      </c>
      <c r="D812" s="4" t="str">
        <f ca="1">IFERROR(__xludf.DUMMYFUNCTION("IFERROR(GOOGLETRANSLATE(B812,""en"",""zh-TW""),)"),"韓國料理很辣。")</f>
        <v>韓國料理很辣。</v>
      </c>
      <c r="E812" s="4" t="str">
        <f ca="1">IFERROR(__xludf.DUMMYFUNCTION("IFERROR(GOOGLETRANSLATE(B812,""en"",""zh-CN""),)"),"韩国料理很辣。")</f>
        <v>韩国料理很辣。</v>
      </c>
    </row>
    <row r="813" spans="1:5">
      <c r="A813" s="3" t="s">
        <v>3452</v>
      </c>
      <c r="B813" s="4" t="str">
        <f ca="1">IFERROR(__xludf.DUMMYFUNCTION("IFERROR(GOOGLETRANSLATE(A813,""ko"",""en""),)"),"be heavy")</f>
        <v>be heavy</v>
      </c>
      <c r="C813" s="4" t="str">
        <f ca="1">IFERROR(__xludf.DUMMYFUNCTION("IFERROR(GOOGLETRANSLATE(B813,""en"",""ja""),)"),"重い")</f>
        <v>重い</v>
      </c>
      <c r="D813" s="4" t="str">
        <f ca="1">IFERROR(__xludf.DUMMYFUNCTION("IFERROR(GOOGLETRANSLATE(B813,""en"",""zh-TW""),)"),"沉重")</f>
        <v>沉重</v>
      </c>
      <c r="E813" s="4" t="str">
        <f ca="1">IFERROR(__xludf.DUMMYFUNCTION("IFERROR(GOOGLETRANSLATE(B813,""en"",""zh-CN""),)"),"沉重")</f>
        <v>沉重</v>
      </c>
    </row>
    <row r="814" spans="1:5">
      <c r="A814" s="3" t="s">
        <v>3506</v>
      </c>
      <c r="B814" s="4" t="str">
        <f ca="1">IFERROR(__xludf.DUMMYFUNCTION("IFERROR(GOOGLETRANSLATE(A814,""ko"",""en""),)"),"It's heavy.")</f>
        <v>It's heavy.</v>
      </c>
      <c r="C814" s="4" t="str">
        <f ca="1">IFERROR(__xludf.DUMMYFUNCTION("IFERROR(GOOGLETRANSLATE(B814,""en"",""ja""),)"),"重い。")</f>
        <v>重い。</v>
      </c>
      <c r="D814" s="4" t="str">
        <f ca="1">IFERROR(__xludf.DUMMYFUNCTION("IFERROR(GOOGLETRANSLATE(B814,""en"",""zh-TW""),)"),"它很重。")</f>
        <v>它很重。</v>
      </c>
      <c r="E814" s="4" t="str">
        <f ca="1">IFERROR(__xludf.DUMMYFUNCTION("IFERROR(GOOGLETRANSLATE(B814,""en"",""zh-CN""),)"),"它很重。")</f>
        <v>它很重。</v>
      </c>
    </row>
    <row r="815" spans="1:5">
      <c r="A815" s="3" t="s">
        <v>3508</v>
      </c>
      <c r="B815" s="4" t="str">
        <f ca="1">IFERROR(__xludf.DUMMYFUNCTION("IFERROR(GOOGLETRANSLATE(A815,""ko"",""en""),)"),"Light")</f>
        <v>Light</v>
      </c>
      <c r="C815" s="4" t="str">
        <f ca="1">IFERROR(__xludf.DUMMYFUNCTION("IFERROR(GOOGLETRANSLATE(B815,""en"",""ja""),)"),"ライト")</f>
        <v>ライト</v>
      </c>
      <c r="D815" s="4" t="str">
        <f ca="1">IFERROR(__xludf.DUMMYFUNCTION("IFERROR(GOOGLETRANSLATE(B815,""en"",""zh-TW""),)"),"光")</f>
        <v>光</v>
      </c>
      <c r="E815" s="4" t="str">
        <f ca="1">IFERROR(__xludf.DUMMYFUNCTION("IFERROR(GOOGLETRANSLATE(B815,""en"",""zh-CN""),)"),"光")</f>
        <v>光</v>
      </c>
    </row>
    <row r="816" spans="1:5">
      <c r="A816" s="3" t="s">
        <v>3514</v>
      </c>
      <c r="B816" s="4" t="str">
        <f ca="1">IFERROR(__xludf.DUMMYFUNCTION("IFERROR(GOOGLETRANSLATE(A816,""ko"",""en""),)"),"It's light.")</f>
        <v>It's light.</v>
      </c>
      <c r="C816" s="4" t="str">
        <f ca="1">IFERROR(__xludf.DUMMYFUNCTION("IFERROR(GOOGLETRANSLATE(B816,""en"",""ja""),)"),"軽い。")</f>
        <v>軽い。</v>
      </c>
      <c r="D816" s="4" t="str">
        <f ca="1">IFERROR(__xludf.DUMMYFUNCTION("IFERROR(GOOGLETRANSLATE(B816,""en"",""zh-TW""),)"),"它很輕。")</f>
        <v>它很輕。</v>
      </c>
      <c r="E816" s="4" t="str">
        <f ca="1">IFERROR(__xludf.DUMMYFUNCTION("IFERROR(GOOGLETRANSLATE(B816,""en"",""zh-CN""),)"),"它很轻。")</f>
        <v>它很轻。</v>
      </c>
    </row>
    <row r="817" spans="1:5">
      <c r="A817" s="3" t="s">
        <v>3519</v>
      </c>
      <c r="B817" s="4" t="str">
        <f ca="1">IFERROR(__xludf.DUMMYFUNCTION("IFERROR(GOOGLETRANSLATE(A817,""ko"",""en""),)"),"be easy")</f>
        <v>be easy</v>
      </c>
      <c r="C817" s="4" t="str">
        <f ca="1">IFERROR(__xludf.DUMMYFUNCTION("IFERROR(GOOGLETRANSLATE(B817,""en"",""ja""),)"),"気楽に")</f>
        <v>気楽に</v>
      </c>
      <c r="D817" s="4" t="str">
        <f ca="1">IFERROR(__xludf.DUMMYFUNCTION("IFERROR(GOOGLETRANSLATE(B817,""en"",""zh-TW""),)"),"輕鬆點")</f>
        <v>輕鬆點</v>
      </c>
      <c r="E817" s="4" t="str">
        <f ca="1">IFERROR(__xludf.DUMMYFUNCTION("IFERROR(GOOGLETRANSLATE(B817,""en"",""zh-CN""),)"),"轻松点")</f>
        <v>轻松点</v>
      </c>
    </row>
    <row r="818" spans="1:5">
      <c r="A818" s="3" t="s">
        <v>3524</v>
      </c>
      <c r="B818" s="4" t="str">
        <f ca="1">IFERROR(__xludf.DUMMYFUNCTION("IFERROR(GOOGLETRANSLATE(A818,""ko"",""en""),)"),"It's easy.")</f>
        <v>It's easy.</v>
      </c>
      <c r="C818" s="4" t="str">
        <f ca="1">IFERROR(__xludf.DUMMYFUNCTION("IFERROR(GOOGLETRANSLATE(B818,""en"",""ja""),)"),"簡単です。")</f>
        <v>簡単です。</v>
      </c>
      <c r="D818" s="4" t="str">
        <f ca="1">IFERROR(__xludf.DUMMYFUNCTION("IFERROR(GOOGLETRANSLATE(B818,""en"",""zh-TW""),)"),"很簡單。")</f>
        <v>很簡單。</v>
      </c>
      <c r="E818" s="4" t="str">
        <f ca="1">IFERROR(__xludf.DUMMYFUNCTION("IFERROR(GOOGLETRANSLATE(B818,""en"",""zh-CN""),)"),"很简单。")</f>
        <v>很简单。</v>
      </c>
    </row>
    <row r="819" spans="1:5">
      <c r="A819" s="3" t="s">
        <v>3527</v>
      </c>
      <c r="B819" s="4" t="str">
        <f ca="1">IFERROR(__xludf.DUMMYFUNCTION("IFERROR(GOOGLETRANSLATE(A819,""ko"",""en""),)"),"difficult")</f>
        <v>difficult</v>
      </c>
      <c r="C819" s="4" t="str">
        <f ca="1">IFERROR(__xludf.DUMMYFUNCTION("IFERROR(GOOGLETRANSLATE(B819,""en"",""ja""),)"),"難しい")</f>
        <v>難しい</v>
      </c>
      <c r="D819" s="4" t="str">
        <f ca="1">IFERROR(__xludf.DUMMYFUNCTION("IFERROR(GOOGLETRANSLATE(B819,""en"",""zh-TW""),)"),"難的")</f>
        <v>難的</v>
      </c>
      <c r="E819" s="4" t="str">
        <f ca="1">IFERROR(__xludf.DUMMYFUNCTION("IFERROR(GOOGLETRANSLATE(B819,""en"",""zh-CN""),)"),"难的")</f>
        <v>难的</v>
      </c>
    </row>
    <row r="820" spans="1:5">
      <c r="A820" s="20" t="s">
        <v>3530</v>
      </c>
      <c r="B820" s="4" t="str">
        <f ca="1">IFERROR(__xludf.DUMMYFUNCTION("IFERROR(GOOGLETRANSLATE(A820,""ko"",""en""),)"),"It's difficult.")</f>
        <v>It's difficult.</v>
      </c>
      <c r="C820" s="4" t="str">
        <f ca="1">IFERROR(__xludf.DUMMYFUNCTION("IFERROR(GOOGLETRANSLATE(B820,""en"",""ja""),)"),"それは難しい。")</f>
        <v>それは難しい。</v>
      </c>
      <c r="D820" s="4" t="str">
        <f ca="1">IFERROR(__xludf.DUMMYFUNCTION("IFERROR(GOOGLETRANSLATE(B820,""en"",""zh-TW""),)"),"它很難。")</f>
        <v>它很難。</v>
      </c>
      <c r="E820" s="4" t="str">
        <f ca="1">IFERROR(__xludf.DUMMYFUNCTION("IFERROR(GOOGLETRANSLATE(B820,""en"",""zh-CN""),)"),"它很难。")</f>
        <v>它很难。</v>
      </c>
    </row>
    <row r="821" spans="1:5">
      <c r="A821" s="3" t="s">
        <v>3165</v>
      </c>
      <c r="B821" s="4" t="str">
        <f ca="1">IFERROR(__xludf.DUMMYFUNCTION("IFERROR(GOOGLETRANSLATE(A821,""ko"",""en""),)"),"Is Korean difficult?")</f>
        <v>Is Korean difficult?</v>
      </c>
      <c r="C821" s="4" t="str">
        <f ca="1">IFERROR(__xludf.DUMMYFUNCTION("IFERROR(GOOGLETRANSLATE(B821,""en"",""ja""),)"),"韓国語は難しいですか？")</f>
        <v>韓国語は難しいですか？</v>
      </c>
      <c r="D821" s="4" t="str">
        <f ca="1">IFERROR(__xludf.DUMMYFUNCTION("IFERROR(GOOGLETRANSLATE(B821,""en"",""zh-TW""),)"),"韓語難嗎？")</f>
        <v>韓語難嗎？</v>
      </c>
      <c r="E821" s="4" t="str">
        <f ca="1">IFERROR(__xludf.DUMMYFUNCTION("IFERROR(GOOGLETRANSLATE(B821,""en"",""zh-CN""),)"),"韩语难吗？")</f>
        <v>韩语难吗？</v>
      </c>
    </row>
    <row r="822" spans="1:5">
      <c r="A822" s="3" t="s">
        <v>3542</v>
      </c>
      <c r="B822" s="4" t="str">
        <f ca="1">IFERROR(__xludf.DUMMYFUNCTION("IFERROR(GOOGLETRANSLATE(A822,""ko"",""en""),)"),"No, it's not difficult. It's very easy.")</f>
        <v>No, it's not difficult. It's very easy.</v>
      </c>
      <c r="C822" s="4" t="str">
        <f ca="1">IFERROR(__xludf.DUMMYFUNCTION("IFERROR(GOOGLETRANSLATE(B822,""en"",""ja""),)"),"いいえ、難しくありません。とても簡単です。")</f>
        <v>いいえ、難しくありません。とても簡単です。</v>
      </c>
      <c r="D822" s="4" t="str">
        <f ca="1">IFERROR(__xludf.DUMMYFUNCTION("IFERROR(GOOGLETRANSLATE(B822,""en"",""zh-TW""),)"),"不，這並不難。這很容易。")</f>
        <v>不，這並不難。這很容易。</v>
      </c>
      <c r="E822" s="4" t="str">
        <f ca="1">IFERROR(__xludf.DUMMYFUNCTION("IFERROR(GOOGLETRANSLATE(B822,""en"",""zh-CN""),)"),"不，这并不难。这很容易。")</f>
        <v>不，这并不难。这很容易。</v>
      </c>
    </row>
    <row r="823" spans="1:5">
      <c r="A823" s="3" t="s">
        <v>3550</v>
      </c>
      <c r="B823" s="4" t="str">
        <f ca="1">IFERROR(__xludf.DUMMYFUNCTION("IFERROR(GOOGLETRANSLATE(A823,""ko"",""en""),)"),"recently")</f>
        <v>recently</v>
      </c>
      <c r="C823" s="4" t="str">
        <f ca="1">IFERROR(__xludf.DUMMYFUNCTION("IFERROR(GOOGLETRANSLATE(B823,""en"",""ja""),)"),"最近")</f>
        <v>最近</v>
      </c>
      <c r="D823" s="4" t="str">
        <f ca="1">IFERROR(__xludf.DUMMYFUNCTION("IFERROR(GOOGLETRANSLATE(B823,""en"",""zh-TW""),)"),"最近")</f>
        <v>最近</v>
      </c>
      <c r="E823" s="4" t="str">
        <f ca="1">IFERROR(__xludf.DUMMYFUNCTION("IFERROR(GOOGLETRANSLATE(B823,""en"",""zh-CN""),)"),"最近")</f>
        <v>最近</v>
      </c>
    </row>
    <row r="824" spans="1:5">
      <c r="A824" s="3" t="s">
        <v>3556</v>
      </c>
      <c r="B824" s="4" t="str">
        <f ca="1">IFERROR(__xludf.DUMMYFUNCTION("IFERROR(GOOGLETRANSLATE(A824,""ko"",""en""),)"),"How is the weather these days?")</f>
        <v>How is the weather these days?</v>
      </c>
      <c r="C824" s="4" t="str">
        <f ca="1">IFERROR(__xludf.DUMMYFUNCTION("IFERROR(GOOGLETRANSLATE(B824,""en"",""ja""),)"),"最近の天気はどうですか？")</f>
        <v>最近の天気はどうですか？</v>
      </c>
      <c r="D824" s="4" t="str">
        <f ca="1">IFERROR(__xludf.DUMMYFUNCTION("IFERROR(GOOGLETRANSLATE(B824,""en"",""zh-TW""),)"),"最近天氣怎麼樣？")</f>
        <v>最近天氣怎麼樣？</v>
      </c>
      <c r="E824" s="4" t="str">
        <f ca="1">IFERROR(__xludf.DUMMYFUNCTION("IFERROR(GOOGLETRANSLATE(B824,""en"",""zh-CN""),)"),"最近天气怎么样？")</f>
        <v>最近天气怎么样？</v>
      </c>
    </row>
    <row r="825" spans="1:5">
      <c r="A825" s="3" t="s">
        <v>3564</v>
      </c>
      <c r="B825" s="4" t="str">
        <f ca="1">IFERROR(__xludf.DUMMYFUNCTION("IFERROR(GOOGLETRANSLATE(A825,""ko"",""en""),)"),"It's a bit hot.")</f>
        <v>It's a bit hot.</v>
      </c>
      <c r="C825" s="4" t="str">
        <f ca="1">IFERROR(__xludf.DUMMYFUNCTION("IFERROR(GOOGLETRANSLATE(B825,""en"",""ja""),)"),"少し暑いですね。")</f>
        <v>少し暑いですね。</v>
      </c>
      <c r="D825" s="4" t="str">
        <f ca="1">IFERROR(__xludf.DUMMYFUNCTION("IFERROR(GOOGLETRANSLATE(B825,""en"",""zh-TW""),)"),"有點熱。")</f>
        <v>有點熱。</v>
      </c>
      <c r="E825" s="4" t="str">
        <f ca="1">IFERROR(__xludf.DUMMYFUNCTION("IFERROR(GOOGLETRANSLATE(B825,""en"",""zh-CN""),)"),"有点热。")</f>
        <v>有点热。</v>
      </c>
    </row>
    <row r="826" spans="1:5">
      <c r="A826" s="3" t="s">
        <v>3570</v>
      </c>
      <c r="B826" s="4" t="str">
        <f ca="1">IFERROR(__xludf.DUMMYFUNCTION("IFERROR(GOOGLETRANSLATE(A826,""ko"",""en""),)"),"What is the winter weather like in Korea?")</f>
        <v>What is the winter weather like in Korea?</v>
      </c>
      <c r="C826" s="4" t="str">
        <f ca="1">IFERROR(__xludf.DUMMYFUNCTION("IFERROR(GOOGLETRANSLATE(B826,""en"",""ja""),)"),"韓国の冬の天気はどんな感じですか？")</f>
        <v>韓国の冬の天気はどんな感じですか？</v>
      </c>
      <c r="D826" s="4" t="str">
        <f ca="1">IFERROR(__xludf.DUMMYFUNCTION("IFERROR(GOOGLETRANSLATE(B826,""en"",""zh-TW""),)"),"韓國的冬季氣候如何？")</f>
        <v>韓國的冬季氣候如何？</v>
      </c>
      <c r="E826" s="4" t="str">
        <f ca="1">IFERROR(__xludf.DUMMYFUNCTION("IFERROR(GOOGLETRANSLATE(B826,""en"",""zh-CN""),)"),"韩国的冬季气候如何？")</f>
        <v>韩国的冬季气候如何？</v>
      </c>
    </row>
    <row r="827" spans="1:5">
      <c r="A827" s="3" t="s">
        <v>2818</v>
      </c>
      <c r="B827" s="4" t="str">
        <f ca="1">IFERROR(__xludf.DUMMYFUNCTION("IFERROR(GOOGLETRANSLATE(A827,""ko"",""en""),)"),"cold")</f>
        <v>cold</v>
      </c>
      <c r="C827" s="4" t="str">
        <f ca="1">IFERROR(__xludf.DUMMYFUNCTION("IFERROR(GOOGLETRANSLATE(B827,""en"",""ja""),)"),"寒い")</f>
        <v>寒い</v>
      </c>
      <c r="D827" s="4" t="str">
        <f ca="1">IFERROR(__xludf.DUMMYFUNCTION("IFERROR(GOOGLETRANSLATE(B827,""en"",""zh-TW""),)"),"寒冷的")</f>
        <v>寒冷的</v>
      </c>
      <c r="E827" s="4" t="str">
        <f ca="1">IFERROR(__xludf.DUMMYFUNCTION("IFERROR(GOOGLETRANSLATE(B827,""en"",""zh-CN""),)"),"寒冷的")</f>
        <v>寒冷的</v>
      </c>
    </row>
    <row r="828" spans="1:5">
      <c r="A828" s="3" t="s">
        <v>3583</v>
      </c>
      <c r="B828" s="4" t="str">
        <f ca="1">IFERROR(__xludf.DUMMYFUNCTION("IFERROR(GOOGLETRANSLATE(A828,""ko"",""en""),)"),"Is studying difficult?")</f>
        <v>Is studying difficult?</v>
      </c>
      <c r="C828" s="4" t="str">
        <f ca="1">IFERROR(__xludf.DUMMYFUNCTION("IFERROR(GOOGLETRANSLATE(B828,""en"",""ja""),)"),"勉強は難しいですか？")</f>
        <v>勉強は難しいですか？</v>
      </c>
      <c r="D828" s="4" t="str">
        <f ca="1">IFERROR(__xludf.DUMMYFUNCTION("IFERROR(GOOGLETRANSLATE(B828,""en"",""zh-TW""),)"),"學習很難嗎？")</f>
        <v>學習很難嗎？</v>
      </c>
      <c r="E828" s="4" t="str">
        <f ca="1">IFERROR(__xludf.DUMMYFUNCTION("IFERROR(GOOGLETRANSLATE(B828,""en"",""zh-CN""),)"),"学习很难吗？")</f>
        <v>学习很难吗？</v>
      </c>
    </row>
    <row r="829" spans="1:5">
      <c r="A829" s="3" t="s">
        <v>3587</v>
      </c>
      <c r="B829" s="4" t="str">
        <f ca="1">IFERROR(__xludf.DUMMYFUNCTION("IFERROR(GOOGLETRANSLATE(A829,""ko"",""en""),)"),"No, it's easy.")</f>
        <v>No, it's easy.</v>
      </c>
      <c r="C829" s="4" t="str">
        <f ca="1">IFERROR(__xludf.DUMMYFUNCTION("IFERROR(GOOGLETRANSLATE(B829,""en"",""ja""),)"),"いいえ、簡単です。")</f>
        <v>いいえ、簡単です。</v>
      </c>
      <c r="D829" s="4" t="str">
        <f ca="1">IFERROR(__xludf.DUMMYFUNCTION("IFERROR(GOOGLETRANSLATE(B829,""en"",""zh-TW""),)"),"不，這很容易。")</f>
        <v>不，這很容易。</v>
      </c>
      <c r="E829" s="4" t="str">
        <f ca="1">IFERROR(__xludf.DUMMYFUNCTION("IFERROR(GOOGLETRANSLATE(B829,""en"",""zh-CN""),)"),"不，这很容易。")</f>
        <v>不，这很容易。</v>
      </c>
    </row>
    <row r="830" spans="1:5">
      <c r="A830" s="3" t="s">
        <v>3594</v>
      </c>
      <c r="B830" s="4" t="str">
        <f ca="1">IFERROR(__xludf.DUMMYFUNCTION("IFERROR(GOOGLETRANSLATE(A830,""ko"",""en""),)"),"How is the kimchi?")</f>
        <v>How is the kimchi?</v>
      </c>
      <c r="C830" s="4" t="str">
        <f ca="1">IFERROR(__xludf.DUMMYFUNCTION("IFERROR(GOOGLETRANSLATE(B830,""en"",""ja""),)"),"キムチの味はどうですか？")</f>
        <v>キムチの味はどうですか？</v>
      </c>
      <c r="D830" s="4" t="str">
        <f ca="1">IFERROR(__xludf.DUMMYFUNCTION("IFERROR(GOOGLETRANSLATE(B830,""en"",""zh-TW""),)"),"泡菜味道怎麼樣？")</f>
        <v>泡菜味道怎麼樣？</v>
      </c>
      <c r="E830" s="4" t="str">
        <f ca="1">IFERROR(__xludf.DUMMYFUNCTION("IFERROR(GOOGLETRANSLATE(B830,""en"",""zh-CN""),)"),"泡菜味道怎么样？")</f>
        <v>泡菜味道怎么样？</v>
      </c>
    </row>
    <row r="831" spans="1:5">
      <c r="A831" s="3" t="s">
        <v>3602</v>
      </c>
      <c r="B831" s="4" t="str">
        <f ca="1">IFERROR(__xludf.DUMMYFUNCTION("IFERROR(GOOGLETRANSLATE(A831,""ko"",""en""),)"),"It's delicious. But it's a bit spicy.")</f>
        <v>It's delicious. But it's a bit spicy.</v>
      </c>
      <c r="C831" s="4" t="str">
        <f ca="1">IFERROR(__xludf.DUMMYFUNCTION("IFERROR(GOOGLETRANSLATE(B831,""en"",""ja""),)"),"美味しいです。でも、ちょっと辛いです。")</f>
        <v>美味しいです。でも、ちょっと辛いです。</v>
      </c>
      <c r="D831" s="4" t="str">
        <f ca="1">IFERROR(__xludf.DUMMYFUNCTION("IFERROR(GOOGLETRANSLATE(B831,""en"",""zh-TW""),)"),"味道不錯，但有點辣。")</f>
        <v>味道不錯，但有點辣。</v>
      </c>
      <c r="E831" s="4" t="str">
        <f ca="1">IFERROR(__xludf.DUMMYFUNCTION("IFERROR(GOOGLETRANSLATE(B831,""en"",""zh-CN""),)"),"味道不错，就是有点辣。")</f>
        <v>味道不错，就是有点辣。</v>
      </c>
    </row>
    <row r="832" spans="1:5">
      <c r="A832" s="3" t="s">
        <v>3458</v>
      </c>
      <c r="B832" s="4" t="str">
        <f ca="1">IFERROR(__xludf.DUMMYFUNCTION("IFERROR(GOOGLETRANSLATE(A832,""ko"",""en""),)"),"Is your bag heavy?")</f>
        <v>Is your bag heavy?</v>
      </c>
      <c r="C832" s="4" t="str">
        <f ca="1">IFERROR(__xludf.DUMMYFUNCTION("IFERROR(GOOGLETRANSLATE(B832,""en"",""ja""),)"),"あなたのバッグは重いですか？")</f>
        <v>あなたのバッグは重いですか？</v>
      </c>
      <c r="D832" s="4" t="str">
        <f ca="1">IFERROR(__xludf.DUMMYFUNCTION("IFERROR(GOOGLETRANSLATE(B832,""en"",""zh-TW""),)"),"你的包包很重嗎？")</f>
        <v>你的包包很重嗎？</v>
      </c>
      <c r="E832" s="4" t="str">
        <f ca="1">IFERROR(__xludf.DUMMYFUNCTION("IFERROR(GOOGLETRANSLATE(B832,""en"",""zh-CN""),)"),"你的包很重吗？")</f>
        <v>你的包很重吗？</v>
      </c>
    </row>
    <row r="833" spans="1:5">
      <c r="A833" s="3" t="s">
        <v>3614</v>
      </c>
      <c r="B833" s="4" t="str">
        <f ca="1">IFERROR(__xludf.DUMMYFUNCTION("IFERROR(GOOGLETRANSLATE(A833,""ko"",""en""),)"),"Yes, it is very heavy.")</f>
        <v>Yes, it is very heavy.</v>
      </c>
      <c r="C833" s="4" t="str">
        <f ca="1">IFERROR(__xludf.DUMMYFUNCTION("IFERROR(GOOGLETRANSLATE(B833,""en"",""ja""),)"),"はい、とても重いです。")</f>
        <v>はい、とても重いです。</v>
      </c>
      <c r="D833" s="4" t="str">
        <f ca="1">IFERROR(__xludf.DUMMYFUNCTION("IFERROR(GOOGLETRANSLATE(B833,""en"",""zh-TW""),)"),"是的，它很重。")</f>
        <v>是的，它很重。</v>
      </c>
      <c r="E833" s="4" t="str">
        <f ca="1">IFERROR(__xludf.DUMMYFUNCTION("IFERROR(GOOGLETRANSLATE(B833,""en"",""zh-CN""),)"),"是的，它很重。")</f>
        <v>是的，它很重。</v>
      </c>
    </row>
    <row r="834" spans="1:5">
      <c r="A834" s="5" t="s">
        <v>3620</v>
      </c>
      <c r="B834" s="4" t="str">
        <f ca="1">IFERROR(__xludf.DUMMYFUNCTION("IFERROR(GOOGLETRANSLATE(A834,""ko"",""en""),)"),"hometown")</f>
        <v>hometown</v>
      </c>
      <c r="C834" s="4" t="str">
        <f ca="1">IFERROR(__xludf.DUMMYFUNCTION("IFERROR(GOOGLETRANSLATE(B834,""en"",""ja""),)"),"ホームタウン")</f>
        <v>ホームタウン</v>
      </c>
      <c r="D834" s="4" t="str">
        <f ca="1">IFERROR(__xludf.DUMMYFUNCTION("IFERROR(GOOGLETRANSLATE(B834,""en"",""zh-TW""),)"),"家鄉")</f>
        <v>家鄉</v>
      </c>
      <c r="E834" s="4" t="str">
        <f ca="1">IFERROR(__xludf.DUMMYFUNCTION("IFERROR(GOOGLETRANSLATE(B834,""en"",""zh-CN""),)"),"家乡")</f>
        <v>家乡</v>
      </c>
    </row>
    <row r="835" spans="1:5">
      <c r="A835" s="3" t="s">
        <v>3622</v>
      </c>
      <c r="B835" s="4" t="str">
        <f ca="1">IFERROR(__xludf.DUMMYFUNCTION("IFERROR(GOOGLETRANSLATE(A835,""ko"",""en""),)"),"Korean books are difficult.")</f>
        <v>Korean books are difficult.</v>
      </c>
      <c r="C835" s="4" t="str">
        <f ca="1">IFERROR(__xludf.DUMMYFUNCTION("IFERROR(GOOGLETRANSLATE(B835,""en"",""ja""),)"),"韓国の本は難しい。")</f>
        <v>韓国の本は難しい。</v>
      </c>
      <c r="D835" s="4" t="str">
        <f ca="1">IFERROR(__xludf.DUMMYFUNCTION("IFERROR(GOOGLETRANSLATE(B835,""en"",""zh-TW""),)"),"韓語書很難讀。")</f>
        <v>韓語書很難讀。</v>
      </c>
      <c r="E835" s="4" t="str">
        <f ca="1">IFERROR(__xludf.DUMMYFUNCTION("IFERROR(GOOGLETRANSLATE(B835,""en"",""zh-CN""),)"),"韩语书很难读。")</f>
        <v>韩语书很难读。</v>
      </c>
    </row>
    <row r="836" spans="1:5">
      <c r="A836" s="3" t="s">
        <v>3629</v>
      </c>
      <c r="B836" s="4" t="str">
        <f ca="1">IFERROR(__xludf.DUMMYFUNCTION("IFERROR(GOOGLETRANSLATE(A836,""ko"",""en""),)"),"English novels are easy.")</f>
        <v>English novels are easy.</v>
      </c>
      <c r="C836" s="4" t="str">
        <f ca="1">IFERROR(__xludf.DUMMYFUNCTION("IFERROR(GOOGLETRANSLATE(B836,""en"",""ja""),)"),"英語の小説は読みやすい。")</f>
        <v>英語の小説は読みやすい。</v>
      </c>
      <c r="D836" s="4" t="str">
        <f ca="1">IFERROR(__xludf.DUMMYFUNCTION("IFERROR(GOOGLETRANSLATE(B836,""en"",""zh-TW""),)"),"英文小說很容易閱讀。")</f>
        <v>英文小說很容易閱讀。</v>
      </c>
      <c r="E836" s="4" t="str">
        <f ca="1">IFERROR(__xludf.DUMMYFUNCTION("IFERROR(GOOGLETRANSLATE(B836,""en"",""zh-CN""),)"),"英文小说很容易读。")</f>
        <v>英文小说很容易读。</v>
      </c>
    </row>
    <row r="837" spans="1:5">
      <c r="A837" s="3" t="s">
        <v>3635</v>
      </c>
      <c r="B837" s="4" t="str">
        <f ca="1">IFERROR(__xludf.DUMMYFUNCTION("IFERROR(GOOGLETRANSLATE(A837,""ko"",""en""),)"),"What is the weather like in Brisbane these days?")</f>
        <v>What is the weather like in Brisbane these days?</v>
      </c>
      <c r="C837" s="4" t="str">
        <f ca="1">IFERROR(__xludf.DUMMYFUNCTION("IFERROR(GOOGLETRANSLATE(B837,""en"",""ja""),)"),"最近のブリスベンの天気はどうですか？")</f>
        <v>最近のブリスベンの天気はどうですか？</v>
      </c>
      <c r="D837" s="4" t="str">
        <f ca="1">IFERROR(__xludf.DUMMYFUNCTION("IFERROR(GOOGLETRANSLATE(B837,""en"",""zh-TW""),)"),"布里斯本最近天氣怎麼樣？")</f>
        <v>布里斯本最近天氣怎麼樣？</v>
      </c>
      <c r="E837" s="4" t="str">
        <f ca="1">IFERROR(__xludf.DUMMYFUNCTION("IFERROR(GOOGLETRANSLATE(B837,""en"",""zh-CN""),)"),"布里斯班最近天气怎么样？")</f>
        <v>布里斯班最近天气怎么样？</v>
      </c>
    </row>
    <row r="838" spans="1:5">
      <c r="A838" s="3" t="s">
        <v>3643</v>
      </c>
      <c r="B838" s="4" t="str">
        <f ca="1">IFERROR(__xludf.DUMMYFUNCTION("IFERROR(GOOGLETRANSLATE(A838,""ko"",""en""),)"),"It's nice these days. It's very hot.")</f>
        <v>It's nice these days. It's very hot.</v>
      </c>
      <c r="C838" s="4" t="str">
        <f ca="1">IFERROR(__xludf.DUMMYFUNCTION("IFERROR(GOOGLETRANSLATE(B838,""en"",""ja""),)"),"最近はいい天気ですね。とても暑いです。")</f>
        <v>最近はいい天気ですね。とても暑いです。</v>
      </c>
      <c r="D838" s="4" t="str">
        <f ca="1">IFERROR(__xludf.DUMMYFUNCTION("IFERROR(GOOGLETRANSLATE(B838,""en"",""zh-TW""),)"),"最近天氣真好，很熱。")</f>
        <v>最近天氣真好，很熱。</v>
      </c>
      <c r="E838" s="4" t="str">
        <f ca="1">IFERROR(__xludf.DUMMYFUNCTION("IFERROR(GOOGLETRANSLATE(B838,""en"",""zh-CN""),)"),"最近天气真好，很热。")</f>
        <v>最近天气真好，很热。</v>
      </c>
    </row>
    <row r="839" spans="1:5">
      <c r="A839" s="3" t="s">
        <v>3649</v>
      </c>
      <c r="B839" s="4" t="str">
        <f ca="1">IFERROR(__xludf.DUMMYFUNCTION("IFERROR(GOOGLETRANSLATE(A839,""ko"",""en""),)"),"What is the weather like in China?")</f>
        <v>What is the weather like in China?</v>
      </c>
      <c r="C839" s="4" t="str">
        <f ca="1">IFERROR(__xludf.DUMMYFUNCTION("IFERROR(GOOGLETRANSLATE(B839,""en"",""ja""),)"),"中国の天気はどんな感じですか？")</f>
        <v>中国の天気はどんな感じですか？</v>
      </c>
      <c r="D839" s="4" t="str">
        <f ca="1">IFERROR(__xludf.DUMMYFUNCTION("IFERROR(GOOGLETRANSLATE(B839,""en"",""zh-TW""),)"),"中國的天氣怎麼樣？")</f>
        <v>中國的天氣怎麼樣？</v>
      </c>
      <c r="E839" s="4" t="str">
        <f ca="1">IFERROR(__xludf.DUMMYFUNCTION("IFERROR(GOOGLETRANSLATE(B839,""en"",""zh-CN""),)"),"中国的天气怎么样？")</f>
        <v>中国的天气怎么样？</v>
      </c>
    </row>
    <row r="840" spans="1:5">
      <c r="A840" s="3" t="s">
        <v>3656</v>
      </c>
      <c r="B840" s="4" t="str">
        <f ca="1">IFERROR(__xludf.DUMMYFUNCTION("IFERROR(GOOGLETRANSLATE(A840,""ko"",""en""),)"),"It's chilly.")</f>
        <v>It's chilly.</v>
      </c>
      <c r="C840" s="4" t="str">
        <f ca="1">IFERROR(__xludf.DUMMYFUNCTION("IFERROR(GOOGLETRANSLATE(B840,""en"",""ja""),)"),"肌寒い。")</f>
        <v>肌寒い。</v>
      </c>
      <c r="D840" s="4" t="str">
        <f ca="1">IFERROR(__xludf.DUMMYFUNCTION("IFERROR(GOOGLETRANSLATE(B840,""en"",""zh-TW""),)"),"天氣冷。")</f>
        <v>天氣冷。</v>
      </c>
      <c r="E840" s="4" t="str">
        <f ca="1">IFERROR(__xludf.DUMMYFUNCTION("IFERROR(GOOGLETRANSLATE(B840,""en"",""zh-CN""),)"),"天气冷。")</f>
        <v>天气冷。</v>
      </c>
    </row>
    <row r="841" spans="1:5">
      <c r="A841" s="3" t="s">
        <v>3662</v>
      </c>
      <c r="B841" s="4" t="str">
        <f ca="1">IFERROR(__xludf.DUMMYFUNCTION("IFERROR(GOOGLETRANSLATE(A841,""ko"",""en""),)"),"The chair is heavy.")</f>
        <v>The chair is heavy.</v>
      </c>
      <c r="C841" s="4" t="str">
        <f ca="1">IFERROR(__xludf.DUMMYFUNCTION("IFERROR(GOOGLETRANSLATE(B841,""en"",""ja""),)"),"その椅子は重い。")</f>
        <v>その椅子は重い。</v>
      </c>
      <c r="D841" s="4" t="str">
        <f ca="1">IFERROR(__xludf.DUMMYFUNCTION("IFERROR(GOOGLETRANSLATE(B841,""en"",""zh-TW""),)"),"椅子很重。")</f>
        <v>椅子很重。</v>
      </c>
      <c r="E841" s="4" t="str">
        <f ca="1">IFERROR(__xludf.DUMMYFUNCTION("IFERROR(GOOGLETRANSLATE(B841,""en"",""zh-CN""),)"),"椅子很重。")</f>
        <v>椅子很重。</v>
      </c>
    </row>
    <row r="842" spans="1:5">
      <c r="A842" s="3" t="s">
        <v>3671</v>
      </c>
      <c r="B842" s="4" t="str">
        <f ca="1">IFERROR(__xludf.DUMMYFUNCTION("IFERROR(GOOGLETRANSLATE(A842,""ko"",""en""),)"),"My room is a bit messy.")</f>
        <v>My room is a bit messy.</v>
      </c>
      <c r="C842" s="4" t="str">
        <f ca="1">IFERROR(__xludf.DUMMYFUNCTION("IFERROR(GOOGLETRANSLATE(B842,""en"",""ja""),)"),"私の部屋は少し散らかっています。")</f>
        <v>私の部屋は少し散らかっています。</v>
      </c>
      <c r="D842" s="4" t="str">
        <f ca="1">IFERROR(__xludf.DUMMYFUNCTION("IFERROR(GOOGLETRANSLATE(B842,""en"",""zh-TW""),)"),"我的房間有點亂。")</f>
        <v>我的房間有點亂。</v>
      </c>
      <c r="E842" s="4" t="str">
        <f ca="1">IFERROR(__xludf.DUMMYFUNCTION("IFERROR(GOOGLETRANSLATE(B842,""en"",""zh-CN""),)"),"我的房间有点乱。")</f>
        <v>我的房间有点乱。</v>
      </c>
    </row>
    <row r="843" spans="1:5">
      <c r="A843" s="3" t="s">
        <v>3679</v>
      </c>
      <c r="B843" s="4" t="str">
        <f ca="1">IFERROR(__xludf.DUMMYFUNCTION("IFERROR(GOOGLETRANSLATE(A843,""ko"",""en""),)"),"Anna, how is the kimchi?")</f>
        <v>Anna, how is the kimchi?</v>
      </c>
      <c r="C843" s="4" t="str">
        <f ca="1">IFERROR(__xludf.DUMMYFUNCTION("IFERROR(GOOGLETRANSLATE(B843,""en"",""ja""),)"),"アンナ、キムチの味はどう？")</f>
        <v>アンナ、キムチの味はどう？</v>
      </c>
      <c r="D843" s="4" t="str">
        <f ca="1">IFERROR(__xludf.DUMMYFUNCTION("IFERROR(GOOGLETRANSLATE(B843,""en"",""zh-TW""),)"),"安娜，泡菜怎麼樣？")</f>
        <v>安娜，泡菜怎麼樣？</v>
      </c>
      <c r="E843" s="4" t="str">
        <f ca="1">IFERROR(__xludf.DUMMYFUNCTION("IFERROR(GOOGLETRANSLATE(B843,""en"",""zh-CN""),)"),"安娜，泡菜怎么样？")</f>
        <v>安娜，泡菜怎么样？</v>
      </c>
    </row>
    <row r="844" spans="1:5">
      <c r="A844" s="3" t="s">
        <v>3685</v>
      </c>
      <c r="B844" s="4" t="str">
        <f ca="1">IFERROR(__xludf.DUMMYFUNCTION("IFERROR(GOOGLETRANSLATE(A844,""ko"",""en""),)"),"It's a bit spicy. But it's delicious.")</f>
        <v>It's a bit spicy. But it's delicious.</v>
      </c>
      <c r="C844" s="4" t="str">
        <f ca="1">IFERROR(__xludf.DUMMYFUNCTION("IFERROR(GOOGLETRANSLATE(B844,""en"",""ja""),)"),"少し辛いけど、美味しいよ。")</f>
        <v>少し辛いけど、美味しいよ。</v>
      </c>
      <c r="D844" s="4" t="str">
        <f ca="1">IFERROR(__xludf.DUMMYFUNCTION("IFERROR(GOOGLETRANSLATE(B844,""en"",""zh-TW""),)"),"有點辣，但是很好吃。")</f>
        <v>有點辣，但是很好吃。</v>
      </c>
      <c r="E844" s="4" t="str">
        <f ca="1">IFERROR(__xludf.DUMMYFUNCTION("IFERROR(GOOGLETRANSLATE(B844,""en"",""zh-CN""),)"),"有点辣，但是很好吃。")</f>
        <v>有点辣，但是很好吃。</v>
      </c>
    </row>
    <row r="845" spans="1:5">
      <c r="A845" s="3" t="s">
        <v>3691</v>
      </c>
      <c r="B845" s="4" t="str">
        <f ca="1">IFERROR(__xludf.DUMMYFUNCTION("IFERROR(GOOGLETRANSLATE(A845,""ko"",""en""),)"),"Is the book difficult?")</f>
        <v>Is the book difficult?</v>
      </c>
      <c r="C845" s="4" t="str">
        <f ca="1">IFERROR(__xludf.DUMMYFUNCTION("IFERROR(GOOGLETRANSLATE(B845,""en"",""ja""),)"),"その本は難しいですか？")</f>
        <v>その本は難しいですか？</v>
      </c>
      <c r="D845" s="4" t="str">
        <f ca="1">IFERROR(__xludf.DUMMYFUNCTION("IFERROR(GOOGLETRANSLATE(B845,""en"",""zh-TW""),)"),"這本書難讀嗎？")</f>
        <v>這本書難讀嗎？</v>
      </c>
      <c r="E845" s="4" t="str">
        <f ca="1">IFERROR(__xludf.DUMMYFUNCTION("IFERROR(GOOGLETRANSLATE(B845,""en"",""zh-CN""),)"),"这本书难读吗？")</f>
        <v>这本书难读吗？</v>
      </c>
    </row>
    <row r="846" spans="1:5">
      <c r="A846" s="3" t="s">
        <v>3696</v>
      </c>
      <c r="B846" s="4" t="str">
        <f ca="1">IFERROR(__xludf.DUMMYFUNCTION("IFERROR(GOOGLETRANSLATE(A846,""ko"",""en""),)"),"No, it's easy. It's fun.")</f>
        <v>No, it's easy. It's fun.</v>
      </c>
      <c r="C846" s="4" t="str">
        <f ca="1">IFERROR(__xludf.DUMMYFUNCTION("IFERROR(GOOGLETRANSLATE(B846,""en"",""ja""),)"),"いいえ、簡単です。楽しいですよ。")</f>
        <v>いいえ、簡単です。楽しいですよ。</v>
      </c>
      <c r="D846" s="4" t="str">
        <f ca="1">IFERROR(__xludf.DUMMYFUNCTION("IFERROR(GOOGLETRANSLATE(B846,""en"",""zh-TW""),)"),"不，這很簡單，也很有趣。")</f>
        <v>不，這很簡單，也很有趣。</v>
      </c>
      <c r="E846" s="4" t="str">
        <f ca="1">IFERROR(__xludf.DUMMYFUNCTION("IFERROR(GOOGLETRANSLATE(B846,""en"",""zh-CN""),)"),"不，这很简单，也很有趣。")</f>
        <v>不，这很简单，也很有趣。</v>
      </c>
    </row>
    <row r="847" spans="1:5">
      <c r="A847" s="3" t="s">
        <v>3701</v>
      </c>
      <c r="B847" s="4" t="str">
        <f ca="1">IFERROR(__xludf.DUMMYFUNCTION("IFERROR(GOOGLETRANSLATE(A847,""ko"",""en""),)"),"Is the bag light?")</f>
        <v>Is the bag light?</v>
      </c>
      <c r="C847" s="4" t="str">
        <f ca="1">IFERROR(__xludf.DUMMYFUNCTION("IFERROR(GOOGLETRANSLATE(B847,""en"",""ja""),)"),"そのバッグは軽いですか？")</f>
        <v>そのバッグは軽いですか？</v>
      </c>
      <c r="D847" s="4" t="str">
        <f ca="1">IFERROR(__xludf.DUMMYFUNCTION("IFERROR(GOOGLETRANSLATE(B847,""en"",""zh-TW""),)"),"這個包輕嗎？")</f>
        <v>這個包輕嗎？</v>
      </c>
      <c r="E847" s="4" t="str">
        <f ca="1">IFERROR(__xludf.DUMMYFUNCTION("IFERROR(GOOGLETRANSLATE(B847,""en"",""zh-CN""),)"),"这个包轻吗？")</f>
        <v>这个包轻吗？</v>
      </c>
    </row>
    <row r="848" spans="1:5">
      <c r="A848" s="3" t="s">
        <v>3706</v>
      </c>
      <c r="B848" s="4" t="str">
        <f ca="1">IFERROR(__xludf.DUMMYFUNCTION("IFERROR(GOOGLETRANSLATE(A848,""ko"",""en""),)"),"No, it's heavy.")</f>
        <v>No, it's heavy.</v>
      </c>
      <c r="C848" s="4" t="str">
        <f ca="1">IFERROR(__xludf.DUMMYFUNCTION("IFERROR(GOOGLETRANSLATE(B848,""en"",""ja""),)"),"いや、重いよ。")</f>
        <v>いや、重いよ。</v>
      </c>
      <c r="D848" s="4" t="str">
        <f ca="1">IFERROR(__xludf.DUMMYFUNCTION("IFERROR(GOOGLETRANSLATE(B848,""en"",""zh-TW""),)"),"不，它很重。")</f>
        <v>不，它很重。</v>
      </c>
      <c r="E848" s="4" t="str">
        <f ca="1">IFERROR(__xludf.DUMMYFUNCTION("IFERROR(GOOGLETRANSLATE(B848,""en"",""zh-CN""),)"),"不，它很重。")</f>
        <v>不，它很重。</v>
      </c>
    </row>
    <row r="849" spans="1:5">
      <c r="A849" s="3" t="s">
        <v>3712</v>
      </c>
      <c r="B849" s="4" t="str">
        <f ca="1">IFERROR(__xludf.DUMMYFUNCTION("IFERROR(GOOGLETRANSLATE(A849,""ko"",""en""),)"),"Is it cold outside?")</f>
        <v>Is it cold outside?</v>
      </c>
      <c r="C849" s="4" t="str">
        <f ca="1">IFERROR(__xludf.DUMMYFUNCTION("IFERROR(GOOGLETRANSLATE(B849,""en"",""ja""),)"),"外は寒いですか？")</f>
        <v>外は寒いですか？</v>
      </c>
      <c r="D849" s="4" t="str">
        <f ca="1">IFERROR(__xludf.DUMMYFUNCTION("IFERROR(GOOGLETRANSLATE(B849,""en"",""zh-TW""),)"),"外面冷嗎？")</f>
        <v>外面冷嗎？</v>
      </c>
      <c r="E849" s="4" t="str">
        <f ca="1">IFERROR(__xludf.DUMMYFUNCTION("IFERROR(GOOGLETRANSLATE(B849,""en"",""zh-CN""),)"),"外面冷吗？")</f>
        <v>外面冷吗？</v>
      </c>
    </row>
    <row r="850" spans="1:5">
      <c r="A850" s="5" t="s">
        <v>3391</v>
      </c>
      <c r="B850" s="4" t="str">
        <f ca="1">IFERROR(__xludf.DUMMYFUNCTION("IFERROR(GOOGLETRANSLATE(A850,""ko"",""en""),)"),"irregularity")</f>
        <v>irregularity</v>
      </c>
      <c r="C850" s="4" t="str">
        <f ca="1">IFERROR(__xludf.DUMMYFUNCTION("IFERROR(GOOGLETRANSLATE(B850,""en"",""ja""),)"),"不規則性")</f>
        <v>不規則性</v>
      </c>
      <c r="D850" s="4" t="str">
        <f ca="1">IFERROR(__xludf.DUMMYFUNCTION("IFERROR(GOOGLETRANSLATE(B850,""en"",""zh-TW""),)"),"不規則")</f>
        <v>不規則</v>
      </c>
      <c r="E850" s="4" t="str">
        <f ca="1">IFERROR(__xludf.DUMMYFUNCTION("IFERROR(GOOGLETRANSLATE(B850,""en"",""zh-CN""),)"),"不规则")</f>
        <v>不规则</v>
      </c>
    </row>
    <row r="851" spans="1:5">
      <c r="A851" s="3" t="s">
        <v>3723</v>
      </c>
      <c r="B851" s="4" t="str">
        <f ca="1">IFERROR(__xludf.DUMMYFUNCTION("IFERROR(GOOGLETRANSLATE(A851,""ko"",""en""),)"),"The room is cold.")</f>
        <v>The room is cold.</v>
      </c>
      <c r="C851" s="4" t="str">
        <f ca="1">IFERROR(__xludf.DUMMYFUNCTION("IFERROR(GOOGLETRANSLATE(B851,""en"",""ja""),)"),"部屋が寒い。")</f>
        <v>部屋が寒い。</v>
      </c>
      <c r="D851" s="4" t="str">
        <f ca="1">IFERROR(__xludf.DUMMYFUNCTION("IFERROR(GOOGLETRANSLATE(B851,""en"",""zh-TW""),)"),"房間很冷。")</f>
        <v>房間很冷。</v>
      </c>
      <c r="E851" s="4" t="str">
        <f ca="1">IFERROR(__xludf.DUMMYFUNCTION("IFERROR(GOOGLETRANSLATE(B851,""en"",""zh-CN""),)"),"房间很冷。")</f>
        <v>房间很冷。</v>
      </c>
    </row>
    <row r="852" spans="1:5">
      <c r="A852" s="3" t="s">
        <v>3729</v>
      </c>
      <c r="B852" s="4" t="str">
        <f ca="1">IFERROR(__xludf.DUMMYFUNCTION("IFERROR(GOOGLETRANSLATE(A852,""ko"",""en""),)"),"The book is heavy.")</f>
        <v>The book is heavy.</v>
      </c>
      <c r="C852" s="4" t="str">
        <f ca="1">IFERROR(__xludf.DUMMYFUNCTION("IFERROR(GOOGLETRANSLATE(B852,""en"",""ja""),)"),"その本は重い。")</f>
        <v>その本は重い。</v>
      </c>
      <c r="D852" s="4" t="str">
        <f ca="1">IFERROR(__xludf.DUMMYFUNCTION("IFERROR(GOOGLETRANSLATE(B852,""en"",""zh-TW""),)"),"這本書很重。")</f>
        <v>這本書很重。</v>
      </c>
      <c r="E852" s="4" t="str">
        <f ca="1">IFERROR(__xludf.DUMMYFUNCTION("IFERROR(GOOGLETRANSLATE(B852,""en"",""zh-CN""),)"),"这本书很重。")</f>
        <v>这本书很重。</v>
      </c>
    </row>
    <row r="853" spans="1:5">
      <c r="A853" s="3" t="s">
        <v>3736</v>
      </c>
      <c r="B853" s="4" t="str">
        <f ca="1">IFERROR(__xludf.DUMMYFUNCTION("IFERROR(GOOGLETRANSLATE(A853,""ko"",""en""),)"),"The homework is easy.")</f>
        <v>The homework is easy.</v>
      </c>
      <c r="C853" s="4" t="str">
        <f ca="1">IFERROR(__xludf.DUMMYFUNCTION("IFERROR(GOOGLETRANSLATE(B853,""en"",""ja""),)"),"宿題は簡単です。")</f>
        <v>宿題は簡単です。</v>
      </c>
      <c r="D853" s="4" t="str">
        <f ca="1">IFERROR(__xludf.DUMMYFUNCTION("IFERROR(GOOGLETRANSLATE(B853,""en"",""zh-TW""),)"),"作業很簡單。")</f>
        <v>作業很簡單。</v>
      </c>
      <c r="E853" s="4" t="str">
        <f ca="1">IFERROR(__xludf.DUMMYFUNCTION("IFERROR(GOOGLETRANSLATE(B853,""en"",""zh-CN""),)"),"作业很简单。")</f>
        <v>作业很简单。</v>
      </c>
    </row>
    <row r="854" spans="1:5">
      <c r="A854" s="3" t="s">
        <v>3741</v>
      </c>
      <c r="B854" s="4" t="str">
        <f ca="1">IFERROR(__xludf.DUMMYFUNCTION("IFERROR(GOOGLETRANSLATE(A854,""ko"",""en""),)"),"The kimchi is spicy.")</f>
        <v>The kimchi is spicy.</v>
      </c>
      <c r="C854" s="4" t="str">
        <f ca="1">IFERROR(__xludf.DUMMYFUNCTION("IFERROR(GOOGLETRANSLATE(B854,""en"",""ja""),)"),"このキムチは辛い。")</f>
        <v>このキムチは辛い。</v>
      </c>
      <c r="D854" s="4" t="str">
        <f ca="1">IFERROR(__xludf.DUMMYFUNCTION("IFERROR(GOOGLETRANSLATE(B854,""en"",""zh-TW""),)"),"泡菜很辣。")</f>
        <v>泡菜很辣。</v>
      </c>
      <c r="E854" s="4" t="str">
        <f ca="1">IFERROR(__xludf.DUMMYFUNCTION("IFERROR(GOOGLETRANSLATE(B854,""en"",""zh-CN""),)"),"泡菜很辣。")</f>
        <v>泡菜很辣。</v>
      </c>
    </row>
    <row r="855" spans="1:5">
      <c r="A855" s="3" t="s">
        <v>3745</v>
      </c>
      <c r="B855" s="4" t="str">
        <f ca="1">IFERROR(__xludf.DUMMYFUNCTION("IFERROR(GOOGLETRANSLATE(A855,""ko"",""en""),)"),"The exam is difficult.")</f>
        <v>The exam is difficult.</v>
      </c>
      <c r="C855" s="4" t="str">
        <f ca="1">IFERROR(__xludf.DUMMYFUNCTION("IFERROR(GOOGLETRANSLATE(B855,""en"",""ja""),)"),"試験は難しい。")</f>
        <v>試験は難しい。</v>
      </c>
      <c r="D855" s="4" t="str">
        <f ca="1">IFERROR(__xludf.DUMMYFUNCTION("IFERROR(GOOGLETRANSLATE(B855,""en"",""zh-TW""),)"),"考試很難。")</f>
        <v>考試很難。</v>
      </c>
      <c r="E855" s="4" t="str">
        <f ca="1">IFERROR(__xludf.DUMMYFUNCTION("IFERROR(GOOGLETRANSLATE(B855,""en"",""zh-CN""),)"),"考试很难。")</f>
        <v>考试很难。</v>
      </c>
    </row>
    <row r="856" spans="1:5">
      <c r="A856" s="3" t="s">
        <v>3750</v>
      </c>
      <c r="B856" s="4" t="str">
        <f ca="1">IFERROR(__xludf.DUMMYFUNCTION("IFERROR(GOOGLETRANSLATE(A856,""ko"",""en""),)"),"The bag is light.")</f>
        <v>The bag is light.</v>
      </c>
      <c r="C856" s="4" t="str">
        <f ca="1">IFERROR(__xludf.DUMMYFUNCTION("IFERROR(GOOGLETRANSLATE(B856,""en"",""ja""),)"),"このバッグは軽い。")</f>
        <v>このバッグは軽い。</v>
      </c>
      <c r="D856" s="4" t="str">
        <f ca="1">IFERROR(__xludf.DUMMYFUNCTION("IFERROR(GOOGLETRANSLATE(B856,""en"",""zh-TW""),)"),"這個包很輕。")</f>
        <v>這個包很輕。</v>
      </c>
      <c r="E856" s="4" t="str">
        <f ca="1">IFERROR(__xludf.DUMMYFUNCTION("IFERROR(GOOGLETRANSLATE(B856,""en"",""zh-CN""),)"),"这个包很轻。")</f>
        <v>这个包很轻。</v>
      </c>
    </row>
    <row r="857" spans="1:5">
      <c r="A857" s="3" t="s">
        <v>3755</v>
      </c>
      <c r="B857" s="4" t="str">
        <f ca="1">IFERROR(__xludf.DUMMYFUNCTION("IFERROR(GOOGLETRANSLATE(A857,""ko"",""en""),)"),"The flowers are beautiful.")</f>
        <v>The flowers are beautiful.</v>
      </c>
      <c r="C857" s="4" t="str">
        <f ca="1">IFERROR(__xludf.DUMMYFUNCTION("IFERROR(GOOGLETRANSLATE(B857,""en"",""ja""),)"),"花が美しい。")</f>
        <v>花が美しい。</v>
      </c>
      <c r="D857" s="4" t="str">
        <f ca="1">IFERROR(__xludf.DUMMYFUNCTION("IFERROR(GOOGLETRANSLATE(B857,""en"",""zh-TW""),)"),"這些花真漂​​亮。")</f>
        <v>這些花真漂​​亮。</v>
      </c>
      <c r="E857" s="4" t="str">
        <f ca="1">IFERROR(__xludf.DUMMYFUNCTION("IFERROR(GOOGLETRANSLATE(B857,""en"",""zh-CN""),)"),"这些花真漂亮。")</f>
        <v>这些花真漂亮。</v>
      </c>
    </row>
    <row r="858" spans="1:5">
      <c r="A858" s="3" t="s">
        <v>3759</v>
      </c>
      <c r="B858" s="4" t="str">
        <f ca="1">IFERROR(__xludf.DUMMYFUNCTION("IFERROR(GOOGLETRANSLATE(A858,""ko"",""en""),)"),"Do your homework. The homework is too hard.")</f>
        <v>Do your homework. The homework is too hard.</v>
      </c>
      <c r="C858" s="4" t="str">
        <f ca="1">IFERROR(__xludf.DUMMYFUNCTION("IFERROR(GOOGLETRANSLATE(B858,""en"",""ja""),)"),"宿題をやりなさい。宿題が難しすぎる。")</f>
        <v>宿題をやりなさい。宿題が難しすぎる。</v>
      </c>
      <c r="D858" s="4" t="str">
        <f ca="1">IFERROR(__xludf.DUMMYFUNCTION("IFERROR(GOOGLETRANSLATE(B858,""en"",""zh-TW""),)"),"做作業。作業太難了。")</f>
        <v>做作業。作業太難了。</v>
      </c>
      <c r="E858" s="4" t="str">
        <f ca="1">IFERROR(__xludf.DUMMYFUNCTION("IFERROR(GOOGLETRANSLATE(B858,""en"",""zh-CN""),)"),"做作业。作业太难了。")</f>
        <v>做作业。作业太难了。</v>
      </c>
    </row>
    <row r="859" spans="1:5">
      <c r="A859" s="3" t="s">
        <v>3765</v>
      </c>
      <c r="B859" s="4" t="str">
        <f ca="1">IFERROR(__xludf.DUMMYFUNCTION("IFERROR(GOOGLETRANSLATE(A859,""ko"",""en""),)"),"How about Jeju Island?")</f>
        <v>How about Jeju Island?</v>
      </c>
      <c r="C859" s="4" t="str">
        <f ca="1">IFERROR(__xludf.DUMMYFUNCTION("IFERROR(GOOGLETRANSLATE(B859,""en"",""ja""),)"),"済州島はどうでしょう？")</f>
        <v>済州島はどうでしょう？</v>
      </c>
      <c r="D859" s="4" t="str">
        <f ca="1">IFERROR(__xludf.DUMMYFUNCTION("IFERROR(GOOGLETRANSLATE(B859,""en"",""zh-TW""),)"),"濟州島怎麼樣？")</f>
        <v>濟州島怎麼樣？</v>
      </c>
      <c r="E859" s="4" t="str">
        <f ca="1">IFERROR(__xludf.DUMMYFUNCTION("IFERROR(GOOGLETRANSLATE(B859,""en"",""zh-CN""),)"),"济州岛怎么样？")</f>
        <v>济州岛怎么样？</v>
      </c>
    </row>
    <row r="860" spans="1:5">
      <c r="A860" s="3" t="s">
        <v>3770</v>
      </c>
      <c r="B860" s="4" t="str">
        <f ca="1">IFERROR(__xludf.DUMMYFUNCTION("IFERROR(GOOGLETRANSLATE(A860,""ko"",""en""),)"),"The sea is very beautiful.")</f>
        <v>The sea is very beautiful.</v>
      </c>
      <c r="C860" s="4" t="str">
        <f ca="1">IFERROR(__xludf.DUMMYFUNCTION("IFERROR(GOOGLETRANSLATE(B860,""en"",""ja""),)"),"海はとても美しい。")</f>
        <v>海はとても美しい。</v>
      </c>
      <c r="D860" s="4" t="str">
        <f ca="1">IFERROR(__xludf.DUMMYFUNCTION("IFERROR(GOOGLETRANSLATE(B860,""en"",""zh-TW""),)"),"大海很美。")</f>
        <v>大海很美。</v>
      </c>
      <c r="E860" s="4" t="str">
        <f ca="1">IFERROR(__xludf.DUMMYFUNCTION("IFERROR(GOOGLETRANSLATE(B860,""en"",""zh-CN""),)"),"大海很美。")</f>
        <v>大海很美。</v>
      </c>
    </row>
    <row r="861" spans="1:5">
      <c r="A861" s="3" t="s">
        <v>3776</v>
      </c>
      <c r="B861" s="4" t="str">
        <f ca="1">IFERROR(__xludf.DUMMYFUNCTION("IFERROR(GOOGLETRANSLATE(A861,""ko"",""en""),)"),"The bag is heavy.")</f>
        <v>The bag is heavy.</v>
      </c>
      <c r="C861" s="4" t="str">
        <f ca="1">IFERROR(__xludf.DUMMYFUNCTION("IFERROR(GOOGLETRANSLATE(B861,""en"",""ja""),)"),"そのバッグは重い。")</f>
        <v>そのバッグは重い。</v>
      </c>
      <c r="D861" s="4" t="str">
        <f ca="1">IFERROR(__xludf.DUMMYFUNCTION("IFERROR(GOOGLETRANSLATE(B861,""en"",""zh-TW""),)"),"這個包很重。")</f>
        <v>這個包很重。</v>
      </c>
      <c r="E861" s="4" t="str">
        <f ca="1">IFERROR(__xludf.DUMMYFUNCTION("IFERROR(GOOGLETRANSLATE(B861,""en"",""zh-CN""),)"),"这个包很重。")</f>
        <v>这个包很重。</v>
      </c>
    </row>
    <row r="862" spans="1:5">
      <c r="A862" s="3" t="s">
        <v>3782</v>
      </c>
      <c r="B862" s="4" t="str">
        <f ca="1">IFERROR(__xludf.DUMMYFUNCTION("IFERROR(GOOGLETRANSLATE(A862,""ko"",""en""),)"),"Yes, the bag is heavy.")</f>
        <v>Yes, the bag is heavy.</v>
      </c>
      <c r="C862" s="4" t="str">
        <f ca="1">IFERROR(__xludf.DUMMYFUNCTION("IFERROR(GOOGLETRANSLATE(B862,""en"",""ja""),)"),"はい、バッグは重いです。")</f>
        <v>はい、バッグは重いです。</v>
      </c>
      <c r="D862" s="4" t="str">
        <f ca="1">IFERROR(__xludf.DUMMYFUNCTION("IFERROR(GOOGLETRANSLATE(B862,""en"",""zh-TW""),)"),"是的，這個包很重。")</f>
        <v>是的，這個包很重。</v>
      </c>
      <c r="E862" s="4" t="str">
        <f ca="1">IFERROR(__xludf.DUMMYFUNCTION("IFERROR(GOOGLETRANSLATE(B862,""en"",""zh-CN""),)"),"是的，这个包很重。")</f>
        <v>是的，这个包很重。</v>
      </c>
    </row>
    <row r="863" spans="1:5">
      <c r="A863" s="3" t="s">
        <v>3787</v>
      </c>
      <c r="B863" s="4" t="str">
        <f ca="1">IFERROR(__xludf.DUMMYFUNCTION("IFERROR(GOOGLETRANSLATE(A863,""ko"",""en""),)"),"What is the winter weather like in Seoul?")</f>
        <v>What is the winter weather like in Seoul?</v>
      </c>
      <c r="C863" s="4" t="str">
        <f ca="1">IFERROR(__xludf.DUMMYFUNCTION("IFERROR(GOOGLETRANSLATE(B863,""en"",""ja""),)"),"ソウルの冬の天気はどんな感じですか？")</f>
        <v>ソウルの冬の天気はどんな感じですか？</v>
      </c>
      <c r="D863" s="4" t="str">
        <f ca="1">IFERROR(__xludf.DUMMYFUNCTION("IFERROR(GOOGLETRANSLATE(B863,""en"",""zh-TW""),)"),"首爾的冬季天氣如何？")</f>
        <v>首爾的冬季天氣如何？</v>
      </c>
      <c r="E863" s="4" t="str">
        <f ca="1">IFERROR(__xludf.DUMMYFUNCTION("IFERROR(GOOGLETRANSLATE(B863,""en"",""zh-CN""),)"),"首尔的冬季天气如何？")</f>
        <v>首尔的冬季天气如何？</v>
      </c>
    </row>
    <row r="864" spans="1:5">
      <c r="A864" s="3" t="s">
        <v>3793</v>
      </c>
      <c r="B864" s="4" t="str">
        <f ca="1">IFERROR(__xludf.DUMMYFUNCTION("IFERROR(GOOGLETRANSLATE(A864,""ko"",""en""),)"),"It's very cold.")</f>
        <v>It's very cold.</v>
      </c>
      <c r="C864" s="4" t="str">
        <f ca="1">IFERROR(__xludf.DUMMYFUNCTION("IFERROR(GOOGLETRANSLATE(B864,""en"",""ja""),)"),"とても寒いです。")</f>
        <v>とても寒いです。</v>
      </c>
      <c r="D864" s="4" t="str">
        <f ca="1">IFERROR(__xludf.DUMMYFUNCTION("IFERROR(GOOGLETRANSLATE(B864,""en"",""zh-TW""),)"),"天氣很冷。")</f>
        <v>天氣很冷。</v>
      </c>
      <c r="E864" s="4" t="str">
        <f ca="1">IFERROR(__xludf.DUMMYFUNCTION("IFERROR(GOOGLETRANSLATE(B864,""en"",""zh-CN""),)"),"天气很冷。")</f>
        <v>天气很冷。</v>
      </c>
    </row>
    <row r="865" spans="1:5">
      <c r="A865" s="3" t="s">
        <v>3806</v>
      </c>
      <c r="B865" s="4" t="str">
        <f ca="1">IFERROR(__xludf.DUMMYFUNCTION("IFERROR(GOOGLETRANSLATE(A865,""ko"",""en""),)"),"Ji-eun is in Seoul right now.")</f>
        <v>Ji-eun is in Seoul right now.</v>
      </c>
      <c r="C865" s="4" t="str">
        <f ca="1">IFERROR(__xludf.DUMMYFUNCTION("IFERROR(GOOGLETRANSLATE(B865,""en"",""ja""),)"),"ジウンは今、ソウルにいます。")</f>
        <v>ジウンは今、ソウルにいます。</v>
      </c>
      <c r="D865" s="4" t="str">
        <f ca="1">IFERROR(__xludf.DUMMYFUNCTION("IFERROR(GOOGLETRANSLATE(B865,""en"",""zh-TW""),)"),"智恩現在在首爾。")</f>
        <v>智恩現在在首爾。</v>
      </c>
      <c r="E865" s="4" t="str">
        <f ca="1">IFERROR(__xludf.DUMMYFUNCTION("IFERROR(GOOGLETRANSLATE(B865,""en"",""zh-CN""),)"),"智恩现在在首尔。")</f>
        <v>智恩现在在首尔。</v>
      </c>
    </row>
    <row r="866" spans="1:5">
      <c r="A866" s="3" t="s">
        <v>3812</v>
      </c>
      <c r="B866" s="4" t="str">
        <f ca="1">IFERROR(__xludf.DUMMYFUNCTION("IFERROR(GOOGLETRANSLATE(A866,""ko"",""en""),)"),"Minho is in Busan right now.")</f>
        <v>Minho is in Busan right now.</v>
      </c>
      <c r="C866" s="4" t="str">
        <f ca="1">IFERROR(__xludf.DUMMYFUNCTION("IFERROR(GOOGLETRANSLATE(B866,""en"",""ja""),)"),"ミンホは今、釜山にいます。")</f>
        <v>ミンホは今、釜山にいます。</v>
      </c>
      <c r="D866" s="4" t="str">
        <f ca="1">IFERROR(__xludf.DUMMYFUNCTION("IFERROR(GOOGLETRANSLATE(B866,""en"",""zh-TW""),)"),"珉豪現在在釜山。")</f>
        <v>珉豪現在在釜山。</v>
      </c>
      <c r="E866" s="4" t="str">
        <f ca="1">IFERROR(__xludf.DUMMYFUNCTION("IFERROR(GOOGLETRANSLATE(B866,""en"",""zh-CN""),)"),"珉豪现在在釜山。")</f>
        <v>珉豪现在在釜山。</v>
      </c>
    </row>
    <row r="867" spans="1:5">
      <c r="A867" s="3" t="s">
        <v>3817</v>
      </c>
      <c r="B867" s="4" t="str">
        <f ca="1">IFERROR(__xludf.DUMMYFUNCTION("IFERROR(GOOGLETRANSLATE(A867,""ko"",""en""),)"),"Is Busan hot too? No, it's not hot.")</f>
        <v>Is Busan hot too? No, it's not hot.</v>
      </c>
      <c r="C867" s="4" t="str">
        <f ca="1">IFERROR(__xludf.DUMMYFUNCTION("IFERROR(GOOGLETRANSLATE(B867,""en"",""ja""),)"),"釜山も暑いですか？いいえ、暑くはありません。")</f>
        <v>釜山も暑いですか？いいえ、暑くはありません。</v>
      </c>
      <c r="D867" s="4" t="str">
        <f ca="1">IFERROR(__xludf.DUMMYFUNCTION("IFERROR(GOOGLETRANSLATE(B867,""en"",""zh-TW""),)"),"釜山也很熱嗎？不，釜山並不熱。")</f>
        <v>釜山也很熱嗎？不，釜山並不熱。</v>
      </c>
      <c r="E867" s="4" t="str">
        <f ca="1">IFERROR(__xludf.DUMMYFUNCTION("IFERROR(GOOGLETRANSLATE(B867,""en"",""zh-CN""),)"),"釜山也很热吗？不，釜山并不热。")</f>
        <v>釜山也很热吗？不，釜山并不热。</v>
      </c>
    </row>
    <row r="868" spans="1:5">
      <c r="A868" s="3" t="s">
        <v>3822</v>
      </c>
      <c r="B868" s="4" t="str">
        <f ca="1">IFERROR(__xludf.DUMMYFUNCTION("IFERROR(GOOGLETRANSLATE(A868,""ko"",""en""),)"),"Is it raining in Seoul too? No, it's not raining. It's clear.")</f>
        <v>Is it raining in Seoul too? No, it's not raining. It's clear.</v>
      </c>
      <c r="C868" s="4" t="str">
        <f ca="1">IFERROR(__xludf.DUMMYFUNCTION("IFERROR(GOOGLETRANSLATE(B868,""en"",""ja""),)"),"ソウルでも雨が降っているの？ いいえ、雨は降っていません。晴れています。")</f>
        <v>ソウルでも雨が降っているの？ いいえ、雨は降っていません。晴れています。</v>
      </c>
      <c r="D868" s="4" t="str">
        <f ca="1">IFERROR(__xludf.DUMMYFUNCTION("IFERROR(GOOGLETRANSLATE(B868,""en"",""zh-TW""),)"),"首爾也下雨了嗎？沒有，沒下雨，天氣晴朗。")</f>
        <v>首爾也下雨了嗎？沒有，沒下雨，天氣晴朗。</v>
      </c>
      <c r="E868" s="4" t="str">
        <f ca="1">IFERROR(__xludf.DUMMYFUNCTION("IFERROR(GOOGLETRANSLATE(B868,""en"",""zh-CN""),)"),"首尔也下雨了吗？没有，没下雨，天气晴朗。")</f>
        <v>首尔也下雨了吗？没有，没下雨，天气晴朗。</v>
      </c>
    </row>
    <row r="869" spans="1:5">
      <c r="A869" s="3" t="s">
        <v>3827</v>
      </c>
      <c r="B869" s="4" t="str">
        <f ca="1">IFERROR(__xludf.DUMMYFUNCTION("IFERROR(GOOGLETRANSLATE(A869,""ko"",""en""),)"),"I'm doing great.")</f>
        <v>I'm doing great.</v>
      </c>
      <c r="C869" s="4" t="str">
        <f ca="1">IFERROR(__xludf.DUMMYFUNCTION("IFERROR(GOOGLETRANSLATE(B869,""en"",""ja""),)"),"元気です。")</f>
        <v>元気です。</v>
      </c>
      <c r="D869" s="4" t="str">
        <f ca="1">IFERROR(__xludf.DUMMYFUNCTION("IFERROR(GOOGLETRANSLATE(B869,""en"",""zh-TW""),)"),"我一切都很好。")</f>
        <v>我一切都很好。</v>
      </c>
      <c r="E869" s="4" t="str">
        <f ca="1">IFERROR(__xludf.DUMMYFUNCTION("IFERROR(GOOGLETRANSLATE(B869,""en"",""zh-CN""),)"),"我一切都很好。")</f>
        <v>我一切都很好。</v>
      </c>
    </row>
    <row r="870" spans="1:5">
      <c r="A870" s="3" t="s">
        <v>2944</v>
      </c>
      <c r="B870" s="4" t="s">
        <v>3831</v>
      </c>
      <c r="C870" s="4" t="str">
        <f ca="1">IFERROR(__xludf.DUMMYFUNCTION("IFERROR(GOOGLETRANSLATE(B870,""en"",""ja""),)"),"常に（フォーマル）")</f>
        <v>常に（フォーマル）</v>
      </c>
      <c r="D870" s="4" t="str">
        <f ca="1">IFERROR(__xludf.DUMMYFUNCTION("IFERROR(GOOGLETRANSLATE(B870,""en"",""zh-TW""),)"),"總是（正式）")</f>
        <v>總是（正式）</v>
      </c>
      <c r="E870" s="4" t="str">
        <f ca="1">IFERROR(__xludf.DUMMYFUNCTION("IFERROR(GOOGLETRANSLATE(B870,""en"",""zh-CN""),)"),"总是（正式）")</f>
        <v>总是（正式）</v>
      </c>
    </row>
    <row r="871" spans="1:5">
      <c r="A871" s="5" t="s">
        <v>3836</v>
      </c>
      <c r="B871" s="4" t="str">
        <f ca="1">IFERROR(__xludf.DUMMYFUNCTION("IFERROR(GOOGLETRANSLATE(A871,""ko"",""en""),)"),"always")</f>
        <v>always</v>
      </c>
      <c r="C871" s="4" t="str">
        <f ca="1">IFERROR(__xludf.DUMMYFUNCTION("IFERROR(GOOGLETRANSLATE(B871,""en"",""ja""),)"),"いつも")</f>
        <v>いつも</v>
      </c>
      <c r="D871" s="4" t="str">
        <f ca="1">IFERROR(__xludf.DUMMYFUNCTION("IFERROR(GOOGLETRANSLATE(B871,""en"",""zh-TW""),)"),"總是")</f>
        <v>總是</v>
      </c>
      <c r="E871" s="4" t="str">
        <f ca="1">IFERROR(__xludf.DUMMYFUNCTION("IFERROR(GOOGLETRANSLATE(B871,""en"",""zh-CN""),)"),"总是")</f>
        <v>总是</v>
      </c>
    </row>
    <row r="872" spans="1:5">
      <c r="A872" s="3" t="s">
        <v>131</v>
      </c>
      <c r="B872" s="4" t="str">
        <f ca="1">IFERROR(__xludf.DUMMYFUNCTION("IFERROR(GOOGLETRANSLATE(A872,""ko"",""en""),)"),"often")</f>
        <v>often</v>
      </c>
      <c r="C872" s="4" t="str">
        <f ca="1">IFERROR(__xludf.DUMMYFUNCTION("IFERROR(GOOGLETRANSLATE(B872,""en"",""ja""),)"),"頻繁")</f>
        <v>頻繁</v>
      </c>
      <c r="D872" s="4" t="str">
        <f ca="1">IFERROR(__xludf.DUMMYFUNCTION("IFERROR(GOOGLETRANSLATE(B872,""en"",""zh-TW""),)"),"常")</f>
        <v>常</v>
      </c>
      <c r="E872" s="4" t="str">
        <f ca="1">IFERROR(__xludf.DUMMYFUNCTION("IFERROR(GOOGLETRANSLATE(B872,""en"",""zh-CN""),)"),"经常")</f>
        <v>经常</v>
      </c>
    </row>
    <row r="873" spans="1:5">
      <c r="A873" s="3" t="s">
        <v>2941</v>
      </c>
      <c r="B873" s="4" t="str">
        <f ca="1">IFERROR(__xludf.DUMMYFUNCTION("IFERROR(GOOGLETRANSLATE(A873,""ko"",""en""),)"),"sometimes")</f>
        <v>sometimes</v>
      </c>
      <c r="C873" s="4" t="str">
        <f ca="1">IFERROR(__xludf.DUMMYFUNCTION("IFERROR(GOOGLETRANSLATE(B873,""en"",""ja""),)"),"時々")</f>
        <v>時々</v>
      </c>
      <c r="D873" s="4" t="str">
        <f ca="1">IFERROR(__xludf.DUMMYFUNCTION("IFERROR(GOOGLETRANSLATE(B873,""en"",""zh-TW""),)"),"有時")</f>
        <v>有時</v>
      </c>
      <c r="E873" s="4" t="str">
        <f ca="1">IFERROR(__xludf.DUMMYFUNCTION("IFERROR(GOOGLETRANSLATE(B873,""en"",""zh-CN""),)"),"有时")</f>
        <v>有时</v>
      </c>
    </row>
    <row r="874" spans="1:5">
      <c r="A874" s="3" t="s">
        <v>3847</v>
      </c>
      <c r="B874" s="4" t="str">
        <f ca="1">IFERROR(__xludf.DUMMYFUNCTION("IFERROR(GOOGLETRANSLATE(A874,""ko"",""en""),)"),"It's fifteen degrees.")</f>
        <v>It's fifteen degrees.</v>
      </c>
      <c r="C874" s="4" t="str">
        <f ca="1">IFERROR(__xludf.DUMMYFUNCTION("IFERROR(GOOGLETRANSLATE(B874,""en"",""ja""),)"),"気温は15度です。")</f>
        <v>気温は15度です。</v>
      </c>
      <c r="D874" s="4" t="str">
        <f ca="1">IFERROR(__xludf.DUMMYFUNCTION("IFERROR(GOOGLETRANSLATE(B874,""en"",""zh-TW""),)"),"現在是十五度。")</f>
        <v>現在是十五度。</v>
      </c>
      <c r="E874" s="4" t="str">
        <f ca="1">IFERROR(__xludf.DUMMYFUNCTION("IFERROR(GOOGLETRANSLATE(B874,""en"",""zh-CN""),)"),"现在是十五度。")</f>
        <v>现在是十五度。</v>
      </c>
    </row>
    <row r="875" spans="1:5">
      <c r="A875" s="3" t="s">
        <v>3852</v>
      </c>
      <c r="B875" s="4" t="str">
        <f ca="1">IFERROR(__xludf.DUMMYFUNCTION("IFERROR(GOOGLETRANSLATE(A875,""ko"",""en""),)"),"What is the temperature?")</f>
        <v>What is the temperature?</v>
      </c>
      <c r="C875" s="4" t="str">
        <f ca="1">IFERROR(__xludf.DUMMYFUNCTION("IFERROR(GOOGLETRANSLATE(B875,""en"",""ja""),)"),"気温は何度ですか？")</f>
        <v>気温は何度ですか？</v>
      </c>
      <c r="D875" s="4" t="str">
        <f ca="1">IFERROR(__xludf.DUMMYFUNCTION("IFERROR(GOOGLETRANSLATE(B875,""en"",""zh-TW""),)"),"溫度是多少？")</f>
        <v>溫度是多少？</v>
      </c>
      <c r="E875" s="4" t="str">
        <f ca="1">IFERROR(__xludf.DUMMYFUNCTION("IFERROR(GOOGLETRANSLATE(B875,""en"",""zh-CN""),)"),"温度是多少？")</f>
        <v>温度是多少？</v>
      </c>
    </row>
    <row r="876" spans="1:5">
      <c r="A876" s="5" t="s">
        <v>3857</v>
      </c>
      <c r="B876" s="4" t="str">
        <f ca="1">IFERROR(__xludf.DUMMYFUNCTION("IFERROR(GOOGLETRANSLATE(A876,""ko"",""en""),)"),"below zero")</f>
        <v>below zero</v>
      </c>
      <c r="C876" s="4" t="str">
        <f ca="1">IFERROR(__xludf.DUMMYFUNCTION("IFERROR(GOOGLETRANSLATE(B876,""en"",""ja""),)"),"氷点下")</f>
        <v>氷点下</v>
      </c>
      <c r="D876" s="4" t="str">
        <f ca="1">IFERROR(__xludf.DUMMYFUNCTION("IFERROR(GOOGLETRANSLATE(B876,""en"",""zh-TW""),)"),"零下")</f>
        <v>零下</v>
      </c>
      <c r="E876" s="4" t="str">
        <f ca="1">IFERROR(__xludf.DUMMYFUNCTION("IFERROR(GOOGLETRANSLATE(B876,""en"",""zh-CN""),)"),"零下")</f>
        <v>零下</v>
      </c>
    </row>
    <row r="877" spans="1:5">
      <c r="A877" s="3" t="s">
        <v>3863</v>
      </c>
      <c r="B877" s="4" t="s">
        <v>3865</v>
      </c>
      <c r="C877" s="4" t="str">
        <f ca="1">IFERROR(__xludf.DUMMYFUNCTION("IFERROR(GOOGLETRANSLATE(B877,""en"",""ja""),)"),"氷点下4度")</f>
        <v>氷点下4度</v>
      </c>
      <c r="D877" s="4" t="str">
        <f ca="1">IFERROR(__xludf.DUMMYFUNCTION("IFERROR(GOOGLETRANSLATE(B877,""en"",""zh-TW""),)"),"零下四度")</f>
        <v>零下四度</v>
      </c>
      <c r="E877" s="4" t="str">
        <f ca="1">IFERROR(__xludf.DUMMYFUNCTION("IFERROR(GOOGLETRANSLATE(B877,""en"",""zh-CN""),)"),"零下四度")</f>
        <v>零下四度</v>
      </c>
    </row>
    <row r="878" spans="1:5">
      <c r="A878" s="3" t="s">
        <v>3881</v>
      </c>
      <c r="B878" s="4" t="s">
        <v>3885</v>
      </c>
      <c r="C878" s="4" t="str">
        <f ca="1">IFERROR(__xludf.DUMMYFUNCTION("IFERROR(GOOGLETRANSLATE(B878,""en"",""ja""),)"),"マイナス40度")</f>
        <v>マイナス40度</v>
      </c>
      <c r="D878" s="4" t="str">
        <f ca="1">IFERROR(__xludf.DUMMYFUNCTION("IFERROR(GOOGLETRANSLATE(B878,""en"",""zh-TW""),)"),"零下四十度")</f>
        <v>零下四十度</v>
      </c>
      <c r="E878" s="4" t="str">
        <f ca="1">IFERROR(__xludf.DUMMYFUNCTION("IFERROR(GOOGLETRANSLATE(B878,""en"",""zh-CN""),)"),"零下四十度")</f>
        <v>零下四十度</v>
      </c>
    </row>
    <row r="879" spans="1:5">
      <c r="A879" s="5" t="s">
        <v>3894</v>
      </c>
      <c r="B879" s="4" t="str">
        <f ca="1">IFERROR(__xludf.DUMMYFUNCTION("IFERROR(GOOGLETRANSLATE(A879,""ko"",""en""),)"),"Moscow")</f>
        <v>Moscow</v>
      </c>
      <c r="C879" s="4" t="str">
        <f ca="1">IFERROR(__xludf.DUMMYFUNCTION("IFERROR(GOOGLETRANSLATE(B879,""en"",""ja""),)"),"モスクワ")</f>
        <v>モスクワ</v>
      </c>
      <c r="D879" s="4" t="str">
        <f ca="1">IFERROR(__xludf.DUMMYFUNCTION("IFERROR(GOOGLETRANSLATE(B879,""en"",""zh-TW""),)"),"莫斯科")</f>
        <v>莫斯科</v>
      </c>
      <c r="E879" s="4" t="str">
        <f ca="1">IFERROR(__xludf.DUMMYFUNCTION("IFERROR(GOOGLETRANSLATE(B879,""en"",""zh-CN""),)"),"莫斯科")</f>
        <v>莫斯科</v>
      </c>
    </row>
    <row r="880" spans="1:5">
      <c r="A880" s="3" t="s">
        <v>3902</v>
      </c>
      <c r="B880" s="4" t="str">
        <f ca="1">IFERROR(__xludf.DUMMYFUNCTION("IFERROR(GOOGLETRANSLATE(A880,""ko"",""en""),)"),"Jakarta")</f>
        <v>Jakarta</v>
      </c>
      <c r="C880" s="4" t="str">
        <f ca="1">IFERROR(__xludf.DUMMYFUNCTION("IFERROR(GOOGLETRANSLATE(B880,""en"",""ja""),)"),"ジャカルタ")</f>
        <v>ジャカルタ</v>
      </c>
      <c r="D880" s="4" t="str">
        <f ca="1">IFERROR(__xludf.DUMMYFUNCTION("IFERROR(GOOGLETRANSLATE(B880,""en"",""zh-TW""),)"),"雅加達")</f>
        <v>雅加達</v>
      </c>
      <c r="E880" s="4" t="str">
        <f ca="1">IFERROR(__xludf.DUMMYFUNCTION("IFERROR(GOOGLETRANSLATE(B880,""en"",""zh-CN""),)"),"雅加达")</f>
        <v>雅加达</v>
      </c>
    </row>
    <row r="881" spans="1:5">
      <c r="A881" s="3" t="s">
        <v>731</v>
      </c>
      <c r="B881" s="4" t="str">
        <f ca="1">IFERROR(__xludf.DUMMYFUNCTION("IFERROR(GOOGLETRANSLATE(A881,""ko"",""en""),)"),"My head hurts.")</f>
        <v>My head hurts.</v>
      </c>
      <c r="C881" s="4" t="str">
        <f ca="1">IFERROR(__xludf.DUMMYFUNCTION("IFERROR(GOOGLETRANSLATE(B881,""en"",""ja""),)"),"頭が痛い。")</f>
        <v>頭が痛い。</v>
      </c>
      <c r="D881" s="4" t="str">
        <f ca="1">IFERROR(__xludf.DUMMYFUNCTION("IFERROR(GOOGLETRANSLATE(B881,""en"",""zh-TW""),)"),"我頭痛。")</f>
        <v>我頭痛。</v>
      </c>
      <c r="E881" s="4" t="str">
        <f ca="1">IFERROR(__xludf.DUMMYFUNCTION("IFERROR(GOOGLETRANSLATE(B881,""en"",""zh-CN""),)"),"我头疼。")</f>
        <v>我头疼。</v>
      </c>
    </row>
    <row r="882" spans="1:5">
      <c r="A882" s="3" t="s">
        <v>3912</v>
      </c>
      <c r="B882" s="4" t="str">
        <f ca="1">IFERROR(__xludf.DUMMYFUNCTION("IFERROR(GOOGLETRANSLATE(A882,""ko"",""en""),)"),"Hallasan")</f>
        <v>Hallasan</v>
      </c>
      <c r="C882" s="4" t="str">
        <f ca="1">IFERROR(__xludf.DUMMYFUNCTION("IFERROR(GOOGLETRANSLATE(B882,""en"",""ja""),)"),"漢拏山")</f>
        <v>漢拏山</v>
      </c>
      <c r="D882" s="4" t="str">
        <f ca="1">IFERROR(__xludf.DUMMYFUNCTION("IFERROR(GOOGLETRANSLATE(B882,""en"",""zh-TW""),)"),"漢拿山")</f>
        <v>漢拿山</v>
      </c>
      <c r="E882" s="4" t="str">
        <f ca="1">IFERROR(__xludf.DUMMYFUNCTION("IFERROR(GOOGLETRANSLATE(B882,""en"",""zh-CN""),)"),"汉拿山")</f>
        <v>汉拿山</v>
      </c>
    </row>
    <row r="883" spans="1:5">
      <c r="A883" s="3" t="s">
        <v>2875</v>
      </c>
      <c r="B883" s="4" t="str">
        <f ca="1">IFERROR(__xludf.DUMMYFUNCTION("IFERROR(GOOGLETRANSLATE(A883,""ko"",""en""),)"),"autumn leaves")</f>
        <v>autumn leaves</v>
      </c>
      <c r="C883" s="4" t="str">
        <f ca="1">IFERROR(__xludf.DUMMYFUNCTION("IFERROR(GOOGLETRANSLATE(B883,""en"",""ja""),)"),"秋の紅葉")</f>
        <v>秋の紅葉</v>
      </c>
      <c r="D883" s="4" t="str">
        <f ca="1">IFERROR(__xludf.DUMMYFUNCTION("IFERROR(GOOGLETRANSLATE(B883,""en"",""zh-TW""),)"),"秋葉")</f>
        <v>秋葉</v>
      </c>
      <c r="E883" s="4" t="str">
        <f ca="1">IFERROR(__xludf.DUMMYFUNCTION("IFERROR(GOOGLETRANSLATE(B883,""en"",""zh-CN""),)"),"秋叶")</f>
        <v>秋叶</v>
      </c>
    </row>
    <row r="884" spans="1:5">
      <c r="A884" s="3" t="s">
        <v>3019</v>
      </c>
      <c r="B884" s="4" t="str">
        <f ca="1">IFERROR(__xludf.DUMMYFUNCTION("IFERROR(GOOGLETRANSLATE(A884,""ko"",""en""),)"),"really")</f>
        <v>really</v>
      </c>
      <c r="C884" s="4" t="str">
        <f ca="1">IFERROR(__xludf.DUMMYFUNCTION("IFERROR(GOOGLETRANSLATE(B884,""en"",""ja""),)"),"本当に")</f>
        <v>本当に</v>
      </c>
      <c r="D884" s="4" t="str">
        <f ca="1">IFERROR(__xludf.DUMMYFUNCTION("IFERROR(GOOGLETRANSLATE(B884,""en"",""zh-TW""),)"),"真的")</f>
        <v>真的</v>
      </c>
      <c r="E884" s="4" t="str">
        <f ca="1">IFERROR(__xludf.DUMMYFUNCTION("IFERROR(GOOGLETRANSLATE(B884,""en"",""zh-CN""),)"),"真的")</f>
        <v>真的</v>
      </c>
    </row>
    <row r="885" spans="1:5">
      <c r="A885" s="5" t="s">
        <v>201</v>
      </c>
      <c r="B885" s="4" t="str">
        <f ca="1">IFERROR(__xludf.DUMMYFUNCTION("IFERROR(GOOGLETRANSLATE(A885,""ko"",""en""),)"),"because")</f>
        <v>because</v>
      </c>
      <c r="C885" s="4" t="str">
        <f ca="1">IFERROR(__xludf.DUMMYFUNCTION("IFERROR(GOOGLETRANSLATE(B885,""en"",""ja""),)"),"なぜなら")</f>
        <v>なぜなら</v>
      </c>
      <c r="D885" s="4" t="str">
        <f ca="1">IFERROR(__xludf.DUMMYFUNCTION("IFERROR(GOOGLETRANSLATE(B885,""en"",""zh-TW""),)"),"因為")</f>
        <v>因為</v>
      </c>
      <c r="E885" s="4" t="str">
        <f ca="1">IFERROR(__xludf.DUMMYFUNCTION("IFERROR(GOOGLETRANSLATE(B885,""en"",""zh-CN""),)"),"因为")</f>
        <v>因为</v>
      </c>
    </row>
    <row r="886" spans="1:5">
      <c r="A886" s="3" t="s">
        <v>3936</v>
      </c>
      <c r="B886" s="4" t="str">
        <f ca="1">IFERROR(__xludf.DUMMYFUNCTION("IFERROR(GOOGLETRANSLATE(A886,""ko"",""en""),)"),"It's a little cold because of the rain.")</f>
        <v>It's a little cold because of the rain.</v>
      </c>
      <c r="C886" s="4" t="str">
        <f ca="1">IFERROR(__xludf.DUMMYFUNCTION("IFERROR(GOOGLETRANSLATE(B886,""en"",""ja""),)"),"雨のせいで少し寒いです。")</f>
        <v>雨のせいで少し寒いです。</v>
      </c>
      <c r="D886" s="4" t="str">
        <f ca="1">IFERROR(__xludf.DUMMYFUNCTION("IFERROR(GOOGLETRANSLATE(B886,""en"",""zh-TW""),)"),"因為下雨，有點冷。")</f>
        <v>因為下雨，有點冷。</v>
      </c>
      <c r="E886" s="4" t="str">
        <f ca="1">IFERROR(__xludf.DUMMYFUNCTION("IFERROR(GOOGLETRANSLATE(B886,""en"",""zh-CN""),)"),"因为下雨，有点冷。")</f>
        <v>因为下雨，有点冷。</v>
      </c>
    </row>
    <row r="887" spans="1:5">
      <c r="A887" s="3" t="s">
        <v>3942</v>
      </c>
      <c r="B887" s="4" t="str">
        <f ca="1">IFERROR(__xludf.DUMMYFUNCTION("IFERROR(GOOGLETRANSLATE(A887,""ko"",""en""),)"),"beauty salon")</f>
        <v>beauty salon</v>
      </c>
      <c r="C887" s="4" t="str">
        <f ca="1">IFERROR(__xludf.DUMMYFUNCTION("IFERROR(GOOGLETRANSLATE(B887,""en"",""ja""),)"),"ビューティーサロン")</f>
        <v>ビューティーサロン</v>
      </c>
      <c r="D887" s="4" t="str">
        <f ca="1">IFERROR(__xludf.DUMMYFUNCTION("IFERROR(GOOGLETRANSLATE(B887,""en"",""zh-TW""),)"),"美容院")</f>
        <v>美容院</v>
      </c>
      <c r="E887" s="4" t="str">
        <f ca="1">IFERROR(__xludf.DUMMYFUNCTION("IFERROR(GOOGLETRANSLATE(B887,""en"",""zh-CN""),)"),"美容院")</f>
        <v>美容院</v>
      </c>
    </row>
    <row r="888" spans="1:5">
      <c r="A888" s="3" t="s">
        <v>3948</v>
      </c>
      <c r="B888" s="4" t="str">
        <f ca="1">IFERROR(__xludf.DUMMYFUNCTION("IFERROR(GOOGLETRANSLATE(A888,""ko"",""en""),)"),"play")</f>
        <v>play</v>
      </c>
      <c r="C888" s="4" t="str">
        <f ca="1">IFERROR(__xludf.DUMMYFUNCTION("IFERROR(GOOGLETRANSLATE(B888,""en"",""ja""),)"),"遊ぶ")</f>
        <v>遊ぶ</v>
      </c>
      <c r="D888" s="4" t="str">
        <f ca="1">IFERROR(__xludf.DUMMYFUNCTION("IFERROR(GOOGLETRANSLATE(B888,""en"",""zh-TW""),)"),"玩")</f>
        <v>玩</v>
      </c>
      <c r="E888" s="4" t="str">
        <f ca="1">IFERROR(__xludf.DUMMYFUNCTION("IFERROR(GOOGLETRANSLATE(B888,""en"",""zh-CN""),)"),"玩")</f>
        <v>玩</v>
      </c>
    </row>
    <row r="889" spans="1:5">
      <c r="A889" s="3" t="s">
        <v>3951</v>
      </c>
      <c r="B889" s="4" t="str">
        <f ca="1">IFERROR(__xludf.DUMMYFUNCTION("IFERROR(GOOGLETRANSLATE(A889,""ko"",""en""),)"),"amusement park")</f>
        <v>amusement park</v>
      </c>
      <c r="C889" s="4" t="str">
        <f ca="1">IFERROR(__xludf.DUMMYFUNCTION("IFERROR(GOOGLETRANSLATE(B889,""en"",""ja""),)"),"遊園地")</f>
        <v>遊園地</v>
      </c>
      <c r="D889" s="4" t="str">
        <f ca="1">IFERROR(__xludf.DUMMYFUNCTION("IFERROR(GOOGLETRANSLATE(B889,""en"",""zh-TW""),)"),"遊樂園")</f>
        <v>遊樂園</v>
      </c>
      <c r="E889" s="4" t="str">
        <f ca="1">IFERROR(__xludf.DUMMYFUNCTION("IFERROR(GOOGLETRANSLATE(B889,""en"",""zh-CN""),)"),"游乐园")</f>
        <v>游乐园</v>
      </c>
    </row>
    <row r="890" spans="1:5">
      <c r="A890" s="3" t="s">
        <v>3958</v>
      </c>
      <c r="B890" s="4" t="str">
        <f ca="1">IFERROR(__xludf.DUMMYFUNCTION("IFERROR(GOOGLETRANSLATE(A890,""ko"",""en""),)"),"K-Mart")</f>
        <v>K-Mart</v>
      </c>
      <c r="C890" s="4" t="str">
        <f ca="1">IFERROR(__xludf.DUMMYFUNCTION("IFERROR(GOOGLETRANSLATE(B890,""en"",""ja""),)"),"Kマート")</f>
        <v>Kマート</v>
      </c>
      <c r="D890" s="4" t="str">
        <f ca="1">IFERROR(__xludf.DUMMYFUNCTION("IFERROR(GOOGLETRANSLATE(B890,""en"",""zh-TW""),)"),"凱馬特")</f>
        <v>凱馬特</v>
      </c>
      <c r="E890" s="4" t="str">
        <f ca="1">IFERROR(__xludf.DUMMYFUNCTION("IFERROR(GOOGLETRANSLATE(B890,""en"",""zh-CN""),)"),"凯马特")</f>
        <v>凯马特</v>
      </c>
    </row>
    <row r="891" spans="1:5">
      <c r="A891" s="3" t="s">
        <v>3963</v>
      </c>
      <c r="B891" s="4" t="str">
        <f ca="1">IFERROR(__xludf.DUMMYFUNCTION("IFERROR(GOOGLETRANSLATE(A891,""ko"",""en""),)"),"Big W")</f>
        <v>Big W</v>
      </c>
      <c r="C891" s="4" t="str">
        <f ca="1">IFERROR(__xludf.DUMMYFUNCTION("IFERROR(GOOGLETRANSLATE(B891,""en"",""ja""),)"),"ビッグW")</f>
        <v>ビッグW</v>
      </c>
      <c r="D891" s="4" t="str">
        <f ca="1">IFERROR(__xludf.DUMMYFUNCTION("IFERROR(GOOGLETRANSLATE(B891,""en"",""zh-TW""),)"),"Big W")</f>
        <v>Big W</v>
      </c>
      <c r="E891" s="4" t="str">
        <f ca="1">IFERROR(__xludf.DUMMYFUNCTION("IFERROR(GOOGLETRANSLATE(B891,""en"",""zh-CN""),)"),"Big W")</f>
        <v>Big W</v>
      </c>
    </row>
    <row r="892" spans="1:5">
      <c r="A892" s="3" t="s">
        <v>3970</v>
      </c>
      <c r="B892" s="4" t="str">
        <f ca="1">IFERROR(__xludf.DUMMYFUNCTION("IFERROR(GOOGLETRANSLATE(A892,""ko"",""en""),)"),"museum")</f>
        <v>museum</v>
      </c>
      <c r="C892" s="4" t="str">
        <f ca="1">IFERROR(__xludf.DUMMYFUNCTION("IFERROR(GOOGLETRANSLATE(B892,""en"",""ja""),)"),"博物館")</f>
        <v>博物館</v>
      </c>
      <c r="D892" s="4" t="str">
        <f ca="1">IFERROR(__xludf.DUMMYFUNCTION("IFERROR(GOOGLETRANSLATE(B892,""en"",""zh-TW""),)"),"博物館")</f>
        <v>博物館</v>
      </c>
      <c r="E892" s="4" t="str">
        <f ca="1">IFERROR(__xludf.DUMMYFUNCTION("IFERROR(GOOGLETRANSLATE(B892,""en"",""zh-CN""),)"),"博物馆")</f>
        <v>博物馆</v>
      </c>
    </row>
    <row r="893" spans="1:5">
      <c r="A893" s="3" t="s">
        <v>1081</v>
      </c>
      <c r="B893" s="4" t="str">
        <f ca="1">IFERROR(__xludf.DUMMYFUNCTION("IFERROR(GOOGLETRANSLATE(A893,""ko"",""en""),)"),"art gallery")</f>
        <v>art gallery</v>
      </c>
      <c r="C893" s="4" t="str">
        <f ca="1">IFERROR(__xludf.DUMMYFUNCTION("IFERROR(GOOGLETRANSLATE(B893,""en"",""ja""),)"),"アートギャラリー")</f>
        <v>アートギャラリー</v>
      </c>
      <c r="D893" s="4" t="str">
        <f ca="1">IFERROR(__xludf.DUMMYFUNCTION("IFERROR(GOOGLETRANSLATE(B893,""en"",""zh-TW""),)"),"美術館")</f>
        <v>美術館</v>
      </c>
      <c r="E893" s="4" t="str">
        <f ca="1">IFERROR(__xludf.DUMMYFUNCTION("IFERROR(GOOGLETRANSLATE(B893,""en"",""zh-CN""),)"),"美术馆")</f>
        <v>美术馆</v>
      </c>
    </row>
    <row r="894" spans="1:5">
      <c r="A894" s="3" t="s">
        <v>3979</v>
      </c>
      <c r="B894" s="4" t="str">
        <f ca="1">IFERROR(__xludf.DUMMYFUNCTION("IFERROR(GOOGLETRANSLATE(A894,""ko"",""en""),)"),"swimming pool")</f>
        <v>swimming pool</v>
      </c>
      <c r="C894" s="4" t="str">
        <f ca="1">IFERROR(__xludf.DUMMYFUNCTION("IFERROR(GOOGLETRANSLATE(B894,""en"",""ja""),)"),"スイミングプール")</f>
        <v>スイミングプール</v>
      </c>
      <c r="D894" s="4" t="str">
        <f ca="1">IFERROR(__xludf.DUMMYFUNCTION("IFERROR(GOOGLETRANSLATE(B894,""en"",""zh-TW""),)"),"游泳池")</f>
        <v>游泳池</v>
      </c>
      <c r="E894" s="4" t="str">
        <f ca="1">IFERROR(__xludf.DUMMYFUNCTION("IFERROR(GOOGLETRANSLATE(B894,""en"",""zh-CN""),)"),"游泳池")</f>
        <v>游泳池</v>
      </c>
    </row>
    <row r="895" spans="1:5">
      <c r="A895" s="3" t="s">
        <v>3985</v>
      </c>
      <c r="B895" s="4" t="str">
        <f ca="1">IFERROR(__xludf.DUMMYFUNCTION("IFERROR(GOOGLETRANSLATE(A895,""ko"",""en""),)"),"Cut your hair.")</f>
        <v>Cut your hair.</v>
      </c>
      <c r="C895" s="4" t="str">
        <f ca="1">IFERROR(__xludf.DUMMYFUNCTION("IFERROR(GOOGLETRANSLATE(B895,""en"",""ja""),)"),"髪を切ってください。")</f>
        <v>髪を切ってください。</v>
      </c>
      <c r="D895" s="4" t="str">
        <f ca="1">IFERROR(__xludf.DUMMYFUNCTION("IFERROR(GOOGLETRANSLATE(B895,""en"",""zh-TW""),)"),"剪頭髮。")</f>
        <v>剪頭髮。</v>
      </c>
      <c r="E895" s="4" t="str">
        <f ca="1">IFERROR(__xludf.DUMMYFUNCTION("IFERROR(GOOGLETRANSLATE(B895,""en"",""zh-CN""),)"),"剪头发。")</f>
        <v>剪头发。</v>
      </c>
    </row>
    <row r="896" spans="1:5">
      <c r="A896" s="3" t="s">
        <v>684</v>
      </c>
      <c r="B896" s="4" t="str">
        <f ca="1">IFERROR(__xludf.DUMMYFUNCTION("IFERROR(GOOGLETRANSLATE(A896,""ko"",""en""),)"),"head")</f>
        <v>head</v>
      </c>
      <c r="C896" s="4" t="str">
        <f ca="1">IFERROR(__xludf.DUMMYFUNCTION("IFERROR(GOOGLETRANSLATE(B896,""en"",""ja""),)"),"頭")</f>
        <v>頭</v>
      </c>
      <c r="D896" s="4" t="str">
        <f ca="1">IFERROR(__xludf.DUMMYFUNCTION("IFERROR(GOOGLETRANSLATE(B896,""en"",""zh-TW""),)"),"頭")</f>
        <v>頭</v>
      </c>
      <c r="E896" s="4" t="str">
        <f ca="1">IFERROR(__xludf.DUMMYFUNCTION("IFERROR(GOOGLETRANSLATE(B896,""en"",""zh-CN""),)"),"头")</f>
        <v>头</v>
      </c>
    </row>
    <row r="897" spans="1:5">
      <c r="A897" s="3" t="s">
        <v>3996</v>
      </c>
      <c r="B897" s="4" t="str">
        <f ca="1">IFERROR(__xludf.DUMMYFUNCTION("IFERROR(GOOGLETRANSLATE(A897,""ko"",""en""),)"),"My head hurts.")</f>
        <v>My head hurts.</v>
      </c>
      <c r="C897" s="4" t="str">
        <f ca="1">IFERROR(__xludf.DUMMYFUNCTION("IFERROR(GOOGLETRANSLATE(B897,""en"",""ja""),)"),"頭が痛い。")</f>
        <v>頭が痛い。</v>
      </c>
      <c r="D897" s="4" t="str">
        <f ca="1">IFERROR(__xludf.DUMMYFUNCTION("IFERROR(GOOGLETRANSLATE(B897,""en"",""zh-TW""),)"),"我頭痛。")</f>
        <v>我頭痛。</v>
      </c>
      <c r="E897" s="4" t="str">
        <f ca="1">IFERROR(__xludf.DUMMYFUNCTION("IFERROR(GOOGLETRANSLATE(B897,""en"",""zh-CN""),)"),"我头疼。")</f>
        <v>我头疼。</v>
      </c>
    </row>
    <row r="898" spans="1:5">
      <c r="A898" s="3" t="s">
        <v>733</v>
      </c>
      <c r="B898" s="4" t="str">
        <f ca="1">IFERROR(__xludf.DUMMYFUNCTION("IFERROR(GOOGLETRANSLATE(A898,""ko"",""en""),)"),"My stomach hurts.")</f>
        <v>My stomach hurts.</v>
      </c>
      <c r="C898" s="4" t="str">
        <f ca="1">IFERROR(__xludf.DUMMYFUNCTION("IFERROR(GOOGLETRANSLATE(B898,""en"",""ja""),)"),"お腹が痛い。")</f>
        <v>お腹が痛い。</v>
      </c>
      <c r="D898" s="4" t="str">
        <f ca="1">IFERROR(__xludf.DUMMYFUNCTION("IFERROR(GOOGLETRANSLATE(B898,""en"",""zh-TW""),)"),"我肚子痛。")</f>
        <v>我肚子痛。</v>
      </c>
      <c r="E898" s="4" t="str">
        <f ca="1">IFERROR(__xludf.DUMMYFUNCTION("IFERROR(GOOGLETRANSLATE(B898,""en"",""zh-CN""),)"),"我肚子疼。")</f>
        <v>我肚子疼。</v>
      </c>
    </row>
    <row r="899" spans="1:5">
      <c r="A899" s="3" t="s">
        <v>4004</v>
      </c>
      <c r="B899" s="4" t="str">
        <f ca="1">IFERROR(__xludf.DUMMYFUNCTION("IFERROR(GOOGLETRANSLATE(A899,""ko"",""en""),)"),"My arm hurts.")</f>
        <v>My arm hurts.</v>
      </c>
      <c r="C899" s="4" t="str">
        <f ca="1">IFERROR(__xludf.DUMMYFUNCTION("IFERROR(GOOGLETRANSLATE(B899,""en"",""ja""),)"),"腕が痛い。")</f>
        <v>腕が痛い。</v>
      </c>
      <c r="D899" s="4" t="str">
        <f ca="1">IFERROR(__xludf.DUMMYFUNCTION("IFERROR(GOOGLETRANSLATE(B899,""en"",""zh-TW""),)"),"我的手臂很痛。")</f>
        <v>我的手臂很痛。</v>
      </c>
      <c r="E899" s="4" t="str">
        <f ca="1">IFERROR(__xludf.DUMMYFUNCTION("IFERROR(GOOGLETRANSLATE(B899,""en"",""zh-CN""),)"),"我的胳膊疼。")</f>
        <v>我的胳膊疼。</v>
      </c>
    </row>
    <row r="900" spans="1:5">
      <c r="A900" s="3" t="s">
        <v>4010</v>
      </c>
      <c r="B900" s="4" t="str">
        <f ca="1">IFERROR(__xludf.DUMMYFUNCTION("IFERROR(GOOGLETRANSLATE(A900,""ko"",""en""),)"),"Ride the amusement rides.")</f>
        <v>Ride the amusement rides.</v>
      </c>
      <c r="C900" s="4" t="str">
        <f ca="1">IFERROR(__xludf.DUMMYFUNCTION("IFERROR(GOOGLETRANSLATE(B900,""en"",""ja""),)"),"遊園地の乗り物に乗ってみよう。")</f>
        <v>遊園地の乗り物に乗ってみよう。</v>
      </c>
      <c r="D900" s="4" t="str">
        <f ca="1">IFERROR(__xludf.DUMMYFUNCTION("IFERROR(GOOGLETRANSLATE(B900,""en"",""zh-TW""),)"),"去玩遊樂設施。")</f>
        <v>去玩遊樂設施。</v>
      </c>
      <c r="E900" s="4" t="str">
        <f ca="1">IFERROR(__xludf.DUMMYFUNCTION("IFERROR(GOOGLETRANSLATE(B900,""en"",""zh-CN""),)"),"去玩游乐设施。")</f>
        <v>去玩游乐设施。</v>
      </c>
    </row>
    <row r="901" spans="1:5">
      <c r="A901" s="3" t="s">
        <v>4015</v>
      </c>
      <c r="B901" s="4" t="str">
        <f ca="1">IFERROR(__xludf.DUMMYFUNCTION("IFERROR(GOOGLETRANSLATE(A901,""ko"",""en""),)"),"Borrow a book.")</f>
        <v>Borrow a book.</v>
      </c>
      <c r="C901" s="4" t="str">
        <f ca="1">IFERROR(__xludf.DUMMYFUNCTION("IFERROR(GOOGLETRANSLATE(B901,""en"",""ja""),)"),"本を借りる。")</f>
        <v>本を借りる。</v>
      </c>
      <c r="D901" s="4" t="str">
        <f ca="1">IFERROR(__xludf.DUMMYFUNCTION("IFERROR(GOOGLETRANSLATE(B901,""en"",""zh-TW""),)"),"借一本書。")</f>
        <v>借一本書。</v>
      </c>
      <c r="E901" s="4" t="str">
        <f ca="1">IFERROR(__xludf.DUMMYFUNCTION("IFERROR(GOOGLETRANSLATE(B901,""en"",""zh-CN""),)"),"借一本书。")</f>
        <v>借一本书。</v>
      </c>
    </row>
    <row r="902" spans="1:5">
      <c r="A902" s="3" t="s">
        <v>4021</v>
      </c>
      <c r="B902" s="4" t="str">
        <f ca="1">IFERROR(__xludf.DUMMYFUNCTION("IFERROR(GOOGLETRANSLATE(A902,""ko"",""en""),)"),"Sing.")</f>
        <v>Sing.</v>
      </c>
      <c r="C902" s="4" t="str">
        <f ca="1">IFERROR(__xludf.DUMMYFUNCTION("IFERROR(GOOGLETRANSLATE(B902,""en"",""ja""),)"),"歌う。")</f>
        <v>歌う。</v>
      </c>
      <c r="D902" s="4" t="str">
        <f ca="1">IFERROR(__xludf.DUMMYFUNCTION("IFERROR(GOOGLETRANSLATE(B902,""en"",""zh-TW""),)"),"唱歌。")</f>
        <v>唱歌。</v>
      </c>
      <c r="E902" s="4" t="str">
        <f ca="1">IFERROR(__xludf.DUMMYFUNCTION("IFERROR(GOOGLETRANSLATE(B902,""en"",""zh-CN""),)"),"唱歌。")</f>
        <v>唱歌。</v>
      </c>
    </row>
    <row r="903" spans="1:5">
      <c r="A903" s="3" t="s">
        <v>4026</v>
      </c>
      <c r="B903" s="4" t="str">
        <f ca="1">IFERROR(__xludf.DUMMYFUNCTION("IFERROR(GOOGLETRANSLATE(A903,""ko"",""en""),)"),"Sing a song.")</f>
        <v>Sing a song.</v>
      </c>
      <c r="C903" s="4" t="str">
        <f ca="1">IFERROR(__xludf.DUMMYFUNCTION("IFERROR(GOOGLETRANSLATE(B903,""en"",""ja""),)"),"歌を歌ってください。")</f>
        <v>歌を歌ってください。</v>
      </c>
      <c r="D903" s="4" t="str">
        <f ca="1">IFERROR(__xludf.DUMMYFUNCTION("IFERROR(GOOGLETRANSLATE(B903,""en"",""zh-TW""),)"),"唱歌。")</f>
        <v>唱歌。</v>
      </c>
      <c r="E903" s="4" t="str">
        <f ca="1">IFERROR(__xludf.DUMMYFUNCTION("IFERROR(GOOGLETRANSLATE(B903,""en"",""zh-CN""),)"),"唱歌。")</f>
        <v>唱歌。</v>
      </c>
    </row>
    <row r="904" spans="1:5">
      <c r="A904" s="3" t="s">
        <v>4033</v>
      </c>
      <c r="B904" s="4" t="str">
        <f ca="1">IFERROR(__xludf.DUMMYFUNCTION("IFERROR(GOOGLETRANSLATE(A904,""ko"",""en""),)"),"Dance.")</f>
        <v>Dance.</v>
      </c>
      <c r="C904" s="4" t="str">
        <f ca="1">IFERROR(__xludf.DUMMYFUNCTION("IFERROR(GOOGLETRANSLATE(B904,""en"",""ja""),)"),"ダンス。")</f>
        <v>ダンス。</v>
      </c>
      <c r="D904" s="4" t="str">
        <f ca="1">IFERROR(__xludf.DUMMYFUNCTION("IFERROR(GOOGLETRANSLATE(B904,""en"",""zh-TW""),)"),"舞蹈。")</f>
        <v>舞蹈。</v>
      </c>
      <c r="E904" s="4" t="str">
        <f ca="1">IFERROR(__xludf.DUMMYFUNCTION("IFERROR(GOOGLETRANSLATE(B904,""en"",""zh-CN""),)"),"舞蹈。")</f>
        <v>舞蹈。</v>
      </c>
    </row>
    <row r="905" spans="1:5">
      <c r="A905" s="3" t="s">
        <v>4039</v>
      </c>
      <c r="B905" s="4" t="str">
        <f ca="1">IFERROR(__xludf.DUMMYFUNCTION("IFERROR(GOOGLETRANSLATE(A905,""ko"",""en""),)"),"Take a look.")</f>
        <v>Take a look.</v>
      </c>
      <c r="C905" s="4" t="str">
        <f ca="1">IFERROR(__xludf.DUMMYFUNCTION("IFERROR(GOOGLETRANSLATE(B905,""en"",""ja""),)"),"見てみてください。")</f>
        <v>見てみてください。</v>
      </c>
      <c r="D905" s="4" t="str">
        <f ca="1">IFERROR(__xludf.DUMMYFUNCTION("IFERROR(GOOGLETRANSLATE(B905,""en"",""zh-TW""),)"),"請看。")</f>
        <v>請看。</v>
      </c>
      <c r="E905" s="4" t="str">
        <f ca="1">IFERROR(__xludf.DUMMYFUNCTION("IFERROR(GOOGLETRANSLATE(B905,""en"",""zh-CN""),)"),"请看。")</f>
        <v>请看。</v>
      </c>
    </row>
    <row r="906" spans="1:5">
      <c r="A906" s="3" t="s">
        <v>4052</v>
      </c>
      <c r="B906" s="4" t="str">
        <f ca="1">IFERROR(__xludf.DUMMYFUNCTION("IFERROR(GOOGLETRANSLATE(A906,""ko"",""en""),)"),"I swim.")</f>
        <v>I swim.</v>
      </c>
      <c r="C906" s="4" t="str">
        <f ca="1">IFERROR(__xludf.DUMMYFUNCTION("IFERROR(GOOGLETRANSLATE(B906,""en"",""ja""),)"),"私は泳ぎます。")</f>
        <v>私は泳ぎます。</v>
      </c>
      <c r="D906" s="4" t="str">
        <f ca="1">IFERROR(__xludf.DUMMYFUNCTION("IFERROR(GOOGLETRANSLATE(B906,""en"",""zh-TW""),)"),"我會游泳。")</f>
        <v>我會游泳。</v>
      </c>
      <c r="E906" s="4" t="str">
        <f ca="1">IFERROR(__xludf.DUMMYFUNCTION("IFERROR(GOOGLETRANSLATE(B906,""en"",""zh-CN""),)"),"我会游泳。")</f>
        <v>我会游泳。</v>
      </c>
    </row>
    <row r="907" spans="1:5">
      <c r="A907" s="3" t="s">
        <v>4058</v>
      </c>
      <c r="B907" s="4" t="str">
        <f ca="1">IFERROR(__xludf.DUMMYFUNCTION("IFERROR(GOOGLETRANSLATE(A907,""ko"",""en""),)"),"I work from home.")</f>
        <v>I work from home.</v>
      </c>
      <c r="C907" s="4" t="str">
        <f ca="1">IFERROR(__xludf.DUMMYFUNCTION("IFERROR(GOOGLETRANSLATE(B907,""en"",""ja""),)"),"私は自宅で仕事をしています。")</f>
        <v>私は自宅で仕事をしています。</v>
      </c>
      <c r="D907" s="4" t="str">
        <f ca="1">IFERROR(__xludf.DUMMYFUNCTION("IFERROR(GOOGLETRANSLATE(B907,""en"",""zh-TW""),)"),"我居家辦公。")</f>
        <v>我居家辦公。</v>
      </c>
      <c r="E907" s="4" t="str">
        <f ca="1">IFERROR(__xludf.DUMMYFUNCTION("IFERROR(GOOGLETRANSLATE(B907,""en"",""zh-CN""),)"),"我居家办公。")</f>
        <v>我居家办公。</v>
      </c>
    </row>
    <row r="908" spans="1:5">
      <c r="A908" s="3" t="s">
        <v>4064</v>
      </c>
      <c r="B908" s="4" t="str">
        <f ca="1">IFERROR(__xludf.DUMMYFUNCTION("IFERROR(GOOGLETRANSLATE(A908,""ko"",""en""),)"),"friend's house")</f>
        <v>friend's house</v>
      </c>
      <c r="C908" s="4" t="str">
        <f ca="1">IFERROR(__xludf.DUMMYFUNCTION("IFERROR(GOOGLETRANSLATE(B908,""en"",""ja""),)"),"友人の家")</f>
        <v>友人の家</v>
      </c>
      <c r="D908" s="4" t="str">
        <f ca="1">IFERROR(__xludf.DUMMYFUNCTION("IFERROR(GOOGLETRANSLATE(B908,""en"",""zh-TW""),)"),"朋友家")</f>
        <v>朋友家</v>
      </c>
      <c r="E908" s="4" t="str">
        <f ca="1">IFERROR(__xludf.DUMMYFUNCTION("IFERROR(GOOGLETRANSLATE(B908,""en"",""zh-CN""),)"),"朋友家")</f>
        <v>朋友家</v>
      </c>
    </row>
    <row r="909" spans="1:5">
      <c r="A909" s="3" t="s">
        <v>4070</v>
      </c>
      <c r="B909" s="4" t="str">
        <f ca="1">IFERROR(__xludf.DUMMYFUNCTION("IFERROR(GOOGLETRANSLATE(A909,""ko"",""en""),)"),"Let's go for a walk")</f>
        <v>Let's go for a walk</v>
      </c>
      <c r="C909" s="4" t="str">
        <f ca="1">IFERROR(__xludf.DUMMYFUNCTION("IFERROR(GOOGLETRANSLATE(B909,""en"",""ja""),)"),"散歩に行こう")</f>
        <v>散歩に行こう</v>
      </c>
      <c r="D909" s="4" t="str">
        <f ca="1">IFERROR(__xludf.DUMMYFUNCTION("IFERROR(GOOGLETRANSLATE(B909,""en"",""zh-TW""),)"),"我們去散步吧")</f>
        <v>我們去散步吧</v>
      </c>
      <c r="E909" s="4" t="str">
        <f ca="1">IFERROR(__xludf.DUMMYFUNCTION("IFERROR(GOOGLETRANSLATE(B909,""en"",""zh-CN""),)"),"我们去散步吧")</f>
        <v>我们去散步吧</v>
      </c>
    </row>
    <row r="910" spans="1:5">
      <c r="A910" s="3" t="s">
        <v>4075</v>
      </c>
      <c r="B910" s="4" t="str">
        <f ca="1">IFERROR(__xludf.DUMMYFUNCTION("IFERROR(GOOGLETRANSLATE(A910,""ko"",""en""),)"),"I'm taking a walk with my dog.")</f>
        <v>I'm taking a walk with my dog.</v>
      </c>
      <c r="C910" s="4" t="str">
        <f ca="1">IFERROR(__xludf.DUMMYFUNCTION("IFERROR(GOOGLETRANSLATE(B910,""en"",""ja""),)"),"犬と散歩に出かけます。")</f>
        <v>犬と散歩に出かけます。</v>
      </c>
      <c r="D910" s="4" t="str">
        <f ca="1">IFERROR(__xludf.DUMMYFUNCTION("IFERROR(GOOGLETRANSLATE(B910,""en"",""zh-TW""),)"),"我正在遛狗。")</f>
        <v>我正在遛狗。</v>
      </c>
      <c r="E910" s="4" t="str">
        <f ca="1">IFERROR(__xludf.DUMMYFUNCTION("IFERROR(GOOGLETRANSLATE(B910,""en"",""zh-CN""),)"),"我正在遛狗。")</f>
        <v>我正在遛狗。</v>
      </c>
    </row>
    <row r="911" spans="1:5">
      <c r="A911" s="3" t="s">
        <v>227</v>
      </c>
      <c r="B911" s="4" t="str">
        <f ca="1">IFERROR(__xludf.DUMMYFUNCTION("IFERROR(GOOGLETRANSLATE(A911,""ko"",""en""),)"),"I ride a bicycle.")</f>
        <v>I ride a bicycle.</v>
      </c>
      <c r="C911" s="4" t="str">
        <f ca="1">IFERROR(__xludf.DUMMYFUNCTION("IFERROR(GOOGLETRANSLATE(B911,""en"",""ja""),)"),"私は自転車に乗ります。")</f>
        <v>私は自転車に乗ります。</v>
      </c>
      <c r="D911" s="4" t="str">
        <f ca="1">IFERROR(__xludf.DUMMYFUNCTION("IFERROR(GOOGLETRANSLATE(B911,""en"",""zh-TW""),)"),"我騎自行車。")</f>
        <v>我騎自行車。</v>
      </c>
      <c r="E911" s="4" t="str">
        <f ca="1">IFERROR(__xludf.DUMMYFUNCTION("IFERROR(GOOGLETRANSLATE(B911,""en"",""zh-CN""),)"),"我骑自行车。")</f>
        <v>我骑自行车。</v>
      </c>
    </row>
    <row r="912" spans="1:5">
      <c r="A912" s="3" t="s">
        <v>4086</v>
      </c>
      <c r="B912" s="4" t="str">
        <f ca="1">IFERROR(__xludf.DUMMYFUNCTION("IFERROR(GOOGLETRANSLATE(A912,""ko"",""en""),)"),"neighborhood")</f>
        <v>neighborhood</v>
      </c>
      <c r="C912" s="4" t="str">
        <f ca="1">IFERROR(__xludf.DUMMYFUNCTION("IFERROR(GOOGLETRANSLATE(B912,""en"",""ja""),)"),"近所")</f>
        <v>近所</v>
      </c>
      <c r="D912" s="4" t="str">
        <f ca="1">IFERROR(__xludf.DUMMYFUNCTION("IFERROR(GOOGLETRANSLATE(B912,""en"",""zh-TW""),)"),"鄰裡")</f>
        <v>鄰裡</v>
      </c>
      <c r="E912" s="4" t="str">
        <f ca="1">IFERROR(__xludf.DUMMYFUNCTION("IFERROR(GOOGLETRANSLATE(B912,""en"",""zh-CN""),)"),"邻里")</f>
        <v>邻里</v>
      </c>
    </row>
    <row r="913" spans="1:5">
      <c r="A913" s="3" t="s">
        <v>4091</v>
      </c>
      <c r="B913" s="4" t="str">
        <f ca="1">IFERROR(__xludf.DUMMYFUNCTION("IFERROR(GOOGLETRANSLATE(A913,""ko"",""en""),)"),"I ride a bicycle in the neighborhood.")</f>
        <v>I ride a bicycle in the neighborhood.</v>
      </c>
      <c r="C913" s="4" t="str">
        <f ca="1">IFERROR(__xludf.DUMMYFUNCTION("IFERROR(GOOGLETRANSLATE(B913,""en"",""ja""),)"),"私は近所を自転車で走ります。")</f>
        <v>私は近所を自転車で走ります。</v>
      </c>
      <c r="D913" s="4" t="str">
        <f ca="1">IFERROR(__xludf.DUMMYFUNCTION("IFERROR(GOOGLETRANSLATE(B913,""en"",""zh-TW""),)"),"我經常在附近騎自行車。")</f>
        <v>我經常在附近騎自行車。</v>
      </c>
      <c r="E913" s="4" t="str">
        <f ca="1">IFERROR(__xludf.DUMMYFUNCTION("IFERROR(GOOGLETRANSLATE(B913,""en"",""zh-CN""),)"),"我经常在附近骑自行车。")</f>
        <v>我经常在附近骑自行车。</v>
      </c>
    </row>
    <row r="914" spans="1:5">
      <c r="A914" s="3" t="s">
        <v>4097</v>
      </c>
      <c r="B914" s="4" t="str">
        <f ca="1">IFERROR(__xludf.DUMMYFUNCTION("IFERROR(GOOGLETRANSLATE(A914,""ko"",""en""),)"),"I'm at home. I'm watching a drama.")</f>
        <v>I'm at home. I'm watching a drama.</v>
      </c>
      <c r="C914" s="4" t="str">
        <f ca="1">IFERROR(__xludf.DUMMYFUNCTION("IFERROR(GOOGLETRANSLATE(B914,""en"",""ja""),)"),"私は家にいます。ドラマを見ています。")</f>
        <v>私は家にいます。ドラマを見ています。</v>
      </c>
      <c r="D914" s="4" t="str">
        <f ca="1">IFERROR(__xludf.DUMMYFUNCTION("IFERROR(GOOGLETRANSLATE(B914,""en"",""zh-TW""),)"),"我在家，我在看電視劇。")</f>
        <v>我在家，我在看電視劇。</v>
      </c>
      <c r="E914" s="4" t="str">
        <f ca="1">IFERROR(__xludf.DUMMYFUNCTION("IFERROR(GOOGLETRANSLATE(B914,""en"",""zh-CN""),)"),"我在家，我在看电视剧。")</f>
        <v>我在家，我在看电视剧。</v>
      </c>
    </row>
    <row r="915" spans="1:5">
      <c r="A915" s="3" t="s">
        <v>4102</v>
      </c>
      <c r="B915" s="4" t="str">
        <f ca="1">IFERROR(__xludf.DUMMYFUNCTION("IFERROR(GOOGLETRANSLATE(A915,""ko"",""en""),)"),"Are you home this evening?")</f>
        <v>Are you home this evening?</v>
      </c>
      <c r="C915" s="4" t="str">
        <f ca="1">IFERROR(__xludf.DUMMYFUNCTION("IFERROR(GOOGLETRANSLATE(B915,""en"",""ja""),)"),"今晩は家にいますか？")</f>
        <v>今晩は家にいますか？</v>
      </c>
      <c r="D915" s="4" t="str">
        <f ca="1">IFERROR(__xludf.DUMMYFUNCTION("IFERROR(GOOGLETRANSLATE(B915,""en"",""zh-TW""),)"),"你今晚在家嗎？")</f>
        <v>你今晚在家嗎？</v>
      </c>
      <c r="E915" s="4" t="str">
        <f ca="1">IFERROR(__xludf.DUMMYFUNCTION("IFERROR(GOOGLETRANSLATE(B915,""en"",""zh-CN""),)"),"你今晚在家吗？")</f>
        <v>你今晚在家吗？</v>
      </c>
    </row>
    <row r="916" spans="1:5">
      <c r="A916" s="3" t="s">
        <v>4107</v>
      </c>
      <c r="B916" s="4" t="str">
        <f ca="1">IFERROR(__xludf.DUMMYFUNCTION("IFERROR(GOOGLETRANSLATE(A916,""ko"",""en""),)"),"No, I go to the movie theater. I watch a movie.")</f>
        <v>No, I go to the movie theater. I watch a movie.</v>
      </c>
      <c r="C916" s="4" t="str">
        <f ca="1">IFERROR(__xludf.DUMMYFUNCTION("IFERROR(GOOGLETRANSLATE(B916,""en"",""ja""),)"),"いいえ、私は映画館に行きます。映画を観ます。")</f>
        <v>いいえ、私は映画館に行きます。映画を観ます。</v>
      </c>
      <c r="D916" s="4" t="str">
        <f ca="1">IFERROR(__xludf.DUMMYFUNCTION("IFERROR(GOOGLETRANSLATE(B916,""en"",""zh-TW""),)"),"不，我去電影院看電影。")</f>
        <v>不，我去電影院看電影。</v>
      </c>
      <c r="E916" s="4" t="str">
        <f ca="1">IFERROR(__xludf.DUMMYFUNCTION("IFERROR(GOOGLETRANSLATE(B916,""en"",""zh-CN""),)"),"不，我去电影院看电影。")</f>
        <v>不，我去电影院看电影。</v>
      </c>
    </row>
    <row r="917" spans="1:5">
      <c r="A917" s="3" t="s">
        <v>4113</v>
      </c>
      <c r="B917" s="4" t="str">
        <f ca="1">IFERROR(__xludf.DUMMYFUNCTION("IFERROR(GOOGLETRANSLATE(A917,""ko"",""en""),)"),"Are you going to the museum?")</f>
        <v>Are you going to the museum?</v>
      </c>
      <c r="C917" s="4" t="str">
        <f ca="1">IFERROR(__xludf.DUMMYFUNCTION("IFERROR(GOOGLETRANSLATE(B917,""en"",""ja""),)"),"博物館に行く予定ですか？")</f>
        <v>博物館に行く予定ですか？</v>
      </c>
      <c r="D917" s="4" t="str">
        <f ca="1">IFERROR(__xludf.DUMMYFUNCTION("IFERROR(GOOGLETRANSLATE(B917,""en"",""zh-TW""),)"),"你要去博物館嗎？")</f>
        <v>你要去博物館嗎？</v>
      </c>
      <c r="E917" s="4" t="str">
        <f ca="1">IFERROR(__xludf.DUMMYFUNCTION("IFERROR(GOOGLETRANSLATE(B917,""en"",""zh-CN""),)"),"你要去博物馆吗？")</f>
        <v>你要去博物馆吗？</v>
      </c>
    </row>
    <row r="918" spans="1:5">
      <c r="A918" s="3" t="s">
        <v>4118</v>
      </c>
      <c r="B918" s="4" t="str">
        <f ca="1">IFERROR(__xludf.DUMMYFUNCTION("IFERROR(GOOGLETRANSLATE(A918,""ko"",""en""),)"),"Yes, I'm going to the museum. Let's look around.")</f>
        <v>Yes, I'm going to the museum. Let's look around.</v>
      </c>
      <c r="C918" s="4" t="str">
        <f ca="1">IFERROR(__xludf.DUMMYFUNCTION("IFERROR(GOOGLETRANSLATE(B918,""en"",""ja""),)"),"はい、博物館に行きます。ちょっと見て回りましょう。")</f>
        <v>はい、博物館に行きます。ちょっと見て回りましょう。</v>
      </c>
      <c r="D918" s="4" t="str">
        <f ca="1">IFERROR(__xludf.DUMMYFUNCTION("IFERROR(GOOGLETRANSLATE(B918,""en"",""zh-TW""),)"),"是的，我要去博物館。我們四處逛逛吧。")</f>
        <v>是的，我要去博物館。我們四處逛逛吧。</v>
      </c>
      <c r="E918" s="4" t="str">
        <f ca="1">IFERROR(__xludf.DUMMYFUNCTION("IFERROR(GOOGLETRANSLATE(B918,""en"",""zh-CN""),)"),"是的，我要去博物馆。我们四处逛逛吧。")</f>
        <v>是的，我要去博物馆。我们四处逛逛吧。</v>
      </c>
    </row>
    <row r="919" spans="1:5">
      <c r="A919" s="3" t="s">
        <v>3073</v>
      </c>
      <c r="B919" s="4" t="str">
        <f ca="1">IFERROR(__xludf.DUMMYFUNCTION("IFERROR(GOOGLETRANSLATE(A919,""ko"",""en""),)"),"Are you meeting a friend today?")</f>
        <v>Are you meeting a friend today?</v>
      </c>
      <c r="C919" s="4" t="str">
        <f ca="1">IFERROR(__xludf.DUMMYFUNCTION("IFERROR(GOOGLETRANSLATE(B919,""en"",""ja""),)"),"今日は友達と会う予定ですか？")</f>
        <v>今日は友達と会う予定ですか？</v>
      </c>
      <c r="D919" s="4" t="str">
        <f ca="1">IFERROR(__xludf.DUMMYFUNCTION("IFERROR(GOOGLETRANSLATE(B919,""en"",""zh-TW""),)"),"你今天和朋友見面嗎？")</f>
        <v>你今天和朋友見面嗎？</v>
      </c>
      <c r="E919" s="4" t="str">
        <f ca="1">IFERROR(__xludf.DUMMYFUNCTION("IFERROR(GOOGLETRANSLATE(B919,""en"",""zh-CN""),)"),"你今天和朋友见面吗？")</f>
        <v>你今天和朋友见面吗？</v>
      </c>
    </row>
    <row r="920" spans="1:5">
      <c r="A920" s="3" t="s">
        <v>4122</v>
      </c>
      <c r="B920" s="4" t="str">
        <f ca="1">IFERROR(__xludf.DUMMYFUNCTION("IFERROR(GOOGLETRANSLATE(A920,""ko"",""en""),)"),"No, I'm at home. I'm reading a book.")</f>
        <v>No, I'm at home. I'm reading a book.</v>
      </c>
      <c r="C920" s="4" t="str">
        <f ca="1">IFERROR(__xludf.DUMMYFUNCTION("IFERROR(GOOGLETRANSLATE(B920,""en"",""ja""),)"),"いいえ、家にいます。本を読んでいます。")</f>
        <v>いいえ、家にいます。本を読んでいます。</v>
      </c>
      <c r="D920" s="4" t="str">
        <f ca="1">IFERROR(__xludf.DUMMYFUNCTION("IFERROR(GOOGLETRANSLATE(B920,""en"",""zh-TW""),)"),"不，我在家。我在看書。")</f>
        <v>不，我在家。我在看書。</v>
      </c>
      <c r="E920" s="4" t="str">
        <f ca="1">IFERROR(__xludf.DUMMYFUNCTION("IFERROR(GOOGLETRANSLATE(B920,""en"",""zh-CN""),)"),"不，我在家。我在看书。")</f>
        <v>不，我在家。我在看书。</v>
      </c>
    </row>
    <row r="921" spans="1:5">
      <c r="A921" s="3" t="s">
        <v>3727</v>
      </c>
      <c r="B921" s="4" t="str">
        <f ca="1">IFERROR(__xludf.DUMMYFUNCTION("IFERROR(GOOGLETRANSLATE(A921,""ko"",""en""),)"),"What are you doing tomorrow?")</f>
        <v>What are you doing tomorrow?</v>
      </c>
      <c r="C921" s="4" t="str">
        <f ca="1">IFERROR(__xludf.DUMMYFUNCTION("IFERROR(GOOGLETRANSLATE(B921,""en"",""ja""),)"),"明日は何をする予定ですか？")</f>
        <v>明日は何をする予定ですか？</v>
      </c>
      <c r="D921" s="4" t="str">
        <f ca="1">IFERROR(__xludf.DUMMYFUNCTION("IFERROR(GOOGLETRANSLATE(B921,""en"",""zh-TW""),)"),"你明天有什麼安排？")</f>
        <v>你明天有什麼安排？</v>
      </c>
      <c r="E921" s="4" t="str">
        <f ca="1">IFERROR(__xludf.DUMMYFUNCTION("IFERROR(GOOGLETRANSLATE(B921,""en"",""zh-CN""),)"),"你明天有什么安排？")</f>
        <v>你明天有什么安排？</v>
      </c>
    </row>
    <row r="922" spans="1:5">
      <c r="A922" s="3" t="s">
        <v>4130</v>
      </c>
      <c r="B922" s="4" t="str">
        <f ca="1">IFERROR(__xludf.DUMMYFUNCTION("IFERROR(GOOGLETRANSLATE(A922,""ko"",""en""),)"),"I go to work. I work.")</f>
        <v>I go to work. I work.</v>
      </c>
      <c r="C922" s="4" t="str">
        <f ca="1">IFERROR(__xludf.DUMMYFUNCTION("IFERROR(GOOGLETRANSLATE(B922,""en"",""ja""),)"),"私は仕事に行く。私は働く。")</f>
        <v>私は仕事に行く。私は働く。</v>
      </c>
      <c r="D922" s="4" t="str">
        <f ca="1">IFERROR(__xludf.DUMMYFUNCTION("IFERROR(GOOGLETRANSLATE(B922,""en"",""zh-TW""),)"),"我去上班。我工作。")</f>
        <v>我去上班。我工作。</v>
      </c>
      <c r="E922" s="4" t="str">
        <f ca="1">IFERROR(__xludf.DUMMYFUNCTION("IFERROR(GOOGLETRANSLATE(B922,""en"",""zh-CN""),)"),"我去上班。我工作。")</f>
        <v>我去上班。我工作。</v>
      </c>
    </row>
    <row r="923" spans="1:5">
      <c r="A923" s="3" t="s">
        <v>4134</v>
      </c>
      <c r="B923" s="4" t="str">
        <f ca="1">IFERROR(__xludf.DUMMYFUNCTION("IFERROR(GOOGLETRANSLATE(A923,""ko"",""en""),)"),"I go to school. I teach.")</f>
        <v>I go to school. I teach.</v>
      </c>
      <c r="C923" s="4" t="str">
        <f ca="1">IFERROR(__xludf.DUMMYFUNCTION("IFERROR(GOOGLETRANSLATE(B923,""en"",""ja""),)"),"私は学校に通っています。そして、教師をしています。")</f>
        <v>私は学校に通っています。そして、教師をしています。</v>
      </c>
      <c r="D923" s="4" t="str">
        <f ca="1">IFERROR(__xludf.DUMMYFUNCTION("IFERROR(GOOGLETRANSLATE(B923,""en"",""zh-TW""),)"),"我上學，我教書。")</f>
        <v>我上學，我教書。</v>
      </c>
      <c r="E923" s="4" t="str">
        <f ca="1">IFERROR(__xludf.DUMMYFUNCTION("IFERROR(GOOGLETRANSLATE(B923,""en"",""zh-CN""),)"),"我上学，我教书。")</f>
        <v>我上学，我教书。</v>
      </c>
    </row>
    <row r="924" spans="1:5">
      <c r="A924" s="3" t="s">
        <v>4139</v>
      </c>
      <c r="B924" s="4" t="str">
        <f ca="1">IFERROR(__xludf.DUMMYFUNCTION("IFERROR(GOOGLETRANSLATE(A924,""ko"",""en""),)"),"I'm going to the hospital.")</f>
        <v>I'm going to the hospital.</v>
      </c>
      <c r="C924" s="4" t="str">
        <f ca="1">IFERROR(__xludf.DUMMYFUNCTION("IFERROR(GOOGLETRANSLATE(B924,""en"",""ja""),)"),"病院に行きます。")</f>
        <v>病院に行きます。</v>
      </c>
      <c r="D924" s="4" t="str">
        <f ca="1">IFERROR(__xludf.DUMMYFUNCTION("IFERROR(GOOGLETRANSLATE(B924,""en"",""zh-TW""),)"),"我要去醫院。")</f>
        <v>我要去醫院。</v>
      </c>
      <c r="E924" s="4" t="str">
        <f ca="1">IFERROR(__xludf.DUMMYFUNCTION("IFERROR(GOOGLETRANSLATE(B924,""en"",""zh-CN""),)"),"我要去医院。")</f>
        <v>我要去医院。</v>
      </c>
    </row>
    <row r="925" spans="1:5">
      <c r="A925" s="5" t="s">
        <v>4142</v>
      </c>
      <c r="B925" s="4" t="str">
        <f ca="1">IFERROR(__xludf.DUMMYFUNCTION("IFERROR(GOOGLETRANSLATE(A925,""ko"",""en""),)"),"Take care of the patient.")</f>
        <v>Take care of the patient.</v>
      </c>
      <c r="C925" s="4" t="str">
        <f ca="1">IFERROR(__xludf.DUMMYFUNCTION("IFERROR(GOOGLETRANSLATE(B925,""en"",""ja""),)"),"患者の世話をしてください。")</f>
        <v>患者の世話をしてください。</v>
      </c>
      <c r="D925" s="4" t="str">
        <f ca="1">IFERROR(__xludf.DUMMYFUNCTION("IFERROR(GOOGLETRANSLATE(B925,""en"",""zh-TW""),)"),"照顧好病人。")</f>
        <v>照顧好病人。</v>
      </c>
      <c r="E925" s="4" t="str">
        <f ca="1">IFERROR(__xludf.DUMMYFUNCTION("IFERROR(GOOGLETRANSLATE(B925,""en"",""zh-CN""),)"),"照顾好病人。")</f>
        <v>照顾好病人。</v>
      </c>
    </row>
    <row r="926" spans="1:5">
      <c r="A926" s="5" t="s">
        <v>4146</v>
      </c>
      <c r="B926" s="4" t="str">
        <f ca="1">IFERROR(__xludf.DUMMYFUNCTION("IFERROR(GOOGLETRANSLATE(A926,""ko"",""en""),)"),"Help the patient.")</f>
        <v>Help the patient.</v>
      </c>
      <c r="C926" s="4" t="str">
        <f ca="1">IFERROR(__xludf.DUMMYFUNCTION("IFERROR(GOOGLETRANSLATE(B926,""en"",""ja""),)"),"患者を助けてください。")</f>
        <v>患者を助けてください。</v>
      </c>
      <c r="D926" s="4" t="str">
        <f ca="1">IFERROR(__xludf.DUMMYFUNCTION("IFERROR(GOOGLETRANSLATE(B926,""en"",""zh-TW""),)"),"幫助病人。")</f>
        <v>幫助病人。</v>
      </c>
      <c r="E926" s="4" t="str">
        <f ca="1">IFERROR(__xludf.DUMMYFUNCTION("IFERROR(GOOGLETRANSLATE(B926,""en"",""zh-CN""),)"),"帮助病人。")</f>
        <v>帮助病人。</v>
      </c>
    </row>
    <row r="927" spans="1:5">
      <c r="A927" s="3" t="s">
        <v>4150</v>
      </c>
      <c r="B927" s="4" t="str">
        <f ca="1">IFERROR(__xludf.DUMMYFUNCTION("IFERROR(GOOGLETRANSLATE(A927,""ko"",""en""),)"),"Help your friend.")</f>
        <v>Help your friend.</v>
      </c>
      <c r="C927" s="4" t="str">
        <f ca="1">IFERROR(__xludf.DUMMYFUNCTION("IFERROR(GOOGLETRANSLATE(B927,""en"",""ja""),)"),"友達を助けてあげて。")</f>
        <v>友達を助けてあげて。</v>
      </c>
      <c r="D927" s="4" t="str">
        <f ca="1">IFERROR(__xludf.DUMMYFUNCTION("IFERROR(GOOGLETRANSLATE(B927,""en"",""zh-TW""),)"),"幫助你的朋友。")</f>
        <v>幫助你的朋友。</v>
      </c>
      <c r="E927" s="4" t="str">
        <f ca="1">IFERROR(__xludf.DUMMYFUNCTION("IFERROR(GOOGLETRANSLATE(B927,""en"",""zh-CN""),)"),"帮助你的朋友。")</f>
        <v>帮助你的朋友。</v>
      </c>
    </row>
    <row r="928" spans="1:5">
      <c r="A928" s="3" t="s">
        <v>4155</v>
      </c>
      <c r="B928" s="4" t="str">
        <f ca="1">IFERROR(__xludf.DUMMYFUNCTION("IFERROR(GOOGLETRANSLATE(A928,""ko"",""en""),)"),"I'm going to the swimming pool.")</f>
        <v>I'm going to the swimming pool.</v>
      </c>
      <c r="C928" s="4" t="str">
        <f ca="1">IFERROR(__xludf.DUMMYFUNCTION("IFERROR(GOOGLETRANSLATE(B928,""en"",""ja""),)"),"私はプールに行きます。")</f>
        <v>私はプールに行きます。</v>
      </c>
      <c r="D928" s="4" t="str">
        <f ca="1">IFERROR(__xludf.DUMMYFUNCTION("IFERROR(GOOGLETRANSLATE(B928,""en"",""zh-TW""),)"),"我要去游泳池。")</f>
        <v>我要去游泳池。</v>
      </c>
      <c r="E928" s="4" t="str">
        <f ca="1">IFERROR(__xludf.DUMMYFUNCTION("IFERROR(GOOGLETRANSLATE(B928,""en"",""zh-CN""),)"),"我要去游泳池。")</f>
        <v>我要去游泳池。</v>
      </c>
    </row>
    <row r="929" spans="1:5">
      <c r="A929" s="3" t="s">
        <v>4159</v>
      </c>
      <c r="B929" s="4" t="str">
        <f ca="1">IFERROR(__xludf.DUMMYFUNCTION("IFERROR(GOOGLETRANSLATE(A929,""ko"",""en""),)"),"I swim in the swimming pool.")</f>
        <v>I swim in the swimming pool.</v>
      </c>
      <c r="C929" s="4" t="str">
        <f ca="1">IFERROR(__xludf.DUMMYFUNCTION("IFERROR(GOOGLETRANSLATE(B929,""en"",""ja""),)"),"私はプールで泳ぎます。")</f>
        <v>私はプールで泳ぎます。</v>
      </c>
      <c r="D929" s="4" t="str">
        <f ca="1">IFERROR(__xludf.DUMMYFUNCTION("IFERROR(GOOGLETRANSLATE(B929,""en"",""zh-TW""),)"),"我在游泳池裡游泳。")</f>
        <v>我在游泳池裡游泳。</v>
      </c>
      <c r="E929" s="4" t="str">
        <f ca="1">IFERROR(__xludf.DUMMYFUNCTION("IFERROR(GOOGLETRANSLATE(B929,""en"",""zh-CN""),)"),"我在游泳池里游泳。")</f>
        <v>我在游泳池里游泳。</v>
      </c>
    </row>
    <row r="930" spans="1:5">
      <c r="A930" s="3" t="s">
        <v>4163</v>
      </c>
      <c r="B930" s="4" t="str">
        <f ca="1">IFERROR(__xludf.DUMMYFUNCTION("IFERROR(GOOGLETRANSLATE(A930,""ko"",""en""),)"),"I go on a date.")</f>
        <v>I go on a date.</v>
      </c>
      <c r="C930" s="4" t="str">
        <f ca="1">IFERROR(__xludf.DUMMYFUNCTION("IFERROR(GOOGLETRANSLATE(B930,""en"",""ja""),)"),"私はデートに行く。")</f>
        <v>私はデートに行く。</v>
      </c>
      <c r="D930" s="4" t="str">
        <f ca="1">IFERROR(__xludf.DUMMYFUNCTION("IFERROR(GOOGLETRANSLATE(B930,""en"",""zh-TW""),)"),"我去約會了。")</f>
        <v>我去約會了。</v>
      </c>
      <c r="E930" s="4" t="str">
        <f ca="1">IFERROR(__xludf.DUMMYFUNCTION("IFERROR(GOOGLETRANSLATE(B930,""en"",""zh-CN""),)"),"我去约会了。")</f>
        <v>我去约会了。</v>
      </c>
    </row>
    <row r="931" spans="1:5">
      <c r="A931" s="3" t="s">
        <v>4165</v>
      </c>
      <c r="B931" s="4" t="str">
        <f ca="1">IFERROR(__xludf.DUMMYFUNCTION("IFERROR(GOOGLETRANSLATE(A931,""ko"",""en""),)"),"I ride a bicycle in the park.")</f>
        <v>I ride a bicycle in the park.</v>
      </c>
      <c r="C931" s="4" t="str">
        <f ca="1">IFERROR(__xludf.DUMMYFUNCTION("IFERROR(GOOGLETRANSLATE(B931,""en"",""ja""),)"),"私は公園で自転車に乗ります。")</f>
        <v>私は公園で自転車に乗ります。</v>
      </c>
      <c r="D931" s="4" t="str">
        <f ca="1">IFERROR(__xludf.DUMMYFUNCTION("IFERROR(GOOGLETRANSLATE(B931,""en"",""zh-TW""),)"),"我在公園裡騎自行車。")</f>
        <v>我在公園裡騎自行車。</v>
      </c>
      <c r="E931" s="4" t="str">
        <f ca="1">IFERROR(__xludf.DUMMYFUNCTION("IFERROR(GOOGLETRANSLATE(B931,""en"",""zh-CN""),)"),"我在公园里骑自行车。")</f>
        <v>我在公园里骑自行车。</v>
      </c>
    </row>
    <row r="932" spans="1:5">
      <c r="A932" s="3" t="s">
        <v>4168</v>
      </c>
      <c r="B932" s="4" t="str">
        <f ca="1">IFERROR(__xludf.DUMMYFUNCTION("IFERROR(GOOGLETRANSLATE(A932,""ko"",""en""),)"),"I'm having dinner at a restaurant.")</f>
        <v>I'm having dinner at a restaurant.</v>
      </c>
      <c r="C932" s="4" t="str">
        <f ca="1">IFERROR(__xludf.DUMMYFUNCTION("IFERROR(GOOGLETRANSLATE(B932,""en"",""ja""),)"),"私はレストランで夕食を食べています。")</f>
        <v>私はレストランで夕食を食べています。</v>
      </c>
      <c r="D932" s="4" t="str">
        <f ca="1">IFERROR(__xludf.DUMMYFUNCTION("IFERROR(GOOGLETRANSLATE(B932,""en"",""zh-TW""),)"),"我正在餐廳吃晚餐。")</f>
        <v>我正在餐廳吃晚餐。</v>
      </c>
      <c r="E932" s="4" t="str">
        <f ca="1">IFERROR(__xludf.DUMMYFUNCTION("IFERROR(GOOGLETRANSLATE(B932,""en"",""zh-CN""),)"),"我正在餐厅吃晚饭。")</f>
        <v>我正在餐厅吃晚饭。</v>
      </c>
    </row>
    <row r="933" spans="1:5">
      <c r="A933" s="3" t="s">
        <v>4174</v>
      </c>
      <c r="B933" s="4" t="str">
        <f ca="1">IFERROR(__xludf.DUMMYFUNCTION("IFERROR(GOOGLETRANSLATE(A933,""ko"",""en""),)"),"I eat at a restaurant.")</f>
        <v>I eat at a restaurant.</v>
      </c>
      <c r="C933" s="4" t="str">
        <f ca="1">IFERROR(__xludf.DUMMYFUNCTION("IFERROR(GOOGLETRANSLATE(B933,""en"",""ja""),)"),"私はレストランで食事をします。")</f>
        <v>私はレストランで食事をします。</v>
      </c>
      <c r="D933" s="4" t="str">
        <f ca="1">IFERROR(__xludf.DUMMYFUNCTION("IFERROR(GOOGLETRANSLATE(B933,""en"",""zh-TW""),)"),"我在一家餐廳吃飯。")</f>
        <v>我在一家餐廳吃飯。</v>
      </c>
      <c r="E933" s="4" t="str">
        <f ca="1">IFERROR(__xludf.DUMMYFUNCTION("IFERROR(GOOGLETRANSLATE(B933,""en"",""zh-CN""),)"),"我在一家餐馆吃饭。")</f>
        <v>我在一家餐馆吃饭。</v>
      </c>
    </row>
    <row r="934" spans="1:5">
      <c r="A934" s="3" t="s">
        <v>4180</v>
      </c>
      <c r="B934" s="4" t="str">
        <f ca="1">IFERROR(__xludf.DUMMYFUNCTION("IFERROR(GOOGLETRANSLATE(A934,""ko"",""en""),)"),"I drink wine.")</f>
        <v>I drink wine.</v>
      </c>
      <c r="C934" s="4" t="str">
        <f ca="1">IFERROR(__xludf.DUMMYFUNCTION("IFERROR(GOOGLETRANSLATE(B934,""en"",""ja""),)"),"私はワインを飲みます。")</f>
        <v>私はワインを飲みます。</v>
      </c>
      <c r="D934" s="4" t="str">
        <f ca="1">IFERROR(__xludf.DUMMYFUNCTION("IFERROR(GOOGLETRANSLATE(B934,""en"",""zh-TW""),)"),"我喝葡萄酒。")</f>
        <v>我喝葡萄酒。</v>
      </c>
      <c r="E934" s="4" t="str">
        <f ca="1">IFERROR(__xludf.DUMMYFUNCTION("IFERROR(GOOGLETRANSLATE(B934,""en"",""zh-CN""),)"),"我喝葡萄酒。")</f>
        <v>我喝葡萄酒。</v>
      </c>
    </row>
    <row r="935" spans="1:5">
      <c r="A935" s="3" t="s">
        <v>4186</v>
      </c>
      <c r="B935" s="4" t="str">
        <f ca="1">IFERROR(__xludf.DUMMYFUNCTION("IFERROR(GOOGLETRANSLATE(A935,""ko"",""en""),)"),"I'm meeting a friend at a cafe.")</f>
        <v>I'm meeting a friend at a cafe.</v>
      </c>
      <c r="C935" s="4" t="str">
        <f ca="1">IFERROR(__xludf.DUMMYFUNCTION("IFERROR(GOOGLETRANSLATE(B935,""en"",""ja""),)"),"カフェで友達と待ち合わせをしている。")</f>
        <v>カフェで友達と待ち合わせをしている。</v>
      </c>
      <c r="D935" s="4" t="str">
        <f ca="1">IFERROR(__xludf.DUMMYFUNCTION("IFERROR(GOOGLETRANSLATE(B935,""en"",""zh-TW""),)"),"我和朋友在咖啡館見面。")</f>
        <v>我和朋友在咖啡館見面。</v>
      </c>
      <c r="E935" s="4" t="str">
        <f ca="1">IFERROR(__xludf.DUMMYFUNCTION("IFERROR(GOOGLETRANSLATE(B935,""en"",""zh-CN""),)"),"我和朋友在咖啡馆见面。")</f>
        <v>我和朋友在咖啡馆见面。</v>
      </c>
    </row>
    <row r="936" spans="1:5">
      <c r="A936" s="3" t="s">
        <v>4191</v>
      </c>
      <c r="B936" s="4" t="str">
        <f ca="1">IFERROR(__xludf.DUMMYFUNCTION("IFERROR(GOOGLETRANSLATE(A936,""ko"",""en""),)"),"I watch dramas at home.")</f>
        <v>I watch dramas at home.</v>
      </c>
      <c r="C936" s="4" t="str">
        <f ca="1">IFERROR(__xludf.DUMMYFUNCTION("IFERROR(GOOGLETRANSLATE(B936,""en"",""ja""),)"),"私は家でドラマを観ます。")</f>
        <v>私は家でドラマを観ます。</v>
      </c>
      <c r="D936" s="4" t="str">
        <f ca="1">IFERROR(__xludf.DUMMYFUNCTION("IFERROR(GOOGLETRANSLATE(B936,""en"",""zh-TW""),)"),"我喜歡在家看電視劇。")</f>
        <v>我喜歡在家看電視劇。</v>
      </c>
      <c r="E936" s="4" t="str">
        <f ca="1">IFERROR(__xludf.DUMMYFUNCTION("IFERROR(GOOGLETRANSLATE(B936,""en"",""zh-CN""),)"),"我喜欢在家看电视剧。")</f>
        <v>我喜欢在家看电视剧。</v>
      </c>
    </row>
    <row r="937" spans="1:5">
      <c r="A937" s="3" t="s">
        <v>4196</v>
      </c>
      <c r="B937" s="4" t="str">
        <f ca="1">IFERROR(__xludf.DUMMYFUNCTION("IFERROR(GOOGLETRANSLATE(A937,""ko"",""en""),)"),"I go shopping at a department store.")</f>
        <v>I go shopping at a department store.</v>
      </c>
      <c r="C937" s="4" t="str">
        <f ca="1">IFERROR(__xludf.DUMMYFUNCTION("IFERROR(GOOGLETRANSLATE(B937,""en"",""ja""),)"),"私はデパートで買い物をする。")</f>
        <v>私はデパートで買い物をする。</v>
      </c>
      <c r="D937" s="4" t="str">
        <f ca="1">IFERROR(__xludf.DUMMYFUNCTION("IFERROR(GOOGLETRANSLATE(B937,""en"",""zh-TW""),)"),"我去百貨公司購物。")</f>
        <v>我去百貨公司購物。</v>
      </c>
      <c r="E937" s="4" t="str">
        <f ca="1">IFERROR(__xludf.DUMMYFUNCTION("IFERROR(GOOGLETRANSLATE(B937,""en"",""zh-CN""),)"),"我去百货商店购物。")</f>
        <v>我去百货商店购物。</v>
      </c>
    </row>
    <row r="938" spans="1:5">
      <c r="A938" s="3" t="s">
        <v>4186</v>
      </c>
      <c r="B938" s="4" t="str">
        <f ca="1">IFERROR(__xludf.DUMMYFUNCTION("IFERROR(GOOGLETRANSLATE(A938,""ko"",""en""),)"),"I'm meeting a friend at a cafe.")</f>
        <v>I'm meeting a friend at a cafe.</v>
      </c>
      <c r="C938" s="4" t="str">
        <f ca="1">IFERROR(__xludf.DUMMYFUNCTION("IFERROR(GOOGLETRANSLATE(B938,""en"",""ja""),)"),"カフェで友達と待ち合わせをしている。")</f>
        <v>カフェで友達と待ち合わせをしている。</v>
      </c>
      <c r="D938" s="4" t="str">
        <f ca="1">IFERROR(__xludf.DUMMYFUNCTION("IFERROR(GOOGLETRANSLATE(B938,""en"",""zh-TW""),)"),"我和朋友在咖啡館見面。")</f>
        <v>我和朋友在咖啡館見面。</v>
      </c>
      <c r="E938" s="4" t="str">
        <f ca="1">IFERROR(__xludf.DUMMYFUNCTION("IFERROR(GOOGLETRANSLATE(B938,""en"",""zh-CN""),)"),"我和朋友在咖啡馆见面。")</f>
        <v>我和朋友在咖啡馆见面。</v>
      </c>
    </row>
    <row r="939" spans="1:5">
      <c r="A939" s="3" t="s">
        <v>4212</v>
      </c>
      <c r="B939" s="4" t="str">
        <f ca="1">IFERROR(__xludf.DUMMYFUNCTION("IFERROR(GOOGLETRANSLATE(A939,""ko"",""en""),)"),"plan")</f>
        <v>plan</v>
      </c>
      <c r="C939" s="4" t="str">
        <f ca="1">IFERROR(__xludf.DUMMYFUNCTION("IFERROR(GOOGLETRANSLATE(B939,""en"",""ja""),)"),"プラン")</f>
        <v>プラン</v>
      </c>
      <c r="D939" s="4" t="str">
        <f ca="1">IFERROR(__xludf.DUMMYFUNCTION("IFERROR(GOOGLETRANSLATE(B939,""en"",""zh-TW""),)"),"計劃")</f>
        <v>計劃</v>
      </c>
      <c r="E939" s="4" t="str">
        <f ca="1">IFERROR(__xludf.DUMMYFUNCTION("IFERROR(GOOGLETRANSLATE(B939,""en"",""zh-CN""),)"),"计划")</f>
        <v>计划</v>
      </c>
    </row>
    <row r="940" spans="1:5">
      <c r="A940" s="5" t="s">
        <v>2927</v>
      </c>
      <c r="B940" s="4" t="str">
        <f ca="1">IFERROR(__xludf.DUMMYFUNCTION("IFERROR(GOOGLETRANSLATE(A940,""ko"",""en""),)"),"I do housework.")</f>
        <v>I do housework.</v>
      </c>
      <c r="C940" s="4" t="str">
        <f ca="1">IFERROR(__xludf.DUMMYFUNCTION("IFERROR(GOOGLETRANSLATE(B940,""en"",""ja""),)"),"私は家事をします。")</f>
        <v>私は家事をします。</v>
      </c>
      <c r="D940" s="4" t="str">
        <f ca="1">IFERROR(__xludf.DUMMYFUNCTION("IFERROR(GOOGLETRANSLATE(B940,""en"",""zh-TW""),)"),"我做家事。")</f>
        <v>我做家事。</v>
      </c>
      <c r="E940" s="4" t="str">
        <f ca="1">IFERROR(__xludf.DUMMYFUNCTION("IFERROR(GOOGLETRANSLATE(B940,""en"",""zh-CN""),)"),"我做家务。")</f>
        <v>我做家务。</v>
      </c>
    </row>
    <row r="941" spans="1:5">
      <c r="A941" s="3" t="s">
        <v>4220</v>
      </c>
      <c r="B941" s="4" t="str">
        <f ca="1">IFERROR(__xludf.DUMMYFUNCTION("IFERROR(GOOGLETRANSLATE(A941,""ko"",""en""),)"),"Clean up.")</f>
        <v>Clean up.</v>
      </c>
      <c r="C941" s="4" t="str">
        <f ca="1">IFERROR(__xludf.DUMMYFUNCTION("IFERROR(GOOGLETRANSLATE(B941,""en"",""ja""),)"),"掃除。")</f>
        <v>掃除。</v>
      </c>
      <c r="D941" s="4" t="str">
        <f ca="1">IFERROR(__xludf.DUMMYFUNCTION("IFERROR(GOOGLETRANSLATE(B941,""en"",""zh-TW""),)"),"清理。")</f>
        <v>清理。</v>
      </c>
      <c r="E941" s="4" t="str">
        <f ca="1">IFERROR(__xludf.DUMMYFUNCTION("IFERROR(GOOGLETRANSLATE(B941,""en"",""zh-CN""),)"),"清理。")</f>
        <v>清理。</v>
      </c>
    </row>
    <row r="942" spans="1:5">
      <c r="A942" s="3" t="s">
        <v>4225</v>
      </c>
      <c r="B942" s="4" t="str">
        <f ca="1">IFERROR(__xludf.DUMMYFUNCTION("IFERROR(GOOGLETRANSLATE(A942,""ko"",""en""),)"),"I'm doing the laundry.")</f>
        <v>I'm doing the laundry.</v>
      </c>
      <c r="C942" s="4" t="str">
        <f ca="1">IFERROR(__xludf.DUMMYFUNCTION("IFERROR(GOOGLETRANSLATE(B942,""en"",""ja""),)"),"洗濯をしているところです。")</f>
        <v>洗濯をしているところです。</v>
      </c>
      <c r="D942" s="4" t="str">
        <f ca="1">IFERROR(__xludf.DUMMYFUNCTION("IFERROR(GOOGLETRANSLATE(B942,""en"",""zh-TW""),)"),"我在洗衣服。")</f>
        <v>我在洗衣服。</v>
      </c>
      <c r="E942" s="4" t="str">
        <f ca="1">IFERROR(__xludf.DUMMYFUNCTION("IFERROR(GOOGLETRANSLATE(B942,""en"",""zh-CN""),)"),"我在洗衣服。")</f>
        <v>我在洗衣服。</v>
      </c>
    </row>
    <row r="943" spans="1:5">
      <c r="A943" s="3" t="s">
        <v>4229</v>
      </c>
      <c r="B943" s="4" t="str">
        <f ca="1">IFERROR(__xludf.DUMMYFUNCTION("IFERROR(GOOGLETRANSLATE(A943,""ko"",""en""),)"),"I'm doing the dishes.")</f>
        <v>I'm doing the dishes.</v>
      </c>
      <c r="C943" s="4" t="str">
        <f ca="1">IFERROR(__xludf.DUMMYFUNCTION("IFERROR(GOOGLETRANSLATE(B943,""en"",""ja""),)"),"私は皿洗いをしています。")</f>
        <v>私は皿洗いをしています。</v>
      </c>
      <c r="D943" s="4" t="str">
        <f ca="1">IFERROR(__xludf.DUMMYFUNCTION("IFERROR(GOOGLETRANSLATE(B943,""en"",""zh-TW""),)"),"我在洗碗。")</f>
        <v>我在洗碗。</v>
      </c>
      <c r="E943" s="4" t="str">
        <f ca="1">IFERROR(__xludf.DUMMYFUNCTION("IFERROR(GOOGLETRANSLATE(B943,""en"",""zh-CN""),)"),"我在洗碗。")</f>
        <v>我在洗碗。</v>
      </c>
    </row>
    <row r="944" spans="1:5">
      <c r="A944" s="3" t="s">
        <v>4231</v>
      </c>
      <c r="B944" s="4" t="str">
        <f ca="1">IFERROR(__xludf.DUMMYFUNCTION("IFERROR(GOOGLETRANSLATE(A944,""ko"",""en""),)"),"I'm cooking.")</f>
        <v>I'm cooking.</v>
      </c>
      <c r="C944" s="4" t="str">
        <f ca="1">IFERROR(__xludf.DUMMYFUNCTION("IFERROR(GOOGLETRANSLATE(B944,""en"",""ja""),)"),"料理をしています。")</f>
        <v>料理をしています。</v>
      </c>
      <c r="D944" s="4" t="str">
        <f ca="1">IFERROR(__xludf.DUMMYFUNCTION("IFERROR(GOOGLETRANSLATE(B944,""en"",""zh-TW""),)"),"我在做飯。")</f>
        <v>我在做飯。</v>
      </c>
      <c r="E944" s="4" t="str">
        <f ca="1">IFERROR(__xludf.DUMMYFUNCTION("IFERROR(GOOGLETRANSLATE(B944,""en"",""zh-CN""),)"),"我在做饭。")</f>
        <v>我在做饭。</v>
      </c>
    </row>
    <row r="945" spans="1:24">
      <c r="A945" s="3" t="s">
        <v>4235</v>
      </c>
      <c r="B945" s="4" t="str">
        <f ca="1">IFERROR(__xludf.DUMMYFUNCTION("IFERROR(GOOGLETRANSLATE(A945,""ko"",""en""),)"),"I'm going to the park on Saturday.")</f>
        <v>I'm going to the park on Saturday.</v>
      </c>
      <c r="C945" s="4" t="str">
        <f ca="1">IFERROR(__xludf.DUMMYFUNCTION("IFERROR(GOOGLETRANSLATE(B945,""en"",""ja""),)"),"私は土曜日に公園に行く予定です。")</f>
        <v>私は土曜日に公園に行く予定です。</v>
      </c>
      <c r="D945" s="4" t="str">
        <f ca="1">IFERROR(__xludf.DUMMYFUNCTION("IFERROR(GOOGLETRANSLATE(B945,""en"",""zh-TW""),)"),"我星期六要去公園。")</f>
        <v>我星期六要去公園。</v>
      </c>
      <c r="E945" s="4" t="str">
        <f ca="1">IFERROR(__xludf.DUMMYFUNCTION("IFERROR(GOOGLETRANSLATE(B945,""en"",""zh-CN""),)"),"我星期六要去公园。")</f>
        <v>我星期六要去公园。</v>
      </c>
    </row>
    <row r="946" spans="1:24">
      <c r="A946" s="3" t="s">
        <v>4244</v>
      </c>
      <c r="B946" s="4" t="str">
        <f ca="1">IFERROR(__xludf.DUMMYFUNCTION("IFERROR(GOOGLETRANSLATE(A946,""ko"",""en""),)"),"I go jogging in the park.")</f>
        <v>I go jogging in the park.</v>
      </c>
      <c r="C946" s="4" t="str">
        <f ca="1">IFERROR(__xludf.DUMMYFUNCTION("IFERROR(GOOGLETRANSLATE(B946,""en"",""ja""),)"),"私は公園でジョギングをします。")</f>
        <v>私は公園でジョギングをします。</v>
      </c>
      <c r="D946" s="4" t="str">
        <f ca="1">IFERROR(__xludf.DUMMYFUNCTION("IFERROR(GOOGLETRANSLATE(B946,""en"",""zh-TW""),)"),"我去公園慢跑。")</f>
        <v>我去公園慢跑。</v>
      </c>
      <c r="E946" s="4" t="str">
        <f ca="1">IFERROR(__xludf.DUMMYFUNCTION("IFERROR(GOOGLETRANSLATE(B946,""en"",""zh-CN""),)"),"我去公园慢跑。")</f>
        <v>我去公园慢跑。</v>
      </c>
    </row>
    <row r="947" spans="1:24">
      <c r="A947" s="3" t="s">
        <v>4250</v>
      </c>
      <c r="B947" s="4" t="str">
        <f ca="1">IFERROR(__xludf.DUMMYFUNCTION("IFERROR(GOOGLETRANSLATE(A947,""ko"",""en""),)"),"run")</f>
        <v>run</v>
      </c>
      <c r="C947" s="4" t="str">
        <f ca="1">IFERROR(__xludf.DUMMYFUNCTION("IFERROR(GOOGLETRANSLATE(B947,""en"",""ja""),)"),"走る")</f>
        <v>走る</v>
      </c>
      <c r="D947" s="4" t="str">
        <f ca="1">IFERROR(__xludf.DUMMYFUNCTION("IFERROR(GOOGLETRANSLATE(B947,""en"",""zh-TW""),)"),"跑步")</f>
        <v>跑步</v>
      </c>
      <c r="E947" s="4" t="str">
        <f ca="1">IFERROR(__xludf.DUMMYFUNCTION("IFERROR(GOOGLETRANSLATE(B947,""en"",""zh-CN""),)"),"跑步")</f>
        <v>跑步</v>
      </c>
    </row>
    <row r="948" spans="1:24">
      <c r="A948" s="3" t="s">
        <v>4253</v>
      </c>
      <c r="B948" s="4" t="str">
        <f ca="1">IFERROR(__xludf.DUMMYFUNCTION("IFERROR(GOOGLETRANSLATE(A948,""ko"",""en""),)"),"I run.")</f>
        <v>I run.</v>
      </c>
      <c r="C948" s="4" t="str">
        <f ca="1">IFERROR(__xludf.DUMMYFUNCTION("IFERROR(GOOGLETRANSLATE(B948,""en"",""ja""),)"),"私は走る。")</f>
        <v>私は走る。</v>
      </c>
      <c r="D948" s="4" t="str">
        <f ca="1">IFERROR(__xludf.DUMMYFUNCTION("IFERROR(GOOGLETRANSLATE(B948,""en"",""zh-TW""),)"),"我跑步。")</f>
        <v>我跑步。</v>
      </c>
      <c r="E948" s="4" t="str">
        <f ca="1">IFERROR(__xludf.DUMMYFUNCTION("IFERROR(GOOGLETRANSLATE(B948,""en"",""zh-CN""),)"),"我跑步。")</f>
        <v>我跑步。</v>
      </c>
    </row>
    <row r="949" spans="1:24">
      <c r="A949" s="3" t="s">
        <v>4258</v>
      </c>
      <c r="B949" s="4" t="str">
        <f ca="1">IFERROR(__xludf.DUMMYFUNCTION("IFERROR(GOOGLETRANSLATE(A949,""ko"",""en""),)"),"What are you doing on Sunday?")</f>
        <v>What are you doing on Sunday?</v>
      </c>
      <c r="C949" s="4" t="str">
        <f ca="1">IFERROR(__xludf.DUMMYFUNCTION("IFERROR(GOOGLETRANSLATE(B949,""en"",""ja""),)"),"日曜日は何をする予定ですか？")</f>
        <v>日曜日は何をする予定ですか？</v>
      </c>
      <c r="D949" s="4" t="str">
        <f ca="1">IFERROR(__xludf.DUMMYFUNCTION("IFERROR(GOOGLETRANSLATE(B949,""en"",""zh-TW""),)"),"你星期天有什麼安排？")</f>
        <v>你星期天有什麼安排？</v>
      </c>
      <c r="E949" s="4" t="str">
        <f ca="1">IFERROR(__xludf.DUMMYFUNCTION("IFERROR(GOOGLETRANSLATE(B949,""en"",""zh-CN""),)"),"你星期天有什么安排？")</f>
        <v>你星期天有什么安排？</v>
      </c>
    </row>
    <row r="950" spans="1:24">
      <c r="A950" s="3" t="s">
        <v>4263</v>
      </c>
      <c r="B950" s="4" t="str">
        <f ca="1">IFERROR(__xludf.DUMMYFUNCTION("IFERROR(GOOGLETRANSLATE(A950,""ko"",""en""),)"),"I watch a movie at the movie theater.")</f>
        <v>I watch a movie at the movie theater.</v>
      </c>
      <c r="C950" s="4" t="str">
        <f ca="1">IFERROR(__xludf.DUMMYFUNCTION("IFERROR(GOOGLETRANSLATE(B950,""en"",""ja""),)"),"私は映画館で映画を観る。")</f>
        <v>私は映画館で映画を観る。</v>
      </c>
      <c r="D950" s="4" t="str">
        <f ca="1">IFERROR(__xludf.DUMMYFUNCTION("IFERROR(GOOGLETRANSLATE(B950,""en"",""zh-TW""),)"),"我在電影院看電影。")</f>
        <v>我在電影院看電影。</v>
      </c>
      <c r="E950" s="4" t="str">
        <f ca="1">IFERROR(__xludf.DUMMYFUNCTION("IFERROR(GOOGLETRANSLATE(B950,""en"",""zh-CN""),)"),"我在电影院看电影。")</f>
        <v>我在电影院看电影。</v>
      </c>
    </row>
    <row r="951" spans="1:24">
      <c r="A951" s="3" t="s">
        <v>4267</v>
      </c>
      <c r="B951" s="4" t="str">
        <f ca="1">IFERROR(__xludf.DUMMYFUNCTION("IFERROR(GOOGLETRANSLATE(A951,""ko"",""en""),)"),"Are you going to work today?")</f>
        <v>Are you going to work today?</v>
      </c>
      <c r="C951" s="4" t="str">
        <f ca="1">IFERROR(__xludf.DUMMYFUNCTION("IFERROR(GOOGLETRANSLATE(B951,""en"",""ja""),)"),"今日は仕事に行きますか？")</f>
        <v>今日は仕事に行きますか？</v>
      </c>
      <c r="D951" s="4" t="str">
        <f ca="1">IFERROR(__xludf.DUMMYFUNCTION("IFERROR(GOOGLETRANSLATE(B951,""en"",""zh-TW""),)"),"你今天上班嗎？")</f>
        <v>你今天上班嗎？</v>
      </c>
      <c r="E951" s="4" t="str">
        <f ca="1">IFERROR(__xludf.DUMMYFUNCTION("IFERROR(GOOGLETRANSLATE(B951,""en"",""zh-CN""),)"),"你今天上班吗？")</f>
        <v>你今天上班吗？</v>
      </c>
    </row>
    <row r="952" spans="1:24">
      <c r="A952" s="3" t="s">
        <v>4271</v>
      </c>
      <c r="B952" s="4" t="str">
        <f ca="1">IFERROR(__xludf.DUMMYFUNCTION("IFERROR(GOOGLETRANSLATE(A952,""ko"",""en""),)"),"No, I rest at home.")</f>
        <v>No, I rest at home.</v>
      </c>
      <c r="C952" s="4" t="str">
        <f ca="1">IFERROR(__xludf.DUMMYFUNCTION("IFERROR(GOOGLETRANSLATE(B952,""en"",""ja""),)"),"いいえ、私は家で休みます。")</f>
        <v>いいえ、私は家で休みます。</v>
      </c>
      <c r="D952" s="4" t="str">
        <f ca="1">IFERROR(__xludf.DUMMYFUNCTION("IFERROR(GOOGLETRANSLATE(B952,""en"",""zh-TW""),)"),"不，我在家休息。")</f>
        <v>不，我在家休息。</v>
      </c>
      <c r="E952" s="4" t="str">
        <f ca="1">IFERROR(__xludf.DUMMYFUNCTION("IFERROR(GOOGLETRANSLATE(B952,""en"",""zh-CN""),)"),"不，我在家休息。")</f>
        <v>不，我在家休息。</v>
      </c>
    </row>
    <row r="953" spans="1:24">
      <c r="A953" s="3" t="s">
        <v>4274</v>
      </c>
      <c r="B953" s="4" t="str">
        <f ca="1">IFERROR(__xludf.DUMMYFUNCTION("IFERROR(GOOGLETRANSLATE(A953,""ko"",""en""),)"),"Are you resting at home on the weekend?")</f>
        <v>Are you resting at home on the weekend?</v>
      </c>
      <c r="C953" s="4" t="str">
        <f ca="1">IFERROR(__xludf.DUMMYFUNCTION("IFERROR(GOOGLETRANSLATE(B953,""en"",""ja""),)"),"週末は家でゆっくり過ごしますか？")</f>
        <v>週末は家でゆっくり過ごしますか？</v>
      </c>
      <c r="D953" s="4" t="str">
        <f ca="1">IFERROR(__xludf.DUMMYFUNCTION("IFERROR(GOOGLETRANSLATE(B953,""en"",""zh-TW""),)"),"你周末在家休息嗎？")</f>
        <v>你周末在家休息嗎？</v>
      </c>
      <c r="E953" s="4" t="str">
        <f ca="1">IFERROR(__xludf.DUMMYFUNCTION("IFERROR(GOOGLETRANSLATE(B953,""en"",""zh-CN""),)"),"你周末在家休息吗？")</f>
        <v>你周末在家休息吗？</v>
      </c>
    </row>
    <row r="954" spans="1:24">
      <c r="A954" s="3" t="s">
        <v>4278</v>
      </c>
      <c r="B954" s="4" t="str">
        <f ca="1">IFERROR(__xludf.DUMMYFUNCTION("IFERROR(GOOGLETRANSLATE(A954,""ko"",""en""),)"),"I play games at my friend's house.")</f>
        <v>I play games at my friend's house.</v>
      </c>
      <c r="C954" s="4" t="str">
        <f ca="1">IFERROR(__xludf.DUMMYFUNCTION("IFERROR(GOOGLETRANSLATE(B954,""en"",""ja""),)"),"私は友達の家でゲームをします。")</f>
        <v>私は友達の家でゲームをします。</v>
      </c>
      <c r="D954" s="4" t="str">
        <f ca="1">IFERROR(__xludf.DUMMYFUNCTION("IFERROR(GOOGLETRANSLATE(B954,""en"",""zh-TW""),)"),"我常去朋友家玩遊戲。")</f>
        <v>我常去朋友家玩遊戲。</v>
      </c>
      <c r="E954" s="4" t="str">
        <f ca="1">IFERROR(__xludf.DUMMYFUNCTION("IFERROR(GOOGLETRANSLATE(B954,""en"",""zh-CN""),)"),"我经常去朋友家玩游戏。")</f>
        <v>我经常去朋友家玩游戏。</v>
      </c>
    </row>
    <row r="955" spans="1:24">
      <c r="A955" s="3" t="s">
        <v>4282</v>
      </c>
      <c r="B955" s="4" t="str">
        <f ca="1">IFERROR(__xludf.DUMMYFUNCTION("IFERROR(GOOGLETRANSLATE(A955,""ko"",""en""),)"),"Sleep in your room.")</f>
        <v>Sleep in your room.</v>
      </c>
      <c r="C955" s="4" t="str">
        <f ca="1">IFERROR(__xludf.DUMMYFUNCTION("IFERROR(GOOGLETRANSLATE(B955,""en"",""ja""),)"),"自分の部屋で寝てください。")</f>
        <v>自分の部屋で寝てください。</v>
      </c>
      <c r="D955" s="4" t="str">
        <f ca="1">IFERROR(__xludf.DUMMYFUNCTION("IFERROR(GOOGLETRANSLATE(B955,""en"",""zh-TW""),)"),"在你的房間裡睡覺。")</f>
        <v>在你的房間裡睡覺。</v>
      </c>
      <c r="E955" s="4" t="str">
        <f ca="1">IFERROR(__xludf.DUMMYFUNCTION("IFERROR(GOOGLETRANSLATE(B955,""en"",""zh-CN""),)"),"在你的房间里睡觉。")</f>
        <v>在你的房间里睡觉。</v>
      </c>
    </row>
    <row r="956" spans="1:24">
      <c r="A956" s="3" t="s">
        <v>4286</v>
      </c>
      <c r="B956" s="4" t="str">
        <f ca="1">IFERROR(__xludf.DUMMYFUNCTION("IFERROR(GOOGLETRANSLATE(A956,""ko"",""en""),)"),"I study at home.")</f>
        <v>I study at home.</v>
      </c>
      <c r="C956" s="4" t="str">
        <f ca="1">IFERROR(__xludf.DUMMYFUNCTION("IFERROR(GOOGLETRANSLATE(B956,""en"",""ja""),)"),"私は自宅で勉強します。")</f>
        <v>私は自宅で勉強します。</v>
      </c>
      <c r="D956" s="4" t="str">
        <f ca="1">IFERROR(__xludf.DUMMYFUNCTION("IFERROR(GOOGLETRANSLATE(B956,""en"",""zh-TW""),)"),"我在家學習。")</f>
        <v>我在家學習。</v>
      </c>
      <c r="E956" s="4" t="str">
        <f ca="1">IFERROR(__xludf.DUMMYFUNCTION("IFERROR(GOOGLETRANSLATE(B956,""en"",""zh-CN""),)"),"我在家学习。")</f>
        <v>我在家学习。</v>
      </c>
    </row>
    <row r="957" spans="1:24">
      <c r="A957" s="3" t="s">
        <v>1132</v>
      </c>
      <c r="B957" s="4" t="str">
        <f ca="1">IFERROR(__xludf.DUMMYFUNCTION("IFERROR(GOOGLETRANSLATE(A957,""ko"",""en""),)"),"I'm taking a walk in the park.")</f>
        <v>I'm taking a walk in the park.</v>
      </c>
      <c r="C957" s="4" t="str">
        <f ca="1">IFERROR(__xludf.DUMMYFUNCTION("IFERROR(GOOGLETRANSLATE(B957,""en"",""ja""),)"),"公園を散歩しています。")</f>
        <v>公園を散歩しています。</v>
      </c>
      <c r="D957" s="4" t="str">
        <f ca="1">IFERROR(__xludf.DUMMYFUNCTION("IFERROR(GOOGLETRANSLATE(B957,""en"",""zh-TW""),)"),"我在公園散步。")</f>
        <v>我在公園散步。</v>
      </c>
      <c r="E957" s="4" t="str">
        <f ca="1">IFERROR(__xludf.DUMMYFUNCTION("IFERROR(GOOGLETRANSLATE(B957,""en"",""zh-CN""),)"),"我在公园散步。")</f>
        <v>我在公园散步。</v>
      </c>
    </row>
    <row r="958" spans="1:24">
      <c r="A958" s="3" t="s">
        <v>4159</v>
      </c>
      <c r="B958" s="4" t="str">
        <f ca="1">IFERROR(__xludf.DUMMYFUNCTION("IFERROR(GOOGLETRANSLATE(A958,""ko"",""en""),)"),"I swim in the swimming pool.")</f>
        <v>I swim in the swimming pool.</v>
      </c>
      <c r="C958" s="4" t="str">
        <f ca="1">IFERROR(__xludf.DUMMYFUNCTION("IFERROR(GOOGLETRANSLATE(B958,""en"",""ja""),)"),"私はプールで泳ぎます。")</f>
        <v>私はプールで泳ぎます。</v>
      </c>
      <c r="D958" s="4" t="str">
        <f ca="1">IFERROR(__xludf.DUMMYFUNCTION("IFERROR(GOOGLETRANSLATE(B958,""en"",""zh-TW""),)"),"我在游泳池裡游泳。")</f>
        <v>我在游泳池裡游泳。</v>
      </c>
      <c r="E958" s="4" t="str">
        <f ca="1">IFERROR(__xludf.DUMMYFUNCTION("IFERROR(GOOGLETRANSLATE(B958,""en"",""zh-CN""),)"),"我在游泳池里游泳。")</f>
        <v>我在游泳池里游泳。</v>
      </c>
    </row>
    <row r="959" spans="1:24">
      <c r="A959" s="5" t="s">
        <v>514</v>
      </c>
      <c r="B959" s="14" t="str">
        <f ca="1">IFERROR(__xludf.DUMMYFUNCTION("IFERROR(GOOGLETRANSLATE(A959,""ko"",""en""),)"),"mostly")</f>
        <v>mostly</v>
      </c>
      <c r="C959" s="14" t="str">
        <f ca="1">IFERROR(__xludf.DUMMYFUNCTION("IFERROR(GOOGLETRANSLATE(B959,""en"",""ja""),)"),"たいてい")</f>
        <v>たいてい</v>
      </c>
      <c r="D959" s="14" t="str">
        <f ca="1">IFERROR(__xludf.DUMMYFUNCTION("IFERROR(GOOGLETRANSLATE(B959,""en"",""zh-TW""),)"),"大多")</f>
        <v>大多</v>
      </c>
      <c r="E959" s="14" t="str">
        <f ca="1">IFERROR(__xludf.DUMMYFUNCTION("IFERROR(GOOGLETRANSLATE(B959,""en"",""zh-CN""),)"),"大多")</f>
        <v>大多</v>
      </c>
      <c r="F959" s="15"/>
      <c r="G959" s="15"/>
      <c r="H959" s="15"/>
      <c r="I959" s="15"/>
      <c r="J959" s="15"/>
      <c r="K959" s="15"/>
      <c r="L959" s="15"/>
      <c r="M959" s="15"/>
      <c r="N959" s="15"/>
      <c r="O959" s="15"/>
      <c r="P959" s="15"/>
      <c r="Q959" s="15"/>
      <c r="R959" s="15"/>
      <c r="S959" s="15"/>
      <c r="T959" s="15"/>
      <c r="U959" s="15"/>
      <c r="V959" s="15"/>
      <c r="W959" s="15"/>
      <c r="X959" s="15"/>
    </row>
    <row r="960" spans="1:24">
      <c r="A960" s="7" t="s">
        <v>4300</v>
      </c>
      <c r="B960" s="14" t="str">
        <f ca="1">IFERROR(__xludf.DUMMYFUNCTION("IFERROR(GOOGLETRANSLATE(A960,""ko"",""en""),)"),"Where do you usually swim?")</f>
        <v>Where do you usually swim?</v>
      </c>
      <c r="C960" s="14" t="str">
        <f ca="1">IFERROR(__xludf.DUMMYFUNCTION("IFERROR(GOOGLETRANSLATE(B960,""en"",""ja""),)"),"あなたは普段どこで泳ぎますか？")</f>
        <v>あなたは普段どこで泳ぎますか？</v>
      </c>
      <c r="D960" s="14" t="str">
        <f ca="1">IFERROR(__xludf.DUMMYFUNCTION("IFERROR(GOOGLETRANSLATE(B960,""en"",""zh-TW""),)"),"你通常在哪裡游泳？")</f>
        <v>你通常在哪裡游泳？</v>
      </c>
      <c r="E960" s="14" t="str">
        <f ca="1">IFERROR(__xludf.DUMMYFUNCTION("IFERROR(GOOGLETRANSLATE(B960,""en"",""zh-CN""),)"),"你通常在哪里游泳？")</f>
        <v>你通常在哪里游泳？</v>
      </c>
      <c r="F960" s="15"/>
      <c r="G960" s="15"/>
      <c r="H960" s="15"/>
      <c r="I960" s="15"/>
      <c r="J960" s="15"/>
      <c r="K960" s="15"/>
      <c r="L960" s="15"/>
      <c r="M960" s="15"/>
      <c r="N960" s="15"/>
      <c r="O960" s="15"/>
      <c r="P960" s="15"/>
      <c r="Q960" s="15"/>
      <c r="R960" s="15"/>
      <c r="S960" s="15"/>
      <c r="T960" s="15"/>
      <c r="U960" s="15"/>
      <c r="V960" s="15"/>
      <c r="W960" s="15"/>
      <c r="X960" s="15"/>
    </row>
    <row r="961" spans="1:5">
      <c r="A961" s="3" t="s">
        <v>4258</v>
      </c>
      <c r="B961" s="4" t="str">
        <f ca="1">IFERROR(__xludf.DUMMYFUNCTION("IFERROR(GOOGLETRANSLATE(A961,""ko"",""en""),)"),"What are you doing on Sunday?")</f>
        <v>What are you doing on Sunday?</v>
      </c>
      <c r="C961" s="4" t="str">
        <f ca="1">IFERROR(__xludf.DUMMYFUNCTION("IFERROR(GOOGLETRANSLATE(B961,""en"",""ja""),)"),"日曜日は何をする予定ですか？")</f>
        <v>日曜日は何をする予定ですか？</v>
      </c>
      <c r="D961" s="4" t="str">
        <f ca="1">IFERROR(__xludf.DUMMYFUNCTION("IFERROR(GOOGLETRANSLATE(B961,""en"",""zh-TW""),)"),"你星期天有什麼安排？")</f>
        <v>你星期天有什麼安排？</v>
      </c>
      <c r="E961" s="4" t="str">
        <f ca="1">IFERROR(__xludf.DUMMYFUNCTION("IFERROR(GOOGLETRANSLATE(B961,""en"",""zh-CN""),)"),"你星期天有什么安排？")</f>
        <v>你星期天有什么安排？</v>
      </c>
    </row>
    <row r="962" spans="1:5">
      <c r="A962" s="3" t="s">
        <v>4315</v>
      </c>
      <c r="B962" s="4" t="str">
        <f ca="1">IFERROR(__xludf.DUMMYFUNCTION("IFERROR(GOOGLETRANSLATE(A962,""ko"",""en""),)"),"I shop at the department store.")</f>
        <v>I shop at the department store.</v>
      </c>
      <c r="C962" s="4" t="str">
        <f ca="1">IFERROR(__xludf.DUMMYFUNCTION("IFERROR(GOOGLETRANSLATE(B962,""en"",""ja""),)"),"私はデパートで買い物をする。")</f>
        <v>私はデパートで買い物をする。</v>
      </c>
      <c r="D962" s="4" t="str">
        <f ca="1">IFERROR(__xludf.DUMMYFUNCTION("IFERROR(GOOGLETRANSLATE(B962,""en"",""zh-TW""),)"),"我常去百貨公司購物。")</f>
        <v>我常去百貨公司購物。</v>
      </c>
      <c r="E962" s="4" t="str">
        <f ca="1">IFERROR(__xludf.DUMMYFUNCTION("IFERROR(GOOGLETRANSLATE(B962,""en"",""zh-CN""),)"),"我经常去百货商店购物。")</f>
        <v>我经常去百货商店购物。</v>
      </c>
    </row>
    <row r="963" spans="1:5">
      <c r="A963" s="3" t="s">
        <v>4321</v>
      </c>
      <c r="B963" s="4" t="str">
        <f ca="1">IFERROR(__xludf.DUMMYFUNCTION("IFERROR(GOOGLETRANSLATE(A963,""ko"",""en""),)"),"Do you go to work on Saturday?")</f>
        <v>Do you go to work on Saturday?</v>
      </c>
      <c r="C963" s="4" t="str">
        <f ca="1">IFERROR(__xludf.DUMMYFUNCTION("IFERROR(GOOGLETRANSLATE(B963,""en"",""ja""),)"),"あなたは土曜日も仕事に行きますか？")</f>
        <v>あなたは土曜日も仕事に行きますか？</v>
      </c>
      <c r="D963" s="4" t="str">
        <f ca="1">IFERROR(__xludf.DUMMYFUNCTION("IFERROR(GOOGLETRANSLATE(B963,""en"",""zh-TW""),)"),"你星期六上班嗎？")</f>
        <v>你星期六上班嗎？</v>
      </c>
      <c r="E963" s="4" t="str">
        <f ca="1">IFERROR(__xludf.DUMMYFUNCTION("IFERROR(GOOGLETRANSLATE(B963,""en"",""zh-CN""),)"),"你星期六上班吗？")</f>
        <v>你星期六上班吗？</v>
      </c>
    </row>
    <row r="964" spans="1:5">
      <c r="A964" s="3" t="s">
        <v>4326</v>
      </c>
      <c r="B964" s="4" t="str">
        <f ca="1">IFERROR(__xludf.DUMMYFUNCTION("IFERROR(GOOGLETRANSLATE(A964,""ko"",""en""),)"),"No, I rest at home with my cat.")</f>
        <v>No, I rest at home with my cat.</v>
      </c>
      <c r="C964" s="4" t="str">
        <f ca="1">IFERROR(__xludf.DUMMYFUNCTION("IFERROR(GOOGLETRANSLATE(B964,""en"",""ja""),)"),"いいえ、私は家で猫と一緒に休んでいます。")</f>
        <v>いいえ、私は家で猫と一緒に休んでいます。</v>
      </c>
      <c r="D964" s="4" t="str">
        <f ca="1">IFERROR(__xludf.DUMMYFUNCTION("IFERROR(GOOGLETRANSLATE(B964,""en"",""zh-TW""),)"),"不，我在家和我的貓一起休息。")</f>
        <v>不，我在家和我的貓一起休息。</v>
      </c>
      <c r="E964" s="4" t="str">
        <f ca="1">IFERROR(__xludf.DUMMYFUNCTION("IFERROR(GOOGLETRANSLATE(B964,""en"",""zh-CN""),)"),"不，我在家和我的猫一起休息。")</f>
        <v>不，我在家和我的猫一起休息。</v>
      </c>
    </row>
    <row r="965" spans="1:5">
      <c r="A965" s="3" t="s">
        <v>4332</v>
      </c>
      <c r="B965" s="4" t="str">
        <f ca="1">IFERROR(__xludf.DUMMYFUNCTION("IFERROR(GOOGLETRANSLATE(A965,""ko"",""en""),)"),"Are you meeting a friend this weekend?")</f>
        <v>Are you meeting a friend this weekend?</v>
      </c>
      <c r="C965" s="4" t="str">
        <f ca="1">IFERROR(__xludf.DUMMYFUNCTION("IFERROR(GOOGLETRANSLATE(B965,""en"",""ja""),)"),"今週末、友達と会う予定ですか？")</f>
        <v>今週末、友達と会う予定ですか？</v>
      </c>
      <c r="D965" s="4" t="str">
        <f ca="1">IFERROR(__xludf.DUMMYFUNCTION("IFERROR(GOOGLETRANSLATE(B965,""en"",""zh-TW""),)"),"你這週末要跟朋友見面嗎？")</f>
        <v>你這週末要跟朋友見面嗎？</v>
      </c>
      <c r="E965" s="4" t="str">
        <f ca="1">IFERROR(__xludf.DUMMYFUNCTION("IFERROR(GOOGLETRANSLATE(B965,""en"",""zh-CN""),)"),"你这周末要和朋友见面吗？")</f>
        <v>你这周末要和朋友见面吗？</v>
      </c>
    </row>
    <row r="966" spans="1:5">
      <c r="A966" s="3" t="s">
        <v>4338</v>
      </c>
      <c r="B966" s="4" t="str">
        <f ca="1">IFERROR(__xludf.DUMMYFUNCTION("IFERROR(GOOGLETRANSLATE(A966,""ko"",""en""),)"),"Yes, I am meeting a friend at a cafe.")</f>
        <v>Yes, I am meeting a friend at a cafe.</v>
      </c>
      <c r="C966" s="4" t="str">
        <f ca="1">IFERROR(__xludf.DUMMYFUNCTION("IFERROR(GOOGLETRANSLATE(B966,""en"",""ja""),)"),"はい、カフェで友達と待ち合わせをしています。")</f>
        <v>はい、カフェで友達と待ち合わせをしています。</v>
      </c>
      <c r="D966" s="4" t="str">
        <f ca="1">IFERROR(__xludf.DUMMYFUNCTION("IFERROR(GOOGLETRANSLATE(B966,""en"",""zh-TW""),)"),"是的，我要和朋友在咖啡館見面。")</f>
        <v>是的，我要和朋友在咖啡館見面。</v>
      </c>
      <c r="E966" s="4" t="str">
        <f ca="1">IFERROR(__xludf.DUMMYFUNCTION("IFERROR(GOOGLETRANSLATE(B966,""en"",""zh-CN""),)"),"是的，我要和朋友在咖啡馆见面。")</f>
        <v>是的，我要和朋友在咖啡馆见面。</v>
      </c>
    </row>
    <row r="967" spans="1:5">
      <c r="A967" s="3" t="s">
        <v>4344</v>
      </c>
      <c r="B967" s="4" t="str">
        <f ca="1">IFERROR(__xludf.DUMMYFUNCTION("IFERROR(GOOGLETRANSLATE(A967,""ko"",""en""),)"),"Do you work out on Friday evenings?")</f>
        <v>Do you work out on Friday evenings?</v>
      </c>
      <c r="C967" s="4" t="str">
        <f ca="1">IFERROR(__xludf.DUMMYFUNCTION("IFERROR(GOOGLETRANSLATE(B967,""en"",""ja""),)"),"あなたは金曜日の夜に運動しますか？")</f>
        <v>あなたは金曜日の夜に運動しますか？</v>
      </c>
      <c r="D967" s="4" t="str">
        <f ca="1">IFERROR(__xludf.DUMMYFUNCTION("IFERROR(GOOGLETRANSLATE(B967,""en"",""zh-TW""),)"),"你周五晚上運動嗎？")</f>
        <v>你周五晚上運動嗎？</v>
      </c>
      <c r="E967" s="4" t="str">
        <f ca="1">IFERROR(__xludf.DUMMYFUNCTION("IFERROR(GOOGLETRANSLATE(B967,""en"",""zh-CN""),)"),"你周五晚上锻炼吗？")</f>
        <v>你周五晚上锻炼吗？</v>
      </c>
    </row>
    <row r="968" spans="1:5">
      <c r="A968" s="3" t="s">
        <v>4349</v>
      </c>
      <c r="B968" s="4" t="str">
        <f ca="1">IFERROR(__xludf.DUMMYFUNCTION("IFERROR(GOOGLETRANSLATE(A968,""ko"",""en""),)"),"Yes, I ride a bicycle in the park.")</f>
        <v>Yes, I ride a bicycle in the park.</v>
      </c>
      <c r="C968" s="4" t="str">
        <f ca="1">IFERROR(__xludf.DUMMYFUNCTION("IFERROR(GOOGLETRANSLATE(B968,""en"",""ja""),)"),"はい、私は公園で自転車に乗ります。")</f>
        <v>はい、私は公園で自転車に乗ります。</v>
      </c>
      <c r="D968" s="4" t="str">
        <f ca="1">IFERROR(__xludf.DUMMYFUNCTION("IFERROR(GOOGLETRANSLATE(B968,""en"",""zh-TW""),)"),"是的，我會在公園裡騎自行車。")</f>
        <v>是的，我會在公園裡騎自行車。</v>
      </c>
      <c r="E968" s="4" t="str">
        <f ca="1">IFERROR(__xludf.DUMMYFUNCTION("IFERROR(GOOGLETRANSLATE(B968,""en"",""zh-CN""),)"),"是的，我会在公园里骑自行车。")</f>
        <v>是的，我会在公园里骑自行车。</v>
      </c>
    </row>
    <row r="969" spans="1:5">
      <c r="A969" s="3" t="s">
        <v>4353</v>
      </c>
      <c r="B969" s="4" t="str">
        <f ca="1">IFERROR(__xludf.DUMMYFUNCTION("IFERROR(GOOGLETRANSLATE(A969,""ko"",""en""),)"),"I get my hair cut at the hair salon.")</f>
        <v>I get my hair cut at the hair salon.</v>
      </c>
      <c r="C969" s="4" t="str">
        <f ca="1">IFERROR(__xludf.DUMMYFUNCTION("IFERROR(GOOGLETRANSLATE(B969,""en"",""ja""),)"),"私は美容院で髪を切ってもらいます。")</f>
        <v>私は美容院で髪を切ってもらいます。</v>
      </c>
      <c r="D969" s="4" t="str">
        <f ca="1">IFERROR(__xludf.DUMMYFUNCTION("IFERROR(GOOGLETRANSLATE(B969,""en"",""zh-TW""),)"),"我去理髮店剪頭髮。")</f>
        <v>我去理髮店剪頭髮。</v>
      </c>
      <c r="E969" s="4" t="str">
        <f ca="1">IFERROR(__xludf.DUMMYFUNCTION("IFERROR(GOOGLETRANSLATE(B969,""en"",""zh-CN""),)"),"我去理发店剪头发。")</f>
        <v>我去理发店剪头发。</v>
      </c>
    </row>
    <row r="970" spans="1:5">
      <c r="A970" s="3" t="s">
        <v>4315</v>
      </c>
      <c r="B970" s="4" t="str">
        <f ca="1">IFERROR(__xludf.DUMMYFUNCTION("IFERROR(GOOGLETRANSLATE(A970,""ko"",""en""),)"),"I shop at the department store.")</f>
        <v>I shop at the department store.</v>
      </c>
      <c r="C970" s="4" t="str">
        <f ca="1">IFERROR(__xludf.DUMMYFUNCTION("IFERROR(GOOGLETRANSLATE(B970,""en"",""ja""),)"),"私はデパートで買い物をする。")</f>
        <v>私はデパートで買い物をする。</v>
      </c>
      <c r="D970" s="4" t="str">
        <f ca="1">IFERROR(__xludf.DUMMYFUNCTION("IFERROR(GOOGLETRANSLATE(B970,""en"",""zh-TW""),)"),"我常去百貨公司購物。")</f>
        <v>我常去百貨公司購物。</v>
      </c>
      <c r="E970" s="4" t="str">
        <f ca="1">IFERROR(__xludf.DUMMYFUNCTION("IFERROR(GOOGLETRANSLATE(B970,""en"",""zh-CN""),)"),"我经常去百货商店购物。")</f>
        <v>我经常去百货商店购物。</v>
      </c>
    </row>
    <row r="971" spans="1:5">
      <c r="A971" s="3" t="s">
        <v>4356</v>
      </c>
      <c r="B971" s="4" t="str">
        <f ca="1">IFERROR(__xludf.DUMMYFUNCTION("IFERROR(GOOGLETRANSLATE(A971,""ko"",""en""),)"),"I ride rides at the amusement park.")</f>
        <v>I ride rides at the amusement park.</v>
      </c>
      <c r="C971" s="4" t="str">
        <f ca="1">IFERROR(__xludf.DUMMYFUNCTION("IFERROR(GOOGLETRANSLATE(B971,""en"",""ja""),)"),"私は遊園地の乗り物に乗ります。")</f>
        <v>私は遊園地の乗り物に乗ります。</v>
      </c>
      <c r="D971" s="4" t="str">
        <f ca="1">IFERROR(__xludf.DUMMYFUNCTION("IFERROR(GOOGLETRANSLATE(B971,""en"",""zh-TW""),)"),"我在遊樂園玩遊樂設施。")</f>
        <v>我在遊樂園玩遊樂設施。</v>
      </c>
      <c r="E971" s="4" t="str">
        <f ca="1">IFERROR(__xludf.DUMMYFUNCTION("IFERROR(GOOGLETRANSLATE(B971,""en"",""zh-CN""),)"),"我在游乐园里玩游乐设施。")</f>
        <v>我在游乐园里玩游乐设施。</v>
      </c>
    </row>
    <row r="972" spans="1:5">
      <c r="A972" s="3" t="s">
        <v>4362</v>
      </c>
      <c r="B972" s="4" t="str">
        <f ca="1">IFERROR(__xludf.DUMMYFUNCTION("IFERROR(GOOGLETRANSLATE(A972,""ko"",""en""),)"),"I study at the library.")</f>
        <v>I study at the library.</v>
      </c>
      <c r="C972" s="4" t="str">
        <f ca="1">IFERROR(__xludf.DUMMYFUNCTION("IFERROR(GOOGLETRANSLATE(B972,""en"",""ja""),)"),"私は図書館で勉強します。")</f>
        <v>私は図書館で勉強します。</v>
      </c>
      <c r="D972" s="4" t="str">
        <f ca="1">IFERROR(__xludf.DUMMYFUNCTION("IFERROR(GOOGLETRANSLATE(B972,""en"",""zh-TW""),)"),"我在圖書館學習。")</f>
        <v>我在圖書館學習。</v>
      </c>
      <c r="E972" s="4" t="str">
        <f ca="1">IFERROR(__xludf.DUMMYFUNCTION("IFERROR(GOOGLETRANSLATE(B972,""en"",""zh-CN""),)"),"我在图书馆学习。")</f>
        <v>我在图书馆学习。</v>
      </c>
    </row>
    <row r="973" spans="1:5">
      <c r="A973" s="3" t="s">
        <v>4366</v>
      </c>
      <c r="B973" s="4" t="str">
        <f ca="1">IFERROR(__xludf.DUMMYFUNCTION("IFERROR(GOOGLETRANSLATE(A973,""ko"",""en""),)"),"Borrow a book from the library.")</f>
        <v>Borrow a book from the library.</v>
      </c>
      <c r="C973" s="4" t="str">
        <f ca="1">IFERROR(__xludf.DUMMYFUNCTION("IFERROR(GOOGLETRANSLATE(B973,""en"",""ja""),)"),"図書館で本を借りてください。")</f>
        <v>図書館で本を借りてください。</v>
      </c>
      <c r="D973" s="4" t="str">
        <f ca="1">IFERROR(__xludf.DUMMYFUNCTION("IFERROR(GOOGLETRANSLATE(B973,""en"",""zh-TW""),)"),"從圖書館借一本書。")</f>
        <v>從圖書館借一本書。</v>
      </c>
      <c r="E973" s="4" t="str">
        <f ca="1">IFERROR(__xludf.DUMMYFUNCTION("IFERROR(GOOGLETRANSLATE(B973,""en"",""zh-CN""),)"),"从图书馆借一本书。")</f>
        <v>从图书馆借一本书。</v>
      </c>
    </row>
    <row r="974" spans="1:5">
      <c r="A974" s="3" t="s">
        <v>4372</v>
      </c>
      <c r="B974" s="4" t="str">
        <f ca="1">IFERROR(__xludf.DUMMYFUNCTION("IFERROR(GOOGLETRANSLATE(A974,""ko"",""en""),)"),"I go to school.")</f>
        <v>I go to school.</v>
      </c>
      <c r="C974" s="4" t="str">
        <f ca="1">IFERROR(__xludf.DUMMYFUNCTION("IFERROR(GOOGLETRANSLATE(B974,""en"",""ja""),)"),"私は学校に行きます。")</f>
        <v>私は学校に行きます。</v>
      </c>
      <c r="D974" s="4" t="str">
        <f ca="1">IFERROR(__xludf.DUMMYFUNCTION("IFERROR(GOOGLETRANSLATE(B974,""en"",""zh-TW""),)"),"我去上學。")</f>
        <v>我去上學。</v>
      </c>
      <c r="E974" s="4" t="str">
        <f ca="1">IFERROR(__xludf.DUMMYFUNCTION("IFERROR(GOOGLETRANSLATE(B974,""en"",""zh-CN""),)"),"我去上学。")</f>
        <v>我去上学。</v>
      </c>
    </row>
    <row r="975" spans="1:5">
      <c r="A975" s="3" t="s">
        <v>4377</v>
      </c>
      <c r="B975" s="4" t="str">
        <f ca="1">IFERROR(__xludf.DUMMYFUNCTION("IFERROR(GOOGLETRANSLATE(A975,""ko"",""en""),)"),"I was a student.")</f>
        <v>I was a student.</v>
      </c>
      <c r="C975" s="4" t="str">
        <f ca="1">IFERROR(__xludf.DUMMYFUNCTION("IFERROR(GOOGLETRANSLATE(B975,""en"",""ja""),)"),"私は学生でした。")</f>
        <v>私は学生でした。</v>
      </c>
      <c r="D975" s="4" t="str">
        <f ca="1">IFERROR(__xludf.DUMMYFUNCTION("IFERROR(GOOGLETRANSLATE(B975,""en"",""zh-TW""),)"),"我曾是一名學生。")</f>
        <v>我曾是一名學生。</v>
      </c>
      <c r="E975" s="4" t="str">
        <f ca="1">IFERROR(__xludf.DUMMYFUNCTION("IFERROR(GOOGLETRANSLATE(B975,""en"",""zh-CN""),)"),"我曾是一名学生。")</f>
        <v>我曾是一名学生。</v>
      </c>
    </row>
    <row r="976" spans="1:5">
      <c r="A976" s="5" t="s">
        <v>4380</v>
      </c>
      <c r="B976" s="4" t="str">
        <f ca="1">IFERROR(__xludf.DUMMYFUNCTION("IFERROR(GOOGLETRANSLATE(A976,""ko"",""en""),)"),"I was a doctor.")</f>
        <v>I was a doctor.</v>
      </c>
      <c r="C976" s="4" t="str">
        <f ca="1">IFERROR(__xludf.DUMMYFUNCTION("IFERROR(GOOGLETRANSLATE(B976,""en"",""ja""),)"),"私は医者でした。")</f>
        <v>私は医者でした。</v>
      </c>
      <c r="D976" s="4" t="str">
        <f ca="1">IFERROR(__xludf.DUMMYFUNCTION("IFERROR(GOOGLETRANSLATE(B976,""en"",""zh-TW""),)"),"我曾是一名醫生。")</f>
        <v>我曾是一名醫生。</v>
      </c>
      <c r="E976" s="4" t="str">
        <f ca="1">IFERROR(__xludf.DUMMYFUNCTION("IFERROR(GOOGLETRANSLATE(B976,""en"",""zh-CN""),)"),"我曾是一名医生。")</f>
        <v>我曾是一名医生。</v>
      </c>
    </row>
    <row r="977" spans="1:5">
      <c r="A977" s="3" t="s">
        <v>4385</v>
      </c>
      <c r="B977" s="4" t="str">
        <f ca="1">IFERROR(__xludf.DUMMYFUNCTION("IFERROR(GOOGLETRANSLATE(A977,""ko"",""en""),)"),"I went to school.")</f>
        <v>I went to school.</v>
      </c>
      <c r="C977" s="4" t="str">
        <f ca="1">IFERROR(__xludf.DUMMYFUNCTION("IFERROR(GOOGLETRANSLATE(B977,""en"",""ja""),)"),"私は学校に行った。")</f>
        <v>私は学校に行った。</v>
      </c>
      <c r="D977" s="4" t="str">
        <f ca="1">IFERROR(__xludf.DUMMYFUNCTION("IFERROR(GOOGLETRANSLATE(B977,""en"",""zh-TW""),)"),"我去上學了。")</f>
        <v>我去上學了。</v>
      </c>
      <c r="E977" s="4" t="str">
        <f ca="1">IFERROR(__xludf.DUMMYFUNCTION("IFERROR(GOOGLETRANSLATE(B977,""en"",""zh-CN""),)"),"我去上学了。")</f>
        <v>我去上学了。</v>
      </c>
    </row>
    <row r="978" spans="1:5">
      <c r="A978" s="3" t="s">
        <v>4391</v>
      </c>
      <c r="B978" s="4" t="str">
        <f ca="1">IFERROR(__xludf.DUMMYFUNCTION("IFERROR(GOOGLETRANSLATE(A978,""ko"",""en""),)"),"I studied.")</f>
        <v>I studied.</v>
      </c>
      <c r="C978" s="4" t="str">
        <f ca="1">IFERROR(__xludf.DUMMYFUNCTION("IFERROR(GOOGLETRANSLATE(B978,""en"",""ja""),)"),"私は勉強した。")</f>
        <v>私は勉強した。</v>
      </c>
      <c r="D978" s="4" t="str">
        <f ca="1">IFERROR(__xludf.DUMMYFUNCTION("IFERROR(GOOGLETRANSLATE(B978,""en"",""zh-TW""),)"),"我學。")</f>
        <v>我學。</v>
      </c>
      <c r="E978" s="4" t="str">
        <f ca="1">IFERROR(__xludf.DUMMYFUNCTION("IFERROR(GOOGLETRANSLATE(B978,""en"",""zh-CN""),)"),"我学。")</f>
        <v>我学。</v>
      </c>
    </row>
    <row r="979" spans="1:5">
      <c r="A979" s="3" t="s">
        <v>4397</v>
      </c>
      <c r="B979" s="4" t="str">
        <f ca="1">IFERROR(__xludf.DUMMYFUNCTION("IFERROR(GOOGLETRANSLATE(A979,""ko"",""en""),)"),"I studied Korean yesterday.")</f>
        <v>I studied Korean yesterday.</v>
      </c>
      <c r="C979" s="4" t="str">
        <f ca="1">IFERROR(__xludf.DUMMYFUNCTION("IFERROR(GOOGLETRANSLATE(B979,""en"",""ja""),)"),"私は昨日、韓国語を勉強しました。")</f>
        <v>私は昨日、韓国語を勉強しました。</v>
      </c>
      <c r="D979" s="4" t="str">
        <f ca="1">IFERROR(__xludf.DUMMYFUNCTION("IFERROR(GOOGLETRANSLATE(B979,""en"",""zh-TW""),)"),"我昨天學習了韓語。")</f>
        <v>我昨天學習了韓語。</v>
      </c>
      <c r="E979" s="4" t="str">
        <f ca="1">IFERROR(__xludf.DUMMYFUNCTION("IFERROR(GOOGLETRANSLATE(B979,""en"",""zh-CN""),)"),"我昨天学习了韩语。")</f>
        <v>我昨天学习了韩语。</v>
      </c>
    </row>
    <row r="980" spans="1:5">
      <c r="A980" s="3" t="s">
        <v>4400</v>
      </c>
      <c r="B980" s="4" t="str">
        <f ca="1">IFERROR(__xludf.DUMMYFUNCTION("IFERROR(GOOGLETRANSLATE(A980,""ko"",""en""),)"),"Did you all study Korean yesterday?")</f>
        <v>Did you all study Korean yesterday?</v>
      </c>
      <c r="C980" s="4" t="str">
        <f ca="1">IFERROR(__xludf.DUMMYFUNCTION("IFERROR(GOOGLETRANSLATE(B980,""en"",""ja""),)"),"昨日、皆さんは韓国語を勉強しましたか？")</f>
        <v>昨日、皆さんは韓国語を勉強しましたか？</v>
      </c>
      <c r="D980" s="4" t="str">
        <f ca="1">IFERROR(__xludf.DUMMYFUNCTION("IFERROR(GOOGLETRANSLATE(B980,""en"",""zh-TW""),)"),"你們昨天都學韓文了嗎？")</f>
        <v>你們昨天都學韓文了嗎？</v>
      </c>
      <c r="E980" s="4" t="str">
        <f ca="1">IFERROR(__xludf.DUMMYFUNCTION("IFERROR(GOOGLETRANSLATE(B980,""en"",""zh-CN""),)"),"你们昨天都学习韩语了吗？")</f>
        <v>你们昨天都学习韩语了吗？</v>
      </c>
    </row>
    <row r="981" spans="1:5">
      <c r="A981" s="3" t="s">
        <v>4406</v>
      </c>
      <c r="B981" s="4" t="str">
        <f ca="1">IFERROR(__xludf.DUMMYFUNCTION("IFERROR(GOOGLETRANSLATE(A981,""ko"",""en""),)"),"No, I played with a friend.")</f>
        <v>No, I played with a friend.</v>
      </c>
      <c r="C981" s="4" t="str">
        <f ca="1">IFERROR(__xludf.DUMMYFUNCTION("IFERROR(GOOGLETRANSLATE(B981,""en"",""ja""),)"),"いいえ、友達と遊びました。")</f>
        <v>いいえ、友達と遊びました。</v>
      </c>
      <c r="D981" s="4" t="str">
        <f ca="1">IFERROR(__xludf.DUMMYFUNCTION("IFERROR(GOOGLETRANSLATE(B981,""en"",""zh-TW""),)"),"不，我和朋友一起玩的。")</f>
        <v>不，我和朋友一起玩的。</v>
      </c>
      <c r="E981" s="4" t="str">
        <f ca="1">IFERROR(__xludf.DUMMYFUNCTION("IFERROR(GOOGLETRANSLATE(B981,""en"",""zh-CN""),)"),"不，我和朋友一起玩的。")</f>
        <v>不，我和朋友一起玩的。</v>
      </c>
    </row>
    <row r="982" spans="1:5">
      <c r="A982" s="3" t="s">
        <v>2962</v>
      </c>
      <c r="B982" s="4" t="str">
        <f ca="1">IFERROR(__xludf.DUMMYFUNCTION("IFERROR(GOOGLETRANSLATE(A982,""ko"",""en""),)"),"What did you do on Saturday?")</f>
        <v>What did you do on Saturday?</v>
      </c>
      <c r="C982" s="4" t="str">
        <f ca="1">IFERROR(__xludf.DUMMYFUNCTION("IFERROR(GOOGLETRANSLATE(B982,""en"",""ja""),)"),"土曜日は何をしましたか？")</f>
        <v>土曜日は何をしましたか？</v>
      </c>
      <c r="D982" s="4" t="str">
        <f ca="1">IFERROR(__xludf.DUMMYFUNCTION("IFERROR(GOOGLETRANSLATE(B982,""en"",""zh-TW""),)"),"你星期六做了什麼？")</f>
        <v>你星期六做了什麼？</v>
      </c>
      <c r="E982" s="4" t="str">
        <f ca="1">IFERROR(__xludf.DUMMYFUNCTION("IFERROR(GOOGLETRANSLATE(B982,""en"",""zh-CN""),)"),"你星期六做了什么？")</f>
        <v>你星期六做了什么？</v>
      </c>
    </row>
    <row r="983" spans="1:5">
      <c r="A983" s="3" t="s">
        <v>4407</v>
      </c>
      <c r="B983" s="4" t="str">
        <f ca="1">IFERROR(__xludf.DUMMYFUNCTION("IFERROR(GOOGLETRANSLATE(A983,""ko"",""en""),)"),"I read a book at the library.")</f>
        <v>I read a book at the library.</v>
      </c>
      <c r="C983" s="4" t="str">
        <f ca="1">IFERROR(__xludf.DUMMYFUNCTION("IFERROR(GOOGLETRANSLATE(B983,""en"",""ja""),)"),"私は図書館で本を読んだ。")</f>
        <v>私は図書館で本を読んだ。</v>
      </c>
      <c r="D983" s="4" t="str">
        <f ca="1">IFERROR(__xludf.DUMMYFUNCTION("IFERROR(GOOGLETRANSLATE(B983,""en"",""zh-TW""),)"),"我在圖書館讀了一本書。")</f>
        <v>我在圖書館讀了一本書。</v>
      </c>
      <c r="E983" s="4" t="str">
        <f ca="1">IFERROR(__xludf.DUMMYFUNCTION("IFERROR(GOOGLETRANSLATE(B983,""en"",""zh-CN""),)"),"我在图书馆读了一本书。")</f>
        <v>我在图书馆读了一本书。</v>
      </c>
    </row>
    <row r="984" spans="1:5">
      <c r="A984" s="3" t="s">
        <v>4408</v>
      </c>
      <c r="B984" s="4" t="str">
        <f ca="1">IFERROR(__xludf.DUMMYFUNCTION("IFERROR(GOOGLETRANSLATE(A984,""ko"",""en""),)"),"How was the weather yesterday?")</f>
        <v>How was the weather yesterday?</v>
      </c>
      <c r="C984" s="4" t="str">
        <f ca="1">IFERROR(__xludf.DUMMYFUNCTION("IFERROR(GOOGLETRANSLATE(B984,""en"",""ja""),)"),"昨日の天気はどうでしたか？")</f>
        <v>昨日の天気はどうでしたか？</v>
      </c>
      <c r="D984" s="4" t="str">
        <f ca="1">IFERROR(__xludf.DUMMYFUNCTION("IFERROR(GOOGLETRANSLATE(B984,""en"",""zh-TW""),)"),"昨天天氣怎麼樣？")</f>
        <v>昨天天氣怎麼樣？</v>
      </c>
      <c r="E984" s="4" t="str">
        <f ca="1">IFERROR(__xludf.DUMMYFUNCTION("IFERROR(GOOGLETRANSLATE(B984,""en"",""zh-CN""),)"),"昨天天气怎么样？")</f>
        <v>昨天天气怎么样？</v>
      </c>
    </row>
    <row r="985" spans="1:5">
      <c r="A985" s="3" t="s">
        <v>4409</v>
      </c>
      <c r="B985" s="4" t="str">
        <f ca="1">IFERROR(__xludf.DUMMYFUNCTION("IFERROR(GOOGLETRANSLATE(A985,""ko"",""en""),)"),"It was very good.")</f>
        <v>It was very good.</v>
      </c>
      <c r="C985" s="4" t="str">
        <f ca="1">IFERROR(__xludf.DUMMYFUNCTION("IFERROR(GOOGLETRANSLATE(B985,""en"",""ja""),)"),"とても良かった。")</f>
        <v>とても良かった。</v>
      </c>
      <c r="D985" s="4" t="str">
        <f ca="1">IFERROR(__xludf.DUMMYFUNCTION("IFERROR(GOOGLETRANSLATE(B985,""en"",""zh-TW""),)"),"非常好。")</f>
        <v>非常好。</v>
      </c>
      <c r="E985" s="4" t="str">
        <f ca="1">IFERROR(__xludf.DUMMYFUNCTION("IFERROR(GOOGLETRANSLATE(B985,""en"",""zh-CN""),)"),"非常好。")</f>
        <v>非常好。</v>
      </c>
    </row>
    <row r="986" spans="1:5">
      <c r="A986" s="3" t="s">
        <v>4410</v>
      </c>
      <c r="B986" s="4" t="str">
        <f ca="1">IFERROR(__xludf.DUMMYFUNCTION("IFERROR(GOOGLETRANSLATE(A986,""ko"",""en""),)"),"It was windy yesterday.")</f>
        <v>It was windy yesterday.</v>
      </c>
      <c r="C986" s="4" t="str">
        <f ca="1">IFERROR(__xludf.DUMMYFUNCTION("IFERROR(GOOGLETRANSLATE(B986,""en"",""ja""),)"),"昨日は風が強かった。")</f>
        <v>昨日は風が強かった。</v>
      </c>
      <c r="D986" s="4" t="str">
        <f ca="1">IFERROR(__xludf.DUMMYFUNCTION("IFERROR(GOOGLETRANSLATE(B986,""en"",""zh-TW""),)"),"昨天風很大。")</f>
        <v>昨天風很大。</v>
      </c>
      <c r="E986" s="4" t="str">
        <f ca="1">IFERROR(__xludf.DUMMYFUNCTION("IFERROR(GOOGLETRANSLATE(B986,""en"",""zh-CN""),)"),"昨天风很大。")</f>
        <v>昨天风很大。</v>
      </c>
    </row>
    <row r="987" spans="1:5">
      <c r="A987" s="3" t="s">
        <v>4411</v>
      </c>
      <c r="B987" s="4" t="str">
        <f ca="1">IFERROR(__xludf.DUMMYFUNCTION("IFERROR(GOOGLETRANSLATE(A987,""ko"",""en""),)"),"It was cold yesterday.")</f>
        <v>It was cold yesterday.</v>
      </c>
      <c r="C987" s="4" t="str">
        <f ca="1">IFERROR(__xludf.DUMMYFUNCTION("IFERROR(GOOGLETRANSLATE(B987,""en"",""ja""),)"),"昨日は寒かった。")</f>
        <v>昨日は寒かった。</v>
      </c>
      <c r="D987" s="4" t="str">
        <f ca="1">IFERROR(__xludf.DUMMYFUNCTION("IFERROR(GOOGLETRANSLATE(B987,""en"",""zh-TW""),)"),"昨天很冷。")</f>
        <v>昨天很冷。</v>
      </c>
      <c r="E987" s="4" t="str">
        <f ca="1">IFERROR(__xludf.DUMMYFUNCTION("IFERROR(GOOGLETRANSLATE(B987,""en"",""zh-CN""),)"),"昨天很冷。")</f>
        <v>昨天很冷。</v>
      </c>
    </row>
    <row r="988" spans="1:5">
      <c r="A988" s="3" t="s">
        <v>4412</v>
      </c>
      <c r="B988" s="4" t="str">
        <f ca="1">IFERROR(__xludf.DUMMYFUNCTION("IFERROR(GOOGLETRANSLATE(A988,""ko"",""en""),)"),"It was pretty.")</f>
        <v>It was pretty.</v>
      </c>
      <c r="C988" s="4" t="str">
        <f ca="1">IFERROR(__xludf.DUMMYFUNCTION("IFERROR(GOOGLETRANSLATE(B988,""en"",""ja""),)"),"とても綺麗だった。")</f>
        <v>とても綺麗だった。</v>
      </c>
      <c r="D988" s="4" t="str">
        <f ca="1">IFERROR(__xludf.DUMMYFUNCTION("IFERROR(GOOGLETRANSLATE(B988,""en"",""zh-TW""),)"),"它很漂亮。")</f>
        <v>它很漂亮。</v>
      </c>
      <c r="E988" s="4" t="str">
        <f ca="1">IFERROR(__xludf.DUMMYFUNCTION("IFERROR(GOOGLETRANSLATE(B988,""en"",""zh-CN""),)"),"它很漂亮。")</f>
        <v>它很漂亮。</v>
      </c>
    </row>
    <row r="989" spans="1:5">
      <c r="A989" s="5" t="s">
        <v>4413</v>
      </c>
      <c r="B989" s="4" t="str">
        <f ca="1">IFERROR(__xludf.DUMMYFUNCTION("IFERROR(GOOGLETRANSLATE(A989,""ko"",""en""),)"),"I liked the movie.")</f>
        <v>I liked the movie.</v>
      </c>
      <c r="C989" s="4" t="str">
        <f ca="1">IFERROR(__xludf.DUMMYFUNCTION("IFERROR(GOOGLETRANSLATE(B989,""en"",""ja""),)"),"私はその映画が好きだった。")</f>
        <v>私はその映画が好きだった。</v>
      </c>
      <c r="D989" s="4" t="str">
        <f ca="1">IFERROR(__xludf.DUMMYFUNCTION("IFERROR(GOOGLETRANSLATE(B989,""en"",""zh-TW""),)"),"我喜歡這部電影。")</f>
        <v>我喜歡這部電影。</v>
      </c>
      <c r="E989" s="4" t="str">
        <f ca="1">IFERROR(__xludf.DUMMYFUNCTION("IFERROR(GOOGLETRANSLATE(B989,""en"",""zh-CN""),)"),"我喜欢这部电影。")</f>
        <v>我喜欢这部电影。</v>
      </c>
    </row>
    <row r="990" spans="1:5">
      <c r="A990" s="5" t="s">
        <v>4414</v>
      </c>
      <c r="B990" s="4" t="str">
        <f ca="1">IFERROR(__xludf.DUMMYFUNCTION("IFERROR(GOOGLETRANSLATE(A990,""ko"",""en""),)"),"I liked movies.")</f>
        <v>I liked movies.</v>
      </c>
      <c r="C990" s="4" t="str">
        <f ca="1">IFERROR(__xludf.DUMMYFUNCTION("IFERROR(GOOGLETRANSLATE(B990,""en"",""ja""),)"),"私は映画が好きだった。")</f>
        <v>私は映画が好きだった。</v>
      </c>
      <c r="D990" s="4" t="str">
        <f ca="1">IFERROR(__xludf.DUMMYFUNCTION("IFERROR(GOOGLETRANSLATE(B990,""en"",""zh-TW""),)"),"我喜歡電影。")</f>
        <v>我喜歡電影。</v>
      </c>
      <c r="E990" s="4" t="str">
        <f ca="1">IFERROR(__xludf.DUMMYFUNCTION("IFERROR(GOOGLETRANSLATE(B990,""en"",""zh-CN""),)"),"我喜欢电影。")</f>
        <v>我喜欢电影。</v>
      </c>
    </row>
    <row r="991" spans="1:5">
      <c r="A991" s="3" t="s">
        <v>4415</v>
      </c>
      <c r="B991" s="4" t="str">
        <f ca="1">IFERROR(__xludf.DUMMYFUNCTION("IFERROR(GOOGLETRANSLATE(A991,""ko"",""en""),)"),"I went home early.")</f>
        <v>I went home early.</v>
      </c>
      <c r="C991" s="4" t="str">
        <f ca="1">IFERROR(__xludf.DUMMYFUNCTION("IFERROR(GOOGLETRANSLATE(B991,""en"",""ja""),)"),"私は早く家に帰りました。")</f>
        <v>私は早く家に帰りました。</v>
      </c>
      <c r="D991" s="4" t="str">
        <f ca="1">IFERROR(__xludf.DUMMYFUNCTION("IFERROR(GOOGLETRANSLATE(B991,""en"",""zh-TW""),)"),"我提前回家了。")</f>
        <v>我提前回家了。</v>
      </c>
      <c r="E991" s="4" t="str">
        <f ca="1">IFERROR(__xludf.DUMMYFUNCTION("IFERROR(GOOGLETRANSLATE(B991,""en"",""zh-CN""),)"),"我提前回家了。")</f>
        <v>我提前回家了。</v>
      </c>
    </row>
    <row r="992" spans="1:5">
      <c r="A992" s="3" t="s">
        <v>4416</v>
      </c>
      <c r="B992" s="4" t="str">
        <f ca="1">IFERROR(__xludf.DUMMYFUNCTION("IFERROR(GOOGLETRANSLATE(A992,""ko"",""en""),)"),"I came home early.")</f>
        <v>I came home early.</v>
      </c>
      <c r="C992" s="4" t="str">
        <f ca="1">IFERROR(__xludf.DUMMYFUNCTION("IFERROR(GOOGLETRANSLATE(B992,""en"",""ja""),)"),"私は早く帰宅した。")</f>
        <v>私は早く帰宅した。</v>
      </c>
      <c r="D992" s="4" t="str">
        <f ca="1">IFERROR(__xludf.DUMMYFUNCTION("IFERROR(GOOGLETRANSLATE(B992,""en"",""zh-TW""),)"),"我提前回家了。")</f>
        <v>我提前回家了。</v>
      </c>
      <c r="E992" s="4" t="str">
        <f ca="1">IFERROR(__xludf.DUMMYFUNCTION("IFERROR(GOOGLETRANSLATE(B992,""en"",""zh-CN""),)"),"我提前回家了。")</f>
        <v>我提前回家了。</v>
      </c>
    </row>
    <row r="993" spans="1:5">
      <c r="A993" s="3" t="s">
        <v>4417</v>
      </c>
      <c r="B993" s="4" t="str">
        <f ca="1">IFERROR(__xludf.DUMMYFUNCTION("IFERROR(GOOGLETRANSLATE(A993,""ko"",""en""),)"),"The ramen was delicious.")</f>
        <v>The ramen was delicious.</v>
      </c>
      <c r="C993" s="4" t="str">
        <f ca="1">IFERROR(__xludf.DUMMYFUNCTION("IFERROR(GOOGLETRANSLATE(B993,""en"",""ja""),)"),"ラーメンは美味しかった。")</f>
        <v>ラーメンは美味しかった。</v>
      </c>
      <c r="D993" s="4" t="str">
        <f ca="1">IFERROR(__xludf.DUMMYFUNCTION("IFERROR(GOOGLETRANSLATE(B993,""en"",""zh-TW""),)"),"拉麵很好吃。")</f>
        <v>拉麵很好吃。</v>
      </c>
      <c r="E993" s="4" t="str">
        <f ca="1">IFERROR(__xludf.DUMMYFUNCTION("IFERROR(GOOGLETRANSLATE(B993,""en"",""zh-CN""),)"),"拉面很好吃。")</f>
        <v>拉面很好吃。</v>
      </c>
    </row>
    <row r="994" spans="1:5">
      <c r="A994" s="3" t="s">
        <v>4418</v>
      </c>
      <c r="B994" s="4" t="str">
        <f ca="1">IFERROR(__xludf.DUMMYFUNCTION("IFERROR(GOOGLETRANSLATE(A994,""ko"",""en""),)"),"Did you go swimming yesterday?")</f>
        <v>Did you go swimming yesterday?</v>
      </c>
      <c r="C994" s="4" t="str">
        <f ca="1">IFERROR(__xludf.DUMMYFUNCTION("IFERROR(GOOGLETRANSLATE(B994,""en"",""ja""),)"),"昨日、泳ぎに行きましたか？")</f>
        <v>昨日、泳ぎに行きましたか？</v>
      </c>
      <c r="D994" s="4" t="str">
        <f ca="1">IFERROR(__xludf.DUMMYFUNCTION("IFERROR(GOOGLETRANSLATE(B994,""en"",""zh-TW""),)"),"你昨天去游泳了嗎？")</f>
        <v>你昨天去游泳了嗎？</v>
      </c>
      <c r="E994" s="4" t="str">
        <f ca="1">IFERROR(__xludf.DUMMYFUNCTION("IFERROR(GOOGLETRANSLATE(B994,""en"",""zh-CN""),)"),"你昨天去游泳了吗？")</f>
        <v>你昨天去游泳了吗？</v>
      </c>
    </row>
    <row r="995" spans="1:5">
      <c r="A995" s="3" t="s">
        <v>4419</v>
      </c>
      <c r="B995" s="4" t="str">
        <f ca="1">IFERROR(__xludf.DUMMYFUNCTION("IFERROR(GOOGLETRANSLATE(A995,""ko"",""en""),)"),"No, I rested at home.")</f>
        <v>No, I rested at home.</v>
      </c>
      <c r="C995" s="4" t="str">
        <f ca="1">IFERROR(__xludf.DUMMYFUNCTION("IFERROR(GOOGLETRANSLATE(B995,""en"",""ja""),)"),"いいえ、家で休んでいました。")</f>
        <v>いいえ、家で休んでいました。</v>
      </c>
      <c r="D995" s="4" t="str">
        <f ca="1">IFERROR(__xludf.DUMMYFUNCTION("IFERROR(GOOGLETRANSLATE(B995,""en"",""zh-TW""),)"),"不，我在家休息了。")</f>
        <v>不，我在家休息了。</v>
      </c>
      <c r="E995" s="4" t="str">
        <f ca="1">IFERROR(__xludf.DUMMYFUNCTION("IFERROR(GOOGLETRANSLATE(B995,""en"",""zh-CN""),)"),"不，我在家休息了。")</f>
        <v>不，我在家休息了。</v>
      </c>
    </row>
    <row r="996" spans="1:5">
      <c r="A996" s="3" t="s">
        <v>4256</v>
      </c>
      <c r="B996" s="4" t="str">
        <f ca="1">IFERROR(__xludf.DUMMYFUNCTION("IFERROR(GOOGLETRANSLATE(A996,""ko"",""en""),)"),"What did you do over the weekend?")</f>
        <v>What did you do over the weekend?</v>
      </c>
      <c r="C996" s="4" t="str">
        <f ca="1">IFERROR(__xludf.DUMMYFUNCTION("IFERROR(GOOGLETRANSLATE(B996,""en"",""ja""),)"),"週末は何をしていましたか？")</f>
        <v>週末は何をしていましたか？</v>
      </c>
      <c r="D996" s="4" t="str">
        <f ca="1">IFERROR(__xludf.DUMMYFUNCTION("IFERROR(GOOGLETRANSLATE(B996,""en"",""zh-TW""),)"),"你周末都做了什麼？")</f>
        <v>你周末都做了什麼？</v>
      </c>
      <c r="E996" s="4" t="str">
        <f ca="1">IFERROR(__xludf.DUMMYFUNCTION("IFERROR(GOOGLETRANSLATE(B996,""en"",""zh-CN""),)"),"你周末都做了些什么？")</f>
        <v>你周末都做了些什么？</v>
      </c>
    </row>
    <row r="997" spans="1:5">
      <c r="A997" s="3" t="s">
        <v>4420</v>
      </c>
      <c r="B997" s="4" t="str">
        <f ca="1">IFERROR(__xludf.DUMMYFUNCTION("IFERROR(GOOGLETRANSLATE(A997,""ko"",""en""),)"),"I made gimbap with my friend.")</f>
        <v>I made gimbap with my friend.</v>
      </c>
      <c r="C997" s="4" t="str">
        <f ca="1">IFERROR(__xludf.DUMMYFUNCTION("IFERROR(GOOGLETRANSLATE(B997,""en"",""ja""),)"),"友達とキンパを作りました。")</f>
        <v>友達とキンパを作りました。</v>
      </c>
      <c r="D997" s="4" t="str">
        <f ca="1">IFERROR(__xludf.DUMMYFUNCTION("IFERROR(GOOGLETRANSLATE(B997,""en"",""zh-TW""),)"),"我和朋友一起做了紫菜包飯。")</f>
        <v>我和朋友一起做了紫菜包飯。</v>
      </c>
      <c r="E997" s="4" t="str">
        <f ca="1">IFERROR(__xludf.DUMMYFUNCTION("IFERROR(GOOGLETRANSLATE(B997,""en"",""zh-CN""),)"),"我和朋友一起做了紫菜包饭。")</f>
        <v>我和朋友一起做了紫菜包饭。</v>
      </c>
    </row>
    <row r="998" spans="1:5">
      <c r="A998" s="3" t="s">
        <v>4421</v>
      </c>
      <c r="B998" s="4" t="str">
        <f ca="1">IFERROR(__xludf.DUMMYFUNCTION("IFERROR(GOOGLETRANSLATE(A998,""ko"",""en""),)"),"What did you do yesterday afternoon?")</f>
        <v>What did you do yesterday afternoon?</v>
      </c>
      <c r="C998" s="4" t="str">
        <f ca="1">IFERROR(__xludf.DUMMYFUNCTION("IFERROR(GOOGLETRANSLATE(B998,""en"",""ja""),)"),"昨日の午後は何をしていましたか？")</f>
        <v>昨日の午後は何をしていましたか？</v>
      </c>
      <c r="D998" s="4" t="str">
        <f ca="1">IFERROR(__xludf.DUMMYFUNCTION("IFERROR(GOOGLETRANSLATE(B998,""en"",""zh-TW""),)"),"你昨天下午做了什麼？")</f>
        <v>你昨天下午做了什麼？</v>
      </c>
      <c r="E998" s="4" t="str">
        <f ca="1">IFERROR(__xludf.DUMMYFUNCTION("IFERROR(GOOGLETRANSLATE(B998,""en"",""zh-CN""),)"),"你昨天下午做了什么？")</f>
        <v>你昨天下午做了什么？</v>
      </c>
    </row>
    <row r="999" spans="1:5">
      <c r="A999" s="3" t="s">
        <v>4422</v>
      </c>
      <c r="B999" s="4" t="str">
        <f ca="1">IFERROR(__xludf.DUMMYFUNCTION("IFERROR(GOOGLETRANSLATE(A999,""ko"",""en""),)"),"I met a friend.")</f>
        <v>I met a friend.</v>
      </c>
      <c r="C999" s="4" t="str">
        <f ca="1">IFERROR(__xludf.DUMMYFUNCTION("IFERROR(GOOGLETRANSLATE(B999,""en"",""ja""),)"),"友達に会った。")</f>
        <v>友達に会った。</v>
      </c>
      <c r="D999" s="4" t="str">
        <f ca="1">IFERROR(__xludf.DUMMYFUNCTION("IFERROR(GOOGLETRANSLATE(B999,""en"",""zh-TW""),)"),"我遇到了一位朋友。")</f>
        <v>我遇到了一位朋友。</v>
      </c>
      <c r="E999" s="4" t="str">
        <f ca="1">IFERROR(__xludf.DUMMYFUNCTION("IFERROR(GOOGLETRANSLATE(B999,""en"",""zh-CN""),)"),"我遇到了一位朋友。")</f>
        <v>我遇到了一位朋友。</v>
      </c>
    </row>
    <row r="1000" spans="1:5">
      <c r="A1000" s="3" t="s">
        <v>4423</v>
      </c>
      <c r="B1000" s="4" t="str">
        <f ca="1">IFERROR(__xludf.DUMMYFUNCTION("IFERROR(GOOGLETRANSLATE(A1000,""ko"",""en""),)"),"Was the weather cool in Busan yesterday?")</f>
        <v>Was the weather cool in Busan yesterday?</v>
      </c>
      <c r="C1000" s="4" t="str">
        <f ca="1">IFERROR(__xludf.DUMMYFUNCTION("IFERROR(GOOGLETRANSLATE(B1000,""en"",""ja""),)"),"昨日の釜山は涼しかったですか？")</f>
        <v>昨日の釜山は涼しかったですか？</v>
      </c>
      <c r="D1000" s="4" t="str">
        <f ca="1">IFERROR(__xludf.DUMMYFUNCTION("IFERROR(GOOGLETRANSLATE(B1000,""en"",""zh-TW""),)"),"昨天釜山天氣涼爽嗎？")</f>
        <v>昨天釜山天氣涼爽嗎？</v>
      </c>
      <c r="E1000" s="4" t="str">
        <f ca="1">IFERROR(__xludf.DUMMYFUNCTION("IFERROR(GOOGLETRANSLATE(B1000,""en"",""zh-CN""),)"),"昨天釜山天气凉爽吗？")</f>
        <v>昨天釜山天气凉爽吗？</v>
      </c>
    </row>
    <row r="1001" spans="1:5">
      <c r="A1001" s="5" t="s">
        <v>4424</v>
      </c>
      <c r="B1001" s="4" t="str">
        <f ca="1">IFERROR(__xludf.DUMMYFUNCTION("IFERROR(GOOGLETRANSLATE(A1001,""ko"",""en""),)"),"No, the weather was hot.")</f>
        <v>No, the weather was hot.</v>
      </c>
      <c r="C1001" s="4" t="str">
        <f ca="1">IFERROR(__xludf.DUMMYFUNCTION("IFERROR(GOOGLETRANSLATE(B1001,""en"",""ja""),)"),"いいえ、天気は暑かったんです。")</f>
        <v>いいえ、天気は暑かったんです。</v>
      </c>
      <c r="D1001" s="4" t="str">
        <f ca="1">IFERROR(__xludf.DUMMYFUNCTION("IFERROR(GOOGLETRANSLATE(B1001,""en"",""zh-TW""),)"),"不，天氣很熱。")</f>
        <v>不，天氣很熱。</v>
      </c>
      <c r="E1001" s="4" t="str">
        <f ca="1">IFERROR(__xludf.DUMMYFUNCTION("IFERROR(GOOGLETRANSLATE(B1001,""en"",""zh-CN""),)"),"不，天气很热。")</f>
        <v>不，天气很热。</v>
      </c>
    </row>
    <row r="1002" spans="1:5">
      <c r="A1002" s="3" t="s">
        <v>4425</v>
      </c>
      <c r="B1002" s="4" t="str">
        <f ca="1">IFERROR(__xludf.DUMMYFUNCTION("IFERROR(GOOGLETRANSLATE(A1002,""ko"",""en""),)"),"It's fun.")</f>
        <v>It's fun.</v>
      </c>
      <c r="C1002" s="4" t="str">
        <f ca="1">IFERROR(__xludf.DUMMYFUNCTION("IFERROR(GOOGLETRANSLATE(B1002,""en"",""ja""),)"),"楽しいよ。")</f>
        <v>楽しいよ。</v>
      </c>
      <c r="D1002" s="4" t="str">
        <f ca="1">IFERROR(__xludf.DUMMYFUNCTION("IFERROR(GOOGLETRANSLATE(B1002,""en"",""zh-TW""),)"),"很有趣。")</f>
        <v>很有趣。</v>
      </c>
      <c r="E1002" s="4" t="str">
        <f ca="1">IFERROR(__xludf.DUMMYFUNCTION("IFERROR(GOOGLETRANSLATE(B1002,""en"",""zh-CN""),)"),"很有趣。")</f>
        <v>很有趣。</v>
      </c>
    </row>
    <row r="1003" spans="1:5">
      <c r="A1003" s="3" t="s">
        <v>4426</v>
      </c>
      <c r="B1003" s="4" t="str">
        <f ca="1">IFERROR(__xludf.DUMMYFUNCTION("IFERROR(GOOGLETRANSLATE(A1003,""ko"",""en""),)"),"I ate bulgogi at a restaurant.")</f>
        <v>I ate bulgogi at a restaurant.</v>
      </c>
      <c r="C1003" s="4" t="str">
        <f ca="1">IFERROR(__xludf.DUMMYFUNCTION("IFERROR(GOOGLETRANSLATE(B1003,""en"",""ja""),)"),"私はレストランでプルコギを食べました。")</f>
        <v>私はレストランでプルコギを食べました。</v>
      </c>
      <c r="D1003" s="4" t="str">
        <f ca="1">IFERROR(__xludf.DUMMYFUNCTION("IFERROR(GOOGLETRANSLATE(B1003,""en"",""zh-TW""),)"),"我在一家餐廳吃了烤肉。")</f>
        <v>我在一家餐廳吃了烤肉。</v>
      </c>
      <c r="E1003" s="4" t="str">
        <f ca="1">IFERROR(__xludf.DUMMYFUNCTION("IFERROR(GOOGLETRANSLATE(B1003,""en"",""zh-CN""),)"),"我在一家餐馆吃了烤肉。")</f>
        <v>我在一家餐馆吃了烤肉。</v>
      </c>
    </row>
    <row r="1004" spans="1:5">
      <c r="A1004" s="3" t="s">
        <v>4427</v>
      </c>
      <c r="B1004" s="4" t="str">
        <f ca="1">IFERROR(__xludf.DUMMYFUNCTION("IFERROR(GOOGLETRANSLATE(A1004,""ko"",""en""),)"),"It was delicious.")</f>
        <v>It was delicious.</v>
      </c>
      <c r="C1004" s="4" t="str">
        <f ca="1">IFERROR(__xludf.DUMMYFUNCTION("IFERROR(GOOGLETRANSLATE(B1004,""en"",""ja""),)"),"美味しかったです。")</f>
        <v>美味しかったです。</v>
      </c>
      <c r="D1004" s="4" t="str">
        <f ca="1">IFERROR(__xludf.DUMMYFUNCTION("IFERROR(GOOGLETRANSLATE(B1004,""en"",""zh-TW""),)"),"很美味。")</f>
        <v>很美味。</v>
      </c>
      <c r="E1004" s="4" t="str">
        <f ca="1">IFERROR(__xludf.DUMMYFUNCTION("IFERROR(GOOGLETRANSLATE(B1004,""en"",""zh-CN""),)"),"很美味。")</f>
        <v>很美味。</v>
      </c>
    </row>
    <row r="1005" spans="1:5">
      <c r="A1005" s="3" t="s">
        <v>4428</v>
      </c>
      <c r="B1005" s="4" t="str">
        <f ca="1">IFERROR(__xludf.DUMMYFUNCTION("IFERROR(GOOGLETRANSLATE(A1005,""ko"",""en""),)"),"I went to my parents' house.")</f>
        <v>I went to my parents' house.</v>
      </c>
      <c r="C1005" s="4" t="str">
        <f ca="1">IFERROR(__xludf.DUMMYFUNCTION("IFERROR(GOOGLETRANSLATE(B1005,""en"",""ja""),)"),"私は両親の家に行った。")</f>
        <v>私は両親の家に行った。</v>
      </c>
      <c r="D1005" s="4" t="str">
        <f ca="1">IFERROR(__xludf.DUMMYFUNCTION("IFERROR(GOOGLETRANSLATE(B1005,""en"",""zh-TW""),)"),"我去了父母家。")</f>
        <v>我去了父母家。</v>
      </c>
      <c r="E1005" s="4" t="str">
        <f ca="1">IFERROR(__xludf.DUMMYFUNCTION("IFERROR(GOOGLETRANSLATE(B1005,""en"",""zh-CN""),)"),"我去了父母家。")</f>
        <v>我去了父母家。</v>
      </c>
    </row>
    <row r="1006" spans="1:5">
      <c r="A1006" s="3" t="s">
        <v>4429</v>
      </c>
      <c r="B1006" s="4" t="str">
        <f ca="1">IFERROR(__xludf.DUMMYFUNCTION("IFERROR(GOOGLETRANSLATE(A1006,""ko"",""en""),)"),"I cooked.")</f>
        <v>I cooked.</v>
      </c>
      <c r="C1006" s="4" t="str">
        <f ca="1">IFERROR(__xludf.DUMMYFUNCTION("IFERROR(GOOGLETRANSLATE(B1006,""en"",""ja""),)"),"私は料理をした。")</f>
        <v>私は料理をした。</v>
      </c>
      <c r="D1006" s="4" t="str">
        <f ca="1">IFERROR(__xludf.DUMMYFUNCTION("IFERROR(GOOGLETRANSLATE(B1006,""en"",""zh-TW""),)"),"我做了飯。")</f>
        <v>我做了飯。</v>
      </c>
      <c r="E1006" s="4" t="str">
        <f ca="1">IFERROR(__xludf.DUMMYFUNCTION("IFERROR(GOOGLETRANSLATE(B1006,""en"",""zh-CN""),)"),"我做了饭。")</f>
        <v>我做了饭。</v>
      </c>
    </row>
    <row r="1007" spans="1:5">
      <c r="A1007" s="3" t="s">
        <v>4430</v>
      </c>
      <c r="B1007" s="4" t="str">
        <f ca="1">IFERROR(__xludf.DUMMYFUNCTION("IFERROR(GOOGLETRANSLATE(A1007,""ko"",""en""),)"),"I made a cake.")</f>
        <v>I made a cake.</v>
      </c>
      <c r="C1007" s="4" t="str">
        <f ca="1">IFERROR(__xludf.DUMMYFUNCTION("IFERROR(GOOGLETRANSLATE(B1007,""en"",""ja""),)"),"ケーキを作りました。")</f>
        <v>ケーキを作りました。</v>
      </c>
      <c r="D1007" s="4" t="str">
        <f ca="1">IFERROR(__xludf.DUMMYFUNCTION("IFERROR(GOOGLETRANSLATE(B1007,""en"",""zh-TW""),)"),"我做了一個蛋糕。")</f>
        <v>我做了一個蛋糕。</v>
      </c>
      <c r="E1007" s="4" t="str">
        <f ca="1">IFERROR(__xludf.DUMMYFUNCTION("IFERROR(GOOGLETRANSLATE(B1007,""en"",""zh-CN""),)"),"我做了一个蛋糕。")</f>
        <v>我做了一个蛋糕。</v>
      </c>
    </row>
    <row r="1008" spans="1:5">
      <c r="A1008" s="3" t="s">
        <v>4431</v>
      </c>
      <c r="B1008" s="4" t="str">
        <f ca="1">IFERROR(__xludf.DUMMYFUNCTION("IFERROR(GOOGLETRANSLATE(A1008,""ko"",""en""),)"),"I did some baking.")</f>
        <v>I did some baking.</v>
      </c>
      <c r="C1008" s="4" t="str">
        <f ca="1">IFERROR(__xludf.DUMMYFUNCTION("IFERROR(GOOGLETRANSLATE(B1008,""en"",""ja""),)"),"お菓子作りをしました。")</f>
        <v>お菓子作りをしました。</v>
      </c>
      <c r="D1008" s="4" t="str">
        <f ca="1">IFERROR(__xludf.DUMMYFUNCTION("IFERROR(GOOGLETRANSLATE(B1008,""en"",""zh-TW""),)"),"我烤了一些點心。")</f>
        <v>我烤了一些點心。</v>
      </c>
      <c r="E1008" s="4" t="str">
        <f ca="1">IFERROR(__xludf.DUMMYFUNCTION("IFERROR(GOOGLETRANSLATE(B1008,""en"",""zh-CN""),)"),"我烤了一些点心。")</f>
        <v>我烤了一些点心。</v>
      </c>
    </row>
    <row r="1009" spans="1:5">
      <c r="A1009" s="3" t="s">
        <v>4432</v>
      </c>
      <c r="B1009" s="4" t="str">
        <f ca="1">IFERROR(__xludf.DUMMYFUNCTION("IFERROR(GOOGLETRANSLATE(A1009,""ko"",""en""),)"),"I rode a bike with a friend at the park.")</f>
        <v>I rode a bike with a friend at the park.</v>
      </c>
      <c r="C1009" s="4" t="str">
        <f ca="1">IFERROR(__xludf.DUMMYFUNCTION("IFERROR(GOOGLETRANSLATE(B1009,""en"",""ja""),)"),"私は友達と公園で自転車に乗った。")</f>
        <v>私は友達と公園で自転車に乗った。</v>
      </c>
      <c r="D1009" s="4" t="str">
        <f ca="1">IFERROR(__xludf.DUMMYFUNCTION("IFERROR(GOOGLETRANSLATE(B1009,""en"",""zh-TW""),)"),"我和朋友在公園騎腳踏車。")</f>
        <v>我和朋友在公園騎腳踏車。</v>
      </c>
      <c r="E1009" s="4" t="str">
        <f ca="1">IFERROR(__xludf.DUMMYFUNCTION("IFERROR(GOOGLETRANSLATE(B1009,""en"",""zh-CN""),)"),"我和朋友在公园骑自行车。")</f>
        <v>我和朋友在公园骑自行车。</v>
      </c>
    </row>
    <row r="1010" spans="1:5">
      <c r="A1010" s="3" t="s">
        <v>4433</v>
      </c>
      <c r="B1010" s="4" t="str">
        <f ca="1">IFERROR(__xludf.DUMMYFUNCTION("IFERROR(GOOGLETRANSLATE(A1010,""ko"",""en""),)"),"I looked around at the museum.")</f>
        <v>I looked around at the museum.</v>
      </c>
      <c r="C1010" s="4" t="str">
        <f ca="1">IFERROR(__xludf.DUMMYFUNCTION("IFERROR(GOOGLETRANSLATE(B1010,""en"",""ja""),)"),"私は博物館の中を見回した。")</f>
        <v>私は博物館の中を見回した。</v>
      </c>
      <c r="D1010" s="4" t="str">
        <f ca="1">IFERROR(__xludf.DUMMYFUNCTION("IFERROR(GOOGLETRANSLATE(B1010,""en"",""zh-TW""),)"),"我在博物館裡四處看了看。")</f>
        <v>我在博物館裡四處看了看。</v>
      </c>
      <c r="E1010" s="4" t="str">
        <f ca="1">IFERROR(__xludf.DUMMYFUNCTION("IFERROR(GOOGLETRANSLATE(B1010,""en"",""zh-CN""),)"),"我在博物馆里四处看了看。")</f>
        <v>我在博物馆里四处看了看。</v>
      </c>
    </row>
    <row r="1011" spans="1:5">
      <c r="A1011" s="3" t="s">
        <v>4434</v>
      </c>
      <c r="B1011" s="4" t="str">
        <f ca="1">IFERROR(__xludf.DUMMYFUNCTION("IFERROR(GOOGLETRANSLATE(A1011,""ko"",""en""),)"),"verb")</f>
        <v>verb</v>
      </c>
      <c r="C1011" s="4" t="str">
        <f ca="1">IFERROR(__xludf.DUMMYFUNCTION("IFERROR(GOOGLETRANSLATE(B1011,""en"",""ja""),)"),"動詞")</f>
        <v>動詞</v>
      </c>
      <c r="D1011" s="4" t="str">
        <f ca="1">IFERROR(__xludf.DUMMYFUNCTION("IFERROR(GOOGLETRANSLATE(B1011,""en"",""zh-TW""),)"),"動詞")</f>
        <v>動詞</v>
      </c>
      <c r="E1011" s="4" t="str">
        <f ca="1">IFERROR(__xludf.DUMMYFUNCTION("IFERROR(GOOGLETRANSLATE(B1011,""en"",""zh-CN""),)"),"动词")</f>
        <v>动词</v>
      </c>
    </row>
    <row r="1012" spans="1:5">
      <c r="A1012" s="3" t="s">
        <v>4239</v>
      </c>
      <c r="B1012" s="4" t="str">
        <f ca="1">IFERROR(__xludf.DUMMYFUNCTION("IFERROR(GOOGLETRANSLATE(A1012,""ko"",""en""),)"),"adjective")</f>
        <v>adjective</v>
      </c>
      <c r="C1012" s="4" t="str">
        <f ca="1">IFERROR(__xludf.DUMMYFUNCTION("IFERROR(GOOGLETRANSLATE(B1012,""en"",""ja""),)"),"形容詞")</f>
        <v>形容詞</v>
      </c>
      <c r="D1012" s="4" t="str">
        <f ca="1">IFERROR(__xludf.DUMMYFUNCTION("IFERROR(GOOGLETRANSLATE(B1012,""en"",""zh-TW""),)"),"形容詞")</f>
        <v>形容詞</v>
      </c>
      <c r="E1012" s="4" t="str">
        <f ca="1">IFERROR(__xludf.DUMMYFUNCTION("IFERROR(GOOGLETRANSLATE(B1012,""en"",""zh-CN""),)"),"形容词")</f>
        <v>形容词</v>
      </c>
    </row>
    <row r="1013" spans="1:5">
      <c r="A1013" s="3" t="s">
        <v>4435</v>
      </c>
      <c r="B1013" s="4" t="str">
        <f ca="1">IFERROR(__xludf.DUMMYFUNCTION("IFERROR(GOOGLETRANSLATE(A1013,""ko"",""en""),)"),"I went")</f>
        <v>I went</v>
      </c>
      <c r="C1013" s="4" t="str">
        <f ca="1">IFERROR(__xludf.DUMMYFUNCTION("IFERROR(GOOGLETRANSLATE(B1013,""en"",""ja""),)"),"私は行った")</f>
        <v>私は行った</v>
      </c>
      <c r="D1013" s="4" t="str">
        <f ca="1">IFERROR(__xludf.DUMMYFUNCTION("IFERROR(GOOGLETRANSLATE(B1013,""en"",""zh-TW""),)"),"我去了")</f>
        <v>我去了</v>
      </c>
      <c r="E1013" s="4" t="str">
        <f ca="1">IFERROR(__xludf.DUMMYFUNCTION("IFERROR(GOOGLETRANSLATE(B1013,""en"",""zh-CN""),)"),"我去了")</f>
        <v>我去了</v>
      </c>
    </row>
    <row r="1014" spans="1:5">
      <c r="A1014" s="3" t="s">
        <v>4436</v>
      </c>
      <c r="B1014" s="4" t="str">
        <f ca="1">IFERROR(__xludf.DUMMYFUNCTION("IFERROR(GOOGLETRANSLATE(A1014,""ko"",""en""),)"),"I saw it")</f>
        <v>I saw it</v>
      </c>
      <c r="C1014" s="4" t="str">
        <f ca="1">IFERROR(__xludf.DUMMYFUNCTION("IFERROR(GOOGLETRANSLATE(B1014,""en"",""ja""),)"),"私はそれを見た")</f>
        <v>私はそれを見た</v>
      </c>
      <c r="D1014" s="4" t="str">
        <f ca="1">IFERROR(__xludf.DUMMYFUNCTION("IFERROR(GOOGLETRANSLATE(B1014,""en"",""zh-TW""),)"),"我看到了。")</f>
        <v>我看到了。</v>
      </c>
      <c r="E1014" s="4" t="str">
        <f ca="1">IFERROR(__xludf.DUMMYFUNCTION("IFERROR(GOOGLETRANSLATE(B1014,""en"",""zh-CN""),)"),"我看到了。")</f>
        <v>我看到了。</v>
      </c>
    </row>
    <row r="1015" spans="1:5">
      <c r="A1015" s="3" t="s">
        <v>4437</v>
      </c>
      <c r="B1015" s="4" t="str">
        <f ca="1">IFERROR(__xludf.DUMMYFUNCTION("IFERROR(GOOGLETRANSLATE(A1015,""ko"",""en""),)"),"It was good.")</f>
        <v>It was good.</v>
      </c>
      <c r="C1015" s="4" t="str">
        <f ca="1">IFERROR(__xludf.DUMMYFUNCTION("IFERROR(GOOGLETRANSLATE(B1015,""en"",""ja""),)"),"良かったよ。")</f>
        <v>良かったよ。</v>
      </c>
      <c r="D1015" s="4" t="str">
        <f ca="1">IFERROR(__xludf.DUMMYFUNCTION("IFERROR(GOOGLETRANSLATE(B1015,""en"",""zh-TW""),)"),"挺好的。")</f>
        <v>挺好的。</v>
      </c>
      <c r="E1015" s="4" t="str">
        <f ca="1">IFERROR(__xludf.DUMMYFUNCTION("IFERROR(GOOGLETRANSLATE(B1015,""en"",""zh-CN""),)"),"挺好的。")</f>
        <v>挺好的。</v>
      </c>
    </row>
    <row r="1016" spans="1:5">
      <c r="A1016" s="3" t="s">
        <v>4438</v>
      </c>
      <c r="B1016" s="4" t="str">
        <f ca="1">IFERROR(__xludf.DUMMYFUNCTION("IFERROR(GOOGLETRANSLATE(A1016,""ko"",""en""),)"),"I met you")</f>
        <v>I met you</v>
      </c>
      <c r="C1016" s="4" t="str">
        <f ca="1">IFERROR(__xludf.DUMMYFUNCTION("IFERROR(GOOGLETRANSLATE(B1016,""en"",""ja""),)"),"あなたに会った")</f>
        <v>あなたに会った</v>
      </c>
      <c r="D1016" s="4" t="str">
        <f ca="1">IFERROR(__xludf.DUMMYFUNCTION("IFERROR(GOOGLETRANSLATE(B1016,""en"",""zh-TW""),)"),"我遇見了你")</f>
        <v>我遇見了你</v>
      </c>
      <c r="E1016" s="4" t="str">
        <f ca="1">IFERROR(__xludf.DUMMYFUNCTION("IFERROR(GOOGLETRANSLATE(B1016,""en"",""zh-CN""),)"),"我遇见了你")</f>
        <v>我遇见了你</v>
      </c>
    </row>
    <row r="1017" spans="1:5">
      <c r="A1017" s="3" t="s">
        <v>4440</v>
      </c>
      <c r="B1017" s="4" t="str">
        <f ca="1">IFERROR(__xludf.DUMMYFUNCTION("IFERROR(GOOGLETRANSLATE(A1017,""ko"",""en""),)"),"i ate it")</f>
        <v>i ate it</v>
      </c>
      <c r="C1017" s="4" t="str">
        <f ca="1">IFERROR(__xludf.DUMMYFUNCTION("IFERROR(GOOGLETRANSLATE(B1017,""en"",""ja""),)"),"私はそれを食べた")</f>
        <v>私はそれを食べた</v>
      </c>
      <c r="D1017" s="4" t="str">
        <f ca="1">IFERROR(__xludf.DUMMYFUNCTION("IFERROR(GOOGLETRANSLATE(B1017,""en"",""zh-TW""),)"),"我吃了它")</f>
        <v>我吃了它</v>
      </c>
      <c r="E1017" s="4" t="str">
        <f ca="1">IFERROR(__xludf.DUMMYFUNCTION("IFERROR(GOOGLETRANSLATE(B1017,""en"",""zh-CN""),)"),"我吃了它")</f>
        <v>我吃了它</v>
      </c>
    </row>
    <row r="1018" spans="1:5">
      <c r="A1018" s="3" t="s">
        <v>4444</v>
      </c>
      <c r="B1018" s="4" t="str">
        <f ca="1">IFERROR(__xludf.DUMMYFUNCTION("IFERROR(GOOGLETRANSLATE(A1018,""ko"",""en""),)"),"I rested")</f>
        <v>I rested</v>
      </c>
      <c r="C1018" s="4" t="str">
        <f ca="1">IFERROR(__xludf.DUMMYFUNCTION("IFERROR(GOOGLETRANSLATE(B1018,""en"",""ja""),)"),"私は休んだ")</f>
        <v>私は休んだ</v>
      </c>
      <c r="D1018" s="4" t="str">
        <f ca="1">IFERROR(__xludf.DUMMYFUNCTION("IFERROR(GOOGLETRANSLATE(B1018,""en"",""zh-TW""),)"),"我休息了一會兒。")</f>
        <v>我休息了一會兒。</v>
      </c>
      <c r="E1018" s="4" t="str">
        <f ca="1">IFERROR(__xludf.DUMMYFUNCTION("IFERROR(GOOGLETRANSLATE(B1018,""en"",""zh-CN""),)"),"我休息了一会儿。")</f>
        <v>我休息了一会儿。</v>
      </c>
    </row>
    <row r="1019" spans="1:5">
      <c r="A1019" s="3" t="s">
        <v>4447</v>
      </c>
      <c r="B1019" s="4" t="str">
        <f ca="1">IFERROR(__xludf.DUMMYFUNCTION("IFERROR(GOOGLETRANSLATE(A1019,""ko"",""en""),)"),"I read it")</f>
        <v>I read it</v>
      </c>
      <c r="C1019" s="4" t="str">
        <f ca="1">IFERROR(__xludf.DUMMYFUNCTION("IFERROR(GOOGLETRANSLATE(B1019,""en"",""ja""),)"),"読みました")</f>
        <v>読みました</v>
      </c>
      <c r="D1019" s="4" t="str">
        <f ca="1">IFERROR(__xludf.DUMMYFUNCTION("IFERROR(GOOGLETRANSLATE(B1019,""en"",""zh-TW""),)"),"我讀過。")</f>
        <v>我讀過。</v>
      </c>
      <c r="E1019" s="4" t="str">
        <f ca="1">IFERROR(__xludf.DUMMYFUNCTION("IFERROR(GOOGLETRANSLATE(B1019,""en"",""zh-CN""),)"),"我读过。")</f>
        <v>我读过。</v>
      </c>
    </row>
    <row r="1020" spans="1:5">
      <c r="A1020" s="3" t="s">
        <v>4450</v>
      </c>
      <c r="B1020" s="4" t="str">
        <f ca="1">IFERROR(__xludf.DUMMYFUNCTION("IFERROR(GOOGLETRANSLATE(A1020,""ko"",""en""),)"),"It was cold.")</f>
        <v>It was cold.</v>
      </c>
      <c r="C1020" s="4" t="str">
        <f ca="1">IFERROR(__xludf.DUMMYFUNCTION("IFERROR(GOOGLETRANSLATE(B1020,""en"",""ja""),)"),"寒かった。")</f>
        <v>寒かった。</v>
      </c>
      <c r="D1020" s="4" t="str">
        <f ca="1">IFERROR(__xludf.DUMMYFUNCTION("IFERROR(GOOGLETRANSLATE(B1020,""en"",""zh-TW""),)"),"天氣很冷。")</f>
        <v>天氣很冷。</v>
      </c>
      <c r="E1020" s="4" t="str">
        <f ca="1">IFERROR(__xludf.DUMMYFUNCTION("IFERROR(GOOGLETRANSLATE(B1020,""en"",""zh-CN""),)"),"天气很冷。")</f>
        <v>天气很冷。</v>
      </c>
    </row>
    <row r="1021" spans="1:5">
      <c r="A1021" s="3" t="s">
        <v>4453</v>
      </c>
      <c r="B1021" s="4" t="str">
        <f ca="1">IFERROR(__xludf.DUMMYFUNCTION("IFERROR(GOOGLETRANSLATE(A1021,""ko"",""en""),)"),"It was hot.")</f>
        <v>It was hot.</v>
      </c>
      <c r="C1021" s="4" t="str">
        <f ca="1">IFERROR(__xludf.DUMMYFUNCTION("IFERROR(GOOGLETRANSLATE(B1021,""en"",""ja""),)"),"暑かった。")</f>
        <v>暑かった。</v>
      </c>
      <c r="D1021" s="4" t="str">
        <f ca="1">IFERROR(__xludf.DUMMYFUNCTION("IFERROR(GOOGLETRANSLATE(B1021,""en"",""zh-TW""),)"),"天氣很熱。")</f>
        <v>天氣很熱。</v>
      </c>
      <c r="E1021" s="4" t="str">
        <f ca="1">IFERROR(__xludf.DUMMYFUNCTION("IFERROR(GOOGLETRANSLATE(B1021,""en"",""zh-CN""),)"),"天气很热。")</f>
        <v>天气很热。</v>
      </c>
    </row>
    <row r="1022" spans="1:5">
      <c r="A1022" s="5" t="s">
        <v>4459</v>
      </c>
      <c r="B1022" s="4" t="str">
        <f ca="1">IFERROR(__xludf.DUMMYFUNCTION("IFERROR(GOOGLETRANSLATE(A1022,""ko"",""en""),)"),"It was beautiful.")</f>
        <v>It was beautiful.</v>
      </c>
      <c r="C1022" s="4" t="str">
        <f ca="1">IFERROR(__xludf.DUMMYFUNCTION("IFERROR(GOOGLETRANSLATE(B1022,""en"",""ja""),)"),"美しかった。")</f>
        <v>美しかった。</v>
      </c>
      <c r="D1022" s="4" t="str">
        <f ca="1">IFERROR(__xludf.DUMMYFUNCTION("IFERROR(GOOGLETRANSLATE(B1022,""en"",""zh-TW""),)"),"太美了。")</f>
        <v>太美了。</v>
      </c>
      <c r="E1022" s="4" t="str">
        <f ca="1">IFERROR(__xludf.DUMMYFUNCTION("IFERROR(GOOGLETRANSLATE(B1022,""en"",""zh-CN""),)"),"太美了。")</f>
        <v>太美了。</v>
      </c>
    </row>
    <row r="1023" spans="1:5">
      <c r="A1023" s="3" t="s">
        <v>4468</v>
      </c>
      <c r="B1023" s="4" t="str">
        <f ca="1">IFERROR(__xludf.DUMMYFUNCTION("IFERROR(GOOGLETRANSLATE(A1023,""ko"",""en""),)"),"I worked")</f>
        <v>I worked</v>
      </c>
      <c r="C1023" s="4" t="str">
        <f ca="1">IFERROR(__xludf.DUMMYFUNCTION("IFERROR(GOOGLETRANSLATE(B1023,""en"",""ja""),)"),"私は働いた")</f>
        <v>私は働いた</v>
      </c>
      <c r="D1023" s="4" t="str">
        <f ca="1">IFERROR(__xludf.DUMMYFUNCTION("IFERROR(GOOGLETRANSLATE(B1023,""en"",""zh-TW""),)"),"我工作")</f>
        <v>我工作</v>
      </c>
      <c r="E1023" s="4" t="str">
        <f ca="1">IFERROR(__xludf.DUMMYFUNCTION("IFERROR(GOOGLETRANSLATE(B1023,""en"",""zh-CN""),)"),"我工作")</f>
        <v>我工作</v>
      </c>
    </row>
    <row r="1024" spans="1:5">
      <c r="A1024" s="3" t="s">
        <v>4473</v>
      </c>
      <c r="B1024" s="4" t="str">
        <f ca="1">IFERROR(__xludf.DUMMYFUNCTION("IFERROR(GOOGLETRANSLATE(A1024,""ko"",""en""),)"),"I swam.")</f>
        <v>I swam.</v>
      </c>
      <c r="C1024" s="4" t="str">
        <f ca="1">IFERROR(__xludf.DUMMYFUNCTION("IFERROR(GOOGLETRANSLATE(B1024,""en"",""ja""),)"),"私は泳いだ。")</f>
        <v>私は泳いだ。</v>
      </c>
      <c r="D1024" s="4" t="str">
        <f ca="1">IFERROR(__xludf.DUMMYFUNCTION("IFERROR(GOOGLETRANSLATE(B1024,""en"",""zh-TW""),)"),"我游泳了。")</f>
        <v>我游泳了。</v>
      </c>
      <c r="E1024" s="4" t="str">
        <f ca="1">IFERROR(__xludf.DUMMYFUNCTION("IFERROR(GOOGLETRANSLATE(B1024,""en"",""zh-CN""),)"),"我游泳了。")</f>
        <v>我游泳了。</v>
      </c>
    </row>
    <row r="1025" spans="1:5">
      <c r="A1025" s="3" t="s">
        <v>4478</v>
      </c>
      <c r="B1025" s="4" t="str">
        <f ca="1">IFERROR(__xludf.DUMMYFUNCTION("IFERROR(GOOGLETRANSLATE(A1025,""ko"",""en""),)"),"I studied")</f>
        <v>I studied</v>
      </c>
      <c r="C1025" s="4" t="str">
        <f ca="1">IFERROR(__xludf.DUMMYFUNCTION("IFERROR(GOOGLETRANSLATE(B1025,""en"",""ja""),)"),"私は勉強した")</f>
        <v>私は勉強した</v>
      </c>
      <c r="D1025" s="4" t="str">
        <f ca="1">IFERROR(__xludf.DUMMYFUNCTION("IFERROR(GOOGLETRANSLATE(B1025,""en"",""zh-TW""),)"),"我學")</f>
        <v>我學</v>
      </c>
      <c r="E1025" s="4" t="str">
        <f ca="1">IFERROR(__xludf.DUMMYFUNCTION("IFERROR(GOOGLETRANSLATE(B1025,""en"",""zh-CN""),)"),"我学")</f>
        <v>我学</v>
      </c>
    </row>
    <row r="1026" spans="1:5">
      <c r="A1026" s="3" t="s">
        <v>4482</v>
      </c>
      <c r="B1026" s="4" t="str">
        <f ca="1">IFERROR(__xludf.DUMMYFUNCTION("IFERROR(GOOGLETRANSLATE(A1026,""ko"",""en""),)"),"It was warm.")</f>
        <v>It was warm.</v>
      </c>
      <c r="C1026" s="4" t="str">
        <f ca="1">IFERROR(__xludf.DUMMYFUNCTION("IFERROR(GOOGLETRANSLATE(B1026,""en"",""ja""),)"),"暖かかった。")</f>
        <v>暖かかった。</v>
      </c>
      <c r="D1026" s="4" t="str">
        <f ca="1">IFERROR(__xludf.DUMMYFUNCTION("IFERROR(GOOGLETRANSLATE(B1026,""en"",""zh-TW""),)"),"天氣很暖和。")</f>
        <v>天氣很暖和。</v>
      </c>
      <c r="E1026" s="4" t="str">
        <f ca="1">IFERROR(__xludf.DUMMYFUNCTION("IFERROR(GOOGLETRANSLATE(B1026,""en"",""zh-CN""),)"),"天气很暖和。")</f>
        <v>天气很暖和。</v>
      </c>
    </row>
    <row r="1027" spans="1:5">
      <c r="A1027" s="5" t="s">
        <v>4486</v>
      </c>
      <c r="B1027" s="4" t="str">
        <f ca="1">IFERROR(__xludf.DUMMYFUNCTION("IFERROR(GOOGLETRANSLATE(A1027,""ko"",""en""),)"),"I was sick yesterday.")</f>
        <v>I was sick yesterday.</v>
      </c>
      <c r="C1027" s="4" t="str">
        <f ca="1">IFERROR(__xludf.DUMMYFUNCTION("IFERROR(GOOGLETRANSLATE(B1027,""en"",""ja""),)"),"私は昨日体調が悪かった。")</f>
        <v>私は昨日体調が悪かった。</v>
      </c>
      <c r="D1027" s="4" t="str">
        <f ca="1">IFERROR(__xludf.DUMMYFUNCTION("IFERROR(GOOGLETRANSLATE(B1027,""en"",""zh-TW""),)"),"我昨天生病了。")</f>
        <v>我昨天生病了。</v>
      </c>
      <c r="E1027" s="4" t="str">
        <f ca="1">IFERROR(__xludf.DUMMYFUNCTION("IFERROR(GOOGLETRANSLATE(B1027,""en"",""zh-CN""),)"),"我昨天生病了。")</f>
        <v>我昨天生病了。</v>
      </c>
    </row>
    <row r="1028" spans="1:5">
      <c r="A1028" s="3" t="s">
        <v>4490</v>
      </c>
      <c r="B1028" s="4" t="str">
        <f ca="1">IFERROR(__xludf.DUMMYFUNCTION("IFERROR(GOOGLETRANSLATE(A1028,""ko"",""en""),)"),"I heard")</f>
        <v>I heard</v>
      </c>
      <c r="C1028" s="4" t="str">
        <f ca="1">IFERROR(__xludf.DUMMYFUNCTION("IFERROR(GOOGLETRANSLATE(B1028,""en"",""ja""),)"),"私は聞いた")</f>
        <v>私は聞いた</v>
      </c>
      <c r="D1028" s="4" t="str">
        <f ca="1">IFERROR(__xludf.DUMMYFUNCTION("IFERROR(GOOGLETRANSLATE(B1028,""en"",""zh-TW""),)"),"我聽說")</f>
        <v>我聽說</v>
      </c>
      <c r="E1028" s="4" t="str">
        <f ca="1">IFERROR(__xludf.DUMMYFUNCTION("IFERROR(GOOGLETRANSLATE(B1028,""en"",""zh-CN""),)"),"我听说")</f>
        <v>我听说</v>
      </c>
    </row>
    <row r="1029" spans="1:5">
      <c r="A1029" s="3" t="s">
        <v>4494</v>
      </c>
      <c r="B1029" s="4" t="str">
        <f ca="1">IFERROR(__xludf.DUMMYFUNCTION("IFERROR(GOOGLETRANSLATE(A1029,""ko"",""en""),)"),"I met a friend yesterday.")</f>
        <v>I met a friend yesterday.</v>
      </c>
      <c r="C1029" s="4" t="str">
        <f ca="1">IFERROR(__xludf.DUMMYFUNCTION("IFERROR(GOOGLETRANSLATE(B1029,""en"",""ja""),)"),"昨日、友人と会いました。")</f>
        <v>昨日、友人と会いました。</v>
      </c>
      <c r="D1029" s="4" t="str">
        <f ca="1">IFERROR(__xludf.DUMMYFUNCTION("IFERROR(GOOGLETRANSLATE(B1029,""en"",""zh-TW""),)"),"我昨天遇到了一位朋友。")</f>
        <v>我昨天遇到了一位朋友。</v>
      </c>
      <c r="E1029" s="4" t="str">
        <f ca="1">IFERROR(__xludf.DUMMYFUNCTION("IFERROR(GOOGLETRANSLATE(B1029,""en"",""zh-CN""),)"),"我昨天遇到了一位朋友。")</f>
        <v>我昨天遇到了一位朋友。</v>
      </c>
    </row>
    <row r="1030" spans="1:5">
      <c r="A1030" s="3" t="s">
        <v>4499</v>
      </c>
      <c r="B1030" s="4" t="str">
        <f ca="1">IFERROR(__xludf.DUMMYFUNCTION("IFERROR(GOOGLETRANSLATE(A1030,""ko"",""en""),)"),"The weather was hot yesterday.")</f>
        <v>The weather was hot yesterday.</v>
      </c>
      <c r="C1030" s="4" t="str">
        <f ca="1">IFERROR(__xludf.DUMMYFUNCTION("IFERROR(GOOGLETRANSLATE(B1030,""en"",""ja""),)"),"昨日は暑かった。")</f>
        <v>昨日は暑かった。</v>
      </c>
      <c r="D1030" s="4" t="str">
        <f ca="1">IFERROR(__xludf.DUMMYFUNCTION("IFERROR(GOOGLETRANSLATE(B1030,""en"",""zh-TW""),)"),"昨天天氣很熱。")</f>
        <v>昨天天氣很熱。</v>
      </c>
      <c r="E1030" s="4" t="str">
        <f ca="1">IFERROR(__xludf.DUMMYFUNCTION("IFERROR(GOOGLETRANSLATE(B1030,""en"",""zh-CN""),)"),"昨天天气很热。")</f>
        <v>昨天天气很热。</v>
      </c>
    </row>
    <row r="1031" spans="1:5">
      <c r="A1031" s="3" t="s">
        <v>4504</v>
      </c>
      <c r="B1031" s="4" t="str">
        <f ca="1">IFERROR(__xludf.DUMMYFUNCTION("IFERROR(GOOGLETRANSLATE(A1031,""ko"",""en""),)"),"I rested at home yesterday.")</f>
        <v>I rested at home yesterday.</v>
      </c>
      <c r="C1031" s="4" t="str">
        <f ca="1">IFERROR(__xludf.DUMMYFUNCTION("IFERROR(GOOGLETRANSLATE(B1031,""en"",""ja""),)"),"私は昨日、家で休養しました。")</f>
        <v>私は昨日、家で休養しました。</v>
      </c>
      <c r="D1031" s="4" t="str">
        <f ca="1">IFERROR(__xludf.DUMMYFUNCTION("IFERROR(GOOGLETRANSLATE(B1031,""en"",""zh-TW""),)"),"我昨天在家休息了。")</f>
        <v>我昨天在家休息了。</v>
      </c>
      <c r="E1031" s="4" t="str">
        <f ca="1">IFERROR(__xludf.DUMMYFUNCTION("IFERROR(GOOGLETRANSLATE(B1031,""en"",""zh-CN""),)"),"我昨天在家休息了。")</f>
        <v>我昨天在家休息了。</v>
      </c>
    </row>
    <row r="1032" spans="1:5">
      <c r="A1032" s="3" t="s">
        <v>4508</v>
      </c>
      <c r="B1032" s="4" t="str">
        <f ca="1">IFERROR(__xludf.DUMMYFUNCTION("IFERROR(GOOGLETRANSLATE(A1032,""ko"",""en""),)"),"I watched a movie yesterday.")</f>
        <v>I watched a movie yesterday.</v>
      </c>
      <c r="C1032" s="4" t="str">
        <f ca="1">IFERROR(__xludf.DUMMYFUNCTION("IFERROR(GOOGLETRANSLATE(B1032,""en"",""ja""),)"),"昨日、映画を観ました。")</f>
        <v>昨日、映画を観ました。</v>
      </c>
      <c r="D1032" s="4" t="str">
        <f ca="1">IFERROR(__xludf.DUMMYFUNCTION("IFERROR(GOOGLETRANSLATE(B1032,""en"",""zh-TW""),)"),"我昨天看了一部電影。")</f>
        <v>我昨天看了一部電影。</v>
      </c>
      <c r="E1032" s="4" t="str">
        <f ca="1">IFERROR(__xludf.DUMMYFUNCTION("IFERROR(GOOGLETRANSLATE(B1032,""en"",""zh-CN""),)"),"我昨天看了一部电影。")</f>
        <v>我昨天看了一部电影。</v>
      </c>
    </row>
    <row r="1033" spans="1:5">
      <c r="A1033" s="3" t="s">
        <v>4513</v>
      </c>
      <c r="B1033" s="4" t="str">
        <f ca="1">IFERROR(__xludf.DUMMYFUNCTION("IFERROR(GOOGLETRANSLATE(A1033,""ko"",""en""),)"),"I played a game yesterday.")</f>
        <v>I played a game yesterday.</v>
      </c>
      <c r="C1033" s="4" t="str">
        <f ca="1">IFERROR(__xludf.DUMMYFUNCTION("IFERROR(GOOGLETRANSLATE(B1033,""en"",""ja""),)"),"昨日ゲームをした。")</f>
        <v>昨日ゲームをした。</v>
      </c>
      <c r="D1033" s="4" t="str">
        <f ca="1">IFERROR(__xludf.DUMMYFUNCTION("IFERROR(GOOGLETRANSLATE(B1033,""en"",""zh-TW""),)"),"我昨天玩了一款遊戲。")</f>
        <v>我昨天玩了一款遊戲。</v>
      </c>
      <c r="E1033" s="4" t="str">
        <f ca="1">IFERROR(__xludf.DUMMYFUNCTION("IFERROR(GOOGLETRANSLATE(B1033,""en"",""zh-CN""),)"),"我昨天玩了一款游戏。")</f>
        <v>我昨天玩了一款游戏。</v>
      </c>
    </row>
    <row r="1034" spans="1:5">
      <c r="A1034" s="3" t="s">
        <v>4516</v>
      </c>
      <c r="B1034" s="4" t="str">
        <f ca="1">IFERROR(__xludf.DUMMYFUNCTION("IFERROR(GOOGLETRANSLATE(A1034,""ko"",""en""),)"),"I studied Korean yesterday.")</f>
        <v>I studied Korean yesterday.</v>
      </c>
      <c r="C1034" s="4" t="str">
        <f ca="1">IFERROR(__xludf.DUMMYFUNCTION("IFERROR(GOOGLETRANSLATE(B1034,""en"",""ja""),)"),"私は昨日、韓国語を勉強しました。")</f>
        <v>私は昨日、韓国語を勉強しました。</v>
      </c>
      <c r="D1034" s="4" t="str">
        <f ca="1">IFERROR(__xludf.DUMMYFUNCTION("IFERROR(GOOGLETRANSLATE(B1034,""en"",""zh-TW""),)"),"我昨天學習了韓語。")</f>
        <v>我昨天學習了韓語。</v>
      </c>
      <c r="E1034" s="4" t="str">
        <f ca="1">IFERROR(__xludf.DUMMYFUNCTION("IFERROR(GOOGLETRANSLATE(B1034,""en"",""zh-CN""),)"),"我昨天学习了韩语。")</f>
        <v>我昨天学习了韩语。</v>
      </c>
    </row>
    <row r="1035" spans="1:5">
      <c r="A1035" s="3" t="s">
        <v>891</v>
      </c>
      <c r="B1035" s="4" t="str">
        <f ca="1">IFERROR(__xludf.DUMMYFUNCTION("IFERROR(GOOGLETRANSLATE(A1035,""ko"",""en""),)"),"What did you do yesterday?")</f>
        <v>What did you do yesterday?</v>
      </c>
      <c r="C1035" s="4" t="str">
        <f ca="1">IFERROR(__xludf.DUMMYFUNCTION("IFERROR(GOOGLETRANSLATE(B1035,""en"",""ja""),)"),"昨日は何をしましたか？")</f>
        <v>昨日は何をしましたか？</v>
      </c>
      <c r="D1035" s="4" t="str">
        <f ca="1">IFERROR(__xludf.DUMMYFUNCTION("IFERROR(GOOGLETRANSLATE(B1035,""en"",""zh-TW""),)"),"你昨天做了什麼？")</f>
        <v>你昨天做了什麼？</v>
      </c>
      <c r="E1035" s="4" t="str">
        <f ca="1">IFERROR(__xludf.DUMMYFUNCTION("IFERROR(GOOGLETRANSLATE(B1035,""en"",""zh-CN""),)"),"你昨天做了什么？")</f>
        <v>你昨天做了什么？</v>
      </c>
    </row>
    <row r="1036" spans="1:5">
      <c r="A1036" s="3" t="s">
        <v>4526</v>
      </c>
      <c r="B1036" s="4" t="str">
        <f ca="1">IFERROR(__xludf.DUMMYFUNCTION("IFERROR(GOOGLETRANSLATE(A1036,""ko"",""en""),)"),"I cleaned at home.")</f>
        <v>I cleaned at home.</v>
      </c>
      <c r="C1036" s="4" t="str">
        <f ca="1">IFERROR(__xludf.DUMMYFUNCTION("IFERROR(GOOGLETRANSLATE(B1036,""en"",""ja""),)"),"私は家で掃除をした。")</f>
        <v>私は家で掃除をした。</v>
      </c>
      <c r="D1036" s="4" t="str">
        <f ca="1">IFERROR(__xludf.DUMMYFUNCTION("IFERROR(GOOGLETRANSLATE(B1036,""en"",""zh-TW""),)"),"我在家打掃了。")</f>
        <v>我在家打掃了。</v>
      </c>
      <c r="E1036" s="4" t="str">
        <f ca="1">IFERROR(__xludf.DUMMYFUNCTION("IFERROR(GOOGLETRANSLATE(B1036,""en"",""zh-CN""),)"),"我在家打扫卫生了。")</f>
        <v>我在家打扫卫生了。</v>
      </c>
    </row>
    <row r="1037" spans="1:5">
      <c r="A1037" s="3" t="s">
        <v>4533</v>
      </c>
      <c r="B1037" s="4" t="str">
        <f ca="1">IFERROR(__xludf.DUMMYFUNCTION("IFERROR(GOOGLETRANSLATE(A1037,""ko"",""en""),)"),"What did you do on Saturday evening?")</f>
        <v>What did you do on Saturday evening?</v>
      </c>
      <c r="C1037" s="4" t="str">
        <f ca="1">IFERROR(__xludf.DUMMYFUNCTION("IFERROR(GOOGLETRANSLATE(B1037,""en"",""ja""),)"),"土曜日の夜は何をしていましたか？")</f>
        <v>土曜日の夜は何をしていましたか？</v>
      </c>
      <c r="D1037" s="4" t="str">
        <f ca="1">IFERROR(__xludf.DUMMYFUNCTION("IFERROR(GOOGLETRANSLATE(B1037,""en"",""zh-TW""),)"),"你周六晚上做了什麼？")</f>
        <v>你周六晚上做了什麼？</v>
      </c>
      <c r="E1037" s="4" t="str">
        <f ca="1">IFERROR(__xludf.DUMMYFUNCTION("IFERROR(GOOGLETRANSLATE(B1037,""en"",""zh-CN""),)"),"你周六晚上做了什么？")</f>
        <v>你周六晚上做了什么？</v>
      </c>
    </row>
    <row r="1038" spans="1:5">
      <c r="A1038" s="3" t="s">
        <v>4538</v>
      </c>
      <c r="B1038" s="4" t="str">
        <f ca="1">IFERROR(__xludf.DUMMYFUNCTION("IFERROR(GOOGLETRANSLATE(A1038,""ko"",""en""),)"),"I cooked at home.")</f>
        <v>I cooked at home.</v>
      </c>
      <c r="C1038" s="4" t="str">
        <f ca="1">IFERROR(__xludf.DUMMYFUNCTION("IFERROR(GOOGLETRANSLATE(B1038,""en"",""ja""),)"),"私は家で料理をした。")</f>
        <v>私は家で料理をした。</v>
      </c>
      <c r="D1038" s="4" t="str">
        <f ca="1">IFERROR(__xludf.DUMMYFUNCTION("IFERROR(GOOGLETRANSLATE(B1038,""en"",""zh-TW""),)"),"我在家做飯。")</f>
        <v>我在家做飯。</v>
      </c>
      <c r="E1038" s="4" t="str">
        <f ca="1">IFERROR(__xludf.DUMMYFUNCTION("IFERROR(GOOGLETRANSLATE(B1038,""en"",""zh-CN""),)"),"我在家做饭。")</f>
        <v>我在家做饭。</v>
      </c>
    </row>
    <row r="1039" spans="1:5">
      <c r="A1039" s="3" t="s">
        <v>4543</v>
      </c>
      <c r="B1039" s="4" t="str">
        <f ca="1">IFERROR(__xludf.DUMMYFUNCTION("IFERROR(GOOGLETRANSLATE(A1039,""ko"",""en""),)"),"How was that book?")</f>
        <v>How was that book?</v>
      </c>
      <c r="C1039" s="4" t="str">
        <f ca="1">IFERROR(__xludf.DUMMYFUNCTION("IFERROR(GOOGLETRANSLATE(B1039,""en"",""ja""),)"),"その本はどうでしたか？")</f>
        <v>その本はどうでしたか？</v>
      </c>
      <c r="D1039" s="4" t="str">
        <f ca="1">IFERROR(__xludf.DUMMYFUNCTION("IFERROR(GOOGLETRANSLATE(B1039,""en"",""zh-TW""),)"),"那本書怎麼樣？")</f>
        <v>那本書怎麼樣？</v>
      </c>
      <c r="E1039" s="4" t="str">
        <f ca="1">IFERROR(__xludf.DUMMYFUNCTION("IFERROR(GOOGLETRANSLATE(B1039,""en"",""zh-CN""),)"),"那本书怎么样？")</f>
        <v>那本书怎么样？</v>
      </c>
    </row>
    <row r="1040" spans="1:5">
      <c r="A1040" s="3" t="s">
        <v>4547</v>
      </c>
      <c r="B1040" s="4" t="str">
        <f ca="1">IFERROR(__xludf.DUMMYFUNCTION("IFERROR(GOOGLETRANSLATE(A1040,""ko"",""en""),)"),"This book wasn't good.")</f>
        <v>This book wasn't good.</v>
      </c>
      <c r="C1040" s="4" t="str">
        <f ca="1">IFERROR(__xludf.DUMMYFUNCTION("IFERROR(GOOGLETRANSLATE(B1040,""en"",""ja""),)"),"この本は良くなかった。")</f>
        <v>この本は良くなかった。</v>
      </c>
      <c r="D1040" s="4" t="str">
        <f ca="1">IFERROR(__xludf.DUMMYFUNCTION("IFERROR(GOOGLETRANSLATE(B1040,""en"",""zh-TW""),)"),"這本書不好看。")</f>
        <v>這本書不好看。</v>
      </c>
      <c r="E1040" s="4" t="str">
        <f ca="1">IFERROR(__xludf.DUMMYFUNCTION("IFERROR(GOOGLETRANSLATE(B1040,""en"",""zh-CN""),)"),"这本书不好看。")</f>
        <v>这本书不好看。</v>
      </c>
    </row>
    <row r="1041" spans="1:5">
      <c r="A1041" s="3" t="s">
        <v>4552</v>
      </c>
      <c r="B1041" s="4" t="str">
        <f ca="1">IFERROR(__xludf.DUMMYFUNCTION("IFERROR(GOOGLETRANSLATE(A1041,""ko"",""en""),)"),"It wasn't fun.")</f>
        <v>It wasn't fun.</v>
      </c>
      <c r="C1041" s="4" t="str">
        <f ca="1">IFERROR(__xludf.DUMMYFUNCTION("IFERROR(GOOGLETRANSLATE(B1041,""en"",""ja""),)"),"楽しくなかった。")</f>
        <v>楽しくなかった。</v>
      </c>
      <c r="D1041" s="4" t="str">
        <f ca="1">IFERROR(__xludf.DUMMYFUNCTION("IFERROR(GOOGLETRANSLATE(B1041,""en"",""zh-TW""),)"),"一點也不好玩。")</f>
        <v>一點也不好玩。</v>
      </c>
      <c r="E1041" s="4" t="str">
        <f ca="1">IFERROR(__xludf.DUMMYFUNCTION("IFERROR(GOOGLETRANSLATE(B1041,""en"",""zh-CN""),)"),"一点也不好玩。")</f>
        <v>一点也不好玩。</v>
      </c>
    </row>
    <row r="1042" spans="1:5">
      <c r="A1042" s="3" t="s">
        <v>4555</v>
      </c>
      <c r="B1042" s="4" t="str">
        <f ca="1">IFERROR(__xludf.DUMMYFUNCTION("IFERROR(GOOGLETRANSLATE(A1042,""ko"",""en""),)"),"It was difficult.")</f>
        <v>It was difficult.</v>
      </c>
      <c r="C1042" s="4" t="str">
        <f ca="1">IFERROR(__xludf.DUMMYFUNCTION("IFERROR(GOOGLETRANSLATE(B1042,""en"",""ja""),)"),"それは難しかった。")</f>
        <v>それは難しかった。</v>
      </c>
      <c r="D1042" s="4" t="str">
        <f ca="1">IFERROR(__xludf.DUMMYFUNCTION("IFERROR(GOOGLETRANSLATE(B1042,""en"",""zh-TW""),)"),"這很困難。")</f>
        <v>這很困難。</v>
      </c>
      <c r="E1042" s="4" t="str">
        <f ca="1">IFERROR(__xludf.DUMMYFUNCTION("IFERROR(GOOGLETRANSLATE(B1042,""en"",""zh-CN""),)"),"这很困难。")</f>
        <v>这很困难。</v>
      </c>
    </row>
    <row r="1043" spans="1:5">
      <c r="A1043" s="3" t="s">
        <v>4563</v>
      </c>
      <c r="B1043" s="4" t="str">
        <f ca="1">IFERROR(__xludf.DUMMYFUNCTION("IFERROR(GOOGLETRANSLATE(A1043,""ko"",""en""),)"),"I played a board game at home.")</f>
        <v>I played a board game at home.</v>
      </c>
      <c r="C1043" s="4" t="str">
        <f ca="1">IFERROR(__xludf.DUMMYFUNCTION("IFERROR(GOOGLETRANSLATE(B1043,""en"",""ja""),)"),"私は家でボードゲームをした。")</f>
        <v>私は家でボードゲームをした。</v>
      </c>
      <c r="D1043" s="4" t="str">
        <f ca="1">IFERROR(__xludf.DUMMYFUNCTION("IFERROR(GOOGLETRANSLATE(B1043,""en"",""zh-TW""),)"),"我在家玩了桌遊。")</f>
        <v>我在家玩了桌遊。</v>
      </c>
      <c r="E1043" s="4" t="str">
        <f ca="1">IFERROR(__xludf.DUMMYFUNCTION("IFERROR(GOOGLETRANSLATE(B1043,""en"",""zh-CN""),)"),"我在家玩了桌游。")</f>
        <v>我在家玩了桌游。</v>
      </c>
    </row>
    <row r="1044" spans="1:5">
      <c r="A1044" s="3" t="s">
        <v>4567</v>
      </c>
      <c r="B1044" s="4" t="str">
        <f ca="1">IFERROR(__xludf.DUMMYFUNCTION("IFERROR(GOOGLETRANSLATE(A1044,""ko"",""en""),)"),"Marie rested at home.")</f>
        <v>Marie rested at home.</v>
      </c>
      <c r="C1044" s="4" t="str">
        <f ca="1">IFERROR(__xludf.DUMMYFUNCTION("IFERROR(GOOGLETRANSLATE(B1044,""en"",""ja""),)"),"マリーは自宅で休養した。")</f>
        <v>マリーは自宅で休養した。</v>
      </c>
      <c r="D1044" s="4" t="str">
        <f ca="1">IFERROR(__xludf.DUMMYFUNCTION("IFERROR(GOOGLETRANSLATE(B1044,""en"",""zh-TW""),)"),"瑪麗在家休息。")</f>
        <v>瑪麗在家休息。</v>
      </c>
      <c r="E1044" s="4" t="str">
        <f ca="1">IFERROR(__xludf.DUMMYFUNCTION("IFERROR(GOOGLETRANSLATE(B1044,""en"",""zh-CN""),)"),"玛丽在家休息。")</f>
        <v>玛丽在家休息。</v>
      </c>
    </row>
    <row r="1045" spans="1:5">
      <c r="A1045" s="2" t="s">
        <v>4571</v>
      </c>
      <c r="B1045" s="4" t="s">
        <v>4573</v>
      </c>
      <c r="C1045" s="4" t="str">
        <f ca="1">IFERROR(__xludf.DUMMYFUNCTION("IFERROR(GOOGLETRANSLATE(B1045,""en"",""ja""),)"),"ウジンは友達と公園でハイキングをした。")</f>
        <v>ウジンは友達と公園でハイキングをした。</v>
      </c>
      <c r="D1045" s="4" t="str">
        <f ca="1">IFERROR(__xludf.DUMMYFUNCTION("IFERROR(GOOGLETRANSLATE(B1045,""en"",""zh-TW""),)"),"宇鎮和朋友到公園健行了。")</f>
        <v>宇鎮和朋友到公園健行了。</v>
      </c>
      <c r="E1045" s="4" t="str">
        <f ca="1">IFERROR(__xludf.DUMMYFUNCTION("IFERROR(GOOGLETRANSLATE(B1045,""en"",""zh-CN""),)"),"宇镇和朋友去公园徒步旅行了。")</f>
        <v>宇镇和朋友去公园徒步旅行了。</v>
      </c>
    </row>
    <row r="1046" spans="1:5">
      <c r="A1046" s="5" t="s">
        <v>4577</v>
      </c>
      <c r="B1046" s="4" t="str">
        <f ca="1">IFERROR(__xludf.DUMMYFUNCTION("IFERROR(GOOGLETRANSLATE(A1046,""ko"",""en""),)"),"Suzy met a friend in the city center.")</f>
        <v>Suzy met a friend in the city center.</v>
      </c>
      <c r="C1046" s="4" t="str">
        <f ca="1">IFERROR(__xludf.DUMMYFUNCTION("IFERROR(GOOGLETRANSLATE(B1046,""en"",""ja""),)"),"スージーは市街地で友人と会った。")</f>
        <v>スージーは市街地で友人と会った。</v>
      </c>
      <c r="D1046" s="4" t="str">
        <f ca="1">IFERROR(__xludf.DUMMYFUNCTION("IFERROR(GOOGLETRANSLATE(B1046,""en"",""zh-TW""),)"),"蘇西在市中心遇到了一位朋友。")</f>
        <v>蘇西在市中心遇到了一位朋友。</v>
      </c>
      <c r="E1046" s="4" t="str">
        <f ca="1">IFERROR(__xludf.DUMMYFUNCTION("IFERROR(GOOGLETRANSLATE(B1046,""en"",""zh-CN""),)"),"苏西在市中心遇到了一位朋友。")</f>
        <v>苏西在市中心遇到了一位朋友。</v>
      </c>
    </row>
    <row r="1047" spans="1:5">
      <c r="A1047" s="3" t="s">
        <v>4581</v>
      </c>
      <c r="B1047" s="4" t="str">
        <f ca="1">IFERROR(__xludf.DUMMYFUNCTION("IFERROR(GOOGLETRANSLATE(A1047,""ko"",""en""),)"),"Jaemin looked around at the art museum.")</f>
        <v>Jaemin looked around at the art museum.</v>
      </c>
      <c r="C1047" s="4" t="str">
        <f ca="1">IFERROR(__xludf.DUMMYFUNCTION("IFERROR(GOOGLETRANSLATE(B1047,""en"",""ja""),)"),"ジェミンは美術館を見回した。")</f>
        <v>ジェミンは美術館を見回した。</v>
      </c>
      <c r="D1047" s="4" t="str">
        <f ca="1">IFERROR(__xludf.DUMMYFUNCTION("IFERROR(GOOGLETRANSLATE(B1047,""en"",""zh-TW""),)"),"渽民環顧四周，打量著美術館。")</f>
        <v>渽民環顧四周，打量著美術館。</v>
      </c>
      <c r="E1047" s="4" t="str">
        <f ca="1">IFERROR(__xludf.DUMMYFUNCTION("IFERROR(GOOGLETRANSLATE(B1047,""en"",""zh-CN""),)"),"渽民环顾四周，打量着美术馆。")</f>
        <v>渽民环顾四周，打量着美术馆。</v>
      </c>
    </row>
    <row r="1048" spans="1:5">
      <c r="A1048" s="3" t="s">
        <v>4585</v>
      </c>
      <c r="B1048" s="4" t="str">
        <f ca="1">IFERROR(__xludf.DUMMYFUNCTION("IFERROR(GOOGLETRANSLATE(A1048,""ko"",""en""),)"),"parents")</f>
        <v>parents</v>
      </c>
      <c r="C1048" s="4" t="str">
        <f ca="1">IFERROR(__xludf.DUMMYFUNCTION("IFERROR(GOOGLETRANSLATE(B1048,""en"",""ja""),)"),"両親")</f>
        <v>両親</v>
      </c>
      <c r="D1048" s="4" t="str">
        <f ca="1">IFERROR(__xludf.DUMMYFUNCTION("IFERROR(GOOGLETRANSLATE(B1048,""en"",""zh-TW""),)"),"父母")</f>
        <v>父母</v>
      </c>
      <c r="E1048" s="4" t="str">
        <f ca="1">IFERROR(__xludf.DUMMYFUNCTION("IFERROR(GOOGLETRANSLATE(B1048,""en"",""zh-CN""),)"),"父母")</f>
        <v>父母</v>
      </c>
    </row>
    <row r="1049" spans="1:5">
      <c r="A1049" s="3" t="s">
        <v>4428</v>
      </c>
      <c r="B1049" s="4" t="str">
        <f ca="1">IFERROR(__xludf.DUMMYFUNCTION("IFERROR(GOOGLETRANSLATE(A1049,""ko"",""en""),)"),"I went to my parents' house.")</f>
        <v>I went to my parents' house.</v>
      </c>
      <c r="C1049" s="4" t="str">
        <f ca="1">IFERROR(__xludf.DUMMYFUNCTION("IFERROR(GOOGLETRANSLATE(B1049,""en"",""ja""),)"),"私は両親の家に行った。")</f>
        <v>私は両親の家に行った。</v>
      </c>
      <c r="D1049" s="4" t="str">
        <f ca="1">IFERROR(__xludf.DUMMYFUNCTION("IFERROR(GOOGLETRANSLATE(B1049,""en"",""zh-TW""),)"),"我去了父母家。")</f>
        <v>我去了父母家。</v>
      </c>
      <c r="E1049" s="4" t="str">
        <f ca="1">IFERROR(__xludf.DUMMYFUNCTION("IFERROR(GOOGLETRANSLATE(B1049,""en"",""zh-CN""),)"),"我去了父母家。")</f>
        <v>我去了父母家。</v>
      </c>
    </row>
    <row r="1050" spans="1:5">
      <c r="A1050" s="3" t="s">
        <v>4596</v>
      </c>
      <c r="B1050" s="4" t="str">
        <f ca="1">IFERROR(__xludf.DUMMYFUNCTION("IFERROR(GOOGLETRANSLATE(A1050,""ko"",""en""),)"),"promise")</f>
        <v>promise</v>
      </c>
      <c r="C1050" s="4" t="str">
        <f ca="1">IFERROR(__xludf.DUMMYFUNCTION("IFERROR(GOOGLETRANSLATE(B1050,""en"",""ja""),)"),"約束")</f>
        <v>約束</v>
      </c>
      <c r="D1050" s="4" t="str">
        <f ca="1">IFERROR(__xludf.DUMMYFUNCTION("IFERROR(GOOGLETRANSLATE(B1050,""en"",""zh-TW""),)"),"承諾")</f>
        <v>承諾</v>
      </c>
      <c r="E1050" s="4" t="str">
        <f ca="1">IFERROR(__xludf.DUMMYFUNCTION("IFERROR(GOOGLETRANSLATE(B1050,""en"",""zh-CN""),)"),"承诺")</f>
        <v>承诺</v>
      </c>
    </row>
    <row r="1051" spans="1:5">
      <c r="A1051" s="3" t="s">
        <v>4601</v>
      </c>
      <c r="B1051" s="4" t="str">
        <f ca="1">IFERROR(__xludf.DUMMYFUNCTION("IFERROR(GOOGLETRANSLATE(A1051,""ko"",""en""),)"),"Lotte World")</f>
        <v>Lotte World</v>
      </c>
      <c r="C1051" s="4" t="str">
        <f ca="1">IFERROR(__xludf.DUMMYFUNCTION("IFERROR(GOOGLETRANSLATE(B1051,""en"",""ja""),)"),"ロッテワールド")</f>
        <v>ロッテワールド</v>
      </c>
      <c r="D1051" s="4" t="str">
        <f ca="1">IFERROR(__xludf.DUMMYFUNCTION("IFERROR(GOOGLETRANSLATE(B1051,""en"",""zh-TW""),)"),"樂天世界")</f>
        <v>樂天世界</v>
      </c>
      <c r="E1051" s="4" t="str">
        <f ca="1">IFERROR(__xludf.DUMMYFUNCTION("IFERROR(GOOGLETRANSLATE(B1051,""en"",""zh-CN""),)"),"乐天世界")</f>
        <v>乐天世界</v>
      </c>
    </row>
    <row r="1052" spans="1:5">
      <c r="A1052" s="3" t="s">
        <v>4607</v>
      </c>
      <c r="B1052" s="4" t="str">
        <f ca="1">IFERROR(__xludf.DUMMYFUNCTION("IFERROR(GOOGLETRANSLATE(A1052,""ko"",""en""),)"),"Everland")</f>
        <v>Everland</v>
      </c>
      <c r="C1052" s="4" t="str">
        <f ca="1">IFERROR(__xludf.DUMMYFUNCTION("IFERROR(GOOGLETRANSLATE(B1052,""en"",""ja""),)"),"エバーランド")</f>
        <v>エバーランド</v>
      </c>
      <c r="D1052" s="4" t="str">
        <f ca="1">IFERROR(__xludf.DUMMYFUNCTION("IFERROR(GOOGLETRANSLATE(B1052,""en"",""zh-TW""),)"),"愛寶樂園")</f>
        <v>愛寶樂園</v>
      </c>
      <c r="E1052" s="4" t="str">
        <f ca="1">IFERROR(__xludf.DUMMYFUNCTION("IFERROR(GOOGLETRANSLATE(B1052,""en"",""zh-CN""),)"),"爱宝乐园")</f>
        <v>爱宝乐园</v>
      </c>
    </row>
    <row r="1053" spans="1:5">
      <c r="A1053" s="3" t="s">
        <v>4616</v>
      </c>
      <c r="B1053" s="4" t="str">
        <f ca="1">IFERROR(__xludf.DUMMYFUNCTION("IFERROR(GOOGLETRANSLATE(A1053,""ko"",""en""),)"),"Shall we go to the amusement park together?")</f>
        <v>Shall we go to the amusement park together?</v>
      </c>
      <c r="C1053" s="4" t="str">
        <f ca="1">IFERROR(__xludf.DUMMYFUNCTION("IFERROR(GOOGLETRANSLATE(B1053,""en"",""ja""),)"),"一緒に遊園地に行かない？")</f>
        <v>一緒に遊園地に行かない？</v>
      </c>
      <c r="D1053" s="4" t="str">
        <f ca="1">IFERROR(__xludf.DUMMYFUNCTION("IFERROR(GOOGLETRANSLATE(B1053,""en"",""zh-TW""),)"),"我們一起去遊樂園好嗎？")</f>
        <v>我們一起去遊樂園好嗎？</v>
      </c>
      <c r="E1053" s="4" t="str">
        <f ca="1">IFERROR(__xludf.DUMMYFUNCTION("IFERROR(GOOGLETRANSLATE(B1053,""en"",""zh-CN""),)"),"我们一起去游乐园好吗？")</f>
        <v>我们一起去游乐园好吗？</v>
      </c>
    </row>
    <row r="1054" spans="1:5">
      <c r="A1054" s="3" t="s">
        <v>4623</v>
      </c>
      <c r="B1054" s="4" t="str">
        <f ca="1">IFERROR(__xludf.DUMMYFUNCTION("IFERROR(GOOGLETRANSLATE(A1054,""ko"",""en""),)"),"Do you have time today?")</f>
        <v>Do you have time today?</v>
      </c>
      <c r="C1054" s="4" t="str">
        <f ca="1">IFERROR(__xludf.DUMMYFUNCTION("IFERROR(GOOGLETRANSLATE(B1054,""en"",""ja""),)"),"今日はお時間ありますか？")</f>
        <v>今日はお時間ありますか？</v>
      </c>
      <c r="D1054" s="4" t="str">
        <f ca="1">IFERROR(__xludf.DUMMYFUNCTION("IFERROR(GOOGLETRANSLATE(B1054,""en"",""zh-TW""),)"),"你今天有空嗎？")</f>
        <v>你今天有空嗎？</v>
      </c>
      <c r="E1054" s="4" t="str">
        <f ca="1">IFERROR(__xludf.DUMMYFUNCTION("IFERROR(GOOGLETRANSLATE(B1054,""en"",""zh-CN""),)"),"你今天有空吗？")</f>
        <v>你今天有空吗？</v>
      </c>
    </row>
    <row r="1055" spans="1:5">
      <c r="A1055" s="3" t="s">
        <v>4627</v>
      </c>
      <c r="B1055" s="4" t="str">
        <f ca="1">IFERROR(__xludf.DUMMYFUNCTION("IFERROR(GOOGLETRANSLATE(A1055,""ko"",""en""),)"),"I have time.")</f>
        <v>I have time.</v>
      </c>
      <c r="C1055" s="4" t="str">
        <f ca="1">IFERROR(__xludf.DUMMYFUNCTION("IFERROR(GOOGLETRANSLATE(B1055,""en"",""ja""),)"),"時間はある。")</f>
        <v>時間はある。</v>
      </c>
      <c r="D1055" s="4" t="str">
        <f ca="1">IFERROR(__xludf.DUMMYFUNCTION("IFERROR(GOOGLETRANSLATE(B1055,""en"",""zh-TW""),)"),"我有時間。")</f>
        <v>我有時間。</v>
      </c>
      <c r="E1055" s="4" t="str">
        <f ca="1">IFERROR(__xludf.DUMMYFUNCTION("IFERROR(GOOGLETRANSLATE(B1055,""en"",""zh-CN""),)"),"我有时间。")</f>
        <v>我有时间。</v>
      </c>
    </row>
    <row r="1056" spans="1:5">
      <c r="A1056" s="5" t="s">
        <v>4632</v>
      </c>
      <c r="B1056" s="4" t="str">
        <f ca="1">IFERROR(__xludf.DUMMYFUNCTION("IFERROR(GOOGLETRANSLATE(A1056,""ko"",""en""),)"),"Nothing special happened.")</f>
        <v>Nothing special happened.</v>
      </c>
      <c r="C1056" s="4" t="str">
        <f ca="1">IFERROR(__xludf.DUMMYFUNCTION("IFERROR(GOOGLETRANSLATE(B1056,""en"",""ja""),)"),"特に何も起こらなかった。")</f>
        <v>特に何も起こらなかった。</v>
      </c>
      <c r="D1056" s="4" t="str">
        <f ca="1">IFERROR(__xludf.DUMMYFUNCTION("IFERROR(GOOGLETRANSLATE(B1056,""en"",""zh-TW""),)"),"沒什麼特別的事情發生。")</f>
        <v>沒什麼特別的事情發生。</v>
      </c>
      <c r="E1056" s="4" t="str">
        <f ca="1">IFERROR(__xludf.DUMMYFUNCTION("IFERROR(GOOGLETRANSLATE(B1056,""en"",""zh-CN""),)"),"没什么特别的事情发生。")</f>
        <v>没什么特别的事情发生。</v>
      </c>
    </row>
    <row r="1057" spans="1:5">
      <c r="A1057" s="3" t="s">
        <v>4636</v>
      </c>
      <c r="B1057" s="4" t="str">
        <f ca="1">IFERROR(__xludf.DUMMYFUNCTION("IFERROR(GOOGLETRANSLATE(A1057,""ko"",""en""),)"),"I don't have time.")</f>
        <v>I don't have time.</v>
      </c>
      <c r="C1057" s="4" t="str">
        <f ca="1">IFERROR(__xludf.DUMMYFUNCTION("IFERROR(GOOGLETRANSLATE(B1057,""en"",""ja""),)"),"私には時間がない。")</f>
        <v>私には時間がない。</v>
      </c>
      <c r="D1057" s="4" t="str">
        <f ca="1">IFERROR(__xludf.DUMMYFUNCTION("IFERROR(GOOGLETRANSLATE(B1057,""en"",""zh-TW""),)"),"我沒時間。")</f>
        <v>我沒時間。</v>
      </c>
      <c r="E1057" s="4" t="str">
        <f ca="1">IFERROR(__xludf.DUMMYFUNCTION("IFERROR(GOOGLETRANSLATE(B1057,""en"",""zh-CN""),)"),"我没时间。")</f>
        <v>我没时间。</v>
      </c>
    </row>
    <row r="1058" spans="1:5">
      <c r="A1058" s="3" t="s">
        <v>4641</v>
      </c>
      <c r="B1058" s="4" t="str">
        <f ca="1">IFERROR(__xludf.DUMMYFUNCTION("IFERROR(GOOGLETRANSLATE(A1058,""ko"",""en""),)"),"I have another appointment.")</f>
        <v>I have another appointment.</v>
      </c>
      <c r="C1058" s="4" t="str">
        <f ca="1">IFERROR(__xludf.DUMMYFUNCTION("IFERROR(GOOGLETRANSLATE(B1058,""en"",""ja""),)"),"別の予定があります。")</f>
        <v>別の予定があります。</v>
      </c>
      <c r="D1058" s="4" t="str">
        <f ca="1">IFERROR(__xludf.DUMMYFUNCTION("IFERROR(GOOGLETRANSLATE(B1058,""en"",""zh-TW""),)"),"我還有另一個預約。")</f>
        <v>我還有另一個預約。</v>
      </c>
      <c r="E1058" s="4" t="str">
        <f ca="1">IFERROR(__xludf.DUMMYFUNCTION("IFERROR(GOOGLETRANSLATE(B1058,""en"",""zh-CN""),)"),"我还有另一个预约。")</f>
        <v>我还有另一个预约。</v>
      </c>
    </row>
    <row r="1059" spans="1:5">
      <c r="A1059" s="3" t="s">
        <v>4646</v>
      </c>
      <c r="B1059" s="4" t="str">
        <f ca="1">IFERROR(__xludf.DUMMYFUNCTION("IFERROR(GOOGLETRANSLATE(A1059,""ko"",""en""),)"),"I'm busy today.")</f>
        <v>I'm busy today.</v>
      </c>
      <c r="C1059" s="4" t="str">
        <f ca="1">IFERROR(__xludf.DUMMYFUNCTION("IFERROR(GOOGLETRANSLATE(B1059,""en"",""ja""),)"),"今日は忙しいです。")</f>
        <v>今日は忙しいです。</v>
      </c>
      <c r="D1059" s="4" t="str">
        <f ca="1">IFERROR(__xludf.DUMMYFUNCTION("IFERROR(GOOGLETRANSLATE(B1059,""en"",""zh-TW""),)"),"我今天很忙。")</f>
        <v>我今天很忙。</v>
      </c>
      <c r="E1059" s="4" t="str">
        <f ca="1">IFERROR(__xludf.DUMMYFUNCTION("IFERROR(GOOGLETRANSLATE(B1059,""en"",""zh-CN""),)"),"我今天很忙。")</f>
        <v>我今天很忙。</v>
      </c>
    </row>
    <row r="1060" spans="1:5">
      <c r="A1060" s="3" t="s">
        <v>4651</v>
      </c>
      <c r="B1060" s="4" t="str">
        <f ca="1">IFERROR(__xludf.DUMMYFUNCTION("IFERROR(GOOGLETRANSLATE(A1060,""ko"",""en""),)"),"busy")</f>
        <v>busy</v>
      </c>
      <c r="C1060" s="4" t="str">
        <f ca="1">IFERROR(__xludf.DUMMYFUNCTION("IFERROR(GOOGLETRANSLATE(B1060,""en"",""ja""),)"),"忙しい")</f>
        <v>忙しい</v>
      </c>
      <c r="D1060" s="4" t="str">
        <f ca="1">IFERROR(__xludf.DUMMYFUNCTION("IFERROR(GOOGLETRANSLATE(B1060,""en"",""zh-TW""),)"),"忙碌的")</f>
        <v>忙碌的</v>
      </c>
      <c r="E1060" s="4" t="str">
        <f ca="1">IFERROR(__xludf.DUMMYFUNCTION("IFERROR(GOOGLETRANSLATE(B1060,""en"",""zh-CN""),)"),"忙碌的")</f>
        <v>忙碌的</v>
      </c>
    </row>
    <row r="1061" spans="1:5">
      <c r="A1061" s="3" t="s">
        <v>4656</v>
      </c>
      <c r="B1061" s="4" t="str">
        <f ca="1">IFERROR(__xludf.DUMMYFUNCTION("IFERROR(GOOGLETRANSLATE(A1061,""ko"",""en""),)"),"I watch a Korean singer's concert.")</f>
        <v>I watch a Korean singer's concert.</v>
      </c>
      <c r="C1061" s="4" t="str">
        <f ca="1">IFERROR(__xludf.DUMMYFUNCTION("IFERROR(GOOGLETRANSLATE(B1061,""en"",""ja""),)"),"私は韓国人歌手のコンサートを観に行った。")</f>
        <v>私は韓国人歌手のコンサートを観に行った。</v>
      </c>
      <c r="D1061" s="4" t="str">
        <f ca="1">IFERROR(__xludf.DUMMYFUNCTION("IFERROR(GOOGLETRANSLATE(B1061,""en"",""zh-TW""),)"),"我觀看了一位韓國歌手的演唱會。")</f>
        <v>我觀看了一位韓國歌手的演唱會。</v>
      </c>
      <c r="E1061" s="4" t="str">
        <f ca="1">IFERROR(__xludf.DUMMYFUNCTION("IFERROR(GOOGLETRANSLATE(B1061,""en"",""zh-CN""),)"),"我观看了一位韩国歌手的演唱会。")</f>
        <v>我观看了一位韩国歌手的演唱会。</v>
      </c>
    </row>
    <row r="1062" spans="1:5">
      <c r="A1062" s="3" t="s">
        <v>4660</v>
      </c>
      <c r="B1062" s="4" t="str">
        <f ca="1">IFERROR(__xludf.DUMMYFUNCTION("IFERROR(GOOGLETRANSLATE(A1062,""ko"",""en""),)"),"I'm going to a concert.")</f>
        <v>I'm going to a concert.</v>
      </c>
      <c r="C1062" s="4" t="str">
        <f ca="1">IFERROR(__xludf.DUMMYFUNCTION("IFERROR(GOOGLETRANSLATE(B1062,""en"",""ja""),)"),"コンサートに行くんです。")</f>
        <v>コンサートに行くんです。</v>
      </c>
      <c r="D1062" s="4" t="str">
        <f ca="1">IFERROR(__xludf.DUMMYFUNCTION("IFERROR(GOOGLETRANSLATE(B1062,""en"",""zh-TW""),)"),"我要去聽演唱會。")</f>
        <v>我要去聽演唱會。</v>
      </c>
      <c r="E1062" s="4" t="str">
        <f ca="1">IFERROR(__xludf.DUMMYFUNCTION("IFERROR(GOOGLETRANSLATE(B1062,""en"",""zh-CN""),)"),"我要去听演唱会。")</f>
        <v>我要去听演唱会。</v>
      </c>
    </row>
    <row r="1063" spans="1:5">
      <c r="A1063" s="3" t="s">
        <v>4664</v>
      </c>
      <c r="B1063" s="4" t="str">
        <f ca="1">IFERROR(__xludf.DUMMYFUNCTION("IFERROR(GOOGLETRANSLATE(A1063,""ko"",""en""),)"),"apartment")</f>
        <v>apartment</v>
      </c>
      <c r="C1063" s="4" t="str">
        <f ca="1">IFERROR(__xludf.DUMMYFUNCTION("IFERROR(GOOGLETRANSLATE(B1063,""en"",""ja""),)"),"アパート")</f>
        <v>アパート</v>
      </c>
      <c r="D1063" s="4" t="str">
        <f ca="1">IFERROR(__xludf.DUMMYFUNCTION("IFERROR(GOOGLETRANSLATE(B1063,""en"",""zh-TW""),)"),"公寓")</f>
        <v>公寓</v>
      </c>
      <c r="E1063" s="4" t="str">
        <f ca="1">IFERROR(__xludf.DUMMYFUNCTION("IFERROR(GOOGLETRANSLATE(B1063,""en"",""zh-CN""),)"),"公寓")</f>
        <v>公寓</v>
      </c>
    </row>
    <row r="1064" spans="1:5">
      <c r="A1064" s="3" t="s">
        <v>4668</v>
      </c>
      <c r="B1064" s="4" t="str">
        <f ca="1">IFERROR(__xludf.DUMMYFUNCTION("IFERROR(GOOGLETRANSLATE(A1064,""ko"",""en""),)"),"basketball")</f>
        <v>basketball</v>
      </c>
      <c r="C1064" s="4" t="str">
        <f ca="1">IFERROR(__xludf.DUMMYFUNCTION("IFERROR(GOOGLETRANSLATE(B1064,""en"",""ja""),)"),"バスケットボール")</f>
        <v>バスケットボール</v>
      </c>
      <c r="D1064" s="4" t="str">
        <f ca="1">IFERROR(__xludf.DUMMYFUNCTION("IFERROR(GOOGLETRANSLATE(B1064,""en"",""zh-TW""),)"),"籃球")</f>
        <v>籃球</v>
      </c>
      <c r="E1064" s="4" t="str">
        <f ca="1">IFERROR(__xludf.DUMMYFUNCTION("IFERROR(GOOGLETRANSLATE(B1064,""en"",""zh-CN""),)"),"篮球")</f>
        <v>篮球</v>
      </c>
    </row>
    <row r="1065" spans="1:5">
      <c r="A1065" s="3" t="s">
        <v>4672</v>
      </c>
      <c r="B1065" s="4" t="str">
        <f ca="1">IFERROR(__xludf.DUMMYFUNCTION("IFERROR(GOOGLETRANSLATE(A1065,""ko"",""en""),)"),"soccer")</f>
        <v>soccer</v>
      </c>
      <c r="C1065" s="4" t="str">
        <f ca="1">IFERROR(__xludf.DUMMYFUNCTION("IFERROR(GOOGLETRANSLATE(B1065,""en"",""ja""),)"),"サッカー")</f>
        <v>サッカー</v>
      </c>
      <c r="D1065" s="4" t="str">
        <f ca="1">IFERROR(__xludf.DUMMYFUNCTION("IFERROR(GOOGLETRANSLATE(B1065,""en"",""zh-TW""),)"),"足球")</f>
        <v>足球</v>
      </c>
      <c r="E1065" s="4" t="str">
        <f ca="1">IFERROR(__xludf.DUMMYFUNCTION("IFERROR(GOOGLETRANSLATE(B1065,""en"",""zh-CN""),)"),"足球")</f>
        <v>足球</v>
      </c>
    </row>
    <row r="1066" spans="1:5">
      <c r="A1066" s="3" t="s">
        <v>4677</v>
      </c>
      <c r="B1066" s="4" t="str">
        <f ca="1">IFERROR(__xludf.DUMMYFUNCTION("IFERROR(GOOGLETRANSLATE(A1066,""ko"",""en""),)"),"volleyball")</f>
        <v>volleyball</v>
      </c>
      <c r="C1066" s="4" t="str">
        <f ca="1">IFERROR(__xludf.DUMMYFUNCTION("IFERROR(GOOGLETRANSLATE(B1066,""en"",""ja""),)"),"バレーボール")</f>
        <v>バレーボール</v>
      </c>
      <c r="D1066" s="4" t="str">
        <f ca="1">IFERROR(__xludf.DUMMYFUNCTION("IFERROR(GOOGLETRANSLATE(B1066,""en"",""zh-TW""),)"),"排球")</f>
        <v>排球</v>
      </c>
      <c r="E1066" s="4" t="str">
        <f ca="1">IFERROR(__xludf.DUMMYFUNCTION("IFERROR(GOOGLETRANSLATE(B1066,""en"",""zh-CN""),)"),"排球")</f>
        <v>排球</v>
      </c>
    </row>
    <row r="1067" spans="1:5">
      <c r="A1067" s="3" t="s">
        <v>233</v>
      </c>
      <c r="B1067" s="4" t="str">
        <f ca="1">IFERROR(__xludf.DUMMYFUNCTION("IFERROR(GOOGLETRANSLATE(A1067,""ko"",""en""),)"),"baseball")</f>
        <v>baseball</v>
      </c>
      <c r="C1067" s="4" t="str">
        <f ca="1">IFERROR(__xludf.DUMMYFUNCTION("IFERROR(GOOGLETRANSLATE(B1067,""en"",""ja""),)"),"野球")</f>
        <v>野球</v>
      </c>
      <c r="D1067" s="4" t="str">
        <f ca="1">IFERROR(__xludf.DUMMYFUNCTION("IFERROR(GOOGLETRANSLATE(B1067,""en"",""zh-TW""),)"),"棒球")</f>
        <v>棒球</v>
      </c>
      <c r="E1067" s="4" t="str">
        <f ca="1">IFERROR(__xludf.DUMMYFUNCTION("IFERROR(GOOGLETRANSLATE(B1067,""en"",""zh-CN""),)"),"棒球")</f>
        <v>棒球</v>
      </c>
    </row>
    <row r="1068" spans="1:5">
      <c r="A1068" s="3" t="s">
        <v>4687</v>
      </c>
      <c r="B1068" s="4" t="str">
        <f ca="1">IFERROR(__xludf.DUMMYFUNCTION("IFERROR(GOOGLETRANSLATE(A1068,""ko"",""en""),)"),"Playing golf")</f>
        <v>Playing golf</v>
      </c>
      <c r="C1068" s="4" t="str">
        <f ca="1">IFERROR(__xludf.DUMMYFUNCTION("IFERROR(GOOGLETRANSLATE(B1068,""en"",""ja""),)"),"ゴルフをする")</f>
        <v>ゴルフをする</v>
      </c>
      <c r="D1068" s="4" t="str">
        <f ca="1">IFERROR(__xludf.DUMMYFUNCTION("IFERROR(GOOGLETRANSLATE(B1068,""en"",""zh-TW""),)"),"打高爾夫球")</f>
        <v>打高爾夫球</v>
      </c>
      <c r="E1068" s="4" t="str">
        <f ca="1">IFERROR(__xludf.DUMMYFUNCTION("IFERROR(GOOGLETRANSLATE(B1068,""en"",""zh-CN""),)"),"打高尔夫球")</f>
        <v>打高尔夫球</v>
      </c>
    </row>
    <row r="1069" spans="1:5">
      <c r="A1069" s="3" t="s">
        <v>4694</v>
      </c>
      <c r="B1069" s="4" t="str">
        <f ca="1">IFERROR(__xludf.DUMMYFUNCTION("IFERROR(GOOGLETRANSLATE(A1069,""ko"",""en""),)"),"tennis")</f>
        <v>tennis</v>
      </c>
      <c r="C1069" s="4" t="str">
        <f ca="1">IFERROR(__xludf.DUMMYFUNCTION("IFERROR(GOOGLETRANSLATE(B1069,""en"",""ja""),)"),"テニス")</f>
        <v>テニス</v>
      </c>
      <c r="D1069" s="4" t="str">
        <f ca="1">IFERROR(__xludf.DUMMYFUNCTION("IFERROR(GOOGLETRANSLATE(B1069,""en"",""zh-TW""),)"),"網球")</f>
        <v>網球</v>
      </c>
      <c r="E1069" s="4" t="str">
        <f ca="1">IFERROR(__xludf.DUMMYFUNCTION("IFERROR(GOOGLETRANSLATE(B1069,""en"",""zh-CN""),)"),"网球")</f>
        <v>网球</v>
      </c>
    </row>
    <row r="1070" spans="1:5">
      <c r="A1070" s="3" t="s">
        <v>4699</v>
      </c>
      <c r="B1070" s="4" t="str">
        <f ca="1">IFERROR(__xludf.DUMMYFUNCTION("IFERROR(GOOGLETRANSLATE(A1070,""ko"",""en""),)"),"badminton")</f>
        <v>badminton</v>
      </c>
      <c r="C1070" s="4" t="str">
        <f ca="1">IFERROR(__xludf.DUMMYFUNCTION("IFERROR(GOOGLETRANSLATE(B1070,""en"",""ja""),)"),"バドミントン")</f>
        <v>バドミントン</v>
      </c>
      <c r="D1070" s="4" t="str">
        <f ca="1">IFERROR(__xludf.DUMMYFUNCTION("IFERROR(GOOGLETRANSLATE(B1070,""en"",""zh-TW""),)"),"羽毛球")</f>
        <v>羽毛球</v>
      </c>
      <c r="E1070" s="4" t="str">
        <f ca="1">IFERROR(__xludf.DUMMYFUNCTION("IFERROR(GOOGLETRANSLATE(B1070,""en"",""zh-CN""),)"),"羽毛球")</f>
        <v>羽毛球</v>
      </c>
    </row>
    <row r="1071" spans="1:5">
      <c r="A1071" s="3" t="s">
        <v>4703</v>
      </c>
      <c r="B1071" s="4" t="str">
        <f ca="1">IFERROR(__xludf.DUMMYFUNCTION("IFERROR(GOOGLETRANSLATE(A1071,""ko"",""en""),)"),"piano")</f>
        <v>piano</v>
      </c>
      <c r="C1071" s="4" t="str">
        <f ca="1">IFERROR(__xludf.DUMMYFUNCTION("IFERROR(GOOGLETRANSLATE(B1071,""en"",""ja""),)"),"ピアノ")</f>
        <v>ピアノ</v>
      </c>
      <c r="D1071" s="4" t="str">
        <f ca="1">IFERROR(__xludf.DUMMYFUNCTION("IFERROR(GOOGLETRANSLATE(B1071,""en"",""zh-TW""),)"),"鋼琴")</f>
        <v>鋼琴</v>
      </c>
      <c r="E1071" s="4" t="str">
        <f ca="1">IFERROR(__xludf.DUMMYFUNCTION("IFERROR(GOOGLETRANSLATE(B1071,""en"",""zh-CN""),)"),"钢琴")</f>
        <v>钢琴</v>
      </c>
    </row>
    <row r="1072" spans="1:5">
      <c r="A1072" s="3" t="s">
        <v>4708</v>
      </c>
      <c r="B1072" s="4" t="str">
        <f ca="1">IFERROR(__xludf.DUMMYFUNCTION("IFERROR(GOOGLETRANSLATE(A1072,""ko"",""en""),)"),"drink")</f>
        <v>drink</v>
      </c>
      <c r="C1072" s="4" t="str">
        <f ca="1">IFERROR(__xludf.DUMMYFUNCTION("IFERROR(GOOGLETRANSLATE(B1072,""en"",""ja""),)"),"飲む")</f>
        <v>飲む</v>
      </c>
      <c r="D1072" s="4" t="str">
        <f ca="1">IFERROR(__xludf.DUMMYFUNCTION("IFERROR(GOOGLETRANSLATE(B1072,""en"",""zh-TW""),)"),"喝")</f>
        <v>喝</v>
      </c>
      <c r="E1072" s="4" t="str">
        <f ca="1">IFERROR(__xludf.DUMMYFUNCTION("IFERROR(GOOGLETRANSLATE(B1072,""en"",""zh-CN""),)"),"喝")</f>
        <v>喝</v>
      </c>
    </row>
    <row r="1073" spans="1:5">
      <c r="A1073" s="3" t="s">
        <v>4712</v>
      </c>
      <c r="B1073" s="4" t="str">
        <f ca="1">IFERROR(__xludf.DUMMYFUNCTION("IFERROR(GOOGLETRANSLATE(A1073,""ko"",""en""),)"),"I played golf yesterday.")</f>
        <v>I played golf yesterday.</v>
      </c>
      <c r="C1073" s="4" t="str">
        <f ca="1">IFERROR(__xludf.DUMMYFUNCTION("IFERROR(GOOGLETRANSLATE(B1073,""en"",""ja""),)"),"私は昨日ゴルフをしました。")</f>
        <v>私は昨日ゴルフをしました。</v>
      </c>
      <c r="D1073" s="4" t="str">
        <f ca="1">IFERROR(__xludf.DUMMYFUNCTION("IFERROR(GOOGLETRANSLATE(B1073,""en"",""zh-TW""),)"),"我昨天打了高爾夫。")</f>
        <v>我昨天打了高爾夫。</v>
      </c>
      <c r="E1073" s="4" t="str">
        <f ca="1">IFERROR(__xludf.DUMMYFUNCTION("IFERROR(GOOGLETRANSLATE(B1073,""en"",""zh-CN""),)"),"我昨天打了高尔夫。")</f>
        <v>我昨天打了高尔夫。</v>
      </c>
    </row>
    <row r="1074" spans="1:5">
      <c r="A1074" s="3" t="s">
        <v>4717</v>
      </c>
      <c r="B1074" s="4" t="str">
        <f ca="1">IFERROR(__xludf.DUMMYFUNCTION("IFERROR(GOOGLETRANSLATE(A1074,""ko"",""en""),)"),"classmate")</f>
        <v>classmate</v>
      </c>
      <c r="C1074" s="4" t="str">
        <f ca="1">IFERROR(__xludf.DUMMYFUNCTION("IFERROR(GOOGLETRANSLATE(B1074,""en"",""ja""),)"),"同級生")</f>
        <v>同級生</v>
      </c>
      <c r="D1074" s="4" t="str">
        <f ca="1">IFERROR(__xludf.DUMMYFUNCTION("IFERROR(GOOGLETRANSLATE(B1074,""en"",""zh-TW""),)"),"同學")</f>
        <v>同學</v>
      </c>
      <c r="E1074" s="4" t="str">
        <f ca="1">IFERROR(__xludf.DUMMYFUNCTION("IFERROR(GOOGLETRANSLATE(B1074,""en"",""zh-CN""),)"),"同学")</f>
        <v>同学</v>
      </c>
    </row>
    <row r="1075" spans="1:5">
      <c r="A1075" s="3" t="s">
        <v>4722</v>
      </c>
      <c r="B1075" s="4" t="str">
        <f ca="1">IFERROR(__xludf.DUMMYFUNCTION("IFERROR(GOOGLETRANSLATE(A1075,""ko"",""en""),)"),"I am going to Han River Park with a classmate.")</f>
        <v>I am going to Han River Park with a classmate.</v>
      </c>
      <c r="C1075" s="4" t="str">
        <f ca="1">IFERROR(__xludf.DUMMYFUNCTION("IFERROR(GOOGLETRANSLATE(B1075,""en"",""ja""),)"),"私はクラスメートと一緒に漢江公園に行く予定です。")</f>
        <v>私はクラスメートと一緒に漢江公園に行く予定です。</v>
      </c>
      <c r="D1075" s="4" t="str">
        <f ca="1">IFERROR(__xludf.DUMMYFUNCTION("IFERROR(GOOGLETRANSLATE(B1075,""en"",""zh-TW""),)"),"我要和一位同學一起去漢江公園。")</f>
        <v>我要和一位同學一起去漢江公園。</v>
      </c>
      <c r="E1075" s="4" t="str">
        <f ca="1">IFERROR(__xludf.DUMMYFUNCTION("IFERROR(GOOGLETRANSLATE(B1075,""en"",""zh-CN""),)"),"我要和一位同学一起去汉江公园。")</f>
        <v>我要和一位同学一起去汉江公园。</v>
      </c>
    </row>
    <row r="1076" spans="1:5">
      <c r="A1076" s="3" t="s">
        <v>4728</v>
      </c>
      <c r="B1076" s="4" t="str">
        <f ca="1">IFERROR(__xludf.DUMMYFUNCTION("IFERROR(GOOGLETRANSLATE(A1076,""ko"",""en""),)"),"I go hiking with my younger sibling.")</f>
        <v>I go hiking with my younger sibling.</v>
      </c>
      <c r="C1076" s="4" t="str">
        <f ca="1">IFERROR(__xludf.DUMMYFUNCTION("IFERROR(GOOGLETRANSLATE(B1076,""en"",""ja""),)"),"私は弟とハイキングに行く。")</f>
        <v>私は弟とハイキングに行く。</v>
      </c>
      <c r="D1076" s="4" t="str">
        <f ca="1">IFERROR(__xludf.DUMMYFUNCTION("IFERROR(GOOGLETRANSLATE(B1076,""en"",""zh-TW""),)"),"我和弟弟一起去健行。")</f>
        <v>我和弟弟一起去健行。</v>
      </c>
      <c r="E1076" s="4" t="str">
        <f ca="1">IFERROR(__xludf.DUMMYFUNCTION("IFERROR(GOOGLETRANSLATE(B1076,""en"",""zh-CN""),)"),"我和弟弟一起去徒步旅行。")</f>
        <v>我和弟弟一起去徒步旅行。</v>
      </c>
    </row>
    <row r="1077" spans="1:5">
      <c r="A1077" s="3" t="s">
        <v>4472</v>
      </c>
      <c r="B1077" s="4" t="str">
        <f ca="1">IFERROR(__xludf.DUMMYFUNCTION("IFERROR(GOOGLETRANSLATE(A1077,""ko"",""en""),)"),"colleague")</f>
        <v>colleague</v>
      </c>
      <c r="C1077" s="4" t="str">
        <f ca="1">IFERROR(__xludf.DUMMYFUNCTION("IFERROR(GOOGLETRANSLATE(B1077,""en"",""ja""),)"),"同僚")</f>
        <v>同僚</v>
      </c>
      <c r="D1077" s="4" t="str">
        <f ca="1">IFERROR(__xludf.DUMMYFUNCTION("IFERROR(GOOGLETRANSLATE(B1077,""en"",""zh-TW""),)"),"同事")</f>
        <v>同事</v>
      </c>
      <c r="E1077" s="4" t="str">
        <f ca="1">IFERROR(__xludf.DUMMYFUNCTION("IFERROR(GOOGLETRANSLATE(B1077,""en"",""zh-CN""),)"),"同事")</f>
        <v>同事</v>
      </c>
    </row>
    <row r="1078" spans="1:5">
      <c r="A1078" s="3" t="s">
        <v>207</v>
      </c>
      <c r="B1078" s="4" t="str">
        <f ca="1">IFERROR(__xludf.DUMMYFUNCTION("IFERROR(GOOGLETRANSLATE(A1078,""ko"",""en""),)"),"What are you doing this afternoon?")</f>
        <v>What are you doing this afternoon?</v>
      </c>
      <c r="C1078" s="4" t="str">
        <f ca="1">IFERROR(__xludf.DUMMYFUNCTION("IFERROR(GOOGLETRANSLATE(B1078,""en"",""ja""),)"),"今日の午後は何をする予定ですか？")</f>
        <v>今日の午後は何をする予定ですか？</v>
      </c>
      <c r="D1078" s="4" t="str">
        <f ca="1">IFERROR(__xludf.DUMMYFUNCTION("IFERROR(GOOGLETRANSLATE(B1078,""en"",""zh-TW""),)"),"你今天下午有什麼安排？")</f>
        <v>你今天下午有什麼安排？</v>
      </c>
      <c r="E1078" s="4" t="str">
        <f ca="1">IFERROR(__xludf.DUMMYFUNCTION("IFERROR(GOOGLETRANSLATE(B1078,""en"",""zh-CN""),)"),"你今天下午有什么安排？")</f>
        <v>你今天下午有什么安排？</v>
      </c>
    </row>
    <row r="1079" spans="1:5">
      <c r="A1079" s="3" t="s">
        <v>4738</v>
      </c>
      <c r="B1079" s="4" t="str">
        <f ca="1">IFERROR(__xludf.DUMMYFUNCTION("IFERROR(GOOGLETRANSLATE(A1079,""ko"",""en""),)"),"I study Korean in the afternoon.")</f>
        <v>I study Korean in the afternoon.</v>
      </c>
      <c r="C1079" s="4" t="str">
        <f ca="1">IFERROR(__xludf.DUMMYFUNCTION("IFERROR(GOOGLETRANSLATE(B1079,""en"",""ja""),)"),"私は午後に韓国語を勉強します。")</f>
        <v>私は午後に韓国語を勉強します。</v>
      </c>
      <c r="D1079" s="4" t="str">
        <f ca="1">IFERROR(__xludf.DUMMYFUNCTION("IFERROR(GOOGLETRANSLATE(B1079,""en"",""zh-TW""),)"),"我下午學習韓語。")</f>
        <v>我下午學習韓語。</v>
      </c>
      <c r="E1079" s="4" t="str">
        <f ca="1">IFERROR(__xludf.DUMMYFUNCTION("IFERROR(GOOGLETRANSLATE(B1079,""en"",""zh-CN""),)"),"我下午学习韩语。")</f>
        <v>我下午学习韩语。</v>
      </c>
    </row>
    <row r="1080" spans="1:5">
      <c r="A1080" s="3" t="s">
        <v>4744</v>
      </c>
      <c r="B1080" s="4" t="str">
        <f ca="1">IFERROR(__xludf.DUMMYFUNCTION("IFERROR(GOOGLETRANSLATE(A1080,""ko"",""en""),)"),"I am taking Korean classes.")</f>
        <v>I am taking Korean classes.</v>
      </c>
      <c r="C1080" s="4" t="str">
        <f ca="1">IFERROR(__xludf.DUMMYFUNCTION("IFERROR(GOOGLETRANSLATE(B1080,""en"",""ja""),)"),"私は韓国語の授業を受けています。")</f>
        <v>私は韓国語の授業を受けています。</v>
      </c>
      <c r="D1080" s="4" t="str">
        <f ca="1">IFERROR(__xludf.DUMMYFUNCTION("IFERROR(GOOGLETRANSLATE(B1080,""en"",""zh-TW""),)"),"我正在學習韓語。")</f>
        <v>我正在學習韓語。</v>
      </c>
      <c r="E1080" s="4" t="str">
        <f ca="1">IFERROR(__xludf.DUMMYFUNCTION("IFERROR(GOOGLETRANSLATE(B1080,""en"",""zh-CN""),)"),"我正在学习韩语。")</f>
        <v>我正在学习韩语。</v>
      </c>
    </row>
    <row r="1081" spans="1:5">
      <c r="A1081" s="3" t="s">
        <v>3727</v>
      </c>
      <c r="B1081" s="4" t="str">
        <f ca="1">IFERROR(__xludf.DUMMYFUNCTION("IFERROR(GOOGLETRANSLATE(A1081,""ko"",""en""),)"),"What are you doing tomorrow?")</f>
        <v>What are you doing tomorrow?</v>
      </c>
      <c r="C1081" s="4" t="str">
        <f ca="1">IFERROR(__xludf.DUMMYFUNCTION("IFERROR(GOOGLETRANSLATE(B1081,""en"",""ja""),)"),"明日は何をする予定ですか？")</f>
        <v>明日は何をする予定ですか？</v>
      </c>
      <c r="D1081" s="4" t="str">
        <f ca="1">IFERROR(__xludf.DUMMYFUNCTION("IFERROR(GOOGLETRANSLATE(B1081,""en"",""zh-TW""),)"),"你明天有什麼安排？")</f>
        <v>你明天有什麼安排？</v>
      </c>
      <c r="E1081" s="4" t="str">
        <f ca="1">IFERROR(__xludf.DUMMYFUNCTION("IFERROR(GOOGLETRANSLATE(B1081,""en"",""zh-CN""),)"),"你明天有什么安排？")</f>
        <v>你明天有什么安排？</v>
      </c>
    </row>
    <row r="1082" spans="1:5">
      <c r="A1082" s="3" t="s">
        <v>4754</v>
      </c>
      <c r="B1082" s="4" t="str">
        <f ca="1">IFERROR(__xludf.DUMMYFUNCTION("IFERROR(GOOGLETRANSLATE(A1082,""ko"",""en""),)"),"I'm going to work.")</f>
        <v>I'm going to work.</v>
      </c>
      <c r="C1082" s="4" t="str">
        <f ca="1">IFERROR(__xludf.DUMMYFUNCTION("IFERROR(GOOGLETRANSLATE(B1082,""en"",""ja""),)"),"仕事に行きます。")</f>
        <v>仕事に行きます。</v>
      </c>
      <c r="D1082" s="4" t="str">
        <f ca="1">IFERROR(__xludf.DUMMYFUNCTION("IFERROR(GOOGLETRANSLATE(B1082,""en"",""zh-TW""),)"),"我要去上班了。")</f>
        <v>我要去上班了。</v>
      </c>
      <c r="E1082" s="4" t="str">
        <f ca="1">IFERROR(__xludf.DUMMYFUNCTION("IFERROR(GOOGLETRANSLATE(B1082,""en"",""zh-CN""),)"),"我要去上班了。")</f>
        <v>我要去上班了。</v>
      </c>
    </row>
    <row r="1083" spans="1:5">
      <c r="A1083" s="3" t="s">
        <v>4761</v>
      </c>
      <c r="B1083" s="4" t="str">
        <f ca="1">IFERROR(__xludf.DUMMYFUNCTION("IFERROR(GOOGLETRANSLATE(A1083,""ko"",""en""),)"),"I'm taking a test.")</f>
        <v>I'm taking a test.</v>
      </c>
      <c r="C1083" s="4" t="str">
        <f ca="1">IFERROR(__xludf.DUMMYFUNCTION("IFERROR(GOOGLETRANSLATE(B1083,""en"",""ja""),)"),"私はテストを受けています。")</f>
        <v>私はテストを受けています。</v>
      </c>
      <c r="D1083" s="4" t="str">
        <f ca="1">IFERROR(__xludf.DUMMYFUNCTION("IFERROR(GOOGLETRANSLATE(B1083,""en"",""zh-TW""),)"),"我正在參加考試。")</f>
        <v>我正在參加考試。</v>
      </c>
      <c r="E1083" s="4" t="str">
        <f ca="1">IFERROR(__xludf.DUMMYFUNCTION("IFERROR(GOOGLETRANSLATE(B1083,""en"",""zh-CN""),)"),"我正在参加考试。")</f>
        <v>我正在参加考试。</v>
      </c>
    </row>
    <row r="1084" spans="1:5">
      <c r="A1084" s="3" t="s">
        <v>4766</v>
      </c>
      <c r="B1084" s="4" t="str">
        <f ca="1">IFERROR(__xludf.DUMMYFUNCTION("IFERROR(GOOGLETRANSLATE(A1084,""ko"",""en""),)"),"Good luck on your exam!")</f>
        <v>Good luck on your exam!</v>
      </c>
      <c r="C1084" s="4" t="str">
        <f ca="1">IFERROR(__xludf.DUMMYFUNCTION("IFERROR(GOOGLETRANSLATE(B1084,""en"",""ja""),)"),"試験頑張ってください！")</f>
        <v>試験頑張ってください！</v>
      </c>
      <c r="D1084" s="4" t="str">
        <f ca="1">IFERROR(__xludf.DUMMYFUNCTION("IFERROR(GOOGLETRANSLATE(B1084,""en"",""zh-TW""),)"),"祝你考試順利！")</f>
        <v>祝你考試順利！</v>
      </c>
      <c r="E1084" s="4" t="str">
        <f ca="1">IFERROR(__xludf.DUMMYFUNCTION("IFERROR(GOOGLETRANSLATE(B1084,""en"",""zh-CN""),)"),"祝你考试顺利！")</f>
        <v>祝你考试顺利！</v>
      </c>
    </row>
    <row r="1085" spans="1:5">
      <c r="A1085" s="3" t="s">
        <v>4771</v>
      </c>
      <c r="B1085" s="4" t="str">
        <f ca="1">IFERROR(__xludf.DUMMYFUNCTION("IFERROR(GOOGLETRANSLATE(A1085,""ko"",""en""),)"),"I work.")</f>
        <v>I work.</v>
      </c>
      <c r="C1085" s="4" t="str">
        <f ca="1">IFERROR(__xludf.DUMMYFUNCTION("IFERROR(GOOGLETRANSLATE(B1085,""en"",""ja""),)"),"私は働く。")</f>
        <v>私は働く。</v>
      </c>
      <c r="D1085" s="4" t="str">
        <f ca="1">IFERROR(__xludf.DUMMYFUNCTION("IFERROR(GOOGLETRANSLATE(B1085,""en"",""zh-TW""),)"),"我的工作。")</f>
        <v>我的工作。</v>
      </c>
      <c r="E1085" s="4" t="str">
        <f ca="1">IFERROR(__xludf.DUMMYFUNCTION("IFERROR(GOOGLETRANSLATE(B1085,""en"",""zh-CN""),)"),"我的工作。")</f>
        <v>我的工作。</v>
      </c>
    </row>
    <row r="1086" spans="1:5">
      <c r="A1086" s="3" t="s">
        <v>4775</v>
      </c>
      <c r="B1086" s="4" t="str">
        <f ca="1">IFERROR(__xludf.DUMMYFUNCTION("IFERROR(GOOGLETRANSLATE(A1086,""ko"",""en""),)"),"What are you doing this weekend?")</f>
        <v>What are you doing this weekend?</v>
      </c>
      <c r="C1086" s="4" t="str">
        <f ca="1">IFERROR(__xludf.DUMMYFUNCTION("IFERROR(GOOGLETRANSLATE(B1086,""en"",""ja""),)"),"今週末は何をする予定ですか？")</f>
        <v>今週末は何をする予定ですか？</v>
      </c>
      <c r="D1086" s="4" t="str">
        <f ca="1">IFERROR(__xludf.DUMMYFUNCTION("IFERROR(GOOGLETRANSLATE(B1086,""en"",""zh-TW""),)"),"你這個週末有什麼安排？")</f>
        <v>你這個週末有什麼安排？</v>
      </c>
      <c r="E1086" s="4" t="str">
        <f ca="1">IFERROR(__xludf.DUMMYFUNCTION("IFERROR(GOOGLETRANSLATE(B1086,""en"",""zh-CN""),)"),"你这个周末有什么安排？")</f>
        <v>你这个周末有什么安排？</v>
      </c>
    </row>
    <row r="1087" spans="1:5">
      <c r="A1087" s="5" t="s">
        <v>4779</v>
      </c>
      <c r="B1087" s="4" t="str">
        <f ca="1">IFERROR(__xludf.DUMMYFUNCTION("IFERROR(GOOGLETRANSLATE(A1087,""ko"",""en""),)"),"I am going to a friend's house. I am taking care of two cats.")</f>
        <v>I am going to a friend's house. I am taking care of two cats.</v>
      </c>
      <c r="C1087" s="4" t="str">
        <f ca="1">IFERROR(__xludf.DUMMYFUNCTION("IFERROR(GOOGLETRANSLATE(B1087,""en"",""ja""),)"),"友達の家に行くんです。そこで猫を2匹預かる予定です。")</f>
        <v>友達の家に行くんです。そこで猫を2匹預かる予定です。</v>
      </c>
      <c r="D1087" s="4" t="str">
        <f ca="1">IFERROR(__xludf.DUMMYFUNCTION("IFERROR(GOOGLETRANSLATE(B1087,""en"",""zh-TW""),)"),"我要去朋友家。我要照顧兩隻貓。")</f>
        <v>我要去朋友家。我要照顧兩隻貓。</v>
      </c>
      <c r="E1087" s="4" t="str">
        <f ca="1">IFERROR(__xludf.DUMMYFUNCTION("IFERROR(GOOGLETRANSLATE(B1087,""en"",""zh-CN""),)"),"我要去朋友家。我要照顾两只猫。")</f>
        <v>我要去朋友家。我要照顾两只猫。</v>
      </c>
    </row>
    <row r="1088" spans="1:5">
      <c r="A1088" s="3" t="s">
        <v>4785</v>
      </c>
      <c r="B1088" s="4" t="str">
        <f ca="1">IFERROR(__xludf.DUMMYFUNCTION("IFERROR(GOOGLETRANSLATE(A1088,""ko"",""en""),)"),"What are you doing during vacation?")</f>
        <v>What are you doing during vacation?</v>
      </c>
      <c r="C1088" s="4" t="str">
        <f ca="1">IFERROR(__xludf.DUMMYFUNCTION("IFERROR(GOOGLETRANSLATE(B1088,""en"",""ja""),)"),"休暇中は何をする予定ですか？")</f>
        <v>休暇中は何をする予定ですか？</v>
      </c>
      <c r="D1088" s="4" t="str">
        <f ca="1">IFERROR(__xludf.DUMMYFUNCTION("IFERROR(GOOGLETRANSLATE(B1088,""en"",""zh-TW""),)"),"你假期打算做什麼？")</f>
        <v>你假期打算做什麼？</v>
      </c>
      <c r="E1088" s="4" t="str">
        <f ca="1">IFERROR(__xludf.DUMMYFUNCTION("IFERROR(GOOGLETRANSLATE(B1088,""en"",""zh-CN""),)"),"你假期打算做什么？")</f>
        <v>你假期打算做什么？</v>
      </c>
    </row>
    <row r="1089" spans="1:5">
      <c r="A1089" s="3" t="s">
        <v>404</v>
      </c>
      <c r="B1089" s="4" t="str">
        <f ca="1">IFERROR(__xludf.DUMMYFUNCTION("IFERROR(GOOGLETRANSLATE(A1089,""ko"",""en""),)"),"lover")</f>
        <v>lover</v>
      </c>
      <c r="C1089" s="4" t="str">
        <f ca="1">IFERROR(__xludf.DUMMYFUNCTION("IFERROR(GOOGLETRANSLATE(B1089,""en"",""ja""),)"),"愛人")</f>
        <v>愛人</v>
      </c>
      <c r="D1089" s="4" t="str">
        <f ca="1">IFERROR(__xludf.DUMMYFUNCTION("IFERROR(GOOGLETRANSLATE(B1089,""en"",""zh-TW""),)"),"情人")</f>
        <v>情人</v>
      </c>
      <c r="E1089" s="4" t="str">
        <f ca="1">IFERROR(__xludf.DUMMYFUNCTION("IFERROR(GOOGLETRANSLATE(B1089,""en"",""zh-CN""),)"),"情人")</f>
        <v>情人</v>
      </c>
    </row>
    <row r="1090" spans="1:5">
      <c r="A1090" s="3" t="s">
        <v>4793</v>
      </c>
      <c r="B1090" s="4" t="str">
        <f ca="1">IFERROR(__xludf.DUMMYFUNCTION("IFERROR(GOOGLETRANSLATE(A1090,""ko"",""en""),)"),"I plan a trip")</f>
        <v>I plan a trip</v>
      </c>
      <c r="C1090" s="4" t="str">
        <f ca="1">IFERROR(__xludf.DUMMYFUNCTION("IFERROR(GOOGLETRANSLATE(B1090,""en"",""ja""),)"),"旅行を計画しています")</f>
        <v>旅行を計画しています</v>
      </c>
      <c r="D1090" s="4" t="str">
        <f ca="1">IFERROR(__xludf.DUMMYFUNCTION("IFERROR(GOOGLETRANSLATE(B1090,""en"",""zh-TW""),)"),"我計劃去旅行")</f>
        <v>我計劃去旅行</v>
      </c>
      <c r="E1090" s="4" t="str">
        <f ca="1">IFERROR(__xludf.DUMMYFUNCTION("IFERROR(GOOGLETRANSLATE(B1090,""en"",""zh-CN""),)"),"我计划去旅行")</f>
        <v>我计划去旅行</v>
      </c>
    </row>
    <row r="1091" spans="1:5">
      <c r="A1091" s="3" t="s">
        <v>4785</v>
      </c>
      <c r="B1091" s="4" t="str">
        <f ca="1">IFERROR(__xludf.DUMMYFUNCTION("IFERROR(GOOGLETRANSLATE(A1091,""ko"",""en""),)"),"What are you doing during vacation?")</f>
        <v>What are you doing during vacation?</v>
      </c>
      <c r="C1091" s="4" t="str">
        <f ca="1">IFERROR(__xludf.DUMMYFUNCTION("IFERROR(GOOGLETRANSLATE(B1091,""en"",""ja""),)"),"休暇中は何をする予定ですか？")</f>
        <v>休暇中は何をする予定ですか？</v>
      </c>
      <c r="D1091" s="4" t="str">
        <f ca="1">IFERROR(__xludf.DUMMYFUNCTION("IFERROR(GOOGLETRANSLATE(B1091,""en"",""zh-TW""),)"),"你假期打算做什麼？")</f>
        <v>你假期打算做什麼？</v>
      </c>
      <c r="E1091" s="4" t="str">
        <f ca="1">IFERROR(__xludf.DUMMYFUNCTION("IFERROR(GOOGLETRANSLATE(B1091,""en"",""zh-CN""),)"),"你假期打算做什么？")</f>
        <v>你假期打算做什么？</v>
      </c>
    </row>
    <row r="1092" spans="1:5">
      <c r="A1092" s="3" t="s">
        <v>4801</v>
      </c>
      <c r="B1092" s="4" t="str">
        <f ca="1">IFERROR(__xludf.DUMMYFUNCTION("IFERROR(GOOGLETRANSLATE(A1092,""ko"",""en""),)"),"I watched a movie at the movie theater.")</f>
        <v>I watched a movie at the movie theater.</v>
      </c>
      <c r="C1092" s="4" t="str">
        <f ca="1">IFERROR(__xludf.DUMMYFUNCTION("IFERROR(GOOGLETRANSLATE(B1092,""en"",""ja""),)"),"私は映画館で映画を観た。")</f>
        <v>私は映画館で映画を観た。</v>
      </c>
      <c r="D1092" s="4" t="str">
        <f ca="1">IFERROR(__xludf.DUMMYFUNCTION("IFERROR(GOOGLETRANSLATE(B1092,""en"",""zh-TW""),)"),"我在電影院看了一部電影。")</f>
        <v>我在電影院看了一部電影。</v>
      </c>
      <c r="E1092" s="4" t="str">
        <f ca="1">IFERROR(__xludf.DUMMYFUNCTION("IFERROR(GOOGLETRANSLATE(B1092,""en"",""zh-CN""),)"),"我在电影院看了一部电影。")</f>
        <v>我在电影院看了一部电影。</v>
      </c>
    </row>
    <row r="1093" spans="1:5">
      <c r="A1093" s="3" t="s">
        <v>4806</v>
      </c>
      <c r="B1093" s="4" t="str">
        <f ca="1">IFERROR(__xludf.DUMMYFUNCTION("IFERROR(GOOGLETRANSLATE(A1093,""ko"",""en""),)"),"Anna, what are you doing tomorrow?")</f>
        <v>Anna, what are you doing tomorrow?</v>
      </c>
      <c r="C1093" s="4" t="str">
        <f ca="1">IFERROR(__xludf.DUMMYFUNCTION("IFERROR(GOOGLETRANSLATE(B1093,""en"",""ja""),)"),"アンナ、明日は何をする予定？")</f>
        <v>アンナ、明日は何をする予定？</v>
      </c>
      <c r="D1093" s="4" t="str">
        <f ca="1">IFERROR(__xludf.DUMMYFUNCTION("IFERROR(GOOGLETRANSLATE(B1093,""en"",""zh-TW""),)"),"安娜，你明天有什麼安排？")</f>
        <v>安娜，你明天有什麼安排？</v>
      </c>
      <c r="E1093" s="4" t="str">
        <f ca="1">IFERROR(__xludf.DUMMYFUNCTION("IFERROR(GOOGLETRANSLATE(B1093,""en"",""zh-CN""),)"),"安娜，你明天有什么安排？")</f>
        <v>安娜，你明天有什么安排？</v>
      </c>
    </row>
    <row r="1094" spans="1:5">
      <c r="A1094" s="3" t="s">
        <v>4812</v>
      </c>
      <c r="B1094" s="4" t="str">
        <f ca="1">IFERROR(__xludf.DUMMYFUNCTION("IFERROR(GOOGLETRANSLATE(A1094,""ko"",""en""),)"),"I ride a bike with a friend in the park.")</f>
        <v>I ride a bike with a friend in the park.</v>
      </c>
      <c r="C1094" s="4" t="str">
        <f ca="1">IFERROR(__xludf.DUMMYFUNCTION("IFERROR(GOOGLETRANSLATE(B1094,""en"",""ja""),)"),"私は友達と公園で自転車に乗ります。")</f>
        <v>私は友達と公園で自転車に乗ります。</v>
      </c>
      <c r="D1094" s="4" t="str">
        <f ca="1">IFERROR(__xludf.DUMMYFUNCTION("IFERROR(GOOGLETRANSLATE(B1094,""en"",""zh-TW""),)"),"我和朋友在公園裡騎腳踏車。")</f>
        <v>我和朋友在公園裡騎腳踏車。</v>
      </c>
      <c r="E1094" s="4" t="str">
        <f ca="1">IFERROR(__xludf.DUMMYFUNCTION("IFERROR(GOOGLETRANSLATE(B1094,""en"",""zh-CN""),)"),"我和朋友在公园里骑自行车。")</f>
        <v>我和朋友在公园里骑自行车。</v>
      </c>
    </row>
    <row r="1095" spans="1:5">
      <c r="A1095" s="3" t="s">
        <v>4817</v>
      </c>
      <c r="B1095" s="4" t="str">
        <f ca="1">IFERROR(__xludf.DUMMYFUNCTION("IFERROR(GOOGLETRANSLATE(A1095,""ko"",""en""),)"),"I played basketball.")</f>
        <v>I played basketball.</v>
      </c>
      <c r="C1095" s="4" t="str">
        <f ca="1">IFERROR(__xludf.DUMMYFUNCTION("IFERROR(GOOGLETRANSLATE(B1095,""en"",""ja""),)"),"私はバスケットボールをしました。")</f>
        <v>私はバスケットボールをしました。</v>
      </c>
      <c r="D1095" s="4" t="str">
        <f ca="1">IFERROR(__xludf.DUMMYFUNCTION("IFERROR(GOOGLETRANSLATE(B1095,""en"",""zh-TW""),)"),"我打籃球。")</f>
        <v>我打籃球。</v>
      </c>
      <c r="E1095" s="4" t="str">
        <f ca="1">IFERROR(__xludf.DUMMYFUNCTION("IFERROR(GOOGLETRANSLATE(B1095,""en"",""zh-CN""),)"),"我打篮球。")</f>
        <v>我打篮球。</v>
      </c>
    </row>
    <row r="1096" spans="1:5">
      <c r="A1096" s="5" t="s">
        <v>4823</v>
      </c>
      <c r="B1096" s="4" t="str">
        <f ca="1">IFERROR(__xludf.DUMMYFUNCTION("IFERROR(GOOGLETRANSLATE(A1096,""ko"",""en""),)"),"I want to eat chicken and beer.")</f>
        <v>I want to eat chicken and beer.</v>
      </c>
      <c r="C1096" s="4" t="str">
        <f ca="1">IFERROR(__xludf.DUMMYFUNCTION("IFERROR(GOOGLETRANSLATE(B1096,""en"",""ja""),)"),"鶏肉とビールが食べたい。")</f>
        <v>鶏肉とビールが食べたい。</v>
      </c>
      <c r="D1096" s="4" t="str">
        <f ca="1">IFERROR(__xludf.DUMMYFUNCTION("IFERROR(GOOGLETRANSLATE(B1096,""en"",""zh-TW""),)"),"我想吃炸雞，喝啤酒。")</f>
        <v>我想吃炸雞，喝啤酒。</v>
      </c>
      <c r="E1096" s="4" t="str">
        <f ca="1">IFERROR(__xludf.DUMMYFUNCTION("IFERROR(GOOGLETRANSLATE(B1096,""en"",""zh-CN""),)"),"我想吃炸鸡，喝啤酒。")</f>
        <v>我想吃炸鸡，喝啤酒。</v>
      </c>
    </row>
    <row r="1097" spans="1:5">
      <c r="A1097" s="5" t="s">
        <v>4828</v>
      </c>
      <c r="B1097" s="4" t="str">
        <f ca="1">IFERROR(__xludf.DUMMYFUNCTION("IFERROR(GOOGLETRANSLATE(A1097,""ko"",""en""),)"),"I'm tired. I want to sleep.")</f>
        <v>I'm tired. I want to sleep.</v>
      </c>
      <c r="C1097" s="4" t="str">
        <f ca="1">IFERROR(__xludf.DUMMYFUNCTION("IFERROR(GOOGLETRANSLATE(B1097,""en"",""ja""),)"),"疲れた。眠りたい。")</f>
        <v>疲れた。眠りたい。</v>
      </c>
      <c r="D1097" s="4" t="str">
        <f ca="1">IFERROR(__xludf.DUMMYFUNCTION("IFERROR(GOOGLETRANSLATE(B1097,""en"",""zh-TW""),)"),"我累了，想睡覺。")</f>
        <v>我累了，想睡覺。</v>
      </c>
      <c r="E1097" s="4" t="str">
        <f ca="1">IFERROR(__xludf.DUMMYFUNCTION("IFERROR(GOOGLETRANSLATE(B1097,""en"",""zh-CN""),)"),"我累了，想睡觉。")</f>
        <v>我累了，想睡觉。</v>
      </c>
    </row>
    <row r="1098" spans="1:5">
      <c r="A1098" s="3" t="s">
        <v>4834</v>
      </c>
      <c r="B1098" s="4" t="str">
        <f ca="1">IFERROR(__xludf.DUMMYFUNCTION("IFERROR(GOOGLETRANSLATE(A1098,""ko"",""en""),)"),"Ms. Via wants to eat tteokbokki.")</f>
        <v>Ms. Via wants to eat tteokbokki.</v>
      </c>
      <c r="C1098" s="4" t="str">
        <f ca="1">IFERROR(__xludf.DUMMYFUNCTION("IFERROR(GOOGLETRANSLATE(B1098,""en"",""ja""),)"),"ヴィアさんはトッポッキを食べたいそうです。")</f>
        <v>ヴィアさんはトッポッキを食べたいそうです。</v>
      </c>
      <c r="D1098" s="4" t="str">
        <f ca="1">IFERROR(__xludf.DUMMYFUNCTION("IFERROR(GOOGLETRANSLATE(B1098,""en"",""zh-TW""),)"),"Via女士想吃炒年糕。")</f>
        <v>Via女士想吃炒年糕。</v>
      </c>
      <c r="E1098" s="4" t="str">
        <f ca="1">IFERROR(__xludf.DUMMYFUNCTION("IFERROR(GOOGLETRANSLATE(B1098,""en"",""zh-CN""),)"),"Via女士想吃炒年糕。")</f>
        <v>Via女士想吃炒年糕。</v>
      </c>
    </row>
    <row r="1099" spans="1:5">
      <c r="A1099" s="5" t="s">
        <v>4839</v>
      </c>
      <c r="B1099" s="4" t="str">
        <f ca="1">IFERROR(__xludf.DUMMYFUNCTION("IFERROR(GOOGLETRANSLATE(A1099,""ko"",""en""),)"),"Where would you like to go on this vacation?")</f>
        <v>Where would you like to go on this vacation?</v>
      </c>
      <c r="C1099" s="4" t="str">
        <f ca="1">IFERROR(__xludf.DUMMYFUNCTION("IFERROR(GOOGLETRANSLATE(B1099,""en"",""ja""),)"),"今回の休暇はどこに行きたいですか？")</f>
        <v>今回の休暇はどこに行きたいですか？</v>
      </c>
      <c r="D1099" s="4" t="str">
        <f ca="1">IFERROR(__xludf.DUMMYFUNCTION("IFERROR(GOOGLETRANSLATE(B1099,""en"",""zh-TW""),)"),"你這次假期想去哪裡？")</f>
        <v>你這次假期想去哪裡？</v>
      </c>
      <c r="E1099" s="4" t="str">
        <f ca="1">IFERROR(__xludf.DUMMYFUNCTION("IFERROR(GOOGLETRANSLATE(B1099,""en"",""zh-CN""),)"),"你这次假期想去哪里？")</f>
        <v>你这次假期想去哪里？</v>
      </c>
    </row>
    <row r="1100" spans="1:5">
      <c r="A1100" s="3" t="s">
        <v>4844</v>
      </c>
      <c r="B1100" s="4" t="str">
        <f ca="1">IFERROR(__xludf.DUMMYFUNCTION("IFERROR(GOOGLETRANSLATE(A1100,""ko"",""en""),)"),"I want to receive a Gucci bag.")</f>
        <v>I want to receive a Gucci bag.</v>
      </c>
      <c r="C1100" s="4" t="str">
        <f ca="1">IFERROR(__xludf.DUMMYFUNCTION("IFERROR(GOOGLETRANSLATE(B1100,""en"",""ja""),)"),"グッチのバッグが欲しいです。")</f>
        <v>グッチのバッグが欲しいです。</v>
      </c>
      <c r="D1100" s="4" t="str">
        <f ca="1">IFERROR(__xludf.DUMMYFUNCTION("IFERROR(GOOGLETRANSLATE(B1100,""en"",""zh-TW""),)"),"我想要一個古馳包。")</f>
        <v>我想要一個古馳包。</v>
      </c>
      <c r="E1100" s="4" t="str">
        <f ca="1">IFERROR(__xludf.DUMMYFUNCTION("IFERROR(GOOGLETRANSLATE(B1100,""en"",""zh-CN""),)"),"我想要一个古驰包。")</f>
        <v>我想要一个古驰包。</v>
      </c>
    </row>
    <row r="1101" spans="1:5">
      <c r="A1101" s="3" t="s">
        <v>4849</v>
      </c>
      <c r="B1101" s="4" t="str">
        <f ca="1">IFERROR(__xludf.DUMMYFUNCTION("IFERROR(GOOGLETRANSLATE(A1101,""ko"",""en""),)"),"I play the piano well.")</f>
        <v>I play the piano well.</v>
      </c>
      <c r="C1101" s="4" t="str">
        <f ca="1">IFERROR(__xludf.DUMMYFUNCTION("IFERROR(GOOGLETRANSLATE(B1101,""en"",""ja""),)"),"私はピアノが上手です。")</f>
        <v>私はピアノが上手です。</v>
      </c>
      <c r="D1101" s="4" t="str">
        <f ca="1">IFERROR(__xludf.DUMMYFUNCTION("IFERROR(GOOGLETRANSLATE(B1101,""en"",""zh-TW""),)"),"我鋼琴彈得很好。")</f>
        <v>我鋼琴彈得很好。</v>
      </c>
      <c r="E1101" s="4" t="str">
        <f ca="1">IFERROR(__xludf.DUMMYFUNCTION("IFERROR(GOOGLETRANSLATE(B1101,""en"",""zh-CN""),)"),"我钢琴弹得很好。")</f>
        <v>我钢琴弹得很好。</v>
      </c>
    </row>
    <row r="1102" spans="1:5">
      <c r="A1102" s="3" t="s">
        <v>4853</v>
      </c>
      <c r="B1102" s="4" t="str">
        <f ca="1">IFERROR(__xludf.DUMMYFUNCTION("IFERROR(GOOGLETRANSLATE(A1102,""ko"",""en""),)"),"I swim well.")</f>
        <v>I swim well.</v>
      </c>
      <c r="C1102" s="4" t="str">
        <f ca="1">IFERROR(__xludf.DUMMYFUNCTION("IFERROR(GOOGLETRANSLATE(B1102,""en"",""ja""),)"),"私は泳ぎが得意です。")</f>
        <v>私は泳ぎが得意です。</v>
      </c>
      <c r="D1102" s="4" t="str">
        <f ca="1">IFERROR(__xludf.DUMMYFUNCTION("IFERROR(GOOGLETRANSLATE(B1102,""en"",""zh-TW""),)"),"我游泳很好。")</f>
        <v>我游泳很好。</v>
      </c>
      <c r="E1102" s="4" t="str">
        <f ca="1">IFERROR(__xludf.DUMMYFUNCTION("IFERROR(GOOGLETRANSLATE(B1102,""en"",""zh-CN""),)"),"我游泳很好。")</f>
        <v>我游泳很好。</v>
      </c>
    </row>
    <row r="1103" spans="1:5">
      <c r="A1103" s="3" t="s">
        <v>4858</v>
      </c>
      <c r="B1103" s="4" t="str">
        <f ca="1">IFERROR(__xludf.DUMMYFUNCTION("IFERROR(GOOGLETRANSLATE(A1103,""ko"",""en""),)"),"I speak Korean well.")</f>
        <v>I speak Korean well.</v>
      </c>
      <c r="C1103" s="4" t="str">
        <f ca="1">IFERROR(__xludf.DUMMYFUNCTION("IFERROR(GOOGLETRANSLATE(B1103,""en"",""ja""),)"),"私は韓国語が堪能です。")</f>
        <v>私は韓国語が堪能です。</v>
      </c>
      <c r="D1103" s="4" t="str">
        <f ca="1">IFERROR(__xludf.DUMMYFUNCTION("IFERROR(GOOGLETRANSLATE(B1103,""en"",""zh-TW""),)"),"我的韓語說得很好。")</f>
        <v>我的韓語說得很好。</v>
      </c>
      <c r="E1103" s="4" t="str">
        <f ca="1">IFERROR(__xludf.DUMMYFUNCTION("IFERROR(GOOGLETRANSLATE(B1103,""en"",""zh-CN""),)"),"我的韩语说得很好。")</f>
        <v>我的韩语说得很好。</v>
      </c>
    </row>
    <row r="1104" spans="1:5">
      <c r="A1104" s="5" t="s">
        <v>4863</v>
      </c>
      <c r="B1104" s="4" t="str">
        <f ca="1">IFERROR(__xludf.DUMMYFUNCTION("IFERROR(GOOGLETRANSLATE(A1104,""ko"",""en""),)"),"You speak Korean well.")</f>
        <v>You speak Korean well.</v>
      </c>
      <c r="C1104" s="4" t="str">
        <f ca="1">IFERROR(__xludf.DUMMYFUNCTION("IFERROR(GOOGLETRANSLATE(B1104,""en"",""ja""),)"),"あなたは韓国語が上手ですね。")</f>
        <v>あなたは韓国語が上手ですね。</v>
      </c>
      <c r="D1104" s="4" t="str">
        <f ca="1">IFERROR(__xludf.DUMMYFUNCTION("IFERROR(GOOGLETRANSLATE(B1104,""en"",""zh-TW""),)"),"你的韓語說得很好。")</f>
        <v>你的韓語說得很好。</v>
      </c>
      <c r="E1104" s="4" t="str">
        <f ca="1">IFERROR(__xludf.DUMMYFUNCTION("IFERROR(GOOGLETRANSLATE(B1104,""en"",""zh-CN""),)"),"你的韩语说得很好。")</f>
        <v>你的韩语说得很好。</v>
      </c>
    </row>
    <row r="1105" spans="1:5">
      <c r="A1105" s="3" t="s">
        <v>4867</v>
      </c>
      <c r="B1105" s="4" t="str">
        <f ca="1">IFERROR(__xludf.DUMMYFUNCTION("IFERROR(GOOGLETRANSLATE(A1105,""ko"",""en""),)"),"Where do you want to go during vacation?")</f>
        <v>Where do you want to go during vacation?</v>
      </c>
      <c r="C1105" s="4" t="str">
        <f ca="1">IFERROR(__xludf.DUMMYFUNCTION("IFERROR(GOOGLETRANSLATE(B1105,""en"",""ja""),)"),"休暇中はどこに行きたいですか？")</f>
        <v>休暇中はどこに行きたいですか？</v>
      </c>
      <c r="D1105" s="4" t="str">
        <f ca="1">IFERROR(__xludf.DUMMYFUNCTION("IFERROR(GOOGLETRANSLATE(B1105,""en"",""zh-TW""),)"),"假期想去哪裡？")</f>
        <v>假期想去哪裡？</v>
      </c>
      <c r="E1105" s="4" t="str">
        <f ca="1">IFERROR(__xludf.DUMMYFUNCTION("IFERROR(GOOGLETRANSLATE(B1105,""en"",""zh-CN""),)"),"假期你想去哪里？")</f>
        <v>假期你想去哪里？</v>
      </c>
    </row>
    <row r="1106" spans="1:5">
      <c r="A1106" s="3" t="s">
        <v>4878</v>
      </c>
      <c r="B1106" s="4" t="str">
        <f ca="1">IFERROR(__xludf.DUMMYFUNCTION("IFERROR(GOOGLETRANSLATE(A1106,""ko"",""en""),)"),"I want to go to Korea.")</f>
        <v>I want to go to Korea.</v>
      </c>
      <c r="C1106" s="4" t="str">
        <f ca="1">IFERROR(__xludf.DUMMYFUNCTION("IFERROR(GOOGLETRANSLATE(B1106,""en"",""ja""),)"),"私は韓国に行きたい。")</f>
        <v>私は韓国に行きたい。</v>
      </c>
      <c r="D1106" s="4" t="str">
        <f ca="1">IFERROR(__xludf.DUMMYFUNCTION("IFERROR(GOOGLETRANSLATE(B1106,""en"",""zh-TW""),)"),"我想去韓國。")</f>
        <v>我想去韓國。</v>
      </c>
      <c r="E1106" s="4" t="str">
        <f ca="1">IFERROR(__xludf.DUMMYFUNCTION("IFERROR(GOOGLETRANSLATE(B1106,""en"",""zh-CN""),)"),"我想去韩国。")</f>
        <v>我想去韩国。</v>
      </c>
    </row>
    <row r="1107" spans="1:5">
      <c r="A1107" s="3" t="s">
        <v>4882</v>
      </c>
      <c r="B1107" s="4" t="str">
        <f ca="1">IFERROR(__xludf.DUMMYFUNCTION("IFERROR(GOOGLETRANSLATE(A1107,""ko"",""en""),)"),"What do you want to eat today?")</f>
        <v>What do you want to eat today?</v>
      </c>
      <c r="C1107" s="4" t="str">
        <f ca="1">IFERROR(__xludf.DUMMYFUNCTION("IFERROR(GOOGLETRANSLATE(B1107,""en"",""ja""),)"),"今日は何を食べたいですか？")</f>
        <v>今日は何を食べたいですか？</v>
      </c>
      <c r="D1107" s="4" t="str">
        <f ca="1">IFERROR(__xludf.DUMMYFUNCTION("IFERROR(GOOGLETRANSLATE(B1107,""en"",""zh-TW""),)"),"你今天想吃什麼？")</f>
        <v>你今天想吃什麼？</v>
      </c>
      <c r="E1107" s="4" t="str">
        <f ca="1">IFERROR(__xludf.DUMMYFUNCTION("IFERROR(GOOGLETRANSLATE(B1107,""en"",""zh-CN""),)"),"你今天想吃什么？")</f>
        <v>你今天想吃什么？</v>
      </c>
    </row>
    <row r="1108" spans="1:5">
      <c r="A1108" s="3" t="s">
        <v>4887</v>
      </c>
      <c r="B1108" s="4" t="str">
        <f ca="1">IFERROR(__xludf.DUMMYFUNCTION("IFERROR(GOOGLETRANSLATE(A1108,""ko"",""en""),)"),"I want to eat bibimbap.")</f>
        <v>I want to eat bibimbap.</v>
      </c>
      <c r="C1108" s="4" t="str">
        <f ca="1">IFERROR(__xludf.DUMMYFUNCTION("IFERROR(GOOGLETRANSLATE(B1108,""en"",""ja""),)"),"ビビンバが食べたい。")</f>
        <v>ビビンバが食べたい。</v>
      </c>
      <c r="D1108" s="4" t="str">
        <f ca="1">IFERROR(__xludf.DUMMYFUNCTION("IFERROR(GOOGLETRANSLATE(B1108,""en"",""zh-TW""),)"),"我想吃拌飯。")</f>
        <v>我想吃拌飯。</v>
      </c>
      <c r="E1108" s="4" t="str">
        <f ca="1">IFERROR(__xludf.DUMMYFUNCTION("IFERROR(GOOGLETRANSLATE(B1108,""en"",""zh-CN""),)"),"我想吃拌饭。")</f>
        <v>我想吃拌饭。</v>
      </c>
    </row>
    <row r="1109" spans="1:5">
      <c r="A1109" s="3" t="s">
        <v>4893</v>
      </c>
      <c r="B1109" s="4" t="str">
        <f ca="1">IFERROR(__xludf.DUMMYFUNCTION("IFERROR(GOOGLETRANSLATE(A1109,""ko"",""en""),)"),"What do you want to do on the weekend, Jaemin?")</f>
        <v>What do you want to do on the weekend, Jaemin?</v>
      </c>
      <c r="C1109" s="4" t="str">
        <f ca="1">IFERROR(__xludf.DUMMYFUNCTION("IFERROR(GOOGLETRANSLATE(B1109,""en"",""ja""),)"),"ジェミン、週末は何をしたい？")</f>
        <v>ジェミン、週末は何をしたい？</v>
      </c>
      <c r="D1109" s="4" t="str">
        <f ca="1">IFERROR(__xludf.DUMMYFUNCTION("IFERROR(GOOGLETRANSLATE(B1109,""en"",""zh-TW""),)"),"渽民，你周末想做什麼？")</f>
        <v>渽民，你周末想做什麼？</v>
      </c>
      <c r="E1109" s="4" t="str">
        <f ca="1">IFERROR(__xludf.DUMMYFUNCTION("IFERROR(GOOGLETRANSLATE(B1109,""en"",""zh-CN""),)"),"渽民，你周末想做什么？")</f>
        <v>渽民，你周末想做什么？</v>
      </c>
    </row>
    <row r="1110" spans="1:5">
      <c r="A1110" s="3" t="s">
        <v>4898</v>
      </c>
      <c r="B1110" s="4" t="str">
        <f ca="1">IFERROR(__xludf.DUMMYFUNCTION("IFERROR(GOOGLETRANSLATE(A1110,""ko"",""en""),)"),"Jaemin wants to go fishing.")</f>
        <v>Jaemin wants to go fishing.</v>
      </c>
      <c r="C1110" s="4" t="str">
        <f ca="1">IFERROR(__xludf.DUMMYFUNCTION("IFERROR(GOOGLETRANSLATE(B1110,""en"",""ja""),)"),"ジェミンは釣りに行きたい。")</f>
        <v>ジェミンは釣りに行きたい。</v>
      </c>
      <c r="D1110" s="4" t="str">
        <f ca="1">IFERROR(__xludf.DUMMYFUNCTION("IFERROR(GOOGLETRANSLATE(B1110,""en"",""zh-TW""),)"),"渽民想去釣魚。")</f>
        <v>渽民想去釣魚。</v>
      </c>
      <c r="E1110" s="4" t="str">
        <f ca="1">IFERROR(__xludf.DUMMYFUNCTION("IFERROR(GOOGLETRANSLATE(B1110,""en"",""zh-CN""),)"),"渽民想去钓鱼。")</f>
        <v>渽民想去钓鱼。</v>
      </c>
    </row>
    <row r="1111" spans="1:5">
      <c r="A1111" s="3" t="s">
        <v>4904</v>
      </c>
      <c r="B1111" s="4" t="str">
        <f ca="1">IFERROR(__xludf.DUMMYFUNCTION("IFERROR(GOOGLETRANSLATE(A1111,""ko"",""en""),)"),"What do you want to do right now, Suzy?")</f>
        <v>What do you want to do right now, Suzy?</v>
      </c>
      <c r="C1111" s="4" t="str">
        <f ca="1">IFERROR(__xludf.DUMMYFUNCTION("IFERROR(GOOGLETRANSLATE(B1111,""en"",""ja""),)"),"スージー、今、何をしたい？")</f>
        <v>スージー、今、何をしたい？</v>
      </c>
      <c r="D1111" s="4" t="str">
        <f ca="1">IFERROR(__xludf.DUMMYFUNCTION("IFERROR(GOOGLETRANSLATE(B1111,""en"",""zh-TW""),)"),"蘇西，你現在想做什麼？")</f>
        <v>蘇西，你現在想做什麼？</v>
      </c>
      <c r="E1111" s="4" t="str">
        <f ca="1">IFERROR(__xludf.DUMMYFUNCTION("IFERROR(GOOGLETRANSLATE(B1111,""en"",""zh-CN""),)"),"苏西，你现在想做什么？")</f>
        <v>苏西，你现在想做什么？</v>
      </c>
    </row>
    <row r="1112" spans="1:5">
      <c r="A1112" s="3" t="s">
        <v>4908</v>
      </c>
      <c r="B1112" s="4" t="str">
        <f ca="1">IFERROR(__xludf.DUMMYFUNCTION("IFERROR(GOOGLETRANSLATE(A1112,""ko"",""en""),)"),"Suzy wants to travel right now.")</f>
        <v>Suzy wants to travel right now.</v>
      </c>
      <c r="C1112" s="4" t="str">
        <f ca="1">IFERROR(__xludf.DUMMYFUNCTION("IFERROR(GOOGLETRANSLATE(B1112,""en"",""ja""),)"),"スージーは今すぐ旅行に行きたいと思っている。")</f>
        <v>スージーは今すぐ旅行に行きたいと思っている。</v>
      </c>
      <c r="D1112" s="4" t="str">
        <f ca="1">IFERROR(__xludf.DUMMYFUNCTION("IFERROR(GOOGLETRANSLATE(B1112,""en"",""zh-TW""),)"),"蘇西現在就想去旅行。")</f>
        <v>蘇西現在就想去旅行。</v>
      </c>
      <c r="E1112" s="4" t="str">
        <f ca="1">IFERROR(__xludf.DUMMYFUNCTION("IFERROR(GOOGLETRANSLATE(B1112,""en"",""zh-CN""),)"),"苏西现在就想去旅行。")</f>
        <v>苏西现在就想去旅行。</v>
      </c>
    </row>
    <row r="1113" spans="1:5">
      <c r="A1113" s="3" t="s">
        <v>4913</v>
      </c>
      <c r="B1113" s="4" t="str">
        <f ca="1">IFERROR(__xludf.DUMMYFUNCTION("IFERROR(GOOGLETRANSLATE(A1113,""ko"",""en""),)"),"Where do you want to go?")</f>
        <v>Where do you want to go?</v>
      </c>
      <c r="C1113" s="4" t="str">
        <f ca="1">IFERROR(__xludf.DUMMYFUNCTION("IFERROR(GOOGLETRANSLATE(B1113,""en"",""ja""),)"),"どこに行きたいですか？")</f>
        <v>どこに行きたいですか？</v>
      </c>
      <c r="D1113" s="4" t="str">
        <f ca="1">IFERROR(__xludf.DUMMYFUNCTION("IFERROR(GOOGLETRANSLATE(B1113,""en"",""zh-TW""),)"),"你想去哪裡？")</f>
        <v>你想去哪裡？</v>
      </c>
      <c r="E1113" s="4" t="str">
        <f ca="1">IFERROR(__xludf.DUMMYFUNCTION("IFERROR(GOOGLETRANSLATE(B1113,""en"",""zh-CN""),)"),"你想去哪里？")</f>
        <v>你想去哪里？</v>
      </c>
    </row>
    <row r="1114" spans="1:5">
      <c r="A1114" s="3" t="s">
        <v>4918</v>
      </c>
      <c r="B1114" s="4" t="str">
        <f ca="1">IFERROR(__xludf.DUMMYFUNCTION("IFERROR(GOOGLETRANSLATE(A1114,""ko"",""en""),)"),"I want to go to Tokyo.")</f>
        <v>I want to go to Tokyo.</v>
      </c>
      <c r="C1114" s="4" t="str">
        <f ca="1">IFERROR(__xludf.DUMMYFUNCTION("IFERROR(GOOGLETRANSLATE(B1114,""en"",""ja""),)"),"東京に行きたい。")</f>
        <v>東京に行きたい。</v>
      </c>
      <c r="D1114" s="4" t="str">
        <f ca="1">IFERROR(__xludf.DUMMYFUNCTION("IFERROR(GOOGLETRANSLATE(B1114,""en"",""zh-TW""),)"),"我想去東京。")</f>
        <v>我想去東京。</v>
      </c>
      <c r="E1114" s="4" t="str">
        <f ca="1">IFERROR(__xludf.DUMMYFUNCTION("IFERROR(GOOGLETRANSLATE(B1114,""en"",""zh-CN""),)"),"我想去东京。")</f>
        <v>我想去东京。</v>
      </c>
    </row>
    <row r="1115" spans="1:5">
      <c r="A1115" s="3" t="s">
        <v>4922</v>
      </c>
      <c r="B1115" s="4" t="str">
        <f ca="1">IFERROR(__xludf.DUMMYFUNCTION("IFERROR(GOOGLETRANSLATE(A1115,""ko"",""en""),)"),"What do you want to do?")</f>
        <v>What do you want to do?</v>
      </c>
      <c r="C1115" s="4" t="str">
        <f ca="1">IFERROR(__xludf.DUMMYFUNCTION("IFERROR(GOOGLETRANSLATE(B1115,""en"",""ja""),)"),"あなたは何をしたいですか？")</f>
        <v>あなたは何をしたいですか？</v>
      </c>
      <c r="D1115" s="4" t="str">
        <f ca="1">IFERROR(__xludf.DUMMYFUNCTION("IFERROR(GOOGLETRANSLATE(B1115,""en"",""zh-TW""),)"),"你想讓我做什麼？")</f>
        <v>你想讓我做什麼？</v>
      </c>
      <c r="E1115" s="4" t="str">
        <f ca="1">IFERROR(__xludf.DUMMYFUNCTION("IFERROR(GOOGLETRANSLATE(B1115,""en"",""zh-CN""),)"),"你想让我做什么？")</f>
        <v>你想让我做什么？</v>
      </c>
    </row>
    <row r="1116" spans="1:5">
      <c r="A1116" s="3" t="s">
        <v>4927</v>
      </c>
      <c r="B1116" s="4" t="str">
        <f ca="1">IFERROR(__xludf.DUMMYFUNCTION("IFERROR(GOOGLETRANSLATE(A1116,""ko"",""en""),)"),"I want to eat sushi.")</f>
        <v>I want to eat sushi.</v>
      </c>
      <c r="C1116" s="4" t="str">
        <f ca="1">IFERROR(__xludf.DUMMYFUNCTION("IFERROR(GOOGLETRANSLATE(B1116,""en"",""ja""),)"),"寿司が食べたい。")</f>
        <v>寿司が食べたい。</v>
      </c>
      <c r="D1116" s="4" t="str">
        <f ca="1">IFERROR(__xludf.DUMMYFUNCTION("IFERROR(GOOGLETRANSLATE(B1116,""en"",""zh-TW""),)"),"我想吃壽司。")</f>
        <v>我想吃壽司。</v>
      </c>
      <c r="E1116" s="4" t="str">
        <f ca="1">IFERROR(__xludf.DUMMYFUNCTION("IFERROR(GOOGLETRANSLATE(B1116,""en"",""zh-CN""),)"),"我想吃寿司。")</f>
        <v>我想吃寿司。</v>
      </c>
    </row>
    <row r="1117" spans="1:5">
      <c r="A1117" s="3" t="s">
        <v>4935</v>
      </c>
      <c r="B1117" s="4" t="str">
        <f ca="1">IFERROR(__xludf.DUMMYFUNCTION("IFERROR(GOOGLETRANSLATE(A1117,""ko"",""en""),)"),"I want to eat raw fish.")</f>
        <v>I want to eat raw fish.</v>
      </c>
      <c r="C1117" s="4" t="str">
        <f ca="1">IFERROR(__xludf.DUMMYFUNCTION("IFERROR(GOOGLETRANSLATE(B1117,""en"",""ja""),)"),"生の魚が食べたい。")</f>
        <v>生の魚が食べたい。</v>
      </c>
      <c r="D1117" s="4" t="str">
        <f ca="1">IFERROR(__xludf.DUMMYFUNCTION("IFERROR(GOOGLETRANSLATE(B1117,""en"",""zh-TW""),)"),"我想吃生魚片。")</f>
        <v>我想吃生魚片。</v>
      </c>
      <c r="E1117" s="4" t="str">
        <f ca="1">IFERROR(__xludf.DUMMYFUNCTION("IFERROR(GOOGLETRANSLATE(B1117,""en"",""zh-CN""),)"),"我想吃生鱼片。")</f>
        <v>我想吃生鱼片。</v>
      </c>
    </row>
    <row r="1118" spans="1:5">
      <c r="A1118" s="3" t="s">
        <v>4940</v>
      </c>
      <c r="B1118" s="4" t="str">
        <f ca="1">IFERROR(__xludf.DUMMYFUNCTION("IFERROR(GOOGLETRANSLATE(A1118,""ko"",""en""),)"),"Who do you want to meet?")</f>
        <v>Who do you want to meet?</v>
      </c>
      <c r="C1118" s="4" t="str">
        <f ca="1">IFERROR(__xludf.DUMMYFUNCTION("IFERROR(GOOGLETRANSLATE(B1118,""en"",""ja""),)"),"誰に会いたいですか？")</f>
        <v>誰に会いたいですか？</v>
      </c>
      <c r="D1118" s="4" t="str">
        <f ca="1">IFERROR(__xludf.DUMMYFUNCTION("IFERROR(GOOGLETRANSLATE(B1118,""en"",""zh-TW""),)"),"你想見誰？")</f>
        <v>你想見誰？</v>
      </c>
      <c r="E1118" s="4" t="str">
        <f ca="1">IFERROR(__xludf.DUMMYFUNCTION("IFERROR(GOOGLETRANSLATE(B1118,""en"",""zh-CN""),)"),"你想见谁？")</f>
        <v>你想见谁？</v>
      </c>
    </row>
    <row r="1119" spans="1:5">
      <c r="A1119" s="3" t="s">
        <v>4945</v>
      </c>
      <c r="B1119" s="4" t="str">
        <f ca="1">IFERROR(__xludf.DUMMYFUNCTION("IFERROR(GOOGLETRANSLATE(A1119,""ko"",""en""),)"),"Park Seo-joon")</f>
        <v>Park Seo-joon</v>
      </c>
      <c r="C1119" s="4" t="str">
        <f ca="1">IFERROR(__xludf.DUMMYFUNCTION("IFERROR(GOOGLETRANSLATE(B1119,""en"",""ja""),)"),"パク・ソジュン")</f>
        <v>パク・ソジュン</v>
      </c>
      <c r="D1119" s="4" t="str">
        <f ca="1">IFERROR(__xludf.DUMMYFUNCTION("IFERROR(GOOGLETRANSLATE(B1119,""en"",""zh-TW""),)"),"樸敘俊")</f>
        <v>樸敘俊</v>
      </c>
      <c r="E1119" s="4" t="str">
        <f ca="1">IFERROR(__xludf.DUMMYFUNCTION("IFERROR(GOOGLETRANSLATE(B1119,""en"",""zh-CN""),)"),"朴叙俊")</f>
        <v>朴叙俊</v>
      </c>
    </row>
    <row r="1120" spans="1:5">
      <c r="A1120" s="3" t="s">
        <v>4950</v>
      </c>
      <c r="B1120" s="4" t="str">
        <f ca="1">IFERROR(__xludf.DUMMYFUNCTION("IFERROR(GOOGLETRANSLATE(A1120,""ko"",""en""),)"),"I want to go")</f>
        <v>I want to go</v>
      </c>
      <c r="C1120" s="4" t="str">
        <f ca="1">IFERROR(__xludf.DUMMYFUNCTION("IFERROR(GOOGLETRANSLATE(B1120,""en"",""ja""),)"),"私は行ってみたい")</f>
        <v>私は行ってみたい</v>
      </c>
      <c r="D1120" s="4" t="str">
        <f ca="1">IFERROR(__xludf.DUMMYFUNCTION("IFERROR(GOOGLETRANSLATE(B1120,""en"",""zh-TW""),)"),"我想去")</f>
        <v>我想去</v>
      </c>
      <c r="E1120" s="4" t="str">
        <f ca="1">IFERROR(__xludf.DUMMYFUNCTION("IFERROR(GOOGLETRANSLATE(B1120,""en"",""zh-CN""),)"),"我想去")</f>
        <v>我想去</v>
      </c>
    </row>
    <row r="1121" spans="1:5">
      <c r="A1121" s="3" t="s">
        <v>4954</v>
      </c>
      <c r="B1121" s="4" t="s">
        <v>4956</v>
      </c>
      <c r="C1121" s="4" t="str">
        <f ca="1">IFERROR(__xludf.DUMMYFUNCTION("IFERROR(GOOGLETRANSLATE(B1121,""en"",""ja""),)"),"彼/彼女は行きたい")</f>
        <v>彼/彼女は行きたい</v>
      </c>
      <c r="D1121" s="4" t="str">
        <f ca="1">IFERROR(__xludf.DUMMYFUNCTION("IFERROR(GOOGLETRANSLATE(B1121,""en"",""zh-TW""),)"),"他/她想去")</f>
        <v>他/她想去</v>
      </c>
      <c r="E1121" s="4" t="str">
        <f ca="1">IFERROR(__xludf.DUMMYFUNCTION("IFERROR(GOOGLETRANSLATE(B1121,""en"",""zh-CN""),)"),"他/她想去")</f>
        <v>他/她想去</v>
      </c>
    </row>
    <row r="1122" spans="1:5">
      <c r="A1122" s="3" t="s">
        <v>4961</v>
      </c>
      <c r="B1122" s="4" t="str">
        <f ca="1">IFERROR(__xludf.DUMMYFUNCTION("IFERROR(GOOGLETRANSLATE(A1122,""ko"",""en""),)"),"I want to eat")</f>
        <v>I want to eat</v>
      </c>
      <c r="C1122" s="4" t="str">
        <f ca="1">IFERROR(__xludf.DUMMYFUNCTION("IFERROR(GOOGLETRANSLATE(B1122,""en"",""ja""),)"),"食べたい")</f>
        <v>食べたい</v>
      </c>
      <c r="D1122" s="4" t="str">
        <f ca="1">IFERROR(__xludf.DUMMYFUNCTION("IFERROR(GOOGLETRANSLATE(B1122,""en"",""zh-TW""),)"),"我想吃")</f>
        <v>我想吃</v>
      </c>
      <c r="E1122" s="4" t="str">
        <f ca="1">IFERROR(__xludf.DUMMYFUNCTION("IFERROR(GOOGLETRANSLATE(B1122,""en"",""zh-CN""),)"),"我想吃")</f>
        <v>我想吃</v>
      </c>
    </row>
    <row r="1123" spans="1:5">
      <c r="A1123" s="3" t="s">
        <v>4966</v>
      </c>
      <c r="B1123" s="4" t="s">
        <v>4967</v>
      </c>
      <c r="C1123" s="4" t="str">
        <f ca="1">IFERROR(__xludf.DUMMYFUNCTION("IFERROR(GOOGLETRANSLATE(B1123,""en"",""ja""),)"),"彼/彼女は食べたい")</f>
        <v>彼/彼女は食べたい</v>
      </c>
      <c r="D1123" s="4" t="str">
        <f ca="1">IFERROR(__xludf.DUMMYFUNCTION("IFERROR(GOOGLETRANSLATE(B1123,""en"",""zh-TW""),)"),"他/她想吃東西")</f>
        <v>他/她想吃東西</v>
      </c>
      <c r="E1123" s="4" t="str">
        <f ca="1">IFERROR(__xludf.DUMMYFUNCTION("IFERROR(GOOGLETRANSLATE(B1123,""en"",""zh-CN""),)"),"他/她想吃东西")</f>
        <v>他/她想吃东西</v>
      </c>
    </row>
    <row r="1124" spans="1:5">
      <c r="A1124" s="3" t="s">
        <v>4972</v>
      </c>
      <c r="B1124" s="4" t="str">
        <f ca="1">IFERROR(__xludf.DUMMYFUNCTION("IFERROR(GOOGLETRANSLATE(A1124,""ko"",""en""),)"),"I want to make it")</f>
        <v>I want to make it</v>
      </c>
      <c r="C1124" s="4" t="str">
        <f ca="1">IFERROR(__xludf.DUMMYFUNCTION("IFERROR(GOOGLETRANSLATE(B1124,""en"",""ja""),)"),"作りたい")</f>
        <v>作りたい</v>
      </c>
      <c r="D1124" s="4" t="str">
        <f ca="1">IFERROR(__xludf.DUMMYFUNCTION("IFERROR(GOOGLETRANSLATE(B1124,""en"",""zh-TW""),)"),"我想把它做出來")</f>
        <v>我想把它做出來</v>
      </c>
      <c r="E1124" s="4" t="str">
        <f ca="1">IFERROR(__xludf.DUMMYFUNCTION("IFERROR(GOOGLETRANSLATE(B1124,""en"",""zh-CN""),)"),"我想把它做出来")</f>
        <v>我想把它做出来</v>
      </c>
    </row>
    <row r="1125" spans="1:5">
      <c r="A1125" s="3" t="s">
        <v>4978</v>
      </c>
      <c r="B1125" s="4" t="s">
        <v>4979</v>
      </c>
      <c r="C1125" s="4" t="str">
        <f ca="1">IFERROR(__xludf.DUMMYFUNCTION("IFERROR(GOOGLETRANSLATE(B1125,""en"",""ja""),)"),"彼/彼女はそれを実現したい")</f>
        <v>彼/彼女はそれを実現したい</v>
      </c>
      <c r="D1125" s="4" t="str">
        <f ca="1">IFERROR(__xludf.DUMMYFUNCTION("IFERROR(GOOGLETRANSLATE(B1125,""en"",""zh-TW""),)"),"他/她想成功")</f>
        <v>他/她想成功</v>
      </c>
      <c r="E1125" s="4" t="str">
        <f ca="1">IFERROR(__xludf.DUMMYFUNCTION("IFERROR(GOOGLETRANSLATE(B1125,""en"",""zh-CN""),)"),"他/她想成功")</f>
        <v>他/她想成功</v>
      </c>
    </row>
    <row r="1126" spans="1:5">
      <c r="A1126" s="3" t="s">
        <v>4984</v>
      </c>
      <c r="B1126" s="4" t="str">
        <f ca="1">IFERROR(__xludf.DUMMYFUNCTION("IFERROR(GOOGLETRANSLATE(A1126,""ko"",""en""),)"),"I want to cook")</f>
        <v>I want to cook</v>
      </c>
      <c r="C1126" s="4" t="str">
        <f ca="1">IFERROR(__xludf.DUMMYFUNCTION("IFERROR(GOOGLETRANSLATE(B1126,""en"",""ja""),)"),"料理をしたい")</f>
        <v>料理をしたい</v>
      </c>
      <c r="D1126" s="4" t="str">
        <f ca="1">IFERROR(__xludf.DUMMYFUNCTION("IFERROR(GOOGLETRANSLATE(B1126,""en"",""zh-TW""),)"),"我想做飯")</f>
        <v>我想做飯</v>
      </c>
      <c r="E1126" s="4" t="str">
        <f ca="1">IFERROR(__xludf.DUMMYFUNCTION("IFERROR(GOOGLETRANSLATE(B1126,""en"",""zh-CN""),)"),"我想做饭")</f>
        <v>我想做饭</v>
      </c>
    </row>
    <row r="1127" spans="1:5">
      <c r="A1127" s="3" t="s">
        <v>4990</v>
      </c>
      <c r="B1127" s="4" t="s">
        <v>4991</v>
      </c>
      <c r="C1127" s="4" t="str">
        <f ca="1">IFERROR(__xludf.DUMMYFUNCTION("IFERROR(GOOGLETRANSLATE(B1127,""en"",""ja""),)"),"彼/彼女は料理をしたい")</f>
        <v>彼/彼女は料理をしたい</v>
      </c>
      <c r="D1127" s="4" t="str">
        <f ca="1">IFERROR(__xludf.DUMMYFUNCTION("IFERROR(GOOGLETRANSLATE(B1127,""en"",""zh-TW""),)"),"他/她想做飯")</f>
        <v>他/她想做飯</v>
      </c>
      <c r="E1127" s="4" t="str">
        <f ca="1">IFERROR(__xludf.DUMMYFUNCTION("IFERROR(GOOGLETRANSLATE(B1127,""en"",""zh-CN""),)"),"他/她想做饭")</f>
        <v>他/她想做饭</v>
      </c>
    </row>
    <row r="1128" spans="1:5">
      <c r="A1128" s="5" t="s">
        <v>4996</v>
      </c>
      <c r="B1128" s="4" t="str">
        <f ca="1">IFERROR(__xludf.DUMMYFUNCTION("IFERROR(GOOGLETRANSLATE(A1128,""ko"",""en""),)"),"Choose the appropriate one from the following.")</f>
        <v>Choose the appropriate one from the following.</v>
      </c>
      <c r="C1128" s="4" t="str">
        <f ca="1">IFERROR(__xludf.DUMMYFUNCTION("IFERROR(GOOGLETRANSLATE(B1128,""en"",""ja""),)"),"下記の中から適切なものを選んでください。")</f>
        <v>下記の中から適切なものを選んでください。</v>
      </c>
      <c r="D1128" s="4" t="str">
        <f ca="1">IFERROR(__xludf.DUMMYFUNCTION("IFERROR(GOOGLETRANSLATE(B1128,""en"",""zh-TW""),)"),"請從下列選項中選出合適的答案。")</f>
        <v>請從下列選項中選出合適的答案。</v>
      </c>
      <c r="E1128" s="4" t="str">
        <f ca="1">IFERROR(__xludf.DUMMYFUNCTION("IFERROR(GOOGLETRANSLATE(B1128,""en"",""zh-CN""),)"),"请从下列选项中选择合适的答案。")</f>
        <v>请从下列选项中选择合适的答案。</v>
      </c>
    </row>
    <row r="1129" spans="1:5">
      <c r="A1129" s="3" t="s">
        <v>5002</v>
      </c>
      <c r="B1129" s="4" t="str">
        <f ca="1">IFERROR(__xludf.DUMMYFUNCTION("IFERROR(GOOGLETRANSLATE(A1129,""ko"",""en""),)"),"I want to read a book.")</f>
        <v>I want to read a book.</v>
      </c>
      <c r="C1129" s="4" t="str">
        <f ca="1">IFERROR(__xludf.DUMMYFUNCTION("IFERROR(GOOGLETRANSLATE(B1129,""en"",""ja""),)"),"本を読みたい。")</f>
        <v>本を読みたい。</v>
      </c>
      <c r="D1129" s="4" t="str">
        <f ca="1">IFERROR(__xludf.DUMMYFUNCTION("IFERROR(GOOGLETRANSLATE(B1129,""en"",""zh-TW""),)"),"我想讀一本書。")</f>
        <v>我想讀一本書。</v>
      </c>
      <c r="E1129" s="4" t="str">
        <f ca="1">IFERROR(__xludf.DUMMYFUNCTION("IFERROR(GOOGLETRANSLATE(B1129,""en"",""zh-CN""),)"),"我想读一本书。")</f>
        <v>我想读一本书。</v>
      </c>
    </row>
    <row r="1130" spans="1:5">
      <c r="A1130" s="3" t="s">
        <v>5006</v>
      </c>
      <c r="B1130" s="4" t="str">
        <f ca="1">IFERROR(__xludf.DUMMYFUNCTION("IFERROR(GOOGLETRANSLATE(A1130,""ko"",""en""),)"),"Jaemin wants to go hiking.")</f>
        <v>Jaemin wants to go hiking.</v>
      </c>
      <c r="C1130" s="4" t="str">
        <f ca="1">IFERROR(__xludf.DUMMYFUNCTION("IFERROR(GOOGLETRANSLATE(B1130,""en"",""ja""),)"),"ジェミンはハイキングに行きたい。")</f>
        <v>ジェミンはハイキングに行きたい。</v>
      </c>
      <c r="D1130" s="4" t="str">
        <f ca="1">IFERROR(__xludf.DUMMYFUNCTION("IFERROR(GOOGLETRANSLATE(B1130,""en"",""zh-TW""),)"),"渽民想去健行。")</f>
        <v>渽民想去健行。</v>
      </c>
      <c r="E1130" s="4" t="str">
        <f ca="1">IFERROR(__xludf.DUMMYFUNCTION("IFERROR(GOOGLETRANSLATE(B1130,""en"",""zh-CN""),)"),"渽民想去徒步旅行。")</f>
        <v>渽民想去徒步旅行。</v>
      </c>
    </row>
    <row r="1131" spans="1:5">
      <c r="A1131" s="3" t="s">
        <v>5012</v>
      </c>
      <c r="B1131" s="4" t="str">
        <f ca="1">IFERROR(__xludf.DUMMYFUNCTION("IFERROR(GOOGLETRANSLATE(A1131,""ko"",""en""),)"),"Yujin wants to go on a trip.")</f>
        <v>Yujin wants to go on a trip.</v>
      </c>
      <c r="C1131" s="4" t="str">
        <f ca="1">IFERROR(__xludf.DUMMYFUNCTION("IFERROR(GOOGLETRANSLATE(B1131,""en"",""ja""),)"),"ユジンは旅行に行きたいと思っています。")</f>
        <v>ユジンは旅行に行きたいと思っています。</v>
      </c>
      <c r="D1131" s="4" t="str">
        <f ca="1">IFERROR(__xludf.DUMMYFUNCTION("IFERROR(GOOGLETRANSLATE(B1131,""en"",""zh-TW""),)"),"裕真想去旅行。")</f>
        <v>裕真想去旅行。</v>
      </c>
      <c r="E1131" s="4" t="str">
        <f ca="1">IFERROR(__xludf.DUMMYFUNCTION("IFERROR(GOOGLETRANSLATE(B1131,""en"",""zh-CN""),)"),"裕真想去旅行。")</f>
        <v>裕真想去旅行。</v>
      </c>
    </row>
    <row r="1132" spans="1:5">
      <c r="A1132" s="3" t="s">
        <v>5015</v>
      </c>
      <c r="B1132" s="4" t="str">
        <f ca="1">IFERROR(__xludf.DUMMYFUNCTION("IFERROR(GOOGLETRANSLATE(A1132,""ko"",""en""),)"),"I want to see a K-pop concert.")</f>
        <v>I want to see a K-pop concert.</v>
      </c>
      <c r="C1132" s="4" t="str">
        <f ca="1">IFERROR(__xludf.DUMMYFUNCTION("IFERROR(GOOGLETRANSLATE(B1132,""en"",""ja""),)"),"K-POPのコンサートに行きたい。")</f>
        <v>K-POPのコンサートに行きたい。</v>
      </c>
      <c r="D1132" s="4" t="str">
        <f ca="1">IFERROR(__xludf.DUMMYFUNCTION("IFERROR(GOOGLETRANSLATE(B1132,""en"",""zh-TW""),)"),"我想去看一場韓國流行音樂演唱會。")</f>
        <v>我想去看一場韓國流行音樂演唱會。</v>
      </c>
      <c r="E1132" s="4" t="str">
        <f ca="1">IFERROR(__xludf.DUMMYFUNCTION("IFERROR(GOOGLETRANSLATE(B1132,""en"",""zh-CN""),)"),"我想去看一场韩国流行音乐演唱会。")</f>
        <v>我想去看一场韩国流行音乐演唱会。</v>
      </c>
    </row>
    <row r="1133" spans="1:5">
      <c r="A1133" s="3" t="s">
        <v>5019</v>
      </c>
      <c r="B1133" s="4" t="str">
        <f ca="1">IFERROR(__xludf.DUMMYFUNCTION("IFERROR(GOOGLETRANSLATE(A1133,""ko"",""en""),)"),"Marie wants to learn the piano.")</f>
        <v>Marie wants to learn the piano.</v>
      </c>
      <c r="C1133" s="4" t="str">
        <f ca="1">IFERROR(__xludf.DUMMYFUNCTION("IFERROR(GOOGLETRANSLATE(B1133,""en"",""ja""),)"),"マリーはピアノを習いたいと思っています。")</f>
        <v>マリーはピアノを習いたいと思っています。</v>
      </c>
      <c r="D1133" s="4" t="str">
        <f ca="1">IFERROR(__xludf.DUMMYFUNCTION("IFERROR(GOOGLETRANSLATE(B1133,""en"",""zh-TW""),)"),"瑪麗想學鋼琴。")</f>
        <v>瑪麗想學鋼琴。</v>
      </c>
      <c r="E1133" s="4" t="str">
        <f ca="1">IFERROR(__xludf.DUMMYFUNCTION("IFERROR(GOOGLETRANSLATE(B1133,""en"",""zh-CN""),)"),"玛丽想学钢琴。")</f>
        <v>玛丽想学钢琴。</v>
      </c>
    </row>
    <row r="1134" spans="1:5">
      <c r="A1134" s="3" t="s">
        <v>5023</v>
      </c>
      <c r="B1134" s="4" t="str">
        <f ca="1">IFERROR(__xludf.DUMMYFUNCTION("IFERROR(GOOGLETRANSLATE(A1134,""ko"",""en""),)"),"I want to go to the amusement park with Suzy.")</f>
        <v>I want to go to the amusement park with Suzy.</v>
      </c>
      <c r="C1134" s="4" t="str">
        <f ca="1">IFERROR(__xludf.DUMMYFUNCTION("IFERROR(GOOGLETRANSLATE(B1134,""en"",""ja""),)"),"スージーと一緒に遊園地に行きたい。")</f>
        <v>スージーと一緒に遊園地に行きたい。</v>
      </c>
      <c r="D1134" s="4" t="str">
        <f ca="1">IFERROR(__xludf.DUMMYFUNCTION("IFERROR(GOOGLETRANSLATE(B1134,""en"",""zh-TW""),)"),"我想和秀智一起去遊樂園。")</f>
        <v>我想和秀智一起去遊樂園。</v>
      </c>
      <c r="E1134" s="4" t="str">
        <f ca="1">IFERROR(__xludf.DUMMYFUNCTION("IFERROR(GOOGLETRANSLATE(B1134,""en"",""zh-CN""),)"),"我想和秀智一起去游乐园。")</f>
        <v>我想和秀智一起去游乐园。</v>
      </c>
    </row>
    <row r="1135" spans="1:5">
      <c r="A1135" s="3" t="s">
        <v>5028</v>
      </c>
      <c r="B1135" s="4" t="str">
        <f ca="1">IFERROR(__xludf.DUMMYFUNCTION("IFERROR(GOOGLETRANSLATE(A1135,""ko"",""en""),)"),"I want to eat lunch.")</f>
        <v>I want to eat lunch.</v>
      </c>
      <c r="C1135" s="4" t="str">
        <f ca="1">IFERROR(__xludf.DUMMYFUNCTION("IFERROR(GOOGLETRANSLATE(B1135,""en"",""ja""),)"),"昼食を食べたい。")</f>
        <v>昼食を食べたい。</v>
      </c>
      <c r="D1135" s="4" t="str">
        <f ca="1">IFERROR(__xludf.DUMMYFUNCTION("IFERROR(GOOGLETRANSLATE(B1135,""en"",""zh-TW""),)"),"我想吃午餐。")</f>
        <v>我想吃午餐。</v>
      </c>
      <c r="E1135" s="4" t="str">
        <f ca="1">IFERROR(__xludf.DUMMYFUNCTION("IFERROR(GOOGLETRANSLATE(B1135,""en"",""zh-CN""),)"),"我想吃午饭。")</f>
        <v>我想吃午饭。</v>
      </c>
    </row>
    <row r="1136" spans="1:5">
      <c r="A1136" s="3" t="s">
        <v>5033</v>
      </c>
      <c r="B1136" s="4" t="str">
        <f ca="1">IFERROR(__xludf.DUMMYFUNCTION("IFERROR(GOOGLETRANSLATE(A1136,""ko"",""en""),)"),"Jaemin wants to play basketball.")</f>
        <v>Jaemin wants to play basketball.</v>
      </c>
      <c r="C1136" s="4" t="str">
        <f ca="1">IFERROR(__xludf.DUMMYFUNCTION("IFERROR(GOOGLETRANSLATE(B1136,""en"",""ja""),)"),"ジェミンはバスケットボールをしたい。")</f>
        <v>ジェミンはバスケットボールをしたい。</v>
      </c>
      <c r="D1136" s="4" t="str">
        <f ca="1">IFERROR(__xludf.DUMMYFUNCTION("IFERROR(GOOGLETRANSLATE(B1136,""en"",""zh-TW""),)"),"渽民想打籃球。")</f>
        <v>渽民想打籃球。</v>
      </c>
      <c r="E1136" s="4" t="str">
        <f ca="1">IFERROR(__xludf.DUMMYFUNCTION("IFERROR(GOOGLETRANSLATE(B1136,""en"",""zh-CN""),)"),"渽民想打篮球。")</f>
        <v>渽民想打篮球。</v>
      </c>
    </row>
    <row r="1137" spans="1:5">
      <c r="A1137" s="3" t="s">
        <v>5037</v>
      </c>
      <c r="B1137" s="4" t="str">
        <f ca="1">IFERROR(__xludf.DUMMYFUNCTION("IFERROR(GOOGLETRANSLATE(A1137,""ko"",""en""),)"),"I want to go shopping at a department store.")</f>
        <v>I want to go shopping at a department store.</v>
      </c>
      <c r="C1137" s="4" t="str">
        <f ca="1">IFERROR(__xludf.DUMMYFUNCTION("IFERROR(GOOGLETRANSLATE(B1137,""en"",""ja""),)"),"デパートで買い物に行きたい。")</f>
        <v>デパートで買い物に行きたい。</v>
      </c>
      <c r="D1137" s="4" t="str">
        <f ca="1">IFERROR(__xludf.DUMMYFUNCTION("IFERROR(GOOGLETRANSLATE(B1137,""en"",""zh-TW""),)"),"我想去百貨公司購物。")</f>
        <v>我想去百貨公司購物。</v>
      </c>
      <c r="E1137" s="4" t="str">
        <f ca="1">IFERROR(__xludf.DUMMYFUNCTION("IFERROR(GOOGLETRANSLATE(B1137,""en"",""zh-CN""),)"),"我想去百货商店购物。")</f>
        <v>我想去百货商店购物。</v>
      </c>
    </row>
    <row r="1138" spans="1:5">
      <c r="A1138" s="3" t="s">
        <v>5040</v>
      </c>
      <c r="B1138" s="4" t="str">
        <f ca="1">IFERROR(__xludf.DUMMYFUNCTION("IFERROR(GOOGLETRANSLATE(A1138,""ko"",""en""),)"),"Anna wants to go on a trip to Jeju Island.")</f>
        <v>Anna wants to go on a trip to Jeju Island.</v>
      </c>
      <c r="C1138" s="4" t="str">
        <f ca="1">IFERROR(__xludf.DUMMYFUNCTION("IFERROR(GOOGLETRANSLATE(B1138,""en"",""ja""),)"),"アンナは済州島へ旅行に行きたいと思っています。")</f>
        <v>アンナは済州島へ旅行に行きたいと思っています。</v>
      </c>
      <c r="D1138" s="4" t="str">
        <f ca="1">IFERROR(__xludf.DUMMYFUNCTION("IFERROR(GOOGLETRANSLATE(B1138,""en"",""zh-TW""),)"),"安娜想去濟州島旅行。")</f>
        <v>安娜想去濟州島旅行。</v>
      </c>
      <c r="E1138" s="4" t="str">
        <f ca="1">IFERROR(__xludf.DUMMYFUNCTION("IFERROR(GOOGLETRANSLATE(B1138,""en"",""zh-CN""),)"),"安娜想去济州岛旅行。")</f>
        <v>安娜想去济州岛旅行。</v>
      </c>
    </row>
    <row r="1139" spans="1:5">
      <c r="A1139" s="3" t="s">
        <v>5043</v>
      </c>
      <c r="B1139" s="4" t="str">
        <f ca="1">IFERROR(__xludf.DUMMYFUNCTION("IFERROR(GOOGLETRANSLATE(A1139,""ko"",""en""),)"),"Shall we take a picture here?")</f>
        <v>Shall we take a picture here?</v>
      </c>
      <c r="C1139" s="4" t="str">
        <f ca="1">IFERROR(__xludf.DUMMYFUNCTION("IFERROR(GOOGLETRANSLATE(B1139,""en"",""ja""),)"),"ここで写真を撮りましょうか？")</f>
        <v>ここで写真を撮りましょうか？</v>
      </c>
      <c r="D1139" s="4" t="str">
        <f ca="1">IFERROR(__xludf.DUMMYFUNCTION("IFERROR(GOOGLETRANSLATE(B1139,""en"",""zh-TW""),)"),"我們在這裡拍張照片好嗎？")</f>
        <v>我們在這裡拍張照片好嗎？</v>
      </c>
      <c r="E1139" s="4" t="str">
        <f ca="1">IFERROR(__xludf.DUMMYFUNCTION("IFERROR(GOOGLETRANSLATE(B1139,""en"",""zh-CN""),)"),"我们在这里拍张照片好吗？")</f>
        <v>我们在这里拍张照片好吗？</v>
      </c>
    </row>
    <row r="1140" spans="1:5">
      <c r="A1140" s="3" t="s">
        <v>5047</v>
      </c>
      <c r="B1140" s="4" t="str">
        <f ca="1">IFERROR(__xludf.DUMMYFUNCTION("IFERROR(GOOGLETRANSLATE(A1140,""ko"",""en""),)"),"Yes, that's right.")</f>
        <v>Yes, that's right.</v>
      </c>
      <c r="C1140" s="4" t="str">
        <f ca="1">IFERROR(__xludf.DUMMYFUNCTION("IFERROR(GOOGLETRANSLATE(B1140,""en"",""ja""),)"),"はい、その通りです。")</f>
        <v>はい、その通りです。</v>
      </c>
      <c r="D1140" s="4" t="str">
        <f ca="1">IFERROR(__xludf.DUMMYFUNCTION("IFERROR(GOOGLETRANSLATE(B1140,""en"",""zh-TW""),)"),"是的，沒錯。")</f>
        <v>是的，沒錯。</v>
      </c>
      <c r="E1140" s="4" t="str">
        <f ca="1">IFERROR(__xludf.DUMMYFUNCTION("IFERROR(GOOGLETRANSLATE(B1140,""en"",""zh-CN""),)"),"是的，没错。")</f>
        <v>是的，没错。</v>
      </c>
    </row>
    <row r="1141" spans="1:5">
      <c r="A1141" s="3" t="s">
        <v>5050</v>
      </c>
      <c r="B1141" s="4" t="str">
        <f ca="1">IFERROR(__xludf.DUMMYFUNCTION("IFERROR(GOOGLETRANSLATE(A1141,""ko"",""en""),)"),"Shall we go cycling together this weekend?")</f>
        <v>Shall we go cycling together this weekend?</v>
      </c>
      <c r="C1141" s="4" t="str">
        <f ca="1">IFERROR(__xludf.DUMMYFUNCTION("IFERROR(GOOGLETRANSLATE(B1141,""en"",""ja""),)"),"今週末、一緒にサイクリングに行きませんか？")</f>
        <v>今週末、一緒にサイクリングに行きませんか？</v>
      </c>
      <c r="D1141" s="4" t="str">
        <f ca="1">IFERROR(__xludf.DUMMYFUNCTION("IFERROR(GOOGLETRANSLATE(B1141,""en"",""zh-TW""),)"),"我們這個週末一起去騎腳踏車好嗎？")</f>
        <v>我們這個週末一起去騎腳踏車好嗎？</v>
      </c>
      <c r="E1141" s="4" t="str">
        <f ca="1">IFERROR(__xludf.DUMMYFUNCTION("IFERROR(GOOGLETRANSLATE(B1141,""en"",""zh-CN""),)"),"我们这个周末一起去骑自行车好吗？")</f>
        <v>我们这个周末一起去骑自行车好吗？</v>
      </c>
    </row>
    <row r="1142" spans="1:5">
      <c r="A1142" s="3" t="s">
        <v>889</v>
      </c>
      <c r="B1142" s="4" t="str">
        <f ca="1">IFERROR(__xludf.DUMMYFUNCTION("IFERROR(GOOGLETRANSLATE(A1142,""ko"",""en""),)"),"Yes, that's good.")</f>
        <v>Yes, that's good.</v>
      </c>
      <c r="C1142" s="4" t="str">
        <f ca="1">IFERROR(__xludf.DUMMYFUNCTION("IFERROR(GOOGLETRANSLATE(B1142,""en"",""ja""),)"),"はい、それは良いことです。")</f>
        <v>はい、それは良いことです。</v>
      </c>
      <c r="D1142" s="4" t="str">
        <f ca="1">IFERROR(__xludf.DUMMYFUNCTION("IFERROR(GOOGLETRANSLATE(B1142,""en"",""zh-TW""),)"),"是的，那很好。")</f>
        <v>是的，那很好。</v>
      </c>
      <c r="E1142" s="4" t="str">
        <f ca="1">IFERROR(__xludf.DUMMYFUNCTION("IFERROR(GOOGLETRANSLATE(B1142,""en"",""zh-CN""),)"),"是的，那很好。")</f>
        <v>是的，那很好。</v>
      </c>
    </row>
    <row r="1143" spans="1:5">
      <c r="A1143" s="3" t="s">
        <v>3091</v>
      </c>
      <c r="B1143" s="4" t="str">
        <f ca="1">IFERROR(__xludf.DUMMYFUNCTION("IFERROR(GOOGLETRANSLATE(A1143,""ko"",""en""),)"),"Shall we eat?")</f>
        <v>Shall we eat?</v>
      </c>
      <c r="C1143" s="4" t="str">
        <f ca="1">IFERROR(__xludf.DUMMYFUNCTION("IFERROR(GOOGLETRANSLATE(B1143,""en"",""ja""),)"),"食事をしましょうか？")</f>
        <v>食事をしましょうか？</v>
      </c>
      <c r="D1143" s="4" t="str">
        <f ca="1">IFERROR(__xludf.DUMMYFUNCTION("IFERROR(GOOGLETRANSLATE(B1143,""en"",""zh-TW""),)"),"我們吃飯嗎？")</f>
        <v>我們吃飯嗎？</v>
      </c>
      <c r="E1143" s="4" t="str">
        <f ca="1">IFERROR(__xludf.DUMMYFUNCTION("IFERROR(GOOGLETRANSLATE(B1143,""en"",""zh-CN""),)"),"我们吃饭吗？")</f>
        <v>我们吃饭吗？</v>
      </c>
    </row>
    <row r="1144" spans="1:5">
      <c r="A1144" s="3" t="s">
        <v>5060</v>
      </c>
      <c r="B1144" s="4" t="str">
        <f ca="1">IFERROR(__xludf.DUMMYFUNCTION("IFERROR(GOOGLETRANSLATE(A1144,""ko"",""en""),)"),"Shall we take a picture?")</f>
        <v>Shall we take a picture?</v>
      </c>
      <c r="C1144" s="4" t="str">
        <f ca="1">IFERROR(__xludf.DUMMYFUNCTION("IFERROR(GOOGLETRANSLATE(B1144,""en"",""ja""),)"),"写真を撮りましょうか？")</f>
        <v>写真を撮りましょうか？</v>
      </c>
      <c r="D1144" s="4" t="str">
        <f ca="1">IFERROR(__xludf.DUMMYFUNCTION("IFERROR(GOOGLETRANSLATE(B1144,""en"",""zh-TW""),)"),"我們拍張照片吧？")</f>
        <v>我們拍張照片吧？</v>
      </c>
      <c r="E1144" s="4" t="str">
        <f ca="1">IFERROR(__xludf.DUMMYFUNCTION("IFERROR(GOOGLETRANSLATE(B1144,""en"",""zh-CN""),)"),"我们拍张照片吧？")</f>
        <v>我们拍张照片吧？</v>
      </c>
    </row>
    <row r="1145" spans="1:5">
      <c r="A1145" s="3" t="s">
        <v>5063</v>
      </c>
      <c r="B1145" s="4" t="str">
        <f ca="1">IFERROR(__xludf.DUMMYFUNCTION("IFERROR(GOOGLETRANSLATE(A1145,""ko"",""en""),)"),"Shall I sit down?")</f>
        <v>Shall I sit down?</v>
      </c>
      <c r="C1145" s="4" t="str">
        <f ca="1">IFERROR(__xludf.DUMMYFUNCTION("IFERROR(GOOGLETRANSLATE(B1145,""en"",""ja""),)"),"座ってもよろしいでしょうか？")</f>
        <v>座ってもよろしいでしょうか？</v>
      </c>
      <c r="D1145" s="4" t="str">
        <f ca="1">IFERROR(__xludf.DUMMYFUNCTION("IFERROR(GOOGLETRANSLATE(B1145,""en"",""zh-TW""),)"),"我坐下嗎？")</f>
        <v>我坐下嗎？</v>
      </c>
      <c r="E1145" s="4" t="str">
        <f ca="1">IFERROR(__xludf.DUMMYFUNCTION("IFERROR(GOOGLETRANSLATE(B1145,""en"",""zh-CN""),)"),"我坐下吗？")</f>
        <v>我坐下吗？</v>
      </c>
    </row>
    <row r="1146" spans="1:5">
      <c r="A1146" s="5" t="s">
        <v>5068</v>
      </c>
      <c r="B1146" s="4" t="str">
        <f ca="1">IFERROR(__xludf.DUMMYFUNCTION("IFERROR(GOOGLETRANSLATE(A1146,""ko"",""en""),)"),"Shall we sit here for a moment?")</f>
        <v>Shall we sit here for a moment?</v>
      </c>
      <c r="C1146" s="4" t="str">
        <f ca="1">IFERROR(__xludf.DUMMYFUNCTION("IFERROR(GOOGLETRANSLATE(B1146,""en"",""ja""),)"),"少しの間、ここに座ってみませんか？")</f>
        <v>少しの間、ここに座ってみませんか？</v>
      </c>
      <c r="D1146" s="4" t="str">
        <f ca="1">IFERROR(__xludf.DUMMYFUNCTION("IFERROR(GOOGLETRANSLATE(B1146,""en"",""zh-TW""),)"),"我們在這裡坐一會兒好嗎？")</f>
        <v>我們在這裡坐一會兒好嗎？</v>
      </c>
      <c r="E1146" s="4" t="str">
        <f ca="1">IFERROR(__xludf.DUMMYFUNCTION("IFERROR(GOOGLETRANSLATE(B1146,""en"",""zh-CN""),)"),"我们在这里坐一会儿好吗？")</f>
        <v>我们在这里坐一会儿好吗？</v>
      </c>
    </row>
    <row r="1147" spans="1:5">
      <c r="A1147" s="5" t="s">
        <v>5072</v>
      </c>
      <c r="B1147" s="4" t="str">
        <f ca="1">IFERROR(__xludf.DUMMYFUNCTION("IFERROR(GOOGLETRANSLATE(A1147,""ko"",""en""),)"),"Shall we sit here?")</f>
        <v>Shall we sit here?</v>
      </c>
      <c r="C1147" s="4" t="str">
        <f ca="1">IFERROR(__xludf.DUMMYFUNCTION("IFERROR(GOOGLETRANSLATE(B1147,""en"",""ja""),)"),"ここに座りましょうか？")</f>
        <v>ここに座りましょうか？</v>
      </c>
      <c r="D1147" s="4" t="str">
        <f ca="1">IFERROR(__xludf.DUMMYFUNCTION("IFERROR(GOOGLETRANSLATE(B1147,""en"",""zh-TW""),)"),"我們坐這裡好嗎？")</f>
        <v>我們坐這裡好嗎？</v>
      </c>
      <c r="E1147" s="4" t="str">
        <f ca="1">IFERROR(__xludf.DUMMYFUNCTION("IFERROR(GOOGLETRANSLATE(B1147,""en"",""zh-CN""),)"),"我们坐这儿好吗？")</f>
        <v>我们坐这儿好吗？</v>
      </c>
    </row>
    <row r="1148" spans="1:5">
      <c r="A1148" s="3" t="s">
        <v>3101</v>
      </c>
      <c r="B1148" s="4" t="str">
        <f ca="1">IFERROR(__xludf.DUMMYFUNCTION("IFERROR(GOOGLETRANSLATE(A1148,""ko"",""en""),)"),"Shall we go?")</f>
        <v>Shall we go?</v>
      </c>
      <c r="C1148" s="4" t="str">
        <f ca="1">IFERROR(__xludf.DUMMYFUNCTION("IFERROR(GOOGLETRANSLATE(B1148,""en"",""ja""),)"),"行きましょうか？")</f>
        <v>行きましょうか？</v>
      </c>
      <c r="D1148" s="4" t="str">
        <f ca="1">IFERROR(__xludf.DUMMYFUNCTION("IFERROR(GOOGLETRANSLATE(B1148,""en"",""zh-TW""),)"),"我們走吧？")</f>
        <v>我們走吧？</v>
      </c>
      <c r="E1148" s="4" t="str">
        <f ca="1">IFERROR(__xludf.DUMMYFUNCTION("IFERROR(GOOGLETRANSLATE(B1148,""en"",""zh-CN""),)"),"我们走吧？")</f>
        <v>我们走吧？</v>
      </c>
    </row>
    <row r="1149" spans="1:5">
      <c r="A1149" s="3" t="s">
        <v>3104</v>
      </c>
      <c r="B1149" s="4" t="str">
        <f ca="1">IFERROR(__xludf.DUMMYFUNCTION("IFERROR(GOOGLETRANSLATE(A1149,""ko"",""en""),)"),"Shall we take a look?")</f>
        <v>Shall we take a look?</v>
      </c>
      <c r="C1149" s="4" t="str">
        <f ca="1">IFERROR(__xludf.DUMMYFUNCTION("IFERROR(GOOGLETRANSLATE(B1149,""en"",""ja""),)"),"ちょっと見てみましょうか？")</f>
        <v>ちょっと見てみましょうか？</v>
      </c>
      <c r="D1149" s="4" t="str">
        <f ca="1">IFERROR(__xludf.DUMMYFUNCTION("IFERROR(GOOGLETRANSLATE(B1149,""en"",""zh-TW""),)"),"我們一起來看看吧？")</f>
        <v>我們一起來看看吧？</v>
      </c>
      <c r="E1149" s="4" t="str">
        <f ca="1">IFERROR(__xludf.DUMMYFUNCTION("IFERROR(GOOGLETRANSLATE(B1149,""en"",""zh-CN""),)"),"我们一起来看看吧？")</f>
        <v>我们一起来看看吧？</v>
      </c>
    </row>
    <row r="1150" spans="1:5">
      <c r="A1150" s="3" t="s">
        <v>5086</v>
      </c>
      <c r="B1150" s="4" t="str">
        <f ca="1">IFERROR(__xludf.DUMMYFUNCTION("IFERROR(GOOGLETRANSLATE(A1150,""ko"",""en""),)"),"Shall we study?")</f>
        <v>Shall we study?</v>
      </c>
      <c r="C1150" s="4" t="str">
        <f ca="1">IFERROR(__xludf.DUMMYFUNCTION("IFERROR(GOOGLETRANSLATE(B1150,""en"",""ja""),)"),"勉強しましょうか？")</f>
        <v>勉強しましょうか？</v>
      </c>
      <c r="D1150" s="4" t="str">
        <f ca="1">IFERROR(__xludf.DUMMYFUNCTION("IFERROR(GOOGLETRANSLATE(B1150,""en"",""zh-TW""),)"),"我們開始學習吧？")</f>
        <v>我們開始學習吧？</v>
      </c>
      <c r="E1150" s="4" t="str">
        <f ca="1">IFERROR(__xludf.DUMMYFUNCTION("IFERROR(GOOGLETRANSLATE(B1150,""en"",""zh-CN""),)"),"我们开始学习吧？")</f>
        <v>我们开始学习吧？</v>
      </c>
    </row>
    <row r="1151" spans="1:5">
      <c r="A1151" s="3" t="s">
        <v>5091</v>
      </c>
      <c r="B1151" s="4" t="str">
        <f ca="1">IFERROR(__xludf.DUMMYFUNCTION("IFERROR(GOOGLETRANSLATE(A1151,""ko"",""en""),)"),"Shall we play?")</f>
        <v>Shall we play?</v>
      </c>
      <c r="C1151" s="4" t="str">
        <f ca="1">IFERROR(__xludf.DUMMYFUNCTION("IFERROR(GOOGLETRANSLATE(B1151,""en"",""ja""),)"),"一緒に遊びましょうか？")</f>
        <v>一緒に遊びましょうか？</v>
      </c>
      <c r="D1151" s="4" t="str">
        <f ca="1">IFERROR(__xludf.DUMMYFUNCTION("IFERROR(GOOGLETRANSLATE(B1151,""en"",""zh-TW""),)"),"我們來玩吧？")</f>
        <v>我們來玩吧？</v>
      </c>
      <c r="E1151" s="4" t="str">
        <f ca="1">IFERROR(__xludf.DUMMYFUNCTION("IFERROR(GOOGLETRANSLATE(B1151,""en"",""zh-CN""),)"),"我们来玩吧？")</f>
        <v>我们来玩吧？</v>
      </c>
    </row>
    <row r="1152" spans="1:5">
      <c r="A1152" s="3" t="s">
        <v>5094</v>
      </c>
      <c r="B1152" s="4" t="str">
        <f ca="1">IFERROR(__xludf.DUMMYFUNCTION("IFERROR(GOOGLETRANSLATE(A1152,""ko"",""en""),)"),"I have an exam next week.")</f>
        <v>I have an exam next week.</v>
      </c>
      <c r="C1152" s="4" t="str">
        <f ca="1">IFERROR(__xludf.DUMMYFUNCTION("IFERROR(GOOGLETRANSLATE(B1152,""en"",""ja""),)"),"来週試験があります。")</f>
        <v>来週試験があります。</v>
      </c>
      <c r="D1152" s="4" t="str">
        <f ca="1">IFERROR(__xludf.DUMMYFUNCTION("IFERROR(GOOGLETRANSLATE(B1152,""en"",""zh-TW""),)"),"我下週要考試。")</f>
        <v>我下週要考試。</v>
      </c>
      <c r="E1152" s="4" t="str">
        <f ca="1">IFERROR(__xludf.DUMMYFUNCTION("IFERROR(GOOGLETRANSLATE(B1152,""en"",""zh-CN""),)"),"我下周要考试。")</f>
        <v>我下周要考试。</v>
      </c>
    </row>
    <row r="1153" spans="1:5">
      <c r="A1153" s="3" t="s">
        <v>5097</v>
      </c>
      <c r="B1153" s="4" t="str">
        <f ca="1">IFERROR(__xludf.DUMMYFUNCTION("IFERROR(GOOGLETRANSLATE(A1153,""ko"",""en""),)"),"live")</f>
        <v>live</v>
      </c>
      <c r="C1153" s="4" t="str">
        <f ca="1">IFERROR(__xludf.DUMMYFUNCTION("IFERROR(GOOGLETRANSLATE(B1153,""en"",""ja""),)"),"ライブ")</f>
        <v>ライブ</v>
      </c>
      <c r="D1153" s="4" t="str">
        <f ca="1">IFERROR(__xludf.DUMMYFUNCTION("IFERROR(GOOGLETRANSLATE(B1153,""en"",""zh-TW""),)"),"居住")</f>
        <v>居住</v>
      </c>
      <c r="E1153" s="4" t="str">
        <f ca="1">IFERROR(__xludf.DUMMYFUNCTION("IFERROR(GOOGLETRANSLATE(B1153,""en"",""zh-CN""),)"),"居住")</f>
        <v>居住</v>
      </c>
    </row>
    <row r="1154" spans="1:5">
      <c r="A1154" s="3" t="s">
        <v>5102</v>
      </c>
      <c r="B1154" s="4" t="str">
        <f ca="1">IFERROR(__xludf.DUMMYFUNCTION("IFERROR(GOOGLETRANSLATE(A1154,""ko"",""en""),)"),"Should I buy it?")</f>
        <v>Should I buy it?</v>
      </c>
      <c r="C1154" s="4" t="str">
        <f ca="1">IFERROR(__xludf.DUMMYFUNCTION("IFERROR(GOOGLETRANSLATE(B1154,""en"",""ja""),)"),"買うべきでしょうか？")</f>
        <v>買うべきでしょうか？</v>
      </c>
      <c r="D1154" s="4" t="str">
        <f ca="1">IFERROR(__xludf.DUMMYFUNCTION("IFERROR(GOOGLETRANSLATE(B1154,""en"",""zh-TW""),)"),"我該買嗎？")</f>
        <v>我該買嗎？</v>
      </c>
      <c r="E1154" s="4" t="str">
        <f ca="1">IFERROR(__xludf.DUMMYFUNCTION("IFERROR(GOOGLETRANSLATE(B1154,""en"",""zh-CN""),)"),"我该买吗？")</f>
        <v>我该买吗？</v>
      </c>
    </row>
    <row r="1155" spans="1:5">
      <c r="A1155" s="3" t="s">
        <v>5104</v>
      </c>
      <c r="B1155" s="4" t="str">
        <f ca="1">IFERROR(__xludf.DUMMYFUNCTION("IFERROR(GOOGLETRANSLATE(A1155,""ko"",""en""),)"),"Should I live in Seoul?")</f>
        <v>Should I live in Seoul?</v>
      </c>
      <c r="C1155" s="4" t="str">
        <f ca="1">IFERROR(__xludf.DUMMYFUNCTION("IFERROR(GOOGLETRANSLATE(B1155,""en"",""ja""),)"),"ソウルに住むべきでしょうか？")</f>
        <v>ソウルに住むべきでしょうか？</v>
      </c>
      <c r="D1155" s="4" t="str">
        <f ca="1">IFERROR(__xludf.DUMMYFUNCTION("IFERROR(GOOGLETRANSLATE(B1155,""en"",""zh-TW""),)"),"我應該住在首爾嗎？")</f>
        <v>我應該住在首爾嗎？</v>
      </c>
      <c r="E1155" s="4" t="str">
        <f ca="1">IFERROR(__xludf.DUMMYFUNCTION("IFERROR(GOOGLETRANSLATE(B1155,""en"",""zh-CN""),)"),"我应该住在首尔吗？")</f>
        <v>我应该住在首尔吗？</v>
      </c>
    </row>
    <row r="1156" spans="1:5">
      <c r="A1156" s="3" t="s">
        <v>5107</v>
      </c>
      <c r="B1156" s="4" t="str">
        <f ca="1">IFERROR(__xludf.DUMMYFUNCTION("IFERROR(GOOGLETRANSLATE(A1156,""ko"",""en""),)"),"Should I live in Seoul?")</f>
        <v>Should I live in Seoul?</v>
      </c>
      <c r="C1156" s="4" t="str">
        <f ca="1">IFERROR(__xludf.DUMMYFUNCTION("IFERROR(GOOGLETRANSLATE(B1156,""en"",""ja""),)"),"ソウルに住むべきでしょうか？")</f>
        <v>ソウルに住むべきでしょうか？</v>
      </c>
      <c r="D1156" s="4" t="str">
        <f ca="1">IFERROR(__xludf.DUMMYFUNCTION("IFERROR(GOOGLETRANSLATE(B1156,""en"",""zh-TW""),)"),"我應該住在首爾嗎？")</f>
        <v>我應該住在首爾嗎？</v>
      </c>
      <c r="E1156" s="4" t="str">
        <f ca="1">IFERROR(__xludf.DUMMYFUNCTION("IFERROR(GOOGLETRANSLATE(B1156,""en"",""zh-CN""),)"),"我应该住在首尔吗？")</f>
        <v>我应该住在首尔吗？</v>
      </c>
    </row>
    <row r="1157" spans="1:5">
      <c r="A1157" s="3" t="s">
        <v>5108</v>
      </c>
      <c r="B1157" s="4" t="str">
        <f ca="1">IFERROR(__xludf.DUMMYFUNCTION("IFERROR(GOOGLETRANSLATE(A1157,""ko"",""en""),)"),"Shall we work?")</f>
        <v>Shall we work?</v>
      </c>
      <c r="C1157" s="4" t="str">
        <f ca="1">IFERROR(__xludf.DUMMYFUNCTION("IFERROR(GOOGLETRANSLATE(B1157,""en"",""ja""),)"),"一緒に働きましょうか？")</f>
        <v>一緒に働きましょうか？</v>
      </c>
      <c r="D1157" s="4" t="str">
        <f ca="1">IFERROR(__xludf.DUMMYFUNCTION("IFERROR(GOOGLETRANSLATE(B1157,""en"",""zh-TW""),)"),"我們開始工作吧？")</f>
        <v>我們開始工作吧？</v>
      </c>
      <c r="E1157" s="4" t="str">
        <f ca="1">IFERROR(__xludf.DUMMYFUNCTION("IFERROR(GOOGLETRANSLATE(B1157,""en"",""zh-CN""),)"),"我们开始工作吧？")</f>
        <v>我们开始工作吧？</v>
      </c>
    </row>
    <row r="1158" spans="1:5">
      <c r="A1158" s="3" t="s">
        <v>5109</v>
      </c>
      <c r="B1158" s="4" t="s">
        <v>5110</v>
      </c>
      <c r="C1158" s="4" t="str">
        <f ca="1">IFERROR(__xludf.DUMMYFUNCTION("IFERROR(GOOGLETRANSLATE(B1158,""en"",""ja""),)"),"休暇（仕事）")</f>
        <v>休暇（仕事）</v>
      </c>
      <c r="D1158" s="4" t="str">
        <f ca="1">IFERROR(__xludf.DUMMYFUNCTION("IFERROR(GOOGLETRANSLATE(B1158,""en"",""zh-TW""),)"),"假期（工作）")</f>
        <v>假期（工作）</v>
      </c>
      <c r="E1158" s="4" t="str">
        <f ca="1">IFERROR(__xludf.DUMMYFUNCTION("IFERROR(GOOGLETRANSLATE(B1158,""en"",""zh-CN""),)"),"假期（工作）")</f>
        <v>假期（工作）</v>
      </c>
    </row>
    <row r="1159" spans="1:5">
      <c r="A1159" s="3" t="s">
        <v>5116</v>
      </c>
      <c r="B1159" s="4" t="s">
        <v>5117</v>
      </c>
      <c r="C1159" s="4" t="str">
        <f ca="1">IFERROR(__xludf.DUMMYFUNCTION("IFERROR(GOOGLETRANSLATE(B1159,""en"",""ja""),)"),"休暇（学校）")</f>
        <v>休暇（学校）</v>
      </c>
      <c r="D1159" s="4" t="str">
        <f ca="1">IFERROR(__xludf.DUMMYFUNCTION("IFERROR(GOOGLETRANSLATE(B1159,""en"",""zh-TW""),)"),"假期（學校）")</f>
        <v>假期（學校）</v>
      </c>
      <c r="E1159" s="4" t="str">
        <f ca="1">IFERROR(__xludf.DUMMYFUNCTION("IFERROR(GOOGLETRANSLATE(B1159,""en"",""zh-CN""),)"),"假期（学校）")</f>
        <v>假期（学校）</v>
      </c>
    </row>
    <row r="1160" spans="1:5">
      <c r="A1160" s="3" t="s">
        <v>5121</v>
      </c>
      <c r="B1160" s="4" t="str">
        <f ca="1">IFERROR(__xludf.DUMMYFUNCTION("IFERROR(GOOGLETRANSLATE(A1160,""ko"",""en""),)"),"summer vacation")</f>
        <v>summer vacation</v>
      </c>
      <c r="C1160" s="4" t="str">
        <f ca="1">IFERROR(__xludf.DUMMYFUNCTION("IFERROR(GOOGLETRANSLATE(B1160,""en"",""ja""),)"),"夏休み")</f>
        <v>夏休み</v>
      </c>
      <c r="D1160" s="4" t="str">
        <f ca="1">IFERROR(__xludf.DUMMYFUNCTION("IFERROR(GOOGLETRANSLATE(B1160,""en"",""zh-TW""),)"),"暑假")</f>
        <v>暑假</v>
      </c>
      <c r="E1160" s="4" t="str">
        <f ca="1">IFERROR(__xludf.DUMMYFUNCTION("IFERROR(GOOGLETRANSLATE(B1160,""en"",""zh-CN""),)"),"暑假")</f>
        <v>暑假</v>
      </c>
    </row>
    <row r="1161" spans="1:5">
      <c r="A1161" s="3" t="s">
        <v>5126</v>
      </c>
      <c r="B1161" s="4" t="str">
        <f ca="1">IFERROR(__xludf.DUMMYFUNCTION("IFERROR(GOOGLETRANSLATE(A1161,""ko"",""en""),)"),"winter break")</f>
        <v>winter break</v>
      </c>
      <c r="C1161" s="4" t="str">
        <f ca="1">IFERROR(__xludf.DUMMYFUNCTION("IFERROR(GOOGLETRANSLATE(B1161,""en"",""ja""),)"),"冬休み")</f>
        <v>冬休み</v>
      </c>
      <c r="D1161" s="4" t="str">
        <f ca="1">IFERROR(__xludf.DUMMYFUNCTION("IFERROR(GOOGLETRANSLATE(B1161,""en"",""zh-TW""),)"),"寒假")</f>
        <v>寒假</v>
      </c>
      <c r="E1161" s="4" t="str">
        <f ca="1">IFERROR(__xludf.DUMMYFUNCTION("IFERROR(GOOGLETRANSLATE(B1161,""en"",""zh-CN""),)"),"寒假")</f>
        <v>寒假</v>
      </c>
    </row>
    <row r="1162" spans="1:5">
      <c r="A1162" s="3" t="s">
        <v>5132</v>
      </c>
      <c r="B1162" s="4" t="str">
        <f ca="1">IFERROR(__xludf.DUMMYFUNCTION("IFERROR(GOOGLETRANSLATE(A1162,""ko"",""en""),)"),"last vacation")</f>
        <v>last vacation</v>
      </c>
      <c r="C1162" s="4" t="str">
        <f ca="1">IFERROR(__xludf.DUMMYFUNCTION("IFERROR(GOOGLETRANSLATE(B1162,""en"",""ja""),)"),"最後の休暇")</f>
        <v>最後の休暇</v>
      </c>
      <c r="D1162" s="4" t="str">
        <f ca="1">IFERROR(__xludf.DUMMYFUNCTION("IFERROR(GOOGLETRANSLATE(B1162,""en"",""zh-TW""),)"),"上次假期")</f>
        <v>上次假期</v>
      </c>
      <c r="E1162" s="4" t="str">
        <f ca="1">IFERROR(__xludf.DUMMYFUNCTION("IFERROR(GOOGLETRANSLATE(B1162,""en"",""zh-CN""),)"),"上次假期")</f>
        <v>上次假期</v>
      </c>
    </row>
    <row r="1163" spans="1:5">
      <c r="A1163" s="3" t="s">
        <v>5136</v>
      </c>
      <c r="B1163" s="4" t="str">
        <f ca="1">IFERROR(__xludf.DUMMYFUNCTION("IFERROR(GOOGLETRANSLATE(A1163,""ko"",""en""),)"),"Next vacation")</f>
        <v>Next vacation</v>
      </c>
      <c r="C1163" s="4" t="str">
        <f ca="1">IFERROR(__xludf.DUMMYFUNCTION("IFERROR(GOOGLETRANSLATE(B1163,""en"",""ja""),)"),"次の休暇")</f>
        <v>次の休暇</v>
      </c>
      <c r="D1163" s="4" t="str">
        <f ca="1">IFERROR(__xludf.DUMMYFUNCTION("IFERROR(GOOGLETRANSLATE(B1163,""en"",""zh-TW""),)"),"下一個假期")</f>
        <v>下一個假期</v>
      </c>
      <c r="E1163" s="4" t="str">
        <f ca="1">IFERROR(__xludf.DUMMYFUNCTION("IFERROR(GOOGLETRANSLATE(B1163,""en"",""zh-CN""),)"),"下一个假期")</f>
        <v>下一个假期</v>
      </c>
    </row>
    <row r="1164" spans="1:5">
      <c r="A1164" s="3" t="s">
        <v>5140</v>
      </c>
      <c r="B1164" s="4" t="str">
        <f ca="1">IFERROR(__xludf.DUMMYFUNCTION("IFERROR(GOOGLETRANSLATE(A1164,""ko"",""en""),)"),"Shall we learn Taekwondo together this vacation?")</f>
        <v>Shall we learn Taekwondo together this vacation?</v>
      </c>
      <c r="C1164" s="4" t="str">
        <f ca="1">IFERROR(__xludf.DUMMYFUNCTION("IFERROR(GOOGLETRANSLATE(B1164,""en"",""ja""),)"),"この休暇中に一緒にテコンドーを習ってみませんか？")</f>
        <v>この休暇中に一緒にテコンドーを習ってみませんか？</v>
      </c>
      <c r="D1164" s="4" t="str">
        <f ca="1">IFERROR(__xludf.DUMMYFUNCTION("IFERROR(GOOGLETRANSLATE(B1164,""en"",""zh-TW""),)"),"我們假期一起學跆拳道好嗎？")</f>
        <v>我們假期一起學跆拳道好嗎？</v>
      </c>
      <c r="E1164" s="4" t="str">
        <f ca="1">IFERROR(__xludf.DUMMYFUNCTION("IFERROR(GOOGLETRANSLATE(B1164,""en"",""zh-CN""),)"),"我们假期一起学跆拳道好吗？")</f>
        <v>我们假期一起学跆拳道好吗？</v>
      </c>
    </row>
    <row r="1165" spans="1:5">
      <c r="A1165" s="3" t="s">
        <v>5145</v>
      </c>
      <c r="B1165" s="4" t="str">
        <f ca="1">IFERROR(__xludf.DUMMYFUNCTION("IFERROR(GOOGLETRANSLATE(A1165,""ko"",""en""),)"),"Shall we sit here?")</f>
        <v>Shall we sit here?</v>
      </c>
      <c r="C1165" s="4" t="str">
        <f ca="1">IFERROR(__xludf.DUMMYFUNCTION("IFERROR(GOOGLETRANSLATE(B1165,""en"",""ja""),)"),"ここに座りましょうか？")</f>
        <v>ここに座りましょうか？</v>
      </c>
      <c r="D1165" s="4" t="str">
        <f ca="1">IFERROR(__xludf.DUMMYFUNCTION("IFERROR(GOOGLETRANSLATE(B1165,""en"",""zh-TW""),)"),"我們坐這裡好嗎？")</f>
        <v>我們坐這裡好嗎？</v>
      </c>
      <c r="E1165" s="4" t="str">
        <f ca="1">IFERROR(__xludf.DUMMYFUNCTION("IFERROR(GOOGLETRANSLATE(B1165,""en"",""zh-CN""),)"),"我们坐这儿好吗？")</f>
        <v>我们坐这儿好吗？</v>
      </c>
    </row>
    <row r="1166" spans="1:5">
      <c r="A1166" s="3" t="s">
        <v>5150</v>
      </c>
      <c r="B1166" s="4" t="str">
        <f ca="1">IFERROR(__xludf.DUMMYFUNCTION("IFERROR(GOOGLETRANSLATE(A1166,""ko"",""en""),)"),"Jaemin, shall we play basketball this weekend?")</f>
        <v>Jaemin, shall we play basketball this weekend?</v>
      </c>
      <c r="C1166" s="4" t="str">
        <f ca="1">IFERROR(__xludf.DUMMYFUNCTION("IFERROR(GOOGLETRANSLATE(B1166,""en"",""ja""),)"),"ジェミン、今週末一緒にバスケットボールしない？")</f>
        <v>ジェミン、今週末一緒にバスケットボールしない？</v>
      </c>
      <c r="D1166" s="4" t="str">
        <f ca="1">IFERROR(__xludf.DUMMYFUNCTION("IFERROR(GOOGLETRANSLATE(B1166,""en"",""zh-TW""),)"),"渽民，我們這週末一起打籃球好嗎？")</f>
        <v>渽民，我們這週末一起打籃球好嗎？</v>
      </c>
      <c r="E1166" s="4" t="str">
        <f ca="1">IFERROR(__xludf.DUMMYFUNCTION("IFERROR(GOOGLETRANSLATE(B1166,""en"",""zh-CN""),)"),"渽民，我们这周末一起打篮球好吗？")</f>
        <v>渽民，我们这周末一起打篮球好吗？</v>
      </c>
    </row>
    <row r="1167" spans="1:5">
      <c r="A1167" s="3" t="s">
        <v>5156</v>
      </c>
      <c r="B1167" s="4" t="str">
        <f ca="1">IFERROR(__xludf.DUMMYFUNCTION("IFERROR(GOOGLETRANSLATE(A1167,""ko"",""en""),)"),"Shall we watch a movie together this weekend?")</f>
        <v>Shall we watch a movie together this weekend?</v>
      </c>
      <c r="C1167" s="4" t="str">
        <f ca="1">IFERROR(__xludf.DUMMYFUNCTION("IFERROR(GOOGLETRANSLATE(B1167,""en"",""ja""),)"),"今週末、一緒に映画でも見ませんか？")</f>
        <v>今週末、一緒に映画でも見ませんか？</v>
      </c>
      <c r="D1167" s="4" t="str">
        <f ca="1">IFERROR(__xludf.DUMMYFUNCTION("IFERROR(GOOGLETRANSLATE(B1167,""en"",""zh-TW""),)"),"我們這個週末一起看電影好嗎？")</f>
        <v>我們這個週末一起看電影好嗎？</v>
      </c>
      <c r="E1167" s="4" t="str">
        <f ca="1">IFERROR(__xludf.DUMMYFUNCTION("IFERROR(GOOGLETRANSLATE(B1167,""en"",""zh-CN""),)"),"我们这个周末一起看电影好吗？")</f>
        <v>我们这个周末一起看电影好吗？</v>
      </c>
    </row>
    <row r="1168" spans="1:5">
      <c r="A1168" s="3" t="s">
        <v>5162</v>
      </c>
      <c r="B1168" s="4" t="str">
        <f ca="1">IFERROR(__xludf.DUMMYFUNCTION("IFERROR(GOOGLETRANSLATE(A1168,""ko"",""en""),)"),"Have you finished eating? Shall we go for a walk?")</f>
        <v>Have you finished eating? Shall we go for a walk?</v>
      </c>
      <c r="C1168" s="4" t="str">
        <f ca="1">IFERROR(__xludf.DUMMYFUNCTION("IFERROR(GOOGLETRANSLATE(B1168,""en"",""ja""),)"),"食事は終わりましたか？散歩に行きましょうか？")</f>
        <v>食事は終わりましたか？散歩に行きましょうか？</v>
      </c>
      <c r="D1168" s="4" t="str">
        <f ca="1">IFERROR(__xludf.DUMMYFUNCTION("IFERROR(GOOGLETRANSLATE(B1168,""en"",""zh-TW""),)"),"你吃完了嗎？我們去散步吧？")</f>
        <v>你吃完了嗎？我們去散步吧？</v>
      </c>
      <c r="E1168" s="4" t="str">
        <f ca="1">IFERROR(__xludf.DUMMYFUNCTION("IFERROR(GOOGLETRANSLATE(B1168,""en"",""zh-CN""),)"),"你吃完了吗？我们去散步吧？")</f>
        <v>你吃完了吗？我们去散步吧？</v>
      </c>
    </row>
    <row r="1169" spans="1:5">
      <c r="A1169" s="3" t="s">
        <v>5169</v>
      </c>
      <c r="B1169" s="4" t="str">
        <f ca="1">IFERROR(__xludf.DUMMYFUNCTION("IFERROR(GOOGLETRANSLATE(A1169,""ko"",""en""),)"),"Yes, that's good. I'd like to walk a bit too.")</f>
        <v>Yes, that's good. I'd like to walk a bit too.</v>
      </c>
      <c r="C1169" s="4" t="str">
        <f ca="1">IFERROR(__xludf.DUMMYFUNCTION("IFERROR(GOOGLETRANSLATE(B1169,""en"",""ja""),)"),"はい、それはいいですね。私も少し歩きたいです。")</f>
        <v>はい、それはいいですね。私も少し歩きたいです。</v>
      </c>
      <c r="D1169" s="4" t="str">
        <f ca="1">IFERROR(__xludf.DUMMYFUNCTION("IFERROR(GOOGLETRANSLATE(B1169,""en"",""zh-TW""),)"),"是的，那很好。我也想散散步。")</f>
        <v>是的，那很好。我也想散散步。</v>
      </c>
      <c r="E1169" s="4" t="str">
        <f ca="1">IFERROR(__xludf.DUMMYFUNCTION("IFERROR(GOOGLETRANSLATE(B1169,""en"",""zh-CN""),)"),"是的，那很好。我也想散散步。")</f>
        <v>是的，那很好。我也想散散步。</v>
      </c>
    </row>
    <row r="1170" spans="1:5">
      <c r="A1170" s="3" t="s">
        <v>3099</v>
      </c>
      <c r="B1170" s="4" t="str">
        <f ca="1">IFERROR(__xludf.DUMMYFUNCTION("IFERROR(GOOGLETRANSLATE(A1170,""ko"",""en""),)"),"Shall we go for a walk?")</f>
        <v>Shall we go for a walk?</v>
      </c>
      <c r="C1170" s="4" t="str">
        <f ca="1">IFERROR(__xludf.DUMMYFUNCTION("IFERROR(GOOGLETRANSLATE(B1170,""en"",""ja""),)"),"散歩に行きませんか？")</f>
        <v>散歩に行きませんか？</v>
      </c>
      <c r="D1170" s="4" t="str">
        <f ca="1">IFERROR(__xludf.DUMMYFUNCTION("IFERROR(GOOGLETRANSLATE(B1170,""en"",""zh-TW""),)"),"我們去散步吧？")</f>
        <v>我們去散步吧？</v>
      </c>
      <c r="E1170" s="4" t="str">
        <f ca="1">IFERROR(__xludf.DUMMYFUNCTION("IFERROR(GOOGLETRANSLATE(B1170,""en"",""zh-CN""),)"),"我们去散步吧？")</f>
        <v>我们去散步吧？</v>
      </c>
    </row>
    <row r="1171" spans="1:5">
      <c r="A1171" s="3" t="s">
        <v>5177</v>
      </c>
      <c r="B1171" s="4" t="s">
        <v>5179</v>
      </c>
      <c r="C1171" s="4" t="str">
        <f ca="1">IFERROR(__xludf.DUMMYFUNCTION("IFERROR(GOOGLETRANSLATE(B1171,""en"",""ja""),)"),"終わりましたか？")</f>
        <v>終わりましたか？</v>
      </c>
      <c r="D1171" s="4" t="str">
        <f ca="1">IFERROR(__xludf.DUMMYFUNCTION("IFERROR(GOOGLETRANSLATE(B1171,""en"",""zh-TW""),)"),"你做完了嗎？")</f>
        <v>你做完了嗎？</v>
      </c>
      <c r="E1171" s="4" t="str">
        <f ca="1">IFERROR(__xludf.DUMMYFUNCTION("IFERROR(GOOGLETRANSLATE(B1171,""en"",""zh-CN""),)"),"你做完了吗？")</f>
        <v>你做完了吗？</v>
      </c>
    </row>
    <row r="1172" spans="1:5">
      <c r="A1172" s="3" t="s">
        <v>5183</v>
      </c>
      <c r="B1172" s="4" t="str">
        <f ca="1">IFERROR(__xludf.DUMMYFUNCTION("IFERROR(GOOGLETRANSLATE(A1172,""ko"",""en""),)"),"No, I haven't finished yet.")</f>
        <v>No, I haven't finished yet.</v>
      </c>
      <c r="C1172" s="4" t="str">
        <f ca="1">IFERROR(__xludf.DUMMYFUNCTION("IFERROR(GOOGLETRANSLATE(B1172,""en"",""ja""),)"),"いいえ、まだ終わっていません。")</f>
        <v>いいえ、まだ終わっていません。</v>
      </c>
      <c r="D1172" s="4" t="str">
        <f ca="1">IFERROR(__xludf.DUMMYFUNCTION("IFERROR(GOOGLETRANSLATE(B1172,""en"",""zh-TW""),)"),"不，我還沒完成。")</f>
        <v>不，我還沒完成。</v>
      </c>
      <c r="E1172" s="4" t="str">
        <f ca="1">IFERROR(__xludf.DUMMYFUNCTION("IFERROR(GOOGLETRANSLATE(B1172,""en"",""zh-CN""),)"),"不，我还没完成。")</f>
        <v>不，我还没完成。</v>
      </c>
    </row>
    <row r="1173" spans="1:5">
      <c r="A1173" s="3" t="s">
        <v>5189</v>
      </c>
      <c r="B1173" s="4" t="str">
        <f ca="1">IFERROR(__xludf.DUMMYFUNCTION("IFERROR(GOOGLETRANSLATE(A1173,""ko"",""en""),)"),"Did you finish reading it?")</f>
        <v>Did you finish reading it?</v>
      </c>
      <c r="C1173" s="4" t="str">
        <f ca="1">IFERROR(__xludf.DUMMYFUNCTION("IFERROR(GOOGLETRANSLATE(B1173,""en"",""ja""),)"),"読み終えましたか？")</f>
        <v>読み終えましたか？</v>
      </c>
      <c r="D1173" s="4" t="str">
        <f ca="1">IFERROR(__xludf.DUMMYFUNCTION("IFERROR(GOOGLETRANSLATE(B1173,""en"",""zh-TW""),)"),"你讀完了嗎？")</f>
        <v>你讀完了嗎？</v>
      </c>
      <c r="E1173" s="4" t="str">
        <f ca="1">IFERROR(__xludf.DUMMYFUNCTION("IFERROR(GOOGLETRANSLATE(B1173,""en"",""zh-CN""),)"),"你读完了吗？")</f>
        <v>你读完了吗？</v>
      </c>
    </row>
    <row r="1174" spans="1:5">
      <c r="A1174" s="3" t="s">
        <v>5195</v>
      </c>
      <c r="B1174" s="4" t="str">
        <f ca="1">IFERROR(__xludf.DUMMYFUNCTION("IFERROR(GOOGLETRANSLATE(A1174,""ko"",""en""),)"),"Shopping center")</f>
        <v>Shopping center</v>
      </c>
      <c r="C1174" s="4" t="str">
        <f ca="1">IFERROR(__xludf.DUMMYFUNCTION("IFERROR(GOOGLETRANSLATE(B1174,""en"",""ja""),)"),"ショッピングセンター")</f>
        <v>ショッピングセンター</v>
      </c>
      <c r="D1174" s="4" t="str">
        <f ca="1">IFERROR(__xludf.DUMMYFUNCTION("IFERROR(GOOGLETRANSLATE(B1174,""en"",""zh-TW""),)"),"購物中心")</f>
        <v>購物中心</v>
      </c>
      <c r="E1174" s="4" t="str">
        <f ca="1">IFERROR(__xludf.DUMMYFUNCTION("IFERROR(GOOGLETRANSLATE(B1174,""en"",""zh-CN""),)"),"购物中心")</f>
        <v>购物中心</v>
      </c>
    </row>
    <row r="1175" spans="1:5">
      <c r="A1175" s="3" t="s">
        <v>5200</v>
      </c>
      <c r="B1175" s="4" t="str">
        <f ca="1">IFERROR(__xludf.DUMMYFUNCTION("IFERROR(GOOGLETRANSLATE(A1175,""ko"",""en""),)"),"Should I go too?")</f>
        <v>Should I go too?</v>
      </c>
      <c r="C1175" s="4" t="str">
        <f ca="1">IFERROR(__xludf.DUMMYFUNCTION("IFERROR(GOOGLETRANSLATE(B1175,""en"",""ja""),)"),"私も行くべきでしょうか？")</f>
        <v>私も行くべきでしょうか？</v>
      </c>
      <c r="D1175" s="4" t="str">
        <f ca="1">IFERROR(__xludf.DUMMYFUNCTION("IFERROR(GOOGLETRANSLATE(B1175,""en"",""zh-TW""),)"),"我也應該去嗎？")</f>
        <v>我也應該去嗎？</v>
      </c>
      <c r="E1175" s="4" t="str">
        <f ca="1">IFERROR(__xludf.DUMMYFUNCTION("IFERROR(GOOGLETRANSLATE(B1175,""en"",""zh-CN""),)"),"我也应该去吗？")</f>
        <v>我也应该去吗？</v>
      </c>
    </row>
    <row r="1176" spans="1:5">
      <c r="A1176" s="3" t="s">
        <v>5205</v>
      </c>
      <c r="B1176" s="4" t="str">
        <f ca="1">IFERROR(__xludf.DUMMYFUNCTION("IFERROR(GOOGLETRANSLATE(A1176,""ko"",""en""),)"),"Shall we play a game together?")</f>
        <v>Shall we play a game together?</v>
      </c>
      <c r="C1176" s="4" t="str">
        <f ca="1">IFERROR(__xludf.DUMMYFUNCTION("IFERROR(GOOGLETRANSLATE(B1176,""en"",""ja""),)"),"一緒にゲームをしませんか？")</f>
        <v>一緒にゲームをしませんか？</v>
      </c>
      <c r="D1176" s="4" t="str">
        <f ca="1">IFERROR(__xludf.DUMMYFUNCTION("IFERROR(GOOGLETRANSLATE(B1176,""en"",""zh-TW""),)"),"我們一起玩遊戲好嗎？")</f>
        <v>我們一起玩遊戲好嗎？</v>
      </c>
      <c r="E1176" s="4" t="str">
        <f ca="1">IFERROR(__xludf.DUMMYFUNCTION("IFERROR(GOOGLETRANSLATE(B1176,""en"",""zh-CN""),)"),"我们一起玩游戏好吗？")</f>
        <v>我们一起玩游戏好吗？</v>
      </c>
    </row>
    <row r="1177" spans="1:5">
      <c r="A1177" s="3" t="s">
        <v>5210</v>
      </c>
      <c r="B1177" s="4" t="str">
        <f ca="1">IFERROR(__xludf.DUMMYFUNCTION("IFERROR(GOOGLETRANSLATE(A1177,""ko"",""en""),)"),"Shall we take a taxi from here?")</f>
        <v>Shall we take a taxi from here?</v>
      </c>
      <c r="C1177" s="4" t="str">
        <f ca="1">IFERROR(__xludf.DUMMYFUNCTION("IFERROR(GOOGLETRANSLATE(B1177,""en"",""ja""),)"),"ここからタクシーに乗りましょうか？")</f>
        <v>ここからタクシーに乗りましょうか？</v>
      </c>
      <c r="D1177" s="4" t="str">
        <f ca="1">IFERROR(__xludf.DUMMYFUNCTION("IFERROR(GOOGLETRANSLATE(B1177,""en"",""zh-TW""),)"),"我們從這裡搭計程車去嗎？")</f>
        <v>我們從這裡搭計程車去嗎？</v>
      </c>
      <c r="E1177" s="4" t="str">
        <f ca="1">IFERROR(__xludf.DUMMYFUNCTION("IFERROR(GOOGLETRANSLATE(B1177,""en"",""zh-CN""),)"),"我们从这里打车去吗？")</f>
        <v>我们从这里打车去吗？</v>
      </c>
    </row>
    <row r="1178" spans="1:5">
      <c r="A1178" s="3" t="s">
        <v>5216</v>
      </c>
      <c r="B1178" s="4" t="str">
        <f ca="1">IFERROR(__xludf.DUMMYFUNCTION("IFERROR(GOOGLETRANSLATE(A1178,""ko"",""en""),)"),"Shall we watch a movie this weekend?")</f>
        <v>Shall we watch a movie this weekend?</v>
      </c>
      <c r="C1178" s="4" t="str">
        <f ca="1">IFERROR(__xludf.DUMMYFUNCTION("IFERROR(GOOGLETRANSLATE(B1178,""en"",""ja""),)"),"今週末、映画でも見に行きませんか？")</f>
        <v>今週末、映画でも見に行きませんか？</v>
      </c>
      <c r="D1178" s="4" t="str">
        <f ca="1">IFERROR(__xludf.DUMMYFUNCTION("IFERROR(GOOGLETRANSLATE(B1178,""en"",""zh-TW""),)"),"我們這個週末去看電影吧？")</f>
        <v>我們這個週末去看電影吧？</v>
      </c>
      <c r="E1178" s="4" t="str">
        <f ca="1">IFERROR(__xludf.DUMMYFUNCTION("IFERROR(GOOGLETRANSLATE(B1178,""en"",""zh-CN""),)"),"我们这个周末去看电影吧？")</f>
        <v>我们这个周末去看电影吧？</v>
      </c>
    </row>
    <row r="1179" spans="1:5">
      <c r="A1179" s="3" t="s">
        <v>5220</v>
      </c>
      <c r="B1179" s="4" t="str">
        <f ca="1">IFERROR(__xludf.DUMMYFUNCTION("IFERROR(GOOGLETRANSLATE(A1179,""ko"",""en""),)"),"Shall we have dinner together tonight?")</f>
        <v>Shall we have dinner together tonight?</v>
      </c>
      <c r="C1179" s="4" t="str">
        <f ca="1">IFERROR(__xludf.DUMMYFUNCTION("IFERROR(GOOGLETRANSLATE(B1179,""en"",""ja""),)"),"今夜、一緒に夕食を食べませんか？")</f>
        <v>今夜、一緒に夕食を食べませんか？</v>
      </c>
      <c r="D1179" s="4" t="str">
        <f ca="1">IFERROR(__xludf.DUMMYFUNCTION("IFERROR(GOOGLETRANSLATE(B1179,""en"",""zh-TW""),)"),"我們今晚一起吃晚餐好嗎？")</f>
        <v>我們今晚一起吃晚餐好嗎？</v>
      </c>
      <c r="E1179" s="4" t="str">
        <f ca="1">IFERROR(__xludf.DUMMYFUNCTION("IFERROR(GOOGLETRANSLATE(B1179,""en"",""zh-CN""),)"),"我们今晚一起吃晚饭好吗？")</f>
        <v>我们今晚一起吃晚饭好吗？</v>
      </c>
    </row>
    <row r="1180" spans="1:5">
      <c r="A1180" s="3" t="s">
        <v>5223</v>
      </c>
      <c r="B1180" s="4" t="str">
        <f ca="1">IFERROR(__xludf.DUMMYFUNCTION("IFERROR(GOOGLETRANSLATE(A1180,""ko"",""en""),)"),"Shall we go on a trip together during vacation?")</f>
        <v>Shall we go on a trip together during vacation?</v>
      </c>
      <c r="C1180" s="4" t="str">
        <f ca="1">IFERROR(__xludf.DUMMYFUNCTION("IFERROR(GOOGLETRANSLATE(B1180,""en"",""ja""),)"),"休暇中に一緒に旅行に行きませんか？")</f>
        <v>休暇中に一緒に旅行に行きませんか？</v>
      </c>
      <c r="D1180" s="4" t="str">
        <f ca="1">IFERROR(__xludf.DUMMYFUNCTION("IFERROR(GOOGLETRANSLATE(B1180,""en"",""zh-TW""),)"),"假期裡我們一起去旅行好嗎？")</f>
        <v>假期裡我們一起去旅行好嗎？</v>
      </c>
      <c r="E1180" s="4" t="str">
        <f ca="1">IFERROR(__xludf.DUMMYFUNCTION("IFERROR(GOOGLETRANSLATE(B1180,""en"",""zh-CN""),)"),"假期里我们一起去旅行好吗？")</f>
        <v>假期里我们一起去旅行好吗？</v>
      </c>
    </row>
    <row r="1181" spans="1:5">
      <c r="A1181" s="3" t="s">
        <v>5060</v>
      </c>
      <c r="B1181" s="4" t="str">
        <f ca="1">IFERROR(__xludf.DUMMYFUNCTION("IFERROR(GOOGLETRANSLATE(A1181,""ko"",""en""),)"),"Shall we take a picture?")</f>
        <v>Shall we take a picture?</v>
      </c>
      <c r="C1181" s="4" t="str">
        <f ca="1">IFERROR(__xludf.DUMMYFUNCTION("IFERROR(GOOGLETRANSLATE(B1181,""en"",""ja""),)"),"写真を撮りましょうか？")</f>
        <v>写真を撮りましょうか？</v>
      </c>
      <c r="D1181" s="4" t="str">
        <f ca="1">IFERROR(__xludf.DUMMYFUNCTION("IFERROR(GOOGLETRANSLATE(B1181,""en"",""zh-TW""),)"),"我們拍張照片吧？")</f>
        <v>我們拍張照片吧？</v>
      </c>
      <c r="E1181" s="4" t="str">
        <f ca="1">IFERROR(__xludf.DUMMYFUNCTION("IFERROR(GOOGLETRANSLATE(B1181,""en"",""zh-CN""),)"),"我们拍张照片吧？")</f>
        <v>我们拍张照片吧？</v>
      </c>
    </row>
    <row r="1182" spans="1:5">
      <c r="A1182" s="3" t="s">
        <v>5235</v>
      </c>
      <c r="B1182" s="4" t="str">
        <f ca="1">IFERROR(__xludf.DUMMYFUNCTION("IFERROR(GOOGLETRANSLATE(A1182,""ko"",""en""),)"),"Shall we learn?")</f>
        <v>Shall we learn?</v>
      </c>
      <c r="C1182" s="4" t="str">
        <f ca="1">IFERROR(__xludf.DUMMYFUNCTION("IFERROR(GOOGLETRANSLATE(B1182,""en"",""ja""),)"),"学んでみましょうか？")</f>
        <v>学んでみましょうか？</v>
      </c>
      <c r="D1182" s="4" t="str">
        <f ca="1">IFERROR(__xludf.DUMMYFUNCTION("IFERROR(GOOGLETRANSLATE(B1182,""en"",""zh-TW""),)"),"我們來學習一下吧？")</f>
        <v>我們來學習一下吧？</v>
      </c>
      <c r="E1182" s="4" t="str">
        <f ca="1">IFERROR(__xludf.DUMMYFUNCTION("IFERROR(GOOGLETRANSLATE(B1182,""en"",""zh-CN""),)"),"我们来学习一下吧？")</f>
        <v>我们来学习一下吧？</v>
      </c>
    </row>
    <row r="1183" spans="1:5">
      <c r="A1183" s="3" t="s">
        <v>3109</v>
      </c>
      <c r="B1183" s="4" t="str">
        <f ca="1">IFERROR(__xludf.DUMMYFUNCTION("IFERROR(GOOGLETRANSLATE(A1183,""ko"",""en""),)"),"Shall I make it?")</f>
        <v>Shall I make it?</v>
      </c>
      <c r="C1183" s="4" t="str">
        <f ca="1">IFERROR(__xludf.DUMMYFUNCTION("IFERROR(GOOGLETRANSLATE(B1183,""en"",""ja""),)"),"私が作ってみましょうか？")</f>
        <v>私が作ってみましょうか？</v>
      </c>
      <c r="D1183" s="4" t="str">
        <f ca="1">IFERROR(__xludf.DUMMYFUNCTION("IFERROR(GOOGLETRANSLATE(B1183,""en"",""zh-TW""),)"),"我來做吧？")</f>
        <v>我來做吧？</v>
      </c>
      <c r="E1183" s="4" t="str">
        <f ca="1">IFERROR(__xludf.DUMMYFUNCTION("IFERROR(GOOGLETRANSLATE(B1183,""en"",""zh-CN""),)"),"我来做吧？")</f>
        <v>我来做吧？</v>
      </c>
    </row>
    <row r="1184" spans="1:5">
      <c r="A1184" s="3" t="s">
        <v>5246</v>
      </c>
      <c r="B1184" s="4" t="str">
        <f ca="1">IFERROR(__xludf.DUMMYFUNCTION("IFERROR(GOOGLETRANSLATE(A1184,""ko"",""en""),)"),"Shall we make sushi?")</f>
        <v>Shall we make sushi?</v>
      </c>
      <c r="C1184" s="4" t="str">
        <f ca="1">IFERROR(__xludf.DUMMYFUNCTION("IFERROR(GOOGLETRANSLATE(B1184,""en"",""ja""),)"),"寿司を作りましょうか？")</f>
        <v>寿司を作りましょうか？</v>
      </c>
      <c r="D1184" s="4" t="str">
        <f ca="1">IFERROR(__xludf.DUMMYFUNCTION("IFERROR(GOOGLETRANSLATE(B1184,""en"",""zh-TW""),)"),"我們來做壽司吧？")</f>
        <v>我們來做壽司吧？</v>
      </c>
      <c r="E1184" s="4" t="str">
        <f ca="1">IFERROR(__xludf.DUMMYFUNCTION("IFERROR(GOOGLETRANSLATE(B1184,""en"",""zh-CN""),)"),"我们来做寿司吧？")</f>
        <v>我们来做寿司吧？</v>
      </c>
    </row>
    <row r="1185" spans="1:5">
      <c r="A1185" s="3" t="s">
        <v>5250</v>
      </c>
      <c r="B1185" s="4" t="str">
        <f ca="1">IFERROR(__xludf.DUMMYFUNCTION("IFERROR(GOOGLETRANSLATE(A1185,""ko"",""en""),)"),"Shall we meet at 8:30?")</f>
        <v>Shall we meet at 8:30?</v>
      </c>
      <c r="C1185" s="4" t="str">
        <f ca="1">IFERROR(__xludf.DUMMYFUNCTION("IFERROR(GOOGLETRANSLATE(B1185,""en"",""ja""),)"),"8時半に会ってみませんか？")</f>
        <v>8時半に会ってみませんか？</v>
      </c>
      <c r="D1185" s="4" t="str">
        <f ca="1">IFERROR(__xludf.DUMMYFUNCTION("IFERROR(GOOGLETRANSLATE(B1185,""en"",""zh-TW""),)"),"我們8點半見面好嗎？")</f>
        <v>我們8點半見面好嗎？</v>
      </c>
      <c r="E1185" s="4" t="str">
        <f ca="1">IFERROR(__xludf.DUMMYFUNCTION("IFERROR(GOOGLETRANSLATE(B1185,""en"",""zh-CN""),)"),"我们8点半见面好吗？")</f>
        <v>我们8点半见面好吗？</v>
      </c>
    </row>
    <row r="1186" spans="1:5">
      <c r="A1186" s="3" t="s">
        <v>3654</v>
      </c>
      <c r="B1186" s="4" t="str">
        <f ca="1">IFERROR(__xludf.DUMMYFUNCTION("IFERROR(GOOGLETRANSLATE(A1186,""ko"",""en""),)"),"What time should we meet?")</f>
        <v>What time should we meet?</v>
      </c>
      <c r="C1186" s="4" t="str">
        <f ca="1">IFERROR(__xludf.DUMMYFUNCTION("IFERROR(GOOGLETRANSLATE(B1186,""en"",""ja""),)"),"何時に待ち合わせましょうか？")</f>
        <v>何時に待ち合わせましょうか？</v>
      </c>
      <c r="D1186" s="4" t="str">
        <f ca="1">IFERROR(__xludf.DUMMYFUNCTION("IFERROR(GOOGLETRANSLATE(B1186,""en"",""zh-TW""),)"),"我們應該幾點見面？")</f>
        <v>我們應該幾點見面？</v>
      </c>
      <c r="E1186" s="4" t="str">
        <f ca="1">IFERROR(__xludf.DUMMYFUNCTION("IFERROR(GOOGLETRANSLATE(B1186,""en"",""zh-CN""),)"),"我们应该几点见面？")</f>
        <v>我们应该几点见面？</v>
      </c>
    </row>
    <row r="1187" spans="1:5">
      <c r="A1187" s="3" t="s">
        <v>5254</v>
      </c>
      <c r="B1187" s="4" t="str">
        <f ca="1">IFERROR(__xludf.DUMMYFUNCTION("IFERROR(GOOGLETRANSLATE(A1187,""ko"",""en""),)"),"Shall we watch a baseball game together?")</f>
        <v>Shall we watch a baseball game together?</v>
      </c>
      <c r="C1187" s="4" t="str">
        <f ca="1">IFERROR(__xludf.DUMMYFUNCTION("IFERROR(GOOGLETRANSLATE(B1187,""en"",""ja""),)"),"一緒に野球の試合を見に行きませんか？")</f>
        <v>一緒に野球の試合を見に行きませんか？</v>
      </c>
      <c r="D1187" s="4" t="str">
        <f ca="1">IFERROR(__xludf.DUMMYFUNCTION("IFERROR(GOOGLETRANSLATE(B1187,""en"",""zh-TW""),)"),"我們一起看棒球比賽好嗎？")</f>
        <v>我們一起看棒球比賽好嗎？</v>
      </c>
      <c r="E1187" s="4" t="str">
        <f ca="1">IFERROR(__xludf.DUMMYFUNCTION("IFERROR(GOOGLETRANSLATE(B1187,""en"",""zh-CN""),)"),"我们一起看场棒球比赛好吗？")</f>
        <v>我们一起看场棒球比赛好吗？</v>
      </c>
    </row>
    <row r="1188" spans="1:5">
      <c r="A1188" s="3" t="s">
        <v>5257</v>
      </c>
      <c r="B1188" s="4" t="str">
        <f ca="1">IFERROR(__xludf.DUMMYFUNCTION("IFERROR(GOOGLETRANSLATE(A1188,""ko"",""en""),)"),"Shall we study together at the library?")</f>
        <v>Shall we study together at the library?</v>
      </c>
      <c r="C1188" s="4" t="str">
        <f ca="1">IFERROR(__xludf.DUMMYFUNCTION("IFERROR(GOOGLETRANSLATE(B1188,""en"",""ja""),)"),"図書館で一緒に勉強しませんか？")</f>
        <v>図書館で一緒に勉強しませんか？</v>
      </c>
      <c r="D1188" s="4" t="str">
        <f ca="1">IFERROR(__xludf.DUMMYFUNCTION("IFERROR(GOOGLETRANSLATE(B1188,""en"",""zh-TW""),)"),"我們一起去圖書館學習好嗎？")</f>
        <v>我們一起去圖書館學習好嗎？</v>
      </c>
      <c r="E1188" s="4" t="str">
        <f ca="1">IFERROR(__xludf.DUMMYFUNCTION("IFERROR(GOOGLETRANSLATE(B1188,""en"",""zh-CN""),)"),"我们一起去图书馆学习好吗？")</f>
        <v>我们一起去图书馆学习好吗？</v>
      </c>
    </row>
    <row r="1189" spans="1:5">
      <c r="A1189" s="3" t="s">
        <v>5262</v>
      </c>
      <c r="B1189" s="4" t="str">
        <f ca="1">IFERROR(__xludf.DUMMYFUNCTION("IFERROR(GOOGLETRANSLATE(A1189,""ko"",""en""),)"),"Shall we take a picture in front of that tree?")</f>
        <v>Shall we take a picture in front of that tree?</v>
      </c>
      <c r="C1189" s="4" t="str">
        <f ca="1">IFERROR(__xludf.DUMMYFUNCTION("IFERROR(GOOGLETRANSLATE(B1189,""en"",""ja""),)"),"あの木の前で写真を撮りませんか？")</f>
        <v>あの木の前で写真を撮りませんか？</v>
      </c>
      <c r="D1189" s="4" t="str">
        <f ca="1">IFERROR(__xludf.DUMMYFUNCTION("IFERROR(GOOGLETRANSLATE(B1189,""en"",""zh-TW""),)"),"我們去那棵樹前拍張照片好嗎？")</f>
        <v>我們去那棵樹前拍張照片好嗎？</v>
      </c>
      <c r="E1189" s="4" t="str">
        <f ca="1">IFERROR(__xludf.DUMMYFUNCTION("IFERROR(GOOGLETRANSLATE(B1189,""en"",""zh-CN""),)"),"我们去那棵树前拍张照片好吗？")</f>
        <v>我们去那棵树前拍张照片好吗？</v>
      </c>
    </row>
    <row r="1190" spans="1:5">
      <c r="A1190" s="3" t="s">
        <v>5266</v>
      </c>
      <c r="B1190" s="4" t="str">
        <f ca="1">IFERROR(__xludf.DUMMYFUNCTION("IFERROR(GOOGLETRANSLATE(A1190,""ko"",""en""),)"),"What day is it today?")</f>
        <v>What day is it today?</v>
      </c>
      <c r="C1190" s="4" t="str">
        <f ca="1">IFERROR(__xludf.DUMMYFUNCTION("IFERROR(GOOGLETRANSLATE(B1190,""en"",""ja""),)"),"今日は何曜日ですか？")</f>
        <v>今日は何曜日ですか？</v>
      </c>
      <c r="D1190" s="4" t="str">
        <f ca="1">IFERROR(__xludf.DUMMYFUNCTION("IFERROR(GOOGLETRANSLATE(B1190,""en"",""zh-TW""),)"),"今天星期幾？")</f>
        <v>今天星期幾？</v>
      </c>
      <c r="E1190" s="4" t="str">
        <f ca="1">IFERROR(__xludf.DUMMYFUNCTION("IFERROR(GOOGLETRANSLATE(B1190,""en"",""zh-CN""),)"),"今天星期几？")</f>
        <v>今天星期几？</v>
      </c>
    </row>
    <row r="1191" spans="1:5">
      <c r="A1191" s="3" t="s">
        <v>5269</v>
      </c>
      <c r="B1191" s="4" t="str">
        <f ca="1">IFERROR(__xludf.DUMMYFUNCTION("IFERROR(GOOGLETRANSLATE(A1191,""ko"",""en""),)"),"It's Monday.")</f>
        <v>It's Monday.</v>
      </c>
      <c r="C1191" s="4" t="str">
        <f ca="1">IFERROR(__xludf.DUMMYFUNCTION("IFERROR(GOOGLETRANSLATE(B1191,""en"",""ja""),)"),"今日は月曜日です。")</f>
        <v>今日は月曜日です。</v>
      </c>
      <c r="D1191" s="4" t="str">
        <f ca="1">IFERROR(__xludf.DUMMYFUNCTION("IFERROR(GOOGLETRANSLATE(B1191,""en"",""zh-TW""),)"),"今天是星期一。")</f>
        <v>今天是星期一。</v>
      </c>
      <c r="E1191" s="4" t="str">
        <f ca="1">IFERROR(__xludf.DUMMYFUNCTION("IFERROR(GOOGLETRANSLATE(B1191,""en"",""zh-CN""),)"),"今天是星期一。")</f>
        <v>今天是星期一。</v>
      </c>
    </row>
    <row r="1192" spans="1:5">
      <c r="A1192" s="3" t="s">
        <v>1560</v>
      </c>
      <c r="B1192" s="4" t="str">
        <f ca="1">IFERROR(__xludf.DUMMYFUNCTION("IFERROR(GOOGLETRANSLATE(A1192,""ko"",""en""),)"),"How many days is it?")</f>
        <v>How many days is it?</v>
      </c>
      <c r="C1192" s="4" t="str">
        <f ca="1">IFERROR(__xludf.DUMMYFUNCTION("IFERROR(GOOGLETRANSLATE(B1192,""en"",""ja""),)"),"何日経ちましたか？")</f>
        <v>何日経ちましたか？</v>
      </c>
      <c r="D1192" s="4" t="str">
        <f ca="1">IFERROR(__xludf.DUMMYFUNCTION("IFERROR(GOOGLETRANSLATE(B1192,""en"",""zh-TW""),)"),"今天是第幾天？")</f>
        <v>今天是第幾天？</v>
      </c>
      <c r="E1192" s="4" t="str">
        <f ca="1">IFERROR(__xludf.DUMMYFUNCTION("IFERROR(GOOGLETRANSLATE(B1192,""en"",""zh-CN""),)"),"今天是第几天？")</f>
        <v>今天是第几天？</v>
      </c>
    </row>
    <row r="1193" spans="1:5">
      <c r="A1193" s="3" t="s">
        <v>5279</v>
      </c>
      <c r="B1193" s="4" t="str">
        <f ca="1">IFERROR(__xludf.DUMMYFUNCTION("IFERROR(GOOGLETRANSLATE(A1193,""ko"",""en""),)"),"It is November 4th.")</f>
        <v>It is November 4th.</v>
      </c>
      <c r="C1193" s="4" t="str">
        <f ca="1">IFERROR(__xludf.DUMMYFUNCTION("IFERROR(GOOGLETRANSLATE(B1193,""en"",""ja""),)"),"今日は11月4日です。")</f>
        <v>今日は11月4日です。</v>
      </c>
      <c r="D1193" s="4" t="str">
        <f ca="1">IFERROR(__xludf.DUMMYFUNCTION("IFERROR(GOOGLETRANSLATE(B1193,""en"",""zh-TW""),)"),"今天是11月4日。")</f>
        <v>今天是11月4日。</v>
      </c>
      <c r="E1193" s="4" t="str">
        <f ca="1">IFERROR(__xludf.DUMMYFUNCTION("IFERROR(GOOGLETRANSLATE(B1193,""en"",""zh-CN""),)"),"今天是11月4日。")</f>
        <v>今天是11月4日。</v>
      </c>
    </row>
    <row r="1194" spans="1:5">
      <c r="A1194" s="3" t="s">
        <v>2197</v>
      </c>
      <c r="B1194" s="4" t="str">
        <f ca="1">IFERROR(__xludf.DUMMYFUNCTION("IFERROR(GOOGLETRANSLATE(A1194,""ko"",""en""),)"),"What time is it?")</f>
        <v>What time is it?</v>
      </c>
      <c r="C1194" s="4" t="str">
        <f ca="1">IFERROR(__xludf.DUMMYFUNCTION("IFERROR(GOOGLETRANSLATE(B1194,""en"",""ja""),)"),"今何時ですか？")</f>
        <v>今何時ですか？</v>
      </c>
      <c r="D1194" s="4" t="str">
        <f ca="1">IFERROR(__xludf.DUMMYFUNCTION("IFERROR(GOOGLETRANSLATE(B1194,""en"",""zh-TW""),)"),"現在是幾奌？")</f>
        <v>現在是幾奌？</v>
      </c>
      <c r="E1194" s="4" t="str">
        <f ca="1">IFERROR(__xludf.DUMMYFUNCTION("IFERROR(GOOGLETRANSLATE(B1194,""en"",""zh-CN""),)"),"现在是几奌？")</f>
        <v>现在是几奌？</v>
      </c>
    </row>
    <row r="1195" spans="1:5">
      <c r="A1195" s="3" t="s">
        <v>5290</v>
      </c>
      <c r="B1195" s="4" t="str">
        <f ca="1">IFERROR(__xludf.DUMMYFUNCTION("IFERROR(GOOGLETRANSLATE(A1195,""ko"",""en""),)"),"Shall we watch a Korean movie?")</f>
        <v>Shall we watch a Korean movie?</v>
      </c>
      <c r="C1195" s="4" t="str">
        <f ca="1">IFERROR(__xludf.DUMMYFUNCTION("IFERROR(GOOGLETRANSLATE(B1195,""en"",""ja""),)"),"韓国映画でも見ませんか？")</f>
        <v>韓国映画でも見ませんか？</v>
      </c>
      <c r="D1195" s="4" t="str">
        <f ca="1">IFERROR(__xludf.DUMMYFUNCTION("IFERROR(GOOGLETRANSLATE(B1195,""en"",""zh-TW""),)"),"我們一起看韓國電影吧？")</f>
        <v>我們一起看韓國電影吧？</v>
      </c>
      <c r="E1195" s="4" t="str">
        <f ca="1">IFERROR(__xludf.DUMMYFUNCTION("IFERROR(GOOGLETRANSLATE(B1195,""en"",""zh-CN""),)"),"我们一起看韩国电影吧？")</f>
        <v>我们一起看韩国电影吧？</v>
      </c>
    </row>
    <row r="1196" spans="1:5">
      <c r="A1196" s="3" t="s">
        <v>5295</v>
      </c>
      <c r="B1196" s="4" t="str">
        <f ca="1">IFERROR(__xludf.DUMMYFUNCTION("IFERROR(GOOGLETRANSLATE(A1196,""ko"",""en""),)"),"Shall we ride bikes in the park?")</f>
        <v>Shall we ride bikes in the park?</v>
      </c>
      <c r="C1196" s="4" t="str">
        <f ca="1">IFERROR(__xludf.DUMMYFUNCTION("IFERROR(GOOGLETRANSLATE(B1196,""en"",""ja""),)"),"公園で自転車に乗りませんか？")</f>
        <v>公園で自転車に乗りませんか？</v>
      </c>
      <c r="D1196" s="4" t="str">
        <f ca="1">IFERROR(__xludf.DUMMYFUNCTION("IFERROR(GOOGLETRANSLATE(B1196,""en"",""zh-TW""),)"),"我們去公園騎腳踏車好嗎？")</f>
        <v>我們去公園騎腳踏車好嗎？</v>
      </c>
      <c r="E1196" s="4" t="str">
        <f ca="1">IFERROR(__xludf.DUMMYFUNCTION("IFERROR(GOOGLETRANSLATE(B1196,""en"",""zh-CN""),)"),"我们去公园骑自行车好吗？")</f>
        <v>我们去公园骑自行车好吗？</v>
      </c>
    </row>
    <row r="1197" spans="1:5">
      <c r="A1197" s="3" t="s">
        <v>5301</v>
      </c>
      <c r="B1197" s="4" t="str">
        <f ca="1">IFERROR(__xludf.DUMMYFUNCTION("IFERROR(GOOGLETRANSLATE(A1197,""ko"",""en""),)"),"What time will we play baseball?")</f>
        <v>What time will we play baseball?</v>
      </c>
      <c r="C1197" s="4" t="str">
        <f ca="1">IFERROR(__xludf.DUMMYFUNCTION("IFERROR(GOOGLETRANSLATE(B1197,""en"",""ja""),)"),"何時に野球をしますか？")</f>
        <v>何時に野球をしますか？</v>
      </c>
      <c r="D1197" s="4" t="str">
        <f ca="1">IFERROR(__xludf.DUMMYFUNCTION("IFERROR(GOOGLETRANSLATE(B1197,""en"",""zh-TW""),)"),"我們幾點打棒球？")</f>
        <v>我們幾點打棒球？</v>
      </c>
      <c r="E1197" s="4" t="str">
        <f ca="1">IFERROR(__xludf.DUMMYFUNCTION("IFERROR(GOOGLETRANSLATE(B1197,""en"",""zh-CN""),)"),"我们几点打棒球？")</f>
        <v>我们几点打棒球？</v>
      </c>
    </row>
    <row r="1198" spans="1:5">
      <c r="A1198" s="3" t="s">
        <v>5306</v>
      </c>
      <c r="B1198" s="4" t="str">
        <f ca="1">IFERROR(__xludf.DUMMYFUNCTION("IFERROR(GOOGLETRANSLATE(A1198,""ko"",""en""),)"),"Shall we make a cake together?")</f>
        <v>Shall we make a cake together?</v>
      </c>
      <c r="C1198" s="4" t="str">
        <f ca="1">IFERROR(__xludf.DUMMYFUNCTION("IFERROR(GOOGLETRANSLATE(B1198,""en"",""ja""),)"),"一緒にケーキを作りませんか？")</f>
        <v>一緒にケーキを作りませんか？</v>
      </c>
      <c r="D1198" s="4" t="str">
        <f ca="1">IFERROR(__xludf.DUMMYFUNCTION("IFERROR(GOOGLETRANSLATE(B1198,""en"",""zh-TW""),)"),"我們一起做個蛋糕吧？")</f>
        <v>我們一起做個蛋糕吧？</v>
      </c>
      <c r="E1198" s="4" t="str">
        <f ca="1">IFERROR(__xludf.DUMMYFUNCTION("IFERROR(GOOGLETRANSLATE(B1198,""en"",""zh-CN""),)"),"我们一起做个蛋糕吧？")</f>
        <v>我们一起做个蛋糕吧？</v>
      </c>
    </row>
    <row r="1199" spans="1:5">
      <c r="A1199" s="3" t="s">
        <v>3654</v>
      </c>
      <c r="B1199" s="4" t="str">
        <f ca="1">IFERROR(__xludf.DUMMYFUNCTION("IFERROR(GOOGLETRANSLATE(A1199,""ko"",""en""),)"),"What time should we meet?")</f>
        <v>What time should we meet?</v>
      </c>
      <c r="C1199" s="4" t="str">
        <f ca="1">IFERROR(__xludf.DUMMYFUNCTION("IFERROR(GOOGLETRANSLATE(B1199,""en"",""ja""),)"),"何時に待ち合わせましょうか？")</f>
        <v>何時に待ち合わせましょうか？</v>
      </c>
      <c r="D1199" s="4" t="str">
        <f ca="1">IFERROR(__xludf.DUMMYFUNCTION("IFERROR(GOOGLETRANSLATE(B1199,""en"",""zh-TW""),)"),"我們應該幾點見面？")</f>
        <v>我們應該幾點見面？</v>
      </c>
      <c r="E1199" s="4" t="str">
        <f ca="1">IFERROR(__xludf.DUMMYFUNCTION("IFERROR(GOOGLETRANSLATE(B1199,""en"",""zh-CN""),)"),"我们应该几点见面？")</f>
        <v>我们应该几点见面？</v>
      </c>
    </row>
    <row r="1200" spans="1:5">
      <c r="A1200" s="3" t="s">
        <v>5315</v>
      </c>
      <c r="B1200" s="4" t="str">
        <f ca="1">IFERROR(__xludf.DUMMYFUNCTION("IFERROR(GOOGLETRANSLATE(A1200,""ko"",""en""),)"),"Let's meet in front of the amusement park.")</f>
        <v>Let's meet in front of the amusement park.</v>
      </c>
      <c r="C1200" s="4" t="str">
        <f ca="1">IFERROR(__xludf.DUMMYFUNCTION("IFERROR(GOOGLETRANSLATE(B1200,""en"",""ja""),)"),"遊園地の前で待ち合わせましょう。")</f>
        <v>遊園地の前で待ち合わせましょう。</v>
      </c>
      <c r="D1200" s="4" t="str">
        <f ca="1">IFERROR(__xludf.DUMMYFUNCTION("IFERROR(GOOGLETRANSLATE(B1200,""en"",""zh-TW""),)"),"我們在遊樂園前面見面吧。")</f>
        <v>我們在遊樂園前面見面吧。</v>
      </c>
      <c r="E1200" s="4" t="str">
        <f ca="1">IFERROR(__xludf.DUMMYFUNCTION("IFERROR(GOOGLETRANSLATE(B1200,""en"",""zh-CN""),)"),"我们在游乐园前面见面吧。")</f>
        <v>我们在游乐园前面见面吧。</v>
      </c>
    </row>
    <row r="1201" spans="1:5">
      <c r="A1201" s="3" t="s">
        <v>5321</v>
      </c>
      <c r="B1201" s="4" t="str">
        <f ca="1">IFERROR(__xludf.DUMMYFUNCTION("IFERROR(GOOGLETRANSLATE(A1201,""ko"",""en""),)"),"Gangbuk")</f>
        <v>Gangbuk</v>
      </c>
      <c r="C1201" s="4" t="str">
        <f ca="1">IFERROR(__xludf.DUMMYFUNCTION("IFERROR(GOOGLETRANSLATE(B1201,""en"",""ja""),)"),"ガンブク")</f>
        <v>ガンブク</v>
      </c>
      <c r="D1201" s="4" t="str">
        <f ca="1">IFERROR(__xludf.DUMMYFUNCTION("IFERROR(GOOGLETRANSLATE(B1201,""en"",""zh-TW""),)"),"江北")</f>
        <v>江北</v>
      </c>
      <c r="E1201" s="4" t="str">
        <f ca="1">IFERROR(__xludf.DUMMYFUNCTION("IFERROR(GOOGLETRANSLATE(B1201,""en"",""zh-CN""),)"),"江北")</f>
        <v>江北</v>
      </c>
    </row>
    <row r="1202" spans="1:5">
      <c r="A1202" s="3" t="s">
        <v>5326</v>
      </c>
      <c r="B1202" s="4" t="str">
        <f ca="1">IFERROR(__xludf.DUMMYFUNCTION("IFERROR(GOOGLETRANSLATE(A1202,""ko"",""en""),)"),"Gangnam")</f>
        <v>Gangnam</v>
      </c>
      <c r="C1202" s="4" t="str">
        <f ca="1">IFERROR(__xludf.DUMMYFUNCTION("IFERROR(GOOGLETRANSLATE(B1202,""en"",""ja""),)"),"江南")</f>
        <v>江南</v>
      </c>
      <c r="D1202" s="4" t="str">
        <f ca="1">IFERROR(__xludf.DUMMYFUNCTION("IFERROR(GOOGLETRANSLATE(B1202,""en"",""zh-TW""),)"),"江南")</f>
        <v>江南</v>
      </c>
      <c r="E1202" s="4" t="str">
        <f ca="1">IFERROR(__xludf.DUMMYFUNCTION("IFERROR(GOOGLETRANSLATE(B1202,""en"",""zh-CN""),)"),"江南")</f>
        <v>江南</v>
      </c>
    </row>
    <row r="1203" spans="1:5">
      <c r="A1203" s="3"/>
      <c r="B1203" s="4" t="str">
        <f ca="1">IFERROR(__xludf.DUMMYFUNCTION("IFERROR(GOOGLETRANSLATE(A1203,""ko"",""en""),)"),"")</f>
        <v/>
      </c>
      <c r="C1203" s="4" t="str">
        <f ca="1">IFERROR(__xludf.DUMMYFUNCTION("IFERROR(GOOGLETRANSLATE(B1203,""en"",""ja""),)"),"")</f>
        <v/>
      </c>
      <c r="D1203" s="4" t="str">
        <f ca="1">IFERROR(__xludf.DUMMYFUNCTION("IFERROR(GOOGLETRANSLATE(B1203,""en"",""zh-TW""),)"),"")</f>
        <v/>
      </c>
      <c r="E1203" s="4" t="str">
        <f ca="1">IFERROR(__xludf.DUMMYFUNCTION("IFERROR(GOOGLETRANSLATE(B1203,""en"",""zh-CN""),)"),"")</f>
        <v/>
      </c>
    </row>
    <row r="1204" spans="1:5">
      <c r="A1204" s="3"/>
      <c r="B1204" s="4" t="str">
        <f ca="1">IFERROR(__xludf.DUMMYFUNCTION("IFERROR(GOOGLETRANSLATE(A1204,""ko"",""en""),)"),"")</f>
        <v/>
      </c>
      <c r="C1204" s="4" t="str">
        <f ca="1">IFERROR(__xludf.DUMMYFUNCTION("IFERROR(GOOGLETRANSLATE(B1204,""en"",""ja""),)"),"")</f>
        <v/>
      </c>
      <c r="D1204" s="4" t="str">
        <f ca="1">IFERROR(__xludf.DUMMYFUNCTION("IFERROR(GOOGLETRANSLATE(B1204,""en"",""zh-TW""),)"),"")</f>
        <v/>
      </c>
      <c r="E1204" s="4" t="str">
        <f ca="1">IFERROR(__xludf.DUMMYFUNCTION("IFERROR(GOOGLETRANSLATE(B1204,""en"",""zh-CN""),)"),"")</f>
        <v/>
      </c>
    </row>
    <row r="1205" spans="1:5">
      <c r="A1205" s="3"/>
      <c r="B1205" s="4" t="str">
        <f ca="1">IFERROR(__xludf.DUMMYFUNCTION("IFERROR(GOOGLETRANSLATE(A1205,""ko"",""en""),)"),"")</f>
        <v/>
      </c>
      <c r="C1205" s="4" t="str">
        <f ca="1">IFERROR(__xludf.DUMMYFUNCTION("IFERROR(GOOGLETRANSLATE(B1205,""en"",""ja""),)"),"")</f>
        <v/>
      </c>
      <c r="D1205" s="4" t="str">
        <f ca="1">IFERROR(__xludf.DUMMYFUNCTION("IFERROR(GOOGLETRANSLATE(B1205,""en"",""zh-TW""),)"),"")</f>
        <v/>
      </c>
      <c r="E1205" s="4" t="str">
        <f ca="1">IFERROR(__xludf.DUMMYFUNCTION("IFERROR(GOOGLETRANSLATE(B1205,""en"",""zh-CN""),)"),"")</f>
        <v/>
      </c>
    </row>
    <row r="1206" spans="1:5">
      <c r="A1206" s="3"/>
      <c r="B1206" s="4" t="str">
        <f ca="1">IFERROR(__xludf.DUMMYFUNCTION("IFERROR(GOOGLETRANSLATE(A1206,""ko"",""en""),)"),"")</f>
        <v/>
      </c>
      <c r="C1206" s="4" t="str">
        <f ca="1">IFERROR(__xludf.DUMMYFUNCTION("IFERROR(GOOGLETRANSLATE(B1206,""en"",""ja""),)"),"")</f>
        <v/>
      </c>
      <c r="D1206" s="4" t="str">
        <f ca="1">IFERROR(__xludf.DUMMYFUNCTION("IFERROR(GOOGLETRANSLATE(B1206,""en"",""zh-TW""),)"),"")</f>
        <v/>
      </c>
      <c r="E1206" s="4" t="str">
        <f ca="1">IFERROR(__xludf.DUMMYFUNCTION("IFERROR(GOOGLETRANSLATE(B1206,""en"",""zh-CN""),)"),"")</f>
        <v/>
      </c>
    </row>
    <row r="1207" spans="1:5">
      <c r="A1207" s="3"/>
      <c r="B1207" s="4" t="str">
        <f ca="1">IFERROR(__xludf.DUMMYFUNCTION("IFERROR(GOOGLETRANSLATE(A1207,""ko"",""en""),)"),"")</f>
        <v/>
      </c>
      <c r="C1207" s="4" t="str">
        <f ca="1">IFERROR(__xludf.DUMMYFUNCTION("IFERROR(GOOGLETRANSLATE(B1207,""en"",""ja""),)"),"")</f>
        <v/>
      </c>
      <c r="D1207" s="4" t="str">
        <f ca="1">IFERROR(__xludf.DUMMYFUNCTION("IFERROR(GOOGLETRANSLATE(B1207,""en"",""zh-TW""),)"),"")</f>
        <v/>
      </c>
      <c r="E1207" s="4" t="str">
        <f ca="1">IFERROR(__xludf.DUMMYFUNCTION("IFERROR(GOOGLETRANSLATE(B1207,""en"",""zh-CN""),)"),"")</f>
        <v/>
      </c>
    </row>
    <row r="1208" spans="1:5">
      <c r="A1208" s="3"/>
      <c r="B1208" s="4" t="str">
        <f ca="1">IFERROR(__xludf.DUMMYFUNCTION("IFERROR(GOOGLETRANSLATE(A1208,""ko"",""en""),)"),"")</f>
        <v/>
      </c>
      <c r="C1208" s="4" t="str">
        <f ca="1">IFERROR(__xludf.DUMMYFUNCTION("IFERROR(GOOGLETRANSLATE(B1208,""en"",""ja""),)"),"")</f>
        <v/>
      </c>
      <c r="D1208" s="4" t="str">
        <f ca="1">IFERROR(__xludf.DUMMYFUNCTION("IFERROR(GOOGLETRANSLATE(B1208,""en"",""zh-TW""),)"),"")</f>
        <v/>
      </c>
      <c r="E1208" s="4" t="str">
        <f ca="1">IFERROR(__xludf.DUMMYFUNCTION("IFERROR(GOOGLETRANSLATE(B1208,""en"",""zh-CN""),)"),"")</f>
        <v/>
      </c>
    </row>
    <row r="1209" spans="1:5">
      <c r="A1209" s="3"/>
      <c r="B1209" s="4" t="str">
        <f ca="1">IFERROR(__xludf.DUMMYFUNCTION("IFERROR(GOOGLETRANSLATE(A1209,""ko"",""en""),)"),"")</f>
        <v/>
      </c>
      <c r="C1209" s="4" t="str">
        <f ca="1">IFERROR(__xludf.DUMMYFUNCTION("IFERROR(GOOGLETRANSLATE(B1209,""en"",""ja""),)"),"")</f>
        <v/>
      </c>
      <c r="D1209" s="4" t="str">
        <f ca="1">IFERROR(__xludf.DUMMYFUNCTION("IFERROR(GOOGLETRANSLATE(B1209,""en"",""zh-TW""),)"),"")</f>
        <v/>
      </c>
      <c r="E1209" s="4" t="str">
        <f ca="1">IFERROR(__xludf.DUMMYFUNCTION("IFERROR(GOOGLETRANSLATE(B1209,""en"",""zh-CN""),)"),"")</f>
        <v/>
      </c>
    </row>
    <row r="1210" spans="1:5">
      <c r="A1210" s="3"/>
      <c r="B1210" s="4" t="str">
        <f ca="1">IFERROR(__xludf.DUMMYFUNCTION("IFERROR(GOOGLETRANSLATE(A1210,""ko"",""en""),)"),"")</f>
        <v/>
      </c>
      <c r="C1210" s="4" t="str">
        <f ca="1">IFERROR(__xludf.DUMMYFUNCTION("IFERROR(GOOGLETRANSLATE(B1210,""en"",""ja""),)"),"")</f>
        <v/>
      </c>
      <c r="D1210" s="4" t="str">
        <f ca="1">IFERROR(__xludf.DUMMYFUNCTION("IFERROR(GOOGLETRANSLATE(B1210,""en"",""zh-TW""),)"),"")</f>
        <v/>
      </c>
      <c r="E1210" s="4" t="str">
        <f ca="1">IFERROR(__xludf.DUMMYFUNCTION("IFERROR(GOOGLETRANSLATE(B1210,""en"",""zh-CN""),)"),"")</f>
        <v/>
      </c>
    </row>
    <row r="1211" spans="1:5">
      <c r="A1211" s="3"/>
      <c r="B1211" s="4" t="str">
        <f ca="1">IFERROR(__xludf.DUMMYFUNCTION("IFERROR(GOOGLETRANSLATE(A1211,""ko"",""en""),)"),"")</f>
        <v/>
      </c>
      <c r="C1211" s="4" t="str">
        <f ca="1">IFERROR(__xludf.DUMMYFUNCTION("IFERROR(GOOGLETRANSLATE(B1211,""en"",""ja""),)"),"")</f>
        <v/>
      </c>
      <c r="D1211" s="4" t="str">
        <f ca="1">IFERROR(__xludf.DUMMYFUNCTION("IFERROR(GOOGLETRANSLATE(B1211,""en"",""zh-TW""),)"),"")</f>
        <v/>
      </c>
      <c r="E1211" s="4" t="str">
        <f ca="1">IFERROR(__xludf.DUMMYFUNCTION("IFERROR(GOOGLETRANSLATE(B1211,""en"",""zh-CN""),)"),"")</f>
        <v/>
      </c>
    </row>
    <row r="1212" spans="1:5">
      <c r="A1212" s="3"/>
      <c r="B1212" s="4" t="str">
        <f ca="1">IFERROR(__xludf.DUMMYFUNCTION("IFERROR(GOOGLETRANSLATE(A1212,""ko"",""en""),)"),"")</f>
        <v/>
      </c>
      <c r="C1212" s="4" t="str">
        <f ca="1">IFERROR(__xludf.DUMMYFUNCTION("IFERROR(GOOGLETRANSLATE(B1212,""en"",""ja""),)"),"")</f>
        <v/>
      </c>
      <c r="D1212" s="4" t="str">
        <f ca="1">IFERROR(__xludf.DUMMYFUNCTION("IFERROR(GOOGLETRANSLATE(B1212,""en"",""zh-TW""),)"),"")</f>
        <v/>
      </c>
      <c r="E1212" s="4" t="str">
        <f ca="1">IFERROR(__xludf.DUMMYFUNCTION("IFERROR(GOOGLETRANSLATE(B1212,""en"",""zh-CN""),)"),"")</f>
        <v/>
      </c>
    </row>
    <row r="1213" spans="1:5">
      <c r="A1213" s="3"/>
      <c r="B1213" s="4" t="str">
        <f ca="1">IFERROR(__xludf.DUMMYFUNCTION("IFERROR(GOOGLETRANSLATE(A1213,""ko"",""en""),)"),"")</f>
        <v/>
      </c>
      <c r="C1213" s="4" t="str">
        <f ca="1">IFERROR(__xludf.DUMMYFUNCTION("IFERROR(GOOGLETRANSLATE(B1213,""en"",""ja""),)"),"")</f>
        <v/>
      </c>
      <c r="D1213" s="4" t="str">
        <f ca="1">IFERROR(__xludf.DUMMYFUNCTION("IFERROR(GOOGLETRANSLATE(B1213,""en"",""zh-TW""),)"),"")</f>
        <v/>
      </c>
      <c r="E1213" s="4" t="str">
        <f ca="1">IFERROR(__xludf.DUMMYFUNCTION("IFERROR(GOOGLETRANSLATE(B1213,""en"",""zh-CN""),)"),"")</f>
        <v/>
      </c>
    </row>
    <row r="1214" spans="1:5">
      <c r="A1214" s="3"/>
      <c r="B1214" s="4" t="str">
        <f ca="1">IFERROR(__xludf.DUMMYFUNCTION("IFERROR(GOOGLETRANSLATE(A1214,""ko"",""en""),)"),"")</f>
        <v/>
      </c>
      <c r="C1214" s="4" t="str">
        <f ca="1">IFERROR(__xludf.DUMMYFUNCTION("IFERROR(GOOGLETRANSLATE(B1214,""en"",""ja""),)"),"")</f>
        <v/>
      </c>
      <c r="D1214" s="4" t="str">
        <f ca="1">IFERROR(__xludf.DUMMYFUNCTION("IFERROR(GOOGLETRANSLATE(B1214,""en"",""zh-TW""),)"),"")</f>
        <v/>
      </c>
      <c r="E1214" s="4" t="str">
        <f ca="1">IFERROR(__xludf.DUMMYFUNCTION("IFERROR(GOOGLETRANSLATE(B1214,""en"",""zh-CN""),)"),"")</f>
        <v/>
      </c>
    </row>
    <row r="1215" spans="1:5">
      <c r="A1215" s="3"/>
      <c r="B1215" s="4" t="str">
        <f ca="1">IFERROR(__xludf.DUMMYFUNCTION("IFERROR(GOOGLETRANSLATE(A1215,""ko"",""en""),)"),"")</f>
        <v/>
      </c>
      <c r="C1215" s="4" t="str">
        <f ca="1">IFERROR(__xludf.DUMMYFUNCTION("IFERROR(GOOGLETRANSLATE(B1215,""en"",""ja""),)"),"")</f>
        <v/>
      </c>
      <c r="D1215" s="4" t="str">
        <f ca="1">IFERROR(__xludf.DUMMYFUNCTION("IFERROR(GOOGLETRANSLATE(B1215,""en"",""zh-TW""),)"),"")</f>
        <v/>
      </c>
      <c r="E1215" s="4" t="str">
        <f ca="1">IFERROR(__xludf.DUMMYFUNCTION("IFERROR(GOOGLETRANSLATE(B1215,""en"",""zh-CN""),)"),"")</f>
        <v/>
      </c>
    </row>
    <row r="1216" spans="1:5">
      <c r="A1216" s="3"/>
      <c r="B1216" s="4" t="str">
        <f ca="1">IFERROR(__xludf.DUMMYFUNCTION("IFERROR(GOOGLETRANSLATE(A1216,""ko"",""en""),)"),"")</f>
        <v/>
      </c>
      <c r="C1216" s="4" t="str">
        <f ca="1">IFERROR(__xludf.DUMMYFUNCTION("IFERROR(GOOGLETRANSLATE(B1216,""en"",""ja""),)"),"")</f>
        <v/>
      </c>
      <c r="D1216" s="4" t="str">
        <f ca="1">IFERROR(__xludf.DUMMYFUNCTION("IFERROR(GOOGLETRANSLATE(B1216,""en"",""zh-TW""),)"),"")</f>
        <v/>
      </c>
      <c r="E1216" s="4" t="str">
        <f ca="1">IFERROR(__xludf.DUMMYFUNCTION("IFERROR(GOOGLETRANSLATE(B1216,""en"",""zh-CN""),)"),"")</f>
        <v/>
      </c>
    </row>
    <row r="1217" spans="1:5">
      <c r="A1217" s="3"/>
      <c r="B1217" s="4" t="str">
        <f ca="1">IFERROR(__xludf.DUMMYFUNCTION("IFERROR(GOOGLETRANSLATE(A1217,""ko"",""en""),)"),"")</f>
        <v/>
      </c>
      <c r="C1217" s="4" t="str">
        <f ca="1">IFERROR(__xludf.DUMMYFUNCTION("IFERROR(GOOGLETRANSLATE(B1217,""en"",""ja""),)"),"")</f>
        <v/>
      </c>
      <c r="D1217" s="4" t="str">
        <f ca="1">IFERROR(__xludf.DUMMYFUNCTION("IFERROR(GOOGLETRANSLATE(B1217,""en"",""zh-TW""),)"),"")</f>
        <v/>
      </c>
      <c r="E1217" s="4" t="str">
        <f ca="1">IFERROR(__xludf.DUMMYFUNCTION("IFERROR(GOOGLETRANSLATE(B1217,""en"",""zh-CN""),)"),"")</f>
        <v/>
      </c>
    </row>
    <row r="1218" spans="1:5">
      <c r="A1218" s="3"/>
      <c r="B1218" s="4" t="str">
        <f ca="1">IFERROR(__xludf.DUMMYFUNCTION("IFERROR(GOOGLETRANSLATE(A1218,""ko"",""en""),)"),"")</f>
        <v/>
      </c>
      <c r="C1218" s="4" t="str">
        <f ca="1">IFERROR(__xludf.DUMMYFUNCTION("IFERROR(GOOGLETRANSLATE(B1218,""en"",""ja""),)"),"")</f>
        <v/>
      </c>
      <c r="D1218" s="4" t="str">
        <f ca="1">IFERROR(__xludf.DUMMYFUNCTION("IFERROR(GOOGLETRANSLATE(B1218,""en"",""zh-TW""),)"),"")</f>
        <v/>
      </c>
      <c r="E1218" s="4" t="str">
        <f ca="1">IFERROR(__xludf.DUMMYFUNCTION("IFERROR(GOOGLETRANSLATE(B1218,""en"",""zh-CN""),)"),"")</f>
        <v/>
      </c>
    </row>
    <row r="1219" spans="1:5">
      <c r="A1219" s="3"/>
      <c r="B1219" s="4" t="str">
        <f ca="1">IFERROR(__xludf.DUMMYFUNCTION("IFERROR(GOOGLETRANSLATE(A1219,""ko"",""en""),)"),"")</f>
        <v/>
      </c>
      <c r="C1219" s="4" t="str">
        <f ca="1">IFERROR(__xludf.DUMMYFUNCTION("IFERROR(GOOGLETRANSLATE(B1219,""en"",""ja""),)"),"")</f>
        <v/>
      </c>
      <c r="D1219" s="4" t="str">
        <f ca="1">IFERROR(__xludf.DUMMYFUNCTION("IFERROR(GOOGLETRANSLATE(B1219,""en"",""zh-TW""),)"),"")</f>
        <v/>
      </c>
      <c r="E1219" s="4" t="str">
        <f ca="1">IFERROR(__xludf.DUMMYFUNCTION("IFERROR(GOOGLETRANSLATE(B1219,""en"",""zh-CN""),)"),"")</f>
        <v/>
      </c>
    </row>
    <row r="1220" spans="1:5">
      <c r="A1220" s="3"/>
      <c r="B1220" s="4" t="str">
        <f ca="1">IFERROR(__xludf.DUMMYFUNCTION("IFERROR(GOOGLETRANSLATE(A1220,""ko"",""en""),)"),"")</f>
        <v/>
      </c>
      <c r="C1220" s="4" t="str">
        <f ca="1">IFERROR(__xludf.DUMMYFUNCTION("IFERROR(GOOGLETRANSLATE(B1220,""en"",""ja""),)"),"")</f>
        <v/>
      </c>
      <c r="D1220" s="4" t="str">
        <f ca="1">IFERROR(__xludf.DUMMYFUNCTION("IFERROR(GOOGLETRANSLATE(B1220,""en"",""zh-TW""),)"),"")</f>
        <v/>
      </c>
      <c r="E1220" s="4" t="str">
        <f ca="1">IFERROR(__xludf.DUMMYFUNCTION("IFERROR(GOOGLETRANSLATE(B1220,""en"",""zh-CN""),)"),"")</f>
        <v/>
      </c>
    </row>
    <row r="1221" spans="1:5">
      <c r="A1221" s="3"/>
      <c r="B1221" s="4" t="str">
        <f ca="1">IFERROR(__xludf.DUMMYFUNCTION("IFERROR(GOOGLETRANSLATE(A1221,""ko"",""en""),)"),"")</f>
        <v/>
      </c>
      <c r="C1221" s="4" t="str">
        <f ca="1">IFERROR(__xludf.DUMMYFUNCTION("IFERROR(GOOGLETRANSLATE(B1221,""en"",""ja""),)"),"")</f>
        <v/>
      </c>
      <c r="D1221" s="4" t="str">
        <f ca="1">IFERROR(__xludf.DUMMYFUNCTION("IFERROR(GOOGLETRANSLATE(B1221,""en"",""zh-TW""),)"),"")</f>
        <v/>
      </c>
      <c r="E1221" s="4" t="str">
        <f ca="1">IFERROR(__xludf.DUMMYFUNCTION("IFERROR(GOOGLETRANSLATE(B1221,""en"",""zh-CN""),)"),"")</f>
        <v/>
      </c>
    </row>
    <row r="1222" spans="1:5">
      <c r="A1222" s="3"/>
      <c r="B1222" s="4" t="str">
        <f ca="1">IFERROR(__xludf.DUMMYFUNCTION("IFERROR(GOOGLETRANSLATE(A1222,""ko"",""en""),)"),"")</f>
        <v/>
      </c>
      <c r="C1222" s="4" t="str">
        <f ca="1">IFERROR(__xludf.DUMMYFUNCTION("IFERROR(GOOGLETRANSLATE(B1222,""en"",""ja""),)"),"")</f>
        <v/>
      </c>
      <c r="D1222" s="4" t="str">
        <f ca="1">IFERROR(__xludf.DUMMYFUNCTION("IFERROR(GOOGLETRANSLATE(B1222,""en"",""zh-TW""),)"),"")</f>
        <v/>
      </c>
      <c r="E1222" s="4" t="str">
        <f ca="1">IFERROR(__xludf.DUMMYFUNCTION("IFERROR(GOOGLETRANSLATE(B1222,""en"",""zh-CN""),)"),"")</f>
        <v/>
      </c>
    </row>
    <row r="1223" spans="1:5">
      <c r="A1223" s="3"/>
      <c r="B1223" s="4" t="str">
        <f ca="1">IFERROR(__xludf.DUMMYFUNCTION("IFERROR(GOOGLETRANSLATE(A1223,""ko"",""en""),)"),"")</f>
        <v/>
      </c>
      <c r="C1223" s="4" t="str">
        <f ca="1">IFERROR(__xludf.DUMMYFUNCTION("IFERROR(GOOGLETRANSLATE(B1223,""en"",""ja""),)"),"")</f>
        <v/>
      </c>
      <c r="D1223" s="4" t="str">
        <f ca="1">IFERROR(__xludf.DUMMYFUNCTION("IFERROR(GOOGLETRANSLATE(B1223,""en"",""zh-TW""),)"),"")</f>
        <v/>
      </c>
      <c r="E1223" s="4" t="str">
        <f ca="1">IFERROR(__xludf.DUMMYFUNCTION("IFERROR(GOOGLETRANSLATE(B1223,""en"",""zh-CN""),)"),"")</f>
        <v/>
      </c>
    </row>
    <row r="1224" spans="1:5">
      <c r="A1224" s="3"/>
      <c r="B1224" s="4" t="str">
        <f ca="1">IFERROR(__xludf.DUMMYFUNCTION("IFERROR(GOOGLETRANSLATE(A1224,""ko"",""en""),)"),"")</f>
        <v/>
      </c>
      <c r="C1224" s="4" t="str">
        <f ca="1">IFERROR(__xludf.DUMMYFUNCTION("IFERROR(GOOGLETRANSLATE(B1224,""en"",""ja""),)"),"")</f>
        <v/>
      </c>
      <c r="D1224" s="4" t="str">
        <f ca="1">IFERROR(__xludf.DUMMYFUNCTION("IFERROR(GOOGLETRANSLATE(B1224,""en"",""zh-TW""),)"),"")</f>
        <v/>
      </c>
      <c r="E1224" s="4" t="str">
        <f ca="1">IFERROR(__xludf.DUMMYFUNCTION("IFERROR(GOOGLETRANSLATE(B1224,""en"",""zh-CN""),)"),"")</f>
        <v/>
      </c>
    </row>
    <row r="1225" spans="1:5">
      <c r="A1225" s="3"/>
      <c r="B1225" s="4" t="str">
        <f ca="1">IFERROR(__xludf.DUMMYFUNCTION("IFERROR(GOOGLETRANSLATE(A1225,""ko"",""en""),)"),"")</f>
        <v/>
      </c>
      <c r="C1225" s="4" t="str">
        <f ca="1">IFERROR(__xludf.DUMMYFUNCTION("IFERROR(GOOGLETRANSLATE(B1225,""en"",""ja""),)"),"")</f>
        <v/>
      </c>
      <c r="D1225" s="4" t="str">
        <f ca="1">IFERROR(__xludf.DUMMYFUNCTION("IFERROR(GOOGLETRANSLATE(B1225,""en"",""zh-TW""),)"),"")</f>
        <v/>
      </c>
      <c r="E1225" s="4" t="str">
        <f ca="1">IFERROR(__xludf.DUMMYFUNCTION("IFERROR(GOOGLETRANSLATE(B1225,""en"",""zh-CN""),)"),"")</f>
        <v/>
      </c>
    </row>
    <row r="1226" spans="1:5">
      <c r="A1226" s="3"/>
      <c r="B1226" s="4" t="str">
        <f ca="1">IFERROR(__xludf.DUMMYFUNCTION("IFERROR(GOOGLETRANSLATE(A1226,""ko"",""en""),)"),"")</f>
        <v/>
      </c>
      <c r="C1226" s="4" t="str">
        <f ca="1">IFERROR(__xludf.DUMMYFUNCTION("IFERROR(GOOGLETRANSLATE(B1226,""en"",""ja""),)"),"")</f>
        <v/>
      </c>
      <c r="D1226" s="4" t="str">
        <f ca="1">IFERROR(__xludf.DUMMYFUNCTION("IFERROR(GOOGLETRANSLATE(B1226,""en"",""zh-TW""),)"),"")</f>
        <v/>
      </c>
      <c r="E1226" s="4" t="str">
        <f ca="1">IFERROR(__xludf.DUMMYFUNCTION("IFERROR(GOOGLETRANSLATE(B1226,""en"",""zh-CN""),)"),"")</f>
        <v/>
      </c>
    </row>
    <row r="1227" spans="1:5">
      <c r="A1227" s="3"/>
      <c r="B1227" s="4" t="str">
        <f ca="1">IFERROR(__xludf.DUMMYFUNCTION("IFERROR(GOOGLETRANSLATE(A1227,""ko"",""en""),)"),"")</f>
        <v/>
      </c>
      <c r="C1227" s="4" t="str">
        <f ca="1">IFERROR(__xludf.DUMMYFUNCTION("IFERROR(GOOGLETRANSLATE(B1227,""en"",""ja""),)"),"")</f>
        <v/>
      </c>
      <c r="D1227" s="4" t="str">
        <f ca="1">IFERROR(__xludf.DUMMYFUNCTION("IFERROR(GOOGLETRANSLATE(B1227,""en"",""zh-TW""),)"),"")</f>
        <v/>
      </c>
      <c r="E1227" s="4" t="str">
        <f ca="1">IFERROR(__xludf.DUMMYFUNCTION("IFERROR(GOOGLETRANSLATE(B1227,""en"",""zh-CN""),)"),"")</f>
        <v/>
      </c>
    </row>
    <row r="1228" spans="1:5">
      <c r="A1228" s="3"/>
      <c r="B1228" s="4" t="str">
        <f ca="1">IFERROR(__xludf.DUMMYFUNCTION("IFERROR(GOOGLETRANSLATE(A1228,""ko"",""en""),)"),"")</f>
        <v/>
      </c>
      <c r="C1228" s="4" t="str">
        <f ca="1">IFERROR(__xludf.DUMMYFUNCTION("IFERROR(GOOGLETRANSLATE(B1228,""en"",""ja""),)"),"")</f>
        <v/>
      </c>
      <c r="D1228" s="4" t="str">
        <f ca="1">IFERROR(__xludf.DUMMYFUNCTION("IFERROR(GOOGLETRANSLATE(B1228,""en"",""zh-TW""),)"),"")</f>
        <v/>
      </c>
      <c r="E1228" s="4" t="str">
        <f ca="1">IFERROR(__xludf.DUMMYFUNCTION("IFERROR(GOOGLETRANSLATE(B1228,""en"",""zh-CN""),)"),"")</f>
        <v/>
      </c>
    </row>
    <row r="1229" spans="1:5">
      <c r="A1229" s="3"/>
      <c r="B1229" s="4" t="str">
        <f ca="1">IFERROR(__xludf.DUMMYFUNCTION("IFERROR(GOOGLETRANSLATE(A1229,""ko"",""en""),)"),"")</f>
        <v/>
      </c>
      <c r="C1229" s="4" t="str">
        <f ca="1">IFERROR(__xludf.DUMMYFUNCTION("IFERROR(GOOGLETRANSLATE(B1229,""en"",""ja""),)"),"")</f>
        <v/>
      </c>
      <c r="D1229" s="4" t="str">
        <f ca="1">IFERROR(__xludf.DUMMYFUNCTION("IFERROR(GOOGLETRANSLATE(B1229,""en"",""zh-TW""),)"),"")</f>
        <v/>
      </c>
      <c r="E1229" s="4" t="str">
        <f ca="1">IFERROR(__xludf.DUMMYFUNCTION("IFERROR(GOOGLETRANSLATE(B1229,""en"",""zh-CN""),)"),"")</f>
        <v/>
      </c>
    </row>
    <row r="1230" spans="1:5">
      <c r="A1230" s="3"/>
      <c r="B1230" s="4" t="str">
        <f ca="1">IFERROR(__xludf.DUMMYFUNCTION("IFERROR(GOOGLETRANSLATE(A1230,""ko"",""en""),)"),"")</f>
        <v/>
      </c>
      <c r="C1230" s="4" t="str">
        <f ca="1">IFERROR(__xludf.DUMMYFUNCTION("IFERROR(GOOGLETRANSLATE(B1230,""en"",""ja""),)"),"")</f>
        <v/>
      </c>
      <c r="D1230" s="4" t="str">
        <f ca="1">IFERROR(__xludf.DUMMYFUNCTION("IFERROR(GOOGLETRANSLATE(B1230,""en"",""zh-TW""),)"),"")</f>
        <v/>
      </c>
      <c r="E1230" s="4" t="str">
        <f ca="1">IFERROR(__xludf.DUMMYFUNCTION("IFERROR(GOOGLETRANSLATE(B1230,""en"",""zh-CN""),)"),"")</f>
        <v/>
      </c>
    </row>
    <row r="1231" spans="1:5">
      <c r="A1231" s="3"/>
      <c r="B1231" s="4" t="str">
        <f ca="1">IFERROR(__xludf.DUMMYFUNCTION("IFERROR(GOOGLETRANSLATE(A1231,""ko"",""en""),)"),"")</f>
        <v/>
      </c>
      <c r="C1231" s="4" t="str">
        <f ca="1">IFERROR(__xludf.DUMMYFUNCTION("IFERROR(GOOGLETRANSLATE(B1231,""en"",""ja""),)"),"")</f>
        <v/>
      </c>
      <c r="D1231" s="4" t="str">
        <f ca="1">IFERROR(__xludf.DUMMYFUNCTION("IFERROR(GOOGLETRANSLATE(B1231,""en"",""zh-TW""),)"),"")</f>
        <v/>
      </c>
      <c r="E1231" s="4" t="str">
        <f ca="1">IFERROR(__xludf.DUMMYFUNCTION("IFERROR(GOOGLETRANSLATE(B1231,""en"",""zh-CN""),)"),"")</f>
        <v/>
      </c>
    </row>
    <row r="1232" spans="1:5">
      <c r="A1232" s="3"/>
      <c r="B1232" s="4" t="str">
        <f ca="1">IFERROR(__xludf.DUMMYFUNCTION("IFERROR(GOOGLETRANSLATE(A1232,""ko"",""en""),)"),"")</f>
        <v/>
      </c>
      <c r="C1232" s="4" t="str">
        <f ca="1">IFERROR(__xludf.DUMMYFUNCTION("IFERROR(GOOGLETRANSLATE(B1232,""en"",""ja""),)"),"")</f>
        <v/>
      </c>
      <c r="D1232" s="4" t="str">
        <f ca="1">IFERROR(__xludf.DUMMYFUNCTION("IFERROR(GOOGLETRANSLATE(B1232,""en"",""zh-TW""),)"),"")</f>
        <v/>
      </c>
      <c r="E1232" s="4" t="str">
        <f ca="1">IFERROR(__xludf.DUMMYFUNCTION("IFERROR(GOOGLETRANSLATE(B1232,""en"",""zh-CN""),)"),"")</f>
        <v/>
      </c>
    </row>
    <row r="1233" spans="1:5">
      <c r="A1233" s="3"/>
      <c r="B1233" s="4" t="str">
        <f ca="1">IFERROR(__xludf.DUMMYFUNCTION("IFERROR(GOOGLETRANSLATE(A1233,""ko"",""en""),)"),"")</f>
        <v/>
      </c>
      <c r="C1233" s="4" t="str">
        <f ca="1">IFERROR(__xludf.DUMMYFUNCTION("IFERROR(GOOGLETRANSLATE(B1233,""en"",""ja""),)"),"")</f>
        <v/>
      </c>
      <c r="D1233" s="4" t="str">
        <f ca="1">IFERROR(__xludf.DUMMYFUNCTION("IFERROR(GOOGLETRANSLATE(B1233,""en"",""zh-TW""),)"),"")</f>
        <v/>
      </c>
      <c r="E1233" s="4" t="str">
        <f ca="1">IFERROR(__xludf.DUMMYFUNCTION("IFERROR(GOOGLETRANSLATE(B1233,""en"",""zh-CN""),)"),"")</f>
        <v/>
      </c>
    </row>
    <row r="1234" spans="1:5">
      <c r="A1234" s="3"/>
      <c r="B1234" s="4" t="str">
        <f ca="1">IFERROR(__xludf.DUMMYFUNCTION("IFERROR(GOOGLETRANSLATE(A1234,""ko"",""en""),)"),"")</f>
        <v/>
      </c>
      <c r="C1234" s="4" t="str">
        <f ca="1">IFERROR(__xludf.DUMMYFUNCTION("IFERROR(GOOGLETRANSLATE(B1234,""en"",""ja""),)"),"")</f>
        <v/>
      </c>
      <c r="D1234" s="4" t="str">
        <f ca="1">IFERROR(__xludf.DUMMYFUNCTION("IFERROR(GOOGLETRANSLATE(B1234,""en"",""zh-TW""),)"),"")</f>
        <v/>
      </c>
      <c r="E1234" s="4" t="str">
        <f ca="1">IFERROR(__xludf.DUMMYFUNCTION("IFERROR(GOOGLETRANSLATE(B1234,""en"",""zh-CN""),)"),"")</f>
        <v/>
      </c>
    </row>
    <row r="1235" spans="1:5">
      <c r="A1235" s="3"/>
      <c r="B1235" s="4" t="str">
        <f ca="1">IFERROR(__xludf.DUMMYFUNCTION("IFERROR(GOOGLETRANSLATE(A1235,""ko"",""en""),)"),"")</f>
        <v/>
      </c>
      <c r="C1235" s="4" t="str">
        <f ca="1">IFERROR(__xludf.DUMMYFUNCTION("IFERROR(GOOGLETRANSLATE(B1235,""en"",""ja""),)"),"")</f>
        <v/>
      </c>
      <c r="D1235" s="4" t="str">
        <f ca="1">IFERROR(__xludf.DUMMYFUNCTION("IFERROR(GOOGLETRANSLATE(B1235,""en"",""zh-TW""),)"),"")</f>
        <v/>
      </c>
      <c r="E1235" s="4" t="str">
        <f ca="1">IFERROR(__xludf.DUMMYFUNCTION("IFERROR(GOOGLETRANSLATE(B1235,""en"",""zh-CN""),)"),"")</f>
        <v/>
      </c>
    </row>
    <row r="1236" spans="1:5">
      <c r="A1236" s="3"/>
      <c r="B1236" s="4" t="str">
        <f ca="1">IFERROR(__xludf.DUMMYFUNCTION("IFERROR(GOOGLETRANSLATE(A1236,""ko"",""en""),)"),"")</f>
        <v/>
      </c>
      <c r="C1236" s="4" t="str">
        <f ca="1">IFERROR(__xludf.DUMMYFUNCTION("IFERROR(GOOGLETRANSLATE(B1236,""en"",""ja""),)"),"")</f>
        <v/>
      </c>
      <c r="D1236" s="4" t="str">
        <f ca="1">IFERROR(__xludf.DUMMYFUNCTION("IFERROR(GOOGLETRANSLATE(B1236,""en"",""zh-TW""),)"),"")</f>
        <v/>
      </c>
      <c r="E1236" s="4" t="str">
        <f ca="1">IFERROR(__xludf.DUMMYFUNCTION("IFERROR(GOOGLETRANSLATE(B1236,""en"",""zh-CN""),)"),"")</f>
        <v/>
      </c>
    </row>
    <row r="1237" spans="1:5">
      <c r="A1237" s="3"/>
      <c r="B1237" s="4" t="str">
        <f ca="1">IFERROR(__xludf.DUMMYFUNCTION("IFERROR(GOOGLETRANSLATE(A1237,""ko"",""en""),)"),"")</f>
        <v/>
      </c>
      <c r="C1237" s="4" t="str">
        <f ca="1">IFERROR(__xludf.DUMMYFUNCTION("IFERROR(GOOGLETRANSLATE(B1237,""en"",""ja""),)"),"")</f>
        <v/>
      </c>
      <c r="D1237" s="4" t="str">
        <f ca="1">IFERROR(__xludf.DUMMYFUNCTION("IFERROR(GOOGLETRANSLATE(B1237,""en"",""zh-TW""),)"),"")</f>
        <v/>
      </c>
      <c r="E1237" s="4" t="str">
        <f ca="1">IFERROR(__xludf.DUMMYFUNCTION("IFERROR(GOOGLETRANSLATE(B1237,""en"",""zh-CN""),)"),"")</f>
        <v/>
      </c>
    </row>
    <row r="1238" spans="1:5">
      <c r="A1238" s="3"/>
      <c r="B1238" s="4" t="str">
        <f ca="1">IFERROR(__xludf.DUMMYFUNCTION("IFERROR(GOOGLETRANSLATE(A1238,""ko"",""en""),)"),"")</f>
        <v/>
      </c>
      <c r="C1238" s="4" t="str">
        <f ca="1">IFERROR(__xludf.DUMMYFUNCTION("IFERROR(GOOGLETRANSLATE(B1238,""en"",""ja""),)"),"")</f>
        <v/>
      </c>
      <c r="D1238" s="4" t="str">
        <f ca="1">IFERROR(__xludf.DUMMYFUNCTION("IFERROR(GOOGLETRANSLATE(B1238,""en"",""zh-TW""),)"),"")</f>
        <v/>
      </c>
      <c r="E1238" s="4" t="str">
        <f ca="1">IFERROR(__xludf.DUMMYFUNCTION("IFERROR(GOOGLETRANSLATE(B1238,""en"",""zh-CN""),)"),"")</f>
        <v/>
      </c>
    </row>
    <row r="1239" spans="1:5">
      <c r="A1239" s="3"/>
      <c r="B1239" s="4" t="str">
        <f ca="1">IFERROR(__xludf.DUMMYFUNCTION("IFERROR(GOOGLETRANSLATE(A1239,""ko"",""en""),)"),"")</f>
        <v/>
      </c>
      <c r="C1239" s="4" t="str">
        <f ca="1">IFERROR(__xludf.DUMMYFUNCTION("IFERROR(GOOGLETRANSLATE(B1239,""en"",""ja""),)"),"")</f>
        <v/>
      </c>
      <c r="D1239" s="4" t="str">
        <f ca="1">IFERROR(__xludf.DUMMYFUNCTION("IFERROR(GOOGLETRANSLATE(B1239,""en"",""zh-TW""),)"),"")</f>
        <v/>
      </c>
      <c r="E1239" s="4" t="str">
        <f ca="1">IFERROR(__xludf.DUMMYFUNCTION("IFERROR(GOOGLETRANSLATE(B1239,""en"",""zh-CN""),)"),"")</f>
        <v/>
      </c>
    </row>
    <row r="1240" spans="1:5">
      <c r="A1240" s="3"/>
      <c r="B1240" s="4" t="str">
        <f ca="1">IFERROR(__xludf.DUMMYFUNCTION("IFERROR(GOOGLETRANSLATE(A1240,""ko"",""en""),)"),"")</f>
        <v/>
      </c>
      <c r="C1240" s="4" t="str">
        <f ca="1">IFERROR(__xludf.DUMMYFUNCTION("IFERROR(GOOGLETRANSLATE(B1240,""en"",""ja""),)"),"")</f>
        <v/>
      </c>
      <c r="D1240" s="4" t="str">
        <f ca="1">IFERROR(__xludf.DUMMYFUNCTION("IFERROR(GOOGLETRANSLATE(B1240,""en"",""zh-TW""),)"),"")</f>
        <v/>
      </c>
      <c r="E1240" s="4" t="str">
        <f ca="1">IFERROR(__xludf.DUMMYFUNCTION("IFERROR(GOOGLETRANSLATE(B1240,""en"",""zh-CN""),)"),"")</f>
        <v/>
      </c>
    </row>
    <row r="1241" spans="1:5">
      <c r="A1241" s="3"/>
      <c r="B1241" s="4" t="str">
        <f ca="1">IFERROR(__xludf.DUMMYFUNCTION("IFERROR(GOOGLETRANSLATE(A1241,""ko"",""en""),)"),"")</f>
        <v/>
      </c>
      <c r="C1241" s="4" t="str">
        <f ca="1">IFERROR(__xludf.DUMMYFUNCTION("IFERROR(GOOGLETRANSLATE(B1241,""en"",""ja""),)"),"")</f>
        <v/>
      </c>
      <c r="D1241" s="4" t="str">
        <f ca="1">IFERROR(__xludf.DUMMYFUNCTION("IFERROR(GOOGLETRANSLATE(B1241,""en"",""zh-TW""),)"),"")</f>
        <v/>
      </c>
      <c r="E1241" s="4" t="str">
        <f ca="1">IFERROR(__xludf.DUMMYFUNCTION("IFERROR(GOOGLETRANSLATE(B1241,""en"",""zh-CN""),)"),"")</f>
        <v/>
      </c>
    </row>
    <row r="1242" spans="1:5">
      <c r="A1242" s="3"/>
      <c r="B1242" s="4" t="str">
        <f ca="1">IFERROR(__xludf.DUMMYFUNCTION("IFERROR(GOOGLETRANSLATE(A1242,""ko"",""en""),)"),"")</f>
        <v/>
      </c>
      <c r="C1242" s="4" t="str">
        <f ca="1">IFERROR(__xludf.DUMMYFUNCTION("IFERROR(GOOGLETRANSLATE(B1242,""en"",""ja""),)"),"")</f>
        <v/>
      </c>
      <c r="D1242" s="4" t="str">
        <f ca="1">IFERROR(__xludf.DUMMYFUNCTION("IFERROR(GOOGLETRANSLATE(B1242,""en"",""zh-TW""),)"),"")</f>
        <v/>
      </c>
      <c r="E1242" s="4" t="str">
        <f ca="1">IFERROR(__xludf.DUMMYFUNCTION("IFERROR(GOOGLETRANSLATE(B1242,""en"",""zh-CN""),)"),"")</f>
        <v/>
      </c>
    </row>
    <row r="1243" spans="1:5">
      <c r="A1243" s="3"/>
      <c r="B1243" s="4" t="str">
        <f ca="1">IFERROR(__xludf.DUMMYFUNCTION("IFERROR(GOOGLETRANSLATE(A1243,""ko"",""en""),)"),"")</f>
        <v/>
      </c>
      <c r="C1243" s="4" t="str">
        <f ca="1">IFERROR(__xludf.DUMMYFUNCTION("IFERROR(GOOGLETRANSLATE(B1243,""en"",""ja""),)"),"")</f>
        <v/>
      </c>
      <c r="D1243" s="4" t="str">
        <f ca="1">IFERROR(__xludf.DUMMYFUNCTION("IFERROR(GOOGLETRANSLATE(B1243,""en"",""zh-TW""),)"),"")</f>
        <v/>
      </c>
      <c r="E1243" s="4" t="str">
        <f ca="1">IFERROR(__xludf.DUMMYFUNCTION("IFERROR(GOOGLETRANSLATE(B1243,""en"",""zh-CN""),)"),"")</f>
        <v/>
      </c>
    </row>
    <row r="1244" spans="1:5">
      <c r="A1244" s="3"/>
      <c r="B1244" s="4" t="str">
        <f ca="1">IFERROR(__xludf.DUMMYFUNCTION("IFERROR(GOOGLETRANSLATE(A1244,""ko"",""en""),)"),"")</f>
        <v/>
      </c>
      <c r="C1244" s="4" t="str">
        <f ca="1">IFERROR(__xludf.DUMMYFUNCTION("IFERROR(GOOGLETRANSLATE(B1244,""en"",""ja""),)"),"")</f>
        <v/>
      </c>
      <c r="D1244" s="4" t="str">
        <f ca="1">IFERROR(__xludf.DUMMYFUNCTION("IFERROR(GOOGLETRANSLATE(B1244,""en"",""zh-TW""),)"),"")</f>
        <v/>
      </c>
      <c r="E1244" s="4" t="str">
        <f ca="1">IFERROR(__xludf.DUMMYFUNCTION("IFERROR(GOOGLETRANSLATE(B1244,""en"",""zh-CN""),)"),"")</f>
        <v/>
      </c>
    </row>
    <row r="1245" spans="1:5">
      <c r="A1245" s="3"/>
      <c r="B1245" s="4" t="str">
        <f ca="1">IFERROR(__xludf.DUMMYFUNCTION("IFERROR(GOOGLETRANSLATE(A1245,""ko"",""en""),)"),"")</f>
        <v/>
      </c>
      <c r="C1245" s="4" t="str">
        <f ca="1">IFERROR(__xludf.DUMMYFUNCTION("IFERROR(GOOGLETRANSLATE(B1245,""en"",""ja""),)"),"")</f>
        <v/>
      </c>
      <c r="D1245" s="4" t="str">
        <f ca="1">IFERROR(__xludf.DUMMYFUNCTION("IFERROR(GOOGLETRANSLATE(B1245,""en"",""zh-TW""),)"),"")</f>
        <v/>
      </c>
      <c r="E1245" s="4" t="str">
        <f ca="1">IFERROR(__xludf.DUMMYFUNCTION("IFERROR(GOOGLETRANSLATE(B1245,""en"",""zh-CN""),)"),"")</f>
        <v/>
      </c>
    </row>
    <row r="1246" spans="1:5">
      <c r="A1246" s="3"/>
      <c r="B1246" s="4" t="str">
        <f ca="1">IFERROR(__xludf.DUMMYFUNCTION("IFERROR(GOOGLETRANSLATE(A1246,""ko"",""en""),)"),"")</f>
        <v/>
      </c>
      <c r="C1246" s="4" t="str">
        <f ca="1">IFERROR(__xludf.DUMMYFUNCTION("IFERROR(GOOGLETRANSLATE(B1246,""en"",""ja""),)"),"")</f>
        <v/>
      </c>
      <c r="D1246" s="4" t="str">
        <f ca="1">IFERROR(__xludf.DUMMYFUNCTION("IFERROR(GOOGLETRANSLATE(B1246,""en"",""zh-TW""),)"),"")</f>
        <v/>
      </c>
      <c r="E1246" s="4" t="str">
        <f ca="1">IFERROR(__xludf.DUMMYFUNCTION("IFERROR(GOOGLETRANSLATE(B1246,""en"",""zh-CN""),)"),"")</f>
        <v/>
      </c>
    </row>
    <row r="1247" spans="1:5">
      <c r="A1247" s="3"/>
      <c r="B1247" s="4" t="str">
        <f ca="1">IFERROR(__xludf.DUMMYFUNCTION("IFERROR(GOOGLETRANSLATE(A1247,""ko"",""en""),)"),"")</f>
        <v/>
      </c>
      <c r="C1247" s="4" t="str">
        <f ca="1">IFERROR(__xludf.DUMMYFUNCTION("IFERROR(GOOGLETRANSLATE(B1247,""en"",""ja""),)"),"")</f>
        <v/>
      </c>
      <c r="D1247" s="4" t="str">
        <f ca="1">IFERROR(__xludf.DUMMYFUNCTION("IFERROR(GOOGLETRANSLATE(B1247,""en"",""zh-TW""),)"),"")</f>
        <v/>
      </c>
      <c r="E1247" s="4" t="str">
        <f ca="1">IFERROR(__xludf.DUMMYFUNCTION("IFERROR(GOOGLETRANSLATE(B1247,""en"",""zh-CN""),)"),"")</f>
        <v/>
      </c>
    </row>
    <row r="1248" spans="1:5">
      <c r="A1248" s="3"/>
      <c r="B1248" s="4" t="str">
        <f ca="1">IFERROR(__xludf.DUMMYFUNCTION("IFERROR(GOOGLETRANSLATE(A1248,""ko"",""en""),)"),"")</f>
        <v/>
      </c>
      <c r="C1248" s="4" t="str">
        <f ca="1">IFERROR(__xludf.DUMMYFUNCTION("IFERROR(GOOGLETRANSLATE(B1248,""en"",""ja""),)"),"")</f>
        <v/>
      </c>
      <c r="D1248" s="4" t="str">
        <f ca="1">IFERROR(__xludf.DUMMYFUNCTION("IFERROR(GOOGLETRANSLATE(B1248,""en"",""zh-TW""),)"),"")</f>
        <v/>
      </c>
      <c r="E1248" s="4" t="str">
        <f ca="1">IFERROR(__xludf.DUMMYFUNCTION("IFERROR(GOOGLETRANSLATE(B1248,""en"",""zh-CN""),)"),"")</f>
        <v/>
      </c>
    </row>
    <row r="1249" spans="1:5">
      <c r="A1249" s="3"/>
      <c r="B1249" s="4" t="str">
        <f ca="1">IFERROR(__xludf.DUMMYFUNCTION("IFERROR(GOOGLETRANSLATE(A1249,""ko"",""en""),)"),"")</f>
        <v/>
      </c>
      <c r="C1249" s="4" t="str">
        <f ca="1">IFERROR(__xludf.DUMMYFUNCTION("IFERROR(GOOGLETRANSLATE(B1249,""en"",""ja""),)"),"")</f>
        <v/>
      </c>
      <c r="D1249" s="4" t="str">
        <f ca="1">IFERROR(__xludf.DUMMYFUNCTION("IFERROR(GOOGLETRANSLATE(B1249,""en"",""zh-TW""),)"),"")</f>
        <v/>
      </c>
      <c r="E1249" s="4" t="str">
        <f ca="1">IFERROR(__xludf.DUMMYFUNCTION("IFERROR(GOOGLETRANSLATE(B1249,""en"",""zh-CN""),)"),"")</f>
        <v/>
      </c>
    </row>
    <row r="1250" spans="1:5">
      <c r="A1250" s="3"/>
      <c r="B1250" s="4" t="str">
        <f ca="1">IFERROR(__xludf.DUMMYFUNCTION("IFERROR(GOOGLETRANSLATE(A1250,""ko"",""en""),)"),"")</f>
        <v/>
      </c>
      <c r="C1250" s="4" t="str">
        <f ca="1">IFERROR(__xludf.DUMMYFUNCTION("IFERROR(GOOGLETRANSLATE(B1250,""en"",""ja""),)"),"")</f>
        <v/>
      </c>
      <c r="D1250" s="4" t="str">
        <f ca="1">IFERROR(__xludf.DUMMYFUNCTION("IFERROR(GOOGLETRANSLATE(B1250,""en"",""zh-TW""),)"),"")</f>
        <v/>
      </c>
      <c r="E1250" s="4" t="str">
        <f ca="1">IFERROR(__xludf.DUMMYFUNCTION("IFERROR(GOOGLETRANSLATE(B1250,""en"",""zh-CN""),)"),"")</f>
        <v/>
      </c>
    </row>
    <row r="1251" spans="1:5">
      <c r="A1251" s="3"/>
      <c r="B1251" s="4" t="str">
        <f ca="1">IFERROR(__xludf.DUMMYFUNCTION("IFERROR(GOOGLETRANSLATE(A1251,""ko"",""en""),)"),"")</f>
        <v/>
      </c>
      <c r="C1251" s="4" t="str">
        <f ca="1">IFERROR(__xludf.DUMMYFUNCTION("IFERROR(GOOGLETRANSLATE(B1251,""en"",""ja""),)"),"")</f>
        <v/>
      </c>
      <c r="D1251" s="4" t="str">
        <f ca="1">IFERROR(__xludf.DUMMYFUNCTION("IFERROR(GOOGLETRANSLATE(B1251,""en"",""zh-TW""),)"),"")</f>
        <v/>
      </c>
      <c r="E1251" s="4" t="str">
        <f ca="1">IFERROR(__xludf.DUMMYFUNCTION("IFERROR(GOOGLETRANSLATE(B1251,""en"",""zh-CN""),)"),"")</f>
        <v/>
      </c>
    </row>
    <row r="1252" spans="1:5">
      <c r="A1252" s="3"/>
      <c r="B1252" s="4" t="str">
        <f ca="1">IFERROR(__xludf.DUMMYFUNCTION("IFERROR(GOOGLETRANSLATE(A1252,""ko"",""en""),)"),"")</f>
        <v/>
      </c>
      <c r="C1252" s="4" t="str">
        <f ca="1">IFERROR(__xludf.DUMMYFUNCTION("IFERROR(GOOGLETRANSLATE(B1252,""en"",""ja""),)"),"")</f>
        <v/>
      </c>
      <c r="D1252" s="4" t="str">
        <f ca="1">IFERROR(__xludf.DUMMYFUNCTION("IFERROR(GOOGLETRANSLATE(B1252,""en"",""zh-TW""),)"),"")</f>
        <v/>
      </c>
      <c r="E1252" s="4" t="str">
        <f ca="1">IFERROR(__xludf.DUMMYFUNCTION("IFERROR(GOOGLETRANSLATE(B1252,""en"",""zh-CN""),)"),"")</f>
        <v/>
      </c>
    </row>
    <row r="1253" spans="1:5">
      <c r="A1253" s="3"/>
      <c r="B1253" s="4" t="str">
        <f ca="1">IFERROR(__xludf.DUMMYFUNCTION("IFERROR(GOOGLETRANSLATE(A1253,""ko"",""en""),)"),"")</f>
        <v/>
      </c>
      <c r="C1253" s="4" t="str">
        <f ca="1">IFERROR(__xludf.DUMMYFUNCTION("IFERROR(GOOGLETRANSLATE(B1253,""en"",""ja""),)"),"")</f>
        <v/>
      </c>
      <c r="D1253" s="4" t="str">
        <f ca="1">IFERROR(__xludf.DUMMYFUNCTION("IFERROR(GOOGLETRANSLATE(B1253,""en"",""zh-TW""),)"),"")</f>
        <v/>
      </c>
      <c r="E1253" s="4" t="str">
        <f ca="1">IFERROR(__xludf.DUMMYFUNCTION("IFERROR(GOOGLETRANSLATE(B1253,""en"",""zh-CN""),)"),"")</f>
        <v/>
      </c>
    </row>
    <row r="1254" spans="1:5">
      <c r="A1254" s="3"/>
      <c r="B1254" s="4" t="str">
        <f ca="1">IFERROR(__xludf.DUMMYFUNCTION("IFERROR(GOOGLETRANSLATE(A1254,""ko"",""en""),)"),"")</f>
        <v/>
      </c>
      <c r="C1254" s="4" t="str">
        <f ca="1">IFERROR(__xludf.DUMMYFUNCTION("IFERROR(GOOGLETRANSLATE(B1254,""en"",""ja""),)"),"")</f>
        <v/>
      </c>
      <c r="D1254" s="4" t="str">
        <f ca="1">IFERROR(__xludf.DUMMYFUNCTION("IFERROR(GOOGLETRANSLATE(B1254,""en"",""zh-TW""),)"),"")</f>
        <v/>
      </c>
      <c r="E1254" s="4" t="str">
        <f ca="1">IFERROR(__xludf.DUMMYFUNCTION("IFERROR(GOOGLETRANSLATE(B1254,""en"",""zh-CN""),)"),"")</f>
        <v/>
      </c>
    </row>
    <row r="1255" spans="1:5">
      <c r="A1255" s="3"/>
      <c r="B1255" s="4" t="str">
        <f ca="1">IFERROR(__xludf.DUMMYFUNCTION("IFERROR(GOOGLETRANSLATE(A1255,""ko"",""en""),)"),"")</f>
        <v/>
      </c>
      <c r="C1255" s="4" t="str">
        <f ca="1">IFERROR(__xludf.DUMMYFUNCTION("IFERROR(GOOGLETRANSLATE(B1255,""en"",""ja""),)"),"")</f>
        <v/>
      </c>
      <c r="D1255" s="4" t="str">
        <f ca="1">IFERROR(__xludf.DUMMYFUNCTION("IFERROR(GOOGLETRANSLATE(B1255,""en"",""zh-TW""),)"),"")</f>
        <v/>
      </c>
      <c r="E1255" s="4" t="str">
        <f ca="1">IFERROR(__xludf.DUMMYFUNCTION("IFERROR(GOOGLETRANSLATE(B1255,""en"",""zh-CN""),)"),"")</f>
        <v/>
      </c>
    </row>
    <row r="1256" spans="1:5">
      <c r="A1256" s="3"/>
      <c r="B1256" s="4" t="str">
        <f ca="1">IFERROR(__xludf.DUMMYFUNCTION("IFERROR(GOOGLETRANSLATE(A1256,""ko"",""en""),)"),"")</f>
        <v/>
      </c>
      <c r="C1256" s="4" t="str">
        <f ca="1">IFERROR(__xludf.DUMMYFUNCTION("IFERROR(GOOGLETRANSLATE(B1256,""en"",""ja""),)"),"")</f>
        <v/>
      </c>
      <c r="D1256" s="4" t="str">
        <f ca="1">IFERROR(__xludf.DUMMYFUNCTION("IFERROR(GOOGLETRANSLATE(B1256,""en"",""zh-TW""),)"),"")</f>
        <v/>
      </c>
      <c r="E1256" s="4" t="str">
        <f ca="1">IFERROR(__xludf.DUMMYFUNCTION("IFERROR(GOOGLETRANSLATE(B1256,""en"",""zh-CN""),)"),"")</f>
        <v/>
      </c>
    </row>
    <row r="1257" spans="1:5">
      <c r="A1257" s="3"/>
      <c r="B1257" s="4" t="str">
        <f ca="1">IFERROR(__xludf.DUMMYFUNCTION("IFERROR(GOOGLETRANSLATE(A1257,""ko"",""en""),)"),"")</f>
        <v/>
      </c>
      <c r="C1257" s="4" t="str">
        <f ca="1">IFERROR(__xludf.DUMMYFUNCTION("IFERROR(GOOGLETRANSLATE(B1257,""en"",""ja""),)"),"")</f>
        <v/>
      </c>
      <c r="D1257" s="4" t="str">
        <f ca="1">IFERROR(__xludf.DUMMYFUNCTION("IFERROR(GOOGLETRANSLATE(B1257,""en"",""zh-TW""),)"),"")</f>
        <v/>
      </c>
      <c r="E1257" s="4" t="str">
        <f ca="1">IFERROR(__xludf.DUMMYFUNCTION("IFERROR(GOOGLETRANSLATE(B1257,""en"",""zh-CN""),)"),"")</f>
        <v/>
      </c>
    </row>
    <row r="1258" spans="1:5">
      <c r="A1258" s="3"/>
      <c r="B1258" s="4" t="str">
        <f ca="1">IFERROR(__xludf.DUMMYFUNCTION("IFERROR(GOOGLETRANSLATE(A1258,""ko"",""en""),)"),"")</f>
        <v/>
      </c>
      <c r="C1258" s="4" t="str">
        <f ca="1">IFERROR(__xludf.DUMMYFUNCTION("IFERROR(GOOGLETRANSLATE(B1258,""en"",""ja""),)"),"")</f>
        <v/>
      </c>
      <c r="D1258" s="4" t="str">
        <f ca="1">IFERROR(__xludf.DUMMYFUNCTION("IFERROR(GOOGLETRANSLATE(B1258,""en"",""zh-TW""),)"),"")</f>
        <v/>
      </c>
      <c r="E1258" s="4" t="str">
        <f ca="1">IFERROR(__xludf.DUMMYFUNCTION("IFERROR(GOOGLETRANSLATE(B1258,""en"",""zh-CN""),)"),"")</f>
        <v/>
      </c>
    </row>
    <row r="1259" spans="1:5">
      <c r="A1259" s="3"/>
      <c r="B1259" s="4" t="str">
        <f ca="1">IFERROR(__xludf.DUMMYFUNCTION("IFERROR(GOOGLETRANSLATE(A1259,""ko"",""en""),)"),"")</f>
        <v/>
      </c>
      <c r="C1259" s="4" t="str">
        <f ca="1">IFERROR(__xludf.DUMMYFUNCTION("IFERROR(GOOGLETRANSLATE(B1259,""en"",""ja""),)"),"")</f>
        <v/>
      </c>
      <c r="D1259" s="4" t="str">
        <f ca="1">IFERROR(__xludf.DUMMYFUNCTION("IFERROR(GOOGLETRANSLATE(B1259,""en"",""zh-TW""),)"),"")</f>
        <v/>
      </c>
      <c r="E1259" s="4" t="str">
        <f ca="1">IFERROR(__xludf.DUMMYFUNCTION("IFERROR(GOOGLETRANSLATE(B1259,""en"",""zh-CN""),)"),"")</f>
        <v/>
      </c>
    </row>
    <row r="1260" spans="1:5">
      <c r="A1260" s="3"/>
      <c r="B1260" s="4" t="str">
        <f ca="1">IFERROR(__xludf.DUMMYFUNCTION("IFERROR(GOOGLETRANSLATE(A1260,""ko"",""en""),)"),"")</f>
        <v/>
      </c>
      <c r="C1260" s="4" t="str">
        <f ca="1">IFERROR(__xludf.DUMMYFUNCTION("IFERROR(GOOGLETRANSLATE(B1260,""en"",""ja""),)"),"")</f>
        <v/>
      </c>
      <c r="D1260" s="4" t="str">
        <f ca="1">IFERROR(__xludf.DUMMYFUNCTION("IFERROR(GOOGLETRANSLATE(B1260,""en"",""zh-TW""),)"),"")</f>
        <v/>
      </c>
      <c r="E1260" s="4" t="str">
        <f ca="1">IFERROR(__xludf.DUMMYFUNCTION("IFERROR(GOOGLETRANSLATE(B1260,""en"",""zh-CN""),)"),"")</f>
        <v/>
      </c>
    </row>
    <row r="1261" spans="1:5">
      <c r="A1261" s="3"/>
      <c r="B1261" s="4" t="str">
        <f ca="1">IFERROR(__xludf.DUMMYFUNCTION("IFERROR(GOOGLETRANSLATE(A1261,""ko"",""en""),)"),"")</f>
        <v/>
      </c>
      <c r="C1261" s="4" t="str">
        <f ca="1">IFERROR(__xludf.DUMMYFUNCTION("IFERROR(GOOGLETRANSLATE(B1261,""en"",""ja""),)"),"")</f>
        <v/>
      </c>
      <c r="D1261" s="4" t="str">
        <f ca="1">IFERROR(__xludf.DUMMYFUNCTION("IFERROR(GOOGLETRANSLATE(B1261,""en"",""zh-TW""),)"),"")</f>
        <v/>
      </c>
      <c r="E1261" s="4" t="str">
        <f ca="1">IFERROR(__xludf.DUMMYFUNCTION("IFERROR(GOOGLETRANSLATE(B1261,""en"",""zh-CN""),)"),"")</f>
        <v/>
      </c>
    </row>
    <row r="1262" spans="1:5">
      <c r="A1262" s="3"/>
      <c r="B1262" s="4" t="str">
        <f ca="1">IFERROR(__xludf.DUMMYFUNCTION("IFERROR(GOOGLETRANSLATE(A1262,""ko"",""en""),)"),"")</f>
        <v/>
      </c>
      <c r="C1262" s="4" t="str">
        <f ca="1">IFERROR(__xludf.DUMMYFUNCTION("IFERROR(GOOGLETRANSLATE(B1262,""en"",""ja""),)"),"")</f>
        <v/>
      </c>
      <c r="D1262" s="4" t="str">
        <f ca="1">IFERROR(__xludf.DUMMYFUNCTION("IFERROR(GOOGLETRANSLATE(B1262,""en"",""zh-TW""),)"),"")</f>
        <v/>
      </c>
      <c r="E1262" s="4" t="str">
        <f ca="1">IFERROR(__xludf.DUMMYFUNCTION("IFERROR(GOOGLETRANSLATE(B1262,""en"",""zh-CN""),)"),"")</f>
        <v/>
      </c>
    </row>
    <row r="1263" spans="1:5">
      <c r="A1263" s="3"/>
      <c r="B1263" s="4" t="str">
        <f ca="1">IFERROR(__xludf.DUMMYFUNCTION("IFERROR(GOOGLETRANSLATE(A1263,""ko"",""en""),)"),"")</f>
        <v/>
      </c>
      <c r="C1263" s="4" t="str">
        <f ca="1">IFERROR(__xludf.DUMMYFUNCTION("IFERROR(GOOGLETRANSLATE(B1263,""en"",""ja""),)"),"")</f>
        <v/>
      </c>
      <c r="D1263" s="4" t="str">
        <f ca="1">IFERROR(__xludf.DUMMYFUNCTION("IFERROR(GOOGLETRANSLATE(B1263,""en"",""zh-TW""),)"),"")</f>
        <v/>
      </c>
      <c r="E1263" s="4" t="str">
        <f ca="1">IFERROR(__xludf.DUMMYFUNCTION("IFERROR(GOOGLETRANSLATE(B1263,""en"",""zh-CN""),)"),"")</f>
        <v/>
      </c>
    </row>
    <row r="1264" spans="1:5">
      <c r="A1264" s="3"/>
      <c r="B1264" s="4" t="str">
        <f ca="1">IFERROR(__xludf.DUMMYFUNCTION("IFERROR(GOOGLETRANSLATE(A1264,""ko"",""en""),)"),"")</f>
        <v/>
      </c>
      <c r="C1264" s="4" t="str">
        <f ca="1">IFERROR(__xludf.DUMMYFUNCTION("IFERROR(GOOGLETRANSLATE(B1264,""en"",""ja""),)"),"")</f>
        <v/>
      </c>
      <c r="D1264" s="4" t="str">
        <f ca="1">IFERROR(__xludf.DUMMYFUNCTION("IFERROR(GOOGLETRANSLATE(B1264,""en"",""zh-TW""),)"),"")</f>
        <v/>
      </c>
      <c r="E1264" s="4" t="str">
        <f ca="1">IFERROR(__xludf.DUMMYFUNCTION("IFERROR(GOOGLETRANSLATE(B1264,""en"",""zh-CN""),)"),"")</f>
        <v/>
      </c>
    </row>
    <row r="1265" spans="1:5">
      <c r="A1265" s="3"/>
      <c r="B1265" s="4" t="str">
        <f ca="1">IFERROR(__xludf.DUMMYFUNCTION("IFERROR(GOOGLETRANSLATE(A1265,""ko"",""en""),)"),"")</f>
        <v/>
      </c>
      <c r="C1265" s="4" t="str">
        <f ca="1">IFERROR(__xludf.DUMMYFUNCTION("IFERROR(GOOGLETRANSLATE(B1265,""en"",""ja""),)"),"")</f>
        <v/>
      </c>
      <c r="D1265" s="4" t="str">
        <f ca="1">IFERROR(__xludf.DUMMYFUNCTION("IFERROR(GOOGLETRANSLATE(B1265,""en"",""zh-TW""),)"),"")</f>
        <v/>
      </c>
      <c r="E1265" s="4" t="str">
        <f ca="1">IFERROR(__xludf.DUMMYFUNCTION("IFERROR(GOOGLETRANSLATE(B1265,""en"",""zh-CN""),)"),"")</f>
        <v/>
      </c>
    </row>
    <row r="1266" spans="1:5">
      <c r="A1266" s="3"/>
      <c r="B1266" s="4" t="str">
        <f ca="1">IFERROR(__xludf.DUMMYFUNCTION("IFERROR(GOOGLETRANSLATE(A1266,""ko"",""en""),)"),"")</f>
        <v/>
      </c>
      <c r="C1266" s="4" t="str">
        <f ca="1">IFERROR(__xludf.DUMMYFUNCTION("IFERROR(GOOGLETRANSLATE(B1266,""en"",""ja""),)"),"")</f>
        <v/>
      </c>
      <c r="D1266" s="4" t="str">
        <f ca="1">IFERROR(__xludf.DUMMYFUNCTION("IFERROR(GOOGLETRANSLATE(B1266,""en"",""zh-TW""),)"),"")</f>
        <v/>
      </c>
      <c r="E1266" s="4" t="str">
        <f ca="1">IFERROR(__xludf.DUMMYFUNCTION("IFERROR(GOOGLETRANSLATE(B1266,""en"",""zh-CN""),)"),"")</f>
        <v/>
      </c>
    </row>
    <row r="1267" spans="1:5">
      <c r="A1267" s="3"/>
      <c r="B1267" s="4" t="str">
        <f ca="1">IFERROR(__xludf.DUMMYFUNCTION("IFERROR(GOOGLETRANSLATE(A1267,""ko"",""en""),)"),"")</f>
        <v/>
      </c>
      <c r="C1267" s="4" t="str">
        <f ca="1">IFERROR(__xludf.DUMMYFUNCTION("IFERROR(GOOGLETRANSLATE(B1267,""en"",""ja""),)"),"")</f>
        <v/>
      </c>
      <c r="D1267" s="4" t="str">
        <f ca="1">IFERROR(__xludf.DUMMYFUNCTION("IFERROR(GOOGLETRANSLATE(B1267,""en"",""zh-TW""),)"),"")</f>
        <v/>
      </c>
      <c r="E1267" s="4" t="str">
        <f ca="1">IFERROR(__xludf.DUMMYFUNCTION("IFERROR(GOOGLETRANSLATE(B1267,""en"",""zh-CN""),)"),"")</f>
        <v/>
      </c>
    </row>
    <row r="1268" spans="1:5">
      <c r="A1268" s="3"/>
      <c r="B1268" s="4" t="str">
        <f ca="1">IFERROR(__xludf.DUMMYFUNCTION("IFERROR(GOOGLETRANSLATE(A1268,""ko"",""en""),)"),"")</f>
        <v/>
      </c>
      <c r="C1268" s="4" t="str">
        <f ca="1">IFERROR(__xludf.DUMMYFUNCTION("IFERROR(GOOGLETRANSLATE(B1268,""en"",""ja""),)"),"")</f>
        <v/>
      </c>
      <c r="D1268" s="4" t="str">
        <f ca="1">IFERROR(__xludf.DUMMYFUNCTION("IFERROR(GOOGLETRANSLATE(B1268,""en"",""zh-TW""),)"),"")</f>
        <v/>
      </c>
      <c r="E1268" s="4" t="str">
        <f ca="1">IFERROR(__xludf.DUMMYFUNCTION("IFERROR(GOOGLETRANSLATE(B1268,""en"",""zh-CN""),)"),"")</f>
        <v/>
      </c>
    </row>
    <row r="1269" spans="1:5">
      <c r="A1269" s="3"/>
      <c r="B1269" s="4" t="str">
        <f ca="1">IFERROR(__xludf.DUMMYFUNCTION("IFERROR(GOOGLETRANSLATE(A1269,""ko"",""en""),)"),"")</f>
        <v/>
      </c>
      <c r="C1269" s="4" t="str">
        <f ca="1">IFERROR(__xludf.DUMMYFUNCTION("IFERROR(GOOGLETRANSLATE(B1269,""en"",""ja""),)"),"")</f>
        <v/>
      </c>
      <c r="D1269" s="4" t="str">
        <f ca="1">IFERROR(__xludf.DUMMYFUNCTION("IFERROR(GOOGLETRANSLATE(B1269,""en"",""zh-TW""),)"),"")</f>
        <v/>
      </c>
      <c r="E1269" s="4" t="str">
        <f ca="1">IFERROR(__xludf.DUMMYFUNCTION("IFERROR(GOOGLETRANSLATE(B1269,""en"",""zh-CN""),)"),"")</f>
        <v/>
      </c>
    </row>
    <row r="1270" spans="1:5">
      <c r="A1270" s="3"/>
      <c r="B1270" s="4" t="str">
        <f ca="1">IFERROR(__xludf.DUMMYFUNCTION("IFERROR(GOOGLETRANSLATE(A1270,""ko"",""en""),)"),"")</f>
        <v/>
      </c>
      <c r="C1270" s="4" t="str">
        <f ca="1">IFERROR(__xludf.DUMMYFUNCTION("IFERROR(GOOGLETRANSLATE(B1270,""en"",""ja""),)"),"")</f>
        <v/>
      </c>
      <c r="D1270" s="4" t="str">
        <f ca="1">IFERROR(__xludf.DUMMYFUNCTION("IFERROR(GOOGLETRANSLATE(B1270,""en"",""zh-TW""),)"),"")</f>
        <v/>
      </c>
      <c r="E1270" s="4" t="str">
        <f ca="1">IFERROR(__xludf.DUMMYFUNCTION("IFERROR(GOOGLETRANSLATE(B1270,""en"",""zh-CN""),)"),"")</f>
        <v/>
      </c>
    </row>
    <row r="1271" spans="1:5">
      <c r="A1271" s="3"/>
      <c r="B1271" s="4" t="str">
        <f ca="1">IFERROR(__xludf.DUMMYFUNCTION("IFERROR(GOOGLETRANSLATE(A1271,""ko"",""en""),)"),"")</f>
        <v/>
      </c>
      <c r="C1271" s="4" t="str">
        <f ca="1">IFERROR(__xludf.DUMMYFUNCTION("IFERROR(GOOGLETRANSLATE(B1271,""en"",""ja""),)"),"")</f>
        <v/>
      </c>
      <c r="D1271" s="4" t="str">
        <f ca="1">IFERROR(__xludf.DUMMYFUNCTION("IFERROR(GOOGLETRANSLATE(B1271,""en"",""zh-TW""),)"),"")</f>
        <v/>
      </c>
      <c r="E1271" s="4" t="str">
        <f ca="1">IFERROR(__xludf.DUMMYFUNCTION("IFERROR(GOOGLETRANSLATE(B1271,""en"",""zh-CN""),)"),"")</f>
        <v/>
      </c>
    </row>
    <row r="1272" spans="1:5">
      <c r="A1272" s="3"/>
      <c r="B1272" s="4" t="str">
        <f ca="1">IFERROR(__xludf.DUMMYFUNCTION("IFERROR(GOOGLETRANSLATE(A1272,""ko"",""en""),)"),"")</f>
        <v/>
      </c>
      <c r="C1272" s="4" t="str">
        <f ca="1">IFERROR(__xludf.DUMMYFUNCTION("IFERROR(GOOGLETRANSLATE(B1272,""en"",""ja""),)"),"")</f>
        <v/>
      </c>
      <c r="D1272" s="4" t="str">
        <f ca="1">IFERROR(__xludf.DUMMYFUNCTION("IFERROR(GOOGLETRANSLATE(B1272,""en"",""zh-TW""),)"),"")</f>
        <v/>
      </c>
      <c r="E1272" s="4" t="str">
        <f ca="1">IFERROR(__xludf.DUMMYFUNCTION("IFERROR(GOOGLETRANSLATE(B1272,""en"",""zh-CN""),)"),"")</f>
        <v/>
      </c>
    </row>
    <row r="1273" spans="1:5">
      <c r="A1273" s="3"/>
      <c r="B1273" s="4" t="str">
        <f ca="1">IFERROR(__xludf.DUMMYFUNCTION("IFERROR(GOOGLETRANSLATE(A1273,""ko"",""en""),)"),"")</f>
        <v/>
      </c>
      <c r="C1273" s="4" t="str">
        <f ca="1">IFERROR(__xludf.DUMMYFUNCTION("IFERROR(GOOGLETRANSLATE(B1273,""en"",""ja""),)"),"")</f>
        <v/>
      </c>
      <c r="D1273" s="4" t="str">
        <f ca="1">IFERROR(__xludf.DUMMYFUNCTION("IFERROR(GOOGLETRANSLATE(B1273,""en"",""zh-TW""),)"),"")</f>
        <v/>
      </c>
      <c r="E1273" s="4" t="str">
        <f ca="1">IFERROR(__xludf.DUMMYFUNCTION("IFERROR(GOOGLETRANSLATE(B1273,""en"",""zh-CN""),)"),"")</f>
        <v/>
      </c>
    </row>
    <row r="1274" spans="1:5">
      <c r="A1274" s="3"/>
      <c r="B1274" s="4" t="str">
        <f ca="1">IFERROR(__xludf.DUMMYFUNCTION("IFERROR(GOOGLETRANSLATE(A1274,""ko"",""en""),)"),"")</f>
        <v/>
      </c>
      <c r="C1274" s="4" t="str">
        <f ca="1">IFERROR(__xludf.DUMMYFUNCTION("IFERROR(GOOGLETRANSLATE(B1274,""en"",""ja""),)"),"")</f>
        <v/>
      </c>
      <c r="D1274" s="4" t="str">
        <f ca="1">IFERROR(__xludf.DUMMYFUNCTION("IFERROR(GOOGLETRANSLATE(B1274,""en"",""zh-TW""),)"),"")</f>
        <v/>
      </c>
      <c r="E1274" s="4" t="str">
        <f ca="1">IFERROR(__xludf.DUMMYFUNCTION("IFERROR(GOOGLETRANSLATE(B1274,""en"",""zh-CN""),)"),"")</f>
        <v/>
      </c>
    </row>
    <row r="1275" spans="1:5">
      <c r="A1275" s="3"/>
      <c r="B1275" s="4" t="str">
        <f ca="1">IFERROR(__xludf.DUMMYFUNCTION("IFERROR(GOOGLETRANSLATE(A1275,""ko"",""en""),)"),"")</f>
        <v/>
      </c>
      <c r="C1275" s="4" t="str">
        <f ca="1">IFERROR(__xludf.DUMMYFUNCTION("IFERROR(GOOGLETRANSLATE(B1275,""en"",""ja""),)"),"")</f>
        <v/>
      </c>
      <c r="D1275" s="4" t="str">
        <f ca="1">IFERROR(__xludf.DUMMYFUNCTION("IFERROR(GOOGLETRANSLATE(B1275,""en"",""zh-TW""),)"),"")</f>
        <v/>
      </c>
      <c r="E1275" s="4" t="str">
        <f ca="1">IFERROR(__xludf.DUMMYFUNCTION("IFERROR(GOOGLETRANSLATE(B1275,""en"",""zh-CN""),)"),"")</f>
        <v/>
      </c>
    </row>
    <row r="1276" spans="1:5">
      <c r="A1276" s="3"/>
      <c r="B1276" s="4" t="str">
        <f ca="1">IFERROR(__xludf.DUMMYFUNCTION("IFERROR(GOOGLETRANSLATE(A1276,""ko"",""en""),)"),"")</f>
        <v/>
      </c>
      <c r="C1276" s="4" t="str">
        <f ca="1">IFERROR(__xludf.DUMMYFUNCTION("IFERROR(GOOGLETRANSLATE(B1276,""en"",""ja""),)"),"")</f>
        <v/>
      </c>
      <c r="D1276" s="4" t="str">
        <f ca="1">IFERROR(__xludf.DUMMYFUNCTION("IFERROR(GOOGLETRANSLATE(B1276,""en"",""zh-TW""),)"),"")</f>
        <v/>
      </c>
      <c r="E1276" s="4" t="str">
        <f ca="1">IFERROR(__xludf.DUMMYFUNCTION("IFERROR(GOOGLETRANSLATE(B1276,""en"",""zh-CN""),)"),"")</f>
        <v/>
      </c>
    </row>
    <row r="1277" spans="1:5">
      <c r="A1277" s="3"/>
      <c r="B1277" s="4" t="str">
        <f ca="1">IFERROR(__xludf.DUMMYFUNCTION("IFERROR(GOOGLETRANSLATE(A1277,""ko"",""en""),)"),"")</f>
        <v/>
      </c>
      <c r="C1277" s="4" t="str">
        <f ca="1">IFERROR(__xludf.DUMMYFUNCTION("IFERROR(GOOGLETRANSLATE(B1277,""en"",""ja""),)"),"")</f>
        <v/>
      </c>
      <c r="D1277" s="4" t="str">
        <f ca="1">IFERROR(__xludf.DUMMYFUNCTION("IFERROR(GOOGLETRANSLATE(B1277,""en"",""zh-TW""),)"),"")</f>
        <v/>
      </c>
      <c r="E1277" s="4" t="str">
        <f ca="1">IFERROR(__xludf.DUMMYFUNCTION("IFERROR(GOOGLETRANSLATE(B1277,""en"",""zh-CN""),)"),"")</f>
        <v/>
      </c>
    </row>
    <row r="1278" spans="1:5">
      <c r="A1278" s="3"/>
      <c r="B1278" s="4" t="str">
        <f ca="1">IFERROR(__xludf.DUMMYFUNCTION("IFERROR(GOOGLETRANSLATE(A1278,""ko"",""en""),)"),"")</f>
        <v/>
      </c>
      <c r="C1278" s="4" t="str">
        <f ca="1">IFERROR(__xludf.DUMMYFUNCTION("IFERROR(GOOGLETRANSLATE(B1278,""en"",""ja""),)"),"")</f>
        <v/>
      </c>
      <c r="D1278" s="4" t="str">
        <f ca="1">IFERROR(__xludf.DUMMYFUNCTION("IFERROR(GOOGLETRANSLATE(B1278,""en"",""zh-TW""),)"),"")</f>
        <v/>
      </c>
      <c r="E1278" s="4" t="str">
        <f ca="1">IFERROR(__xludf.DUMMYFUNCTION("IFERROR(GOOGLETRANSLATE(B1278,""en"",""zh-CN""),)"),"")</f>
        <v/>
      </c>
    </row>
    <row r="1279" spans="1:5">
      <c r="A1279" s="3"/>
      <c r="B1279" s="4" t="str">
        <f ca="1">IFERROR(__xludf.DUMMYFUNCTION("IFERROR(GOOGLETRANSLATE(A1279,""ko"",""en""),)"),"")</f>
        <v/>
      </c>
      <c r="C1279" s="4" t="str">
        <f ca="1">IFERROR(__xludf.DUMMYFUNCTION("IFERROR(GOOGLETRANSLATE(B1279,""en"",""ja""),)"),"")</f>
        <v/>
      </c>
      <c r="D1279" s="4" t="str">
        <f ca="1">IFERROR(__xludf.DUMMYFUNCTION("IFERROR(GOOGLETRANSLATE(B1279,""en"",""zh-TW""),)"),"")</f>
        <v/>
      </c>
      <c r="E1279" s="4" t="str">
        <f ca="1">IFERROR(__xludf.DUMMYFUNCTION("IFERROR(GOOGLETRANSLATE(B1279,""en"",""zh-CN""),)"),"")</f>
        <v/>
      </c>
    </row>
    <row r="1280" spans="1:5">
      <c r="A1280" s="3"/>
      <c r="B1280" s="4" t="str">
        <f ca="1">IFERROR(__xludf.DUMMYFUNCTION("IFERROR(GOOGLETRANSLATE(A1280,""ko"",""en""),)"),"")</f>
        <v/>
      </c>
      <c r="C1280" s="4" t="str">
        <f ca="1">IFERROR(__xludf.DUMMYFUNCTION("IFERROR(GOOGLETRANSLATE(B1280,""en"",""ja""),)"),"")</f>
        <v/>
      </c>
      <c r="D1280" s="4" t="str">
        <f ca="1">IFERROR(__xludf.DUMMYFUNCTION("IFERROR(GOOGLETRANSLATE(B1280,""en"",""zh-TW""),)"),"")</f>
        <v/>
      </c>
      <c r="E1280" s="4" t="str">
        <f ca="1">IFERROR(__xludf.DUMMYFUNCTION("IFERROR(GOOGLETRANSLATE(B1280,""en"",""zh-CN""),)"),"")</f>
        <v/>
      </c>
    </row>
    <row r="1281" spans="1:5">
      <c r="A1281" s="3"/>
      <c r="B1281" s="4" t="str">
        <f ca="1">IFERROR(__xludf.DUMMYFUNCTION("IFERROR(GOOGLETRANSLATE(A1281,""ko"",""en""),)"),"")</f>
        <v/>
      </c>
      <c r="C1281" s="4" t="str">
        <f ca="1">IFERROR(__xludf.DUMMYFUNCTION("IFERROR(GOOGLETRANSLATE(B1281,""en"",""ja""),)"),"")</f>
        <v/>
      </c>
      <c r="D1281" s="4" t="str">
        <f ca="1">IFERROR(__xludf.DUMMYFUNCTION("IFERROR(GOOGLETRANSLATE(B1281,""en"",""zh-TW""),)"),"")</f>
        <v/>
      </c>
      <c r="E1281" s="4" t="str">
        <f ca="1">IFERROR(__xludf.DUMMYFUNCTION("IFERROR(GOOGLETRANSLATE(B1281,""en"",""zh-CN""),)"),"")</f>
        <v/>
      </c>
    </row>
    <row r="1282" spans="1:5">
      <c r="A1282" s="3"/>
      <c r="B1282" s="4" t="str">
        <f ca="1">IFERROR(__xludf.DUMMYFUNCTION("IFERROR(GOOGLETRANSLATE(A1282,""ko"",""en""),)"),"")</f>
        <v/>
      </c>
      <c r="C1282" s="4" t="str">
        <f ca="1">IFERROR(__xludf.DUMMYFUNCTION("IFERROR(GOOGLETRANSLATE(B1282,""en"",""ja""),)"),"")</f>
        <v/>
      </c>
      <c r="D1282" s="4" t="str">
        <f ca="1">IFERROR(__xludf.DUMMYFUNCTION("IFERROR(GOOGLETRANSLATE(B1282,""en"",""zh-TW""),)"),"")</f>
        <v/>
      </c>
      <c r="E1282" s="4" t="str">
        <f ca="1">IFERROR(__xludf.DUMMYFUNCTION("IFERROR(GOOGLETRANSLATE(B1282,""en"",""zh-CN""),)"),"")</f>
        <v/>
      </c>
    </row>
    <row r="1283" spans="1:5">
      <c r="A1283" s="3"/>
      <c r="B1283" s="4" t="str">
        <f ca="1">IFERROR(__xludf.DUMMYFUNCTION("IFERROR(GOOGLETRANSLATE(A1283,""ko"",""en""),)"),"")</f>
        <v/>
      </c>
      <c r="C1283" s="4" t="str">
        <f ca="1">IFERROR(__xludf.DUMMYFUNCTION("IFERROR(GOOGLETRANSLATE(B1283,""en"",""ja""),)"),"")</f>
        <v/>
      </c>
      <c r="D1283" s="4" t="str">
        <f ca="1">IFERROR(__xludf.DUMMYFUNCTION("IFERROR(GOOGLETRANSLATE(B1283,""en"",""zh-TW""),)"),"")</f>
        <v/>
      </c>
      <c r="E1283" s="4" t="str">
        <f ca="1">IFERROR(__xludf.DUMMYFUNCTION("IFERROR(GOOGLETRANSLATE(B1283,""en"",""zh-CN""),)"),"")</f>
        <v/>
      </c>
    </row>
    <row r="1284" spans="1:5">
      <c r="A1284" s="3"/>
      <c r="B1284" s="4" t="str">
        <f ca="1">IFERROR(__xludf.DUMMYFUNCTION("IFERROR(GOOGLETRANSLATE(A1284,""ko"",""en""),)"),"")</f>
        <v/>
      </c>
      <c r="C1284" s="4" t="str">
        <f ca="1">IFERROR(__xludf.DUMMYFUNCTION("IFERROR(GOOGLETRANSLATE(B1284,""en"",""ja""),)"),"")</f>
        <v/>
      </c>
      <c r="D1284" s="4" t="str">
        <f ca="1">IFERROR(__xludf.DUMMYFUNCTION("IFERROR(GOOGLETRANSLATE(B1284,""en"",""zh-TW""),)"),"")</f>
        <v/>
      </c>
      <c r="E1284" s="4" t="str">
        <f ca="1">IFERROR(__xludf.DUMMYFUNCTION("IFERROR(GOOGLETRANSLATE(B1284,""en"",""zh-CN""),)"),"")</f>
        <v/>
      </c>
    </row>
    <row r="1285" spans="1:5">
      <c r="A1285" s="3"/>
      <c r="B1285" s="4" t="str">
        <f ca="1">IFERROR(__xludf.DUMMYFUNCTION("IFERROR(GOOGLETRANSLATE(A1285,""ko"",""en""),)"),"")</f>
        <v/>
      </c>
      <c r="C1285" s="4" t="str">
        <f ca="1">IFERROR(__xludf.DUMMYFUNCTION("IFERROR(GOOGLETRANSLATE(B1285,""en"",""ja""),)"),"")</f>
        <v/>
      </c>
      <c r="D1285" s="4" t="str">
        <f ca="1">IFERROR(__xludf.DUMMYFUNCTION("IFERROR(GOOGLETRANSLATE(B1285,""en"",""zh-TW""),)"),"")</f>
        <v/>
      </c>
      <c r="E1285" s="4" t="str">
        <f ca="1">IFERROR(__xludf.DUMMYFUNCTION("IFERROR(GOOGLETRANSLATE(B1285,""en"",""zh-CN""),)"),"")</f>
        <v/>
      </c>
    </row>
    <row r="1286" spans="1:5">
      <c r="A1286" s="3"/>
      <c r="B1286" s="4" t="str">
        <f ca="1">IFERROR(__xludf.DUMMYFUNCTION("IFERROR(GOOGLETRANSLATE(A1286,""ko"",""en""),)"),"")</f>
        <v/>
      </c>
      <c r="C1286" s="4" t="str">
        <f ca="1">IFERROR(__xludf.DUMMYFUNCTION("IFERROR(GOOGLETRANSLATE(B1286,""en"",""ja""),)"),"")</f>
        <v/>
      </c>
      <c r="D1286" s="4" t="str">
        <f ca="1">IFERROR(__xludf.DUMMYFUNCTION("IFERROR(GOOGLETRANSLATE(B1286,""en"",""zh-TW""),)"),"")</f>
        <v/>
      </c>
      <c r="E1286" s="4" t="str">
        <f ca="1">IFERROR(__xludf.DUMMYFUNCTION("IFERROR(GOOGLETRANSLATE(B1286,""en"",""zh-CN""),)"),"")</f>
        <v/>
      </c>
    </row>
    <row r="1287" spans="1:5">
      <c r="A1287" s="3"/>
      <c r="B1287" s="4" t="str">
        <f ca="1">IFERROR(__xludf.DUMMYFUNCTION("IFERROR(GOOGLETRANSLATE(A1287,""ko"",""en""),)"),"")</f>
        <v/>
      </c>
      <c r="C1287" s="4" t="str">
        <f ca="1">IFERROR(__xludf.DUMMYFUNCTION("IFERROR(GOOGLETRANSLATE(B1287,""en"",""ja""),)"),"")</f>
        <v/>
      </c>
      <c r="D1287" s="4" t="str">
        <f ca="1">IFERROR(__xludf.DUMMYFUNCTION("IFERROR(GOOGLETRANSLATE(B1287,""en"",""zh-TW""),)"),"")</f>
        <v/>
      </c>
      <c r="E1287" s="4" t="str">
        <f ca="1">IFERROR(__xludf.DUMMYFUNCTION("IFERROR(GOOGLETRANSLATE(B1287,""en"",""zh-CN""),)"),"")</f>
        <v/>
      </c>
    </row>
    <row r="1288" spans="1:5">
      <c r="A1288" s="3"/>
      <c r="B1288" s="4" t="str">
        <f ca="1">IFERROR(__xludf.DUMMYFUNCTION("IFERROR(GOOGLETRANSLATE(A1288,""ko"",""en""),)"),"")</f>
        <v/>
      </c>
      <c r="C1288" s="4" t="str">
        <f ca="1">IFERROR(__xludf.DUMMYFUNCTION("IFERROR(GOOGLETRANSLATE(B1288,""en"",""ja""),)"),"")</f>
        <v/>
      </c>
      <c r="D1288" s="4" t="str">
        <f ca="1">IFERROR(__xludf.DUMMYFUNCTION("IFERROR(GOOGLETRANSLATE(B1288,""en"",""zh-TW""),)"),"")</f>
        <v/>
      </c>
      <c r="E1288" s="4" t="str">
        <f ca="1">IFERROR(__xludf.DUMMYFUNCTION("IFERROR(GOOGLETRANSLATE(B1288,""en"",""zh-CN""),)"),"")</f>
        <v/>
      </c>
    </row>
    <row r="1289" spans="1:5">
      <c r="A1289" s="3"/>
      <c r="B1289" s="4" t="str">
        <f ca="1">IFERROR(__xludf.DUMMYFUNCTION("IFERROR(GOOGLETRANSLATE(A1289,""ko"",""en""),)"),"")</f>
        <v/>
      </c>
      <c r="C1289" s="4" t="str">
        <f ca="1">IFERROR(__xludf.DUMMYFUNCTION("IFERROR(GOOGLETRANSLATE(B1289,""en"",""ja""),)"),"")</f>
        <v/>
      </c>
      <c r="D1289" s="4" t="str">
        <f ca="1">IFERROR(__xludf.DUMMYFUNCTION("IFERROR(GOOGLETRANSLATE(B1289,""en"",""zh-TW""),)"),"")</f>
        <v/>
      </c>
      <c r="E1289" s="4" t="str">
        <f ca="1">IFERROR(__xludf.DUMMYFUNCTION("IFERROR(GOOGLETRANSLATE(B1289,""en"",""zh-CN""),)"),"")</f>
        <v/>
      </c>
    </row>
    <row r="1290" spans="1:5">
      <c r="A1290" s="3"/>
      <c r="B1290" s="4" t="str">
        <f ca="1">IFERROR(__xludf.DUMMYFUNCTION("IFERROR(GOOGLETRANSLATE(A1290,""ko"",""en""),)"),"")</f>
        <v/>
      </c>
      <c r="C1290" s="4" t="str">
        <f ca="1">IFERROR(__xludf.DUMMYFUNCTION("IFERROR(GOOGLETRANSLATE(B1290,""en"",""ja""),)"),"")</f>
        <v/>
      </c>
      <c r="D1290" s="4" t="str">
        <f ca="1">IFERROR(__xludf.DUMMYFUNCTION("IFERROR(GOOGLETRANSLATE(B1290,""en"",""zh-TW""),)"),"")</f>
        <v/>
      </c>
      <c r="E1290" s="4" t="str">
        <f ca="1">IFERROR(__xludf.DUMMYFUNCTION("IFERROR(GOOGLETRANSLATE(B1290,""en"",""zh-CN""),)"),"")</f>
        <v/>
      </c>
    </row>
    <row r="1291" spans="1:5">
      <c r="A1291" s="3"/>
      <c r="B1291" s="4" t="str">
        <f ca="1">IFERROR(__xludf.DUMMYFUNCTION("IFERROR(GOOGLETRANSLATE(A1291,""ko"",""en""),)"),"")</f>
        <v/>
      </c>
      <c r="C1291" s="4" t="str">
        <f ca="1">IFERROR(__xludf.DUMMYFUNCTION("IFERROR(GOOGLETRANSLATE(B1291,""en"",""ja""),)"),"")</f>
        <v/>
      </c>
      <c r="D1291" s="4" t="str">
        <f ca="1">IFERROR(__xludf.DUMMYFUNCTION("IFERROR(GOOGLETRANSLATE(B1291,""en"",""zh-TW""),)"),"")</f>
        <v/>
      </c>
      <c r="E1291" s="4" t="str">
        <f ca="1">IFERROR(__xludf.DUMMYFUNCTION("IFERROR(GOOGLETRANSLATE(B1291,""en"",""zh-CN""),)"),"")</f>
        <v/>
      </c>
    </row>
    <row r="1292" spans="1:5">
      <c r="A1292" s="3"/>
      <c r="B1292" s="4" t="str">
        <f ca="1">IFERROR(__xludf.DUMMYFUNCTION("IFERROR(GOOGLETRANSLATE(A1292,""ko"",""en""),)"),"")</f>
        <v/>
      </c>
      <c r="C1292" s="4" t="str">
        <f ca="1">IFERROR(__xludf.DUMMYFUNCTION("IFERROR(GOOGLETRANSLATE(B1292,""en"",""ja""),)"),"")</f>
        <v/>
      </c>
      <c r="D1292" s="4" t="str">
        <f ca="1">IFERROR(__xludf.DUMMYFUNCTION("IFERROR(GOOGLETRANSLATE(B1292,""en"",""zh-TW""),)"),"")</f>
        <v/>
      </c>
      <c r="E1292" s="4" t="str">
        <f ca="1">IFERROR(__xludf.DUMMYFUNCTION("IFERROR(GOOGLETRANSLATE(B1292,""en"",""zh-CN""),)"),"")</f>
        <v/>
      </c>
    </row>
    <row r="1293" spans="1:5">
      <c r="A1293" s="3"/>
      <c r="B1293" s="4" t="str">
        <f ca="1">IFERROR(__xludf.DUMMYFUNCTION("IFERROR(GOOGLETRANSLATE(A1293,""ko"",""en""),)"),"")</f>
        <v/>
      </c>
      <c r="C1293" s="4" t="str">
        <f ca="1">IFERROR(__xludf.DUMMYFUNCTION("IFERROR(GOOGLETRANSLATE(B1293,""en"",""ja""),)"),"")</f>
        <v/>
      </c>
      <c r="D1293" s="4" t="str">
        <f ca="1">IFERROR(__xludf.DUMMYFUNCTION("IFERROR(GOOGLETRANSLATE(B1293,""en"",""zh-TW""),)"),"")</f>
        <v/>
      </c>
      <c r="E1293" s="4" t="str">
        <f ca="1">IFERROR(__xludf.DUMMYFUNCTION("IFERROR(GOOGLETRANSLATE(B1293,""en"",""zh-CN""),)"),"")</f>
        <v/>
      </c>
    </row>
    <row r="1294" spans="1:5">
      <c r="A1294" s="3"/>
      <c r="B1294" s="4" t="str">
        <f ca="1">IFERROR(__xludf.DUMMYFUNCTION("IFERROR(GOOGLETRANSLATE(A1294,""ko"",""en""),)"),"")</f>
        <v/>
      </c>
      <c r="C1294" s="4" t="str">
        <f ca="1">IFERROR(__xludf.DUMMYFUNCTION("IFERROR(GOOGLETRANSLATE(B1294,""en"",""ja""),)"),"")</f>
        <v/>
      </c>
      <c r="D1294" s="4" t="str">
        <f ca="1">IFERROR(__xludf.DUMMYFUNCTION("IFERROR(GOOGLETRANSLATE(B1294,""en"",""zh-TW""),)"),"")</f>
        <v/>
      </c>
      <c r="E1294" s="4" t="str">
        <f ca="1">IFERROR(__xludf.DUMMYFUNCTION("IFERROR(GOOGLETRANSLATE(B1294,""en"",""zh-CN""),)"),"")</f>
        <v/>
      </c>
    </row>
    <row r="1295" spans="1:5">
      <c r="A1295" s="3"/>
      <c r="B1295" s="4" t="str">
        <f ca="1">IFERROR(__xludf.DUMMYFUNCTION("IFERROR(GOOGLETRANSLATE(A1295,""ko"",""en""),)"),"")</f>
        <v/>
      </c>
      <c r="C1295" s="4" t="str">
        <f ca="1">IFERROR(__xludf.DUMMYFUNCTION("IFERROR(GOOGLETRANSLATE(B1295,""en"",""ja""),)"),"")</f>
        <v/>
      </c>
      <c r="D1295" s="4" t="str">
        <f ca="1">IFERROR(__xludf.DUMMYFUNCTION("IFERROR(GOOGLETRANSLATE(B1295,""en"",""zh-TW""),)"),"")</f>
        <v/>
      </c>
      <c r="E1295" s="4" t="str">
        <f ca="1">IFERROR(__xludf.DUMMYFUNCTION("IFERROR(GOOGLETRANSLATE(B1295,""en"",""zh-CN""),)"),"")</f>
        <v/>
      </c>
    </row>
    <row r="1296" spans="1:5">
      <c r="A1296" s="3"/>
      <c r="B1296" s="4" t="str">
        <f ca="1">IFERROR(__xludf.DUMMYFUNCTION("IFERROR(GOOGLETRANSLATE(A1296,""ko"",""en""),)"),"")</f>
        <v/>
      </c>
      <c r="C1296" s="4" t="str">
        <f ca="1">IFERROR(__xludf.DUMMYFUNCTION("IFERROR(GOOGLETRANSLATE(B1296,""en"",""ja""),)"),"")</f>
        <v/>
      </c>
      <c r="D1296" s="4" t="str">
        <f ca="1">IFERROR(__xludf.DUMMYFUNCTION("IFERROR(GOOGLETRANSLATE(B1296,""en"",""zh-TW""),)"),"")</f>
        <v/>
      </c>
      <c r="E1296" s="4" t="str">
        <f ca="1">IFERROR(__xludf.DUMMYFUNCTION("IFERROR(GOOGLETRANSLATE(B1296,""en"",""zh-CN""),)"),"")</f>
        <v/>
      </c>
    </row>
    <row r="1297" spans="1:5">
      <c r="A1297" s="3"/>
      <c r="B1297" s="4" t="str">
        <f ca="1">IFERROR(__xludf.DUMMYFUNCTION("IFERROR(GOOGLETRANSLATE(A1297,""ko"",""en""),)"),"")</f>
        <v/>
      </c>
      <c r="C1297" s="4" t="str">
        <f ca="1">IFERROR(__xludf.DUMMYFUNCTION("IFERROR(GOOGLETRANSLATE(B1297,""en"",""ja""),)"),"")</f>
        <v/>
      </c>
      <c r="D1297" s="4" t="str">
        <f ca="1">IFERROR(__xludf.DUMMYFUNCTION("IFERROR(GOOGLETRANSLATE(B1297,""en"",""zh-TW""),)"),"")</f>
        <v/>
      </c>
      <c r="E1297" s="4" t="str">
        <f ca="1">IFERROR(__xludf.DUMMYFUNCTION("IFERROR(GOOGLETRANSLATE(B1297,""en"",""zh-CN""),)"),"")</f>
        <v/>
      </c>
    </row>
    <row r="1298" spans="1:5">
      <c r="A1298" s="3"/>
      <c r="B1298" s="4" t="str">
        <f ca="1">IFERROR(__xludf.DUMMYFUNCTION("IFERROR(GOOGLETRANSLATE(A1298,""ko"",""en""),)"),"")</f>
        <v/>
      </c>
      <c r="C1298" s="4" t="str">
        <f ca="1">IFERROR(__xludf.DUMMYFUNCTION("IFERROR(GOOGLETRANSLATE(B1298,""en"",""ja""),)"),"")</f>
        <v/>
      </c>
      <c r="D1298" s="4" t="str">
        <f ca="1">IFERROR(__xludf.DUMMYFUNCTION("IFERROR(GOOGLETRANSLATE(B1298,""en"",""zh-TW""),)"),"")</f>
        <v/>
      </c>
      <c r="E1298" s="4" t="str">
        <f ca="1">IFERROR(__xludf.DUMMYFUNCTION("IFERROR(GOOGLETRANSLATE(B1298,""en"",""zh-CN""),)"),"")</f>
        <v/>
      </c>
    </row>
    <row r="1299" spans="1:5">
      <c r="A1299" s="3"/>
      <c r="B1299" s="4" t="str">
        <f ca="1">IFERROR(__xludf.DUMMYFUNCTION("IFERROR(GOOGLETRANSLATE(A1299,""ko"",""en""),)"),"")</f>
        <v/>
      </c>
      <c r="C1299" s="4" t="str">
        <f ca="1">IFERROR(__xludf.DUMMYFUNCTION("IFERROR(GOOGLETRANSLATE(B1299,""en"",""ja""),)"),"")</f>
        <v/>
      </c>
      <c r="D1299" s="4" t="str">
        <f ca="1">IFERROR(__xludf.DUMMYFUNCTION("IFERROR(GOOGLETRANSLATE(B1299,""en"",""zh-TW""),)"),"")</f>
        <v/>
      </c>
      <c r="E1299" s="4" t="str">
        <f ca="1">IFERROR(__xludf.DUMMYFUNCTION("IFERROR(GOOGLETRANSLATE(B1299,""en"",""zh-CN""),)"),"")</f>
        <v/>
      </c>
    </row>
    <row r="1300" spans="1:5">
      <c r="A1300" s="3"/>
      <c r="B1300" s="4" t="str">
        <f ca="1">IFERROR(__xludf.DUMMYFUNCTION("IFERROR(GOOGLETRANSLATE(A1300,""ko"",""en""),)"),"")</f>
        <v/>
      </c>
      <c r="C1300" s="4" t="str">
        <f ca="1">IFERROR(__xludf.DUMMYFUNCTION("IFERROR(GOOGLETRANSLATE(B1300,""en"",""ja""),)"),"")</f>
        <v/>
      </c>
      <c r="D1300" s="4" t="str">
        <f ca="1">IFERROR(__xludf.DUMMYFUNCTION("IFERROR(GOOGLETRANSLATE(B1300,""en"",""zh-TW""),)"),"")</f>
        <v/>
      </c>
      <c r="E1300" s="4" t="str">
        <f ca="1">IFERROR(__xludf.DUMMYFUNCTION("IFERROR(GOOGLETRANSLATE(B1300,""en"",""zh-CN""),)"),"")</f>
        <v/>
      </c>
    </row>
    <row r="1301" spans="1:5">
      <c r="A1301" s="3"/>
      <c r="B1301" s="4" t="str">
        <f ca="1">IFERROR(__xludf.DUMMYFUNCTION("IFERROR(GOOGLETRANSLATE(A1301,""ko"",""en""),)"),"")</f>
        <v/>
      </c>
      <c r="C1301" s="4" t="str">
        <f ca="1">IFERROR(__xludf.DUMMYFUNCTION("IFERROR(GOOGLETRANSLATE(B1301,""en"",""ja""),)"),"")</f>
        <v/>
      </c>
      <c r="D1301" s="4" t="str">
        <f ca="1">IFERROR(__xludf.DUMMYFUNCTION("IFERROR(GOOGLETRANSLATE(B1301,""en"",""zh-TW""),)"),"")</f>
        <v/>
      </c>
      <c r="E1301" s="4" t="str">
        <f ca="1">IFERROR(__xludf.DUMMYFUNCTION("IFERROR(GOOGLETRANSLATE(B1301,""en"",""zh-CN""),)"),"")</f>
        <v/>
      </c>
    </row>
    <row r="1302" spans="1:5">
      <c r="A1302" s="3"/>
      <c r="B1302" s="4" t="str">
        <f ca="1">IFERROR(__xludf.DUMMYFUNCTION("IFERROR(GOOGLETRANSLATE(A1302,""ko"",""en""),)"),"")</f>
        <v/>
      </c>
      <c r="C1302" s="4" t="str">
        <f ca="1">IFERROR(__xludf.DUMMYFUNCTION("IFERROR(GOOGLETRANSLATE(B1302,""en"",""ja""),)"),"")</f>
        <v/>
      </c>
      <c r="D1302" s="4" t="str">
        <f ca="1">IFERROR(__xludf.DUMMYFUNCTION("IFERROR(GOOGLETRANSLATE(B1302,""en"",""zh-TW""),)"),"")</f>
        <v/>
      </c>
      <c r="E1302" s="4" t="str">
        <f ca="1">IFERROR(__xludf.DUMMYFUNCTION("IFERROR(GOOGLETRANSLATE(B1302,""en"",""zh-CN""),)"),"")</f>
        <v/>
      </c>
    </row>
    <row r="1303" spans="1:5">
      <c r="A1303" s="3"/>
      <c r="B1303" s="4" t="str">
        <f ca="1">IFERROR(__xludf.DUMMYFUNCTION("IFERROR(GOOGLETRANSLATE(A1303,""ko"",""en""),)"),"")</f>
        <v/>
      </c>
      <c r="C1303" s="4" t="str">
        <f ca="1">IFERROR(__xludf.DUMMYFUNCTION("IFERROR(GOOGLETRANSLATE(B1303,""en"",""ja""),)"),"")</f>
        <v/>
      </c>
      <c r="D1303" s="4" t="str">
        <f ca="1">IFERROR(__xludf.DUMMYFUNCTION("IFERROR(GOOGLETRANSLATE(B1303,""en"",""zh-TW""),)"),"")</f>
        <v/>
      </c>
      <c r="E1303" s="4" t="str">
        <f ca="1">IFERROR(__xludf.DUMMYFUNCTION("IFERROR(GOOGLETRANSLATE(B1303,""en"",""zh-CN""),)"),"")</f>
        <v/>
      </c>
    </row>
    <row r="1304" spans="1:5">
      <c r="A1304" s="3"/>
      <c r="B1304" s="4" t="str">
        <f ca="1">IFERROR(__xludf.DUMMYFUNCTION("IFERROR(GOOGLETRANSLATE(A1304,""ko"",""en""),)"),"")</f>
        <v/>
      </c>
      <c r="C1304" s="4" t="str">
        <f ca="1">IFERROR(__xludf.DUMMYFUNCTION("IFERROR(GOOGLETRANSLATE(B1304,""en"",""ja""),)"),"")</f>
        <v/>
      </c>
      <c r="D1304" s="4" t="str">
        <f ca="1">IFERROR(__xludf.DUMMYFUNCTION("IFERROR(GOOGLETRANSLATE(B1304,""en"",""zh-TW""),)"),"")</f>
        <v/>
      </c>
      <c r="E1304" s="4" t="str">
        <f ca="1">IFERROR(__xludf.DUMMYFUNCTION("IFERROR(GOOGLETRANSLATE(B1304,""en"",""zh-CN""),)"),"")</f>
        <v/>
      </c>
    </row>
    <row r="1305" spans="1:5">
      <c r="A1305" s="3"/>
      <c r="B1305" s="4" t="str">
        <f ca="1">IFERROR(__xludf.DUMMYFUNCTION("IFERROR(GOOGLETRANSLATE(A1305,""ko"",""en""),)"),"")</f>
        <v/>
      </c>
      <c r="C1305" s="4" t="str">
        <f ca="1">IFERROR(__xludf.DUMMYFUNCTION("IFERROR(GOOGLETRANSLATE(B1305,""en"",""ja""),)"),"")</f>
        <v/>
      </c>
      <c r="D1305" s="4" t="str">
        <f ca="1">IFERROR(__xludf.DUMMYFUNCTION("IFERROR(GOOGLETRANSLATE(B1305,""en"",""zh-TW""),)"),"")</f>
        <v/>
      </c>
      <c r="E1305" s="4" t="str">
        <f ca="1">IFERROR(__xludf.DUMMYFUNCTION("IFERROR(GOOGLETRANSLATE(B1305,""en"",""zh-CN""),)"),"")</f>
        <v/>
      </c>
    </row>
    <row r="1306" spans="1:5">
      <c r="A1306" s="3"/>
      <c r="B1306" s="4" t="str">
        <f ca="1">IFERROR(__xludf.DUMMYFUNCTION("IFERROR(GOOGLETRANSLATE(A1306,""ko"",""en""),)"),"")</f>
        <v/>
      </c>
      <c r="C1306" s="4" t="str">
        <f ca="1">IFERROR(__xludf.DUMMYFUNCTION("IFERROR(GOOGLETRANSLATE(B1306,""en"",""ja""),)"),"")</f>
        <v/>
      </c>
      <c r="D1306" s="4" t="str">
        <f ca="1">IFERROR(__xludf.DUMMYFUNCTION("IFERROR(GOOGLETRANSLATE(B1306,""en"",""zh-TW""),)"),"")</f>
        <v/>
      </c>
      <c r="E1306" s="4" t="str">
        <f ca="1">IFERROR(__xludf.DUMMYFUNCTION("IFERROR(GOOGLETRANSLATE(B1306,""en"",""zh-CN""),)"),"")</f>
        <v/>
      </c>
    </row>
    <row r="1307" spans="1:5">
      <c r="A1307" s="3"/>
      <c r="B1307" s="4" t="str">
        <f ca="1">IFERROR(__xludf.DUMMYFUNCTION("IFERROR(GOOGLETRANSLATE(A1307,""ko"",""en""),)"),"")</f>
        <v/>
      </c>
      <c r="C1307" s="4" t="str">
        <f ca="1">IFERROR(__xludf.DUMMYFUNCTION("IFERROR(GOOGLETRANSLATE(B1307,""en"",""ja""),)"),"")</f>
        <v/>
      </c>
      <c r="D1307" s="4" t="str">
        <f ca="1">IFERROR(__xludf.DUMMYFUNCTION("IFERROR(GOOGLETRANSLATE(B1307,""en"",""zh-TW""),)"),"")</f>
        <v/>
      </c>
      <c r="E1307" s="4" t="str">
        <f ca="1">IFERROR(__xludf.DUMMYFUNCTION("IFERROR(GOOGLETRANSLATE(B1307,""en"",""zh-CN""),)"),"")</f>
        <v/>
      </c>
    </row>
    <row r="1308" spans="1:5">
      <c r="A1308" s="3"/>
      <c r="B1308" s="4" t="str">
        <f ca="1">IFERROR(__xludf.DUMMYFUNCTION("IFERROR(GOOGLETRANSLATE(A1308,""ko"",""en""),)"),"")</f>
        <v/>
      </c>
      <c r="C1308" s="4" t="str">
        <f ca="1">IFERROR(__xludf.DUMMYFUNCTION("IFERROR(GOOGLETRANSLATE(B1308,""en"",""ja""),)"),"")</f>
        <v/>
      </c>
      <c r="D1308" s="4" t="str">
        <f ca="1">IFERROR(__xludf.DUMMYFUNCTION("IFERROR(GOOGLETRANSLATE(B1308,""en"",""zh-TW""),)"),"")</f>
        <v/>
      </c>
      <c r="E1308" s="4" t="str">
        <f ca="1">IFERROR(__xludf.DUMMYFUNCTION("IFERROR(GOOGLETRANSLATE(B1308,""en"",""zh-CN""),)"),"")</f>
        <v/>
      </c>
    </row>
    <row r="1309" spans="1:5">
      <c r="A1309" s="3"/>
      <c r="B1309" s="4" t="str">
        <f ca="1">IFERROR(__xludf.DUMMYFUNCTION("IFERROR(GOOGLETRANSLATE(A1309,""ko"",""en""),)"),"")</f>
        <v/>
      </c>
      <c r="C1309" s="4" t="str">
        <f ca="1">IFERROR(__xludf.DUMMYFUNCTION("IFERROR(GOOGLETRANSLATE(B1309,""en"",""ja""),)"),"")</f>
        <v/>
      </c>
      <c r="D1309" s="4" t="str">
        <f ca="1">IFERROR(__xludf.DUMMYFUNCTION("IFERROR(GOOGLETRANSLATE(B1309,""en"",""zh-TW""),)"),"")</f>
        <v/>
      </c>
      <c r="E1309" s="4" t="str">
        <f ca="1">IFERROR(__xludf.DUMMYFUNCTION("IFERROR(GOOGLETRANSLATE(B1309,""en"",""zh-CN""),)"),"")</f>
        <v/>
      </c>
    </row>
    <row r="1310" spans="1:5">
      <c r="A1310" s="3"/>
      <c r="B1310" s="4" t="str">
        <f ca="1">IFERROR(__xludf.DUMMYFUNCTION("IFERROR(GOOGLETRANSLATE(A1310,""ko"",""en""),)"),"")</f>
        <v/>
      </c>
      <c r="C1310" s="4" t="str">
        <f ca="1">IFERROR(__xludf.DUMMYFUNCTION("IFERROR(GOOGLETRANSLATE(B1310,""en"",""ja""),)"),"")</f>
        <v/>
      </c>
      <c r="D1310" s="4" t="str">
        <f ca="1">IFERROR(__xludf.DUMMYFUNCTION("IFERROR(GOOGLETRANSLATE(B1310,""en"",""zh-TW""),)"),"")</f>
        <v/>
      </c>
      <c r="E1310" s="4" t="str">
        <f ca="1">IFERROR(__xludf.DUMMYFUNCTION("IFERROR(GOOGLETRANSLATE(B1310,""en"",""zh-CN""),)"),"")</f>
        <v/>
      </c>
    </row>
    <row r="1311" spans="1:5">
      <c r="A1311" s="3"/>
      <c r="B1311" s="4" t="str">
        <f ca="1">IFERROR(__xludf.DUMMYFUNCTION("IFERROR(GOOGLETRANSLATE(A1311,""ko"",""en""),)"),"")</f>
        <v/>
      </c>
      <c r="C1311" s="4" t="str">
        <f ca="1">IFERROR(__xludf.DUMMYFUNCTION("IFERROR(GOOGLETRANSLATE(B1311,""en"",""ja""),)"),"")</f>
        <v/>
      </c>
      <c r="D1311" s="4" t="str">
        <f ca="1">IFERROR(__xludf.DUMMYFUNCTION("IFERROR(GOOGLETRANSLATE(B1311,""en"",""zh-TW""),)"),"")</f>
        <v/>
      </c>
      <c r="E1311" s="4" t="str">
        <f ca="1">IFERROR(__xludf.DUMMYFUNCTION("IFERROR(GOOGLETRANSLATE(B1311,""en"",""zh-CN""),)"),"")</f>
        <v/>
      </c>
    </row>
    <row r="1312" spans="1:5">
      <c r="A1312" s="3"/>
      <c r="B1312" s="4" t="str">
        <f ca="1">IFERROR(__xludf.DUMMYFUNCTION("IFERROR(GOOGLETRANSLATE(A1312,""ko"",""en""),)"),"")</f>
        <v/>
      </c>
      <c r="C1312" s="4" t="str">
        <f ca="1">IFERROR(__xludf.DUMMYFUNCTION("IFERROR(GOOGLETRANSLATE(B1312,""en"",""ja""),)"),"")</f>
        <v/>
      </c>
      <c r="D1312" s="4" t="str">
        <f ca="1">IFERROR(__xludf.DUMMYFUNCTION("IFERROR(GOOGLETRANSLATE(B1312,""en"",""zh-TW""),)"),"")</f>
        <v/>
      </c>
      <c r="E1312" s="4" t="str">
        <f ca="1">IFERROR(__xludf.DUMMYFUNCTION("IFERROR(GOOGLETRANSLATE(B1312,""en"",""zh-CN""),)"),"")</f>
        <v/>
      </c>
    </row>
    <row r="1313" spans="1:5">
      <c r="A1313" s="3"/>
      <c r="B1313" s="4" t="str">
        <f ca="1">IFERROR(__xludf.DUMMYFUNCTION("IFERROR(GOOGLETRANSLATE(A1313,""ko"",""en""),)"),"")</f>
        <v/>
      </c>
      <c r="C1313" s="4" t="str">
        <f ca="1">IFERROR(__xludf.DUMMYFUNCTION("IFERROR(GOOGLETRANSLATE(B1313,""en"",""ja""),)"),"")</f>
        <v/>
      </c>
      <c r="D1313" s="4" t="str">
        <f ca="1">IFERROR(__xludf.DUMMYFUNCTION("IFERROR(GOOGLETRANSLATE(B1313,""en"",""zh-TW""),)"),"")</f>
        <v/>
      </c>
      <c r="E1313" s="4" t="str">
        <f ca="1">IFERROR(__xludf.DUMMYFUNCTION("IFERROR(GOOGLETRANSLATE(B1313,""en"",""zh-CN""),)"),"")</f>
        <v/>
      </c>
    </row>
    <row r="1314" spans="1:5">
      <c r="A1314" s="3"/>
      <c r="B1314" s="4" t="str">
        <f ca="1">IFERROR(__xludf.DUMMYFUNCTION("IFERROR(GOOGLETRANSLATE(A1314,""ko"",""en""),)"),"")</f>
        <v/>
      </c>
      <c r="C1314" s="4" t="str">
        <f ca="1">IFERROR(__xludf.DUMMYFUNCTION("IFERROR(GOOGLETRANSLATE(B1314,""en"",""ja""),)"),"")</f>
        <v/>
      </c>
      <c r="D1314" s="4" t="str">
        <f ca="1">IFERROR(__xludf.DUMMYFUNCTION("IFERROR(GOOGLETRANSLATE(B1314,""en"",""zh-TW""),)"),"")</f>
        <v/>
      </c>
      <c r="E1314" s="4" t="str">
        <f ca="1">IFERROR(__xludf.DUMMYFUNCTION("IFERROR(GOOGLETRANSLATE(B1314,""en"",""zh-CN""),)"),"")</f>
        <v/>
      </c>
    </row>
    <row r="1315" spans="1:5">
      <c r="A1315" s="3"/>
      <c r="B1315" s="4" t="str">
        <f ca="1">IFERROR(__xludf.DUMMYFUNCTION("IFERROR(GOOGLETRANSLATE(A1315,""ko"",""en""),)"),"")</f>
        <v/>
      </c>
      <c r="C1315" s="4" t="str">
        <f ca="1">IFERROR(__xludf.DUMMYFUNCTION("IFERROR(GOOGLETRANSLATE(B1315,""en"",""ja""),)"),"")</f>
        <v/>
      </c>
      <c r="D1315" s="4" t="str">
        <f ca="1">IFERROR(__xludf.DUMMYFUNCTION("IFERROR(GOOGLETRANSLATE(B1315,""en"",""zh-TW""),)"),"")</f>
        <v/>
      </c>
      <c r="E1315" s="4" t="str">
        <f ca="1">IFERROR(__xludf.DUMMYFUNCTION("IFERROR(GOOGLETRANSLATE(B1315,""en"",""zh-CN""),)"),"")</f>
        <v/>
      </c>
    </row>
    <row r="1316" spans="1:5">
      <c r="A1316" s="3"/>
      <c r="B1316" s="4" t="str">
        <f ca="1">IFERROR(__xludf.DUMMYFUNCTION("IFERROR(GOOGLETRANSLATE(A1316,""ko"",""en""),)"),"")</f>
        <v/>
      </c>
      <c r="C1316" s="4" t="str">
        <f ca="1">IFERROR(__xludf.DUMMYFUNCTION("IFERROR(GOOGLETRANSLATE(B1316,""en"",""ja""),)"),"")</f>
        <v/>
      </c>
      <c r="D1316" s="4" t="str">
        <f ca="1">IFERROR(__xludf.DUMMYFUNCTION("IFERROR(GOOGLETRANSLATE(B1316,""en"",""zh-TW""),)"),"")</f>
        <v/>
      </c>
      <c r="E1316" s="4" t="str">
        <f ca="1">IFERROR(__xludf.DUMMYFUNCTION("IFERROR(GOOGLETRANSLATE(B1316,""en"",""zh-CN""),)"),"")</f>
        <v/>
      </c>
    </row>
    <row r="1317" spans="1:5">
      <c r="A1317" s="3"/>
      <c r="B1317" s="4" t="str">
        <f ca="1">IFERROR(__xludf.DUMMYFUNCTION("IFERROR(GOOGLETRANSLATE(A1317,""ko"",""en""),)"),"")</f>
        <v/>
      </c>
      <c r="C1317" s="4" t="str">
        <f ca="1">IFERROR(__xludf.DUMMYFUNCTION("IFERROR(GOOGLETRANSLATE(B1317,""en"",""ja""),)"),"")</f>
        <v/>
      </c>
      <c r="D1317" s="4" t="str">
        <f ca="1">IFERROR(__xludf.DUMMYFUNCTION("IFERROR(GOOGLETRANSLATE(B1317,""en"",""zh-TW""),)"),"")</f>
        <v/>
      </c>
      <c r="E1317" s="4" t="str">
        <f ca="1">IFERROR(__xludf.DUMMYFUNCTION("IFERROR(GOOGLETRANSLATE(B1317,""en"",""zh-CN""),)"),"")</f>
        <v/>
      </c>
    </row>
    <row r="1318" spans="1:5">
      <c r="A1318" s="3"/>
      <c r="B1318" s="4" t="str">
        <f ca="1">IFERROR(__xludf.DUMMYFUNCTION("IFERROR(GOOGLETRANSLATE(A1318,""ko"",""en""),)"),"")</f>
        <v/>
      </c>
      <c r="C1318" s="4" t="str">
        <f ca="1">IFERROR(__xludf.DUMMYFUNCTION("IFERROR(GOOGLETRANSLATE(B1318,""en"",""ja""),)"),"")</f>
        <v/>
      </c>
      <c r="D1318" s="4" t="str">
        <f ca="1">IFERROR(__xludf.DUMMYFUNCTION("IFERROR(GOOGLETRANSLATE(B1318,""en"",""zh-TW""),)"),"")</f>
        <v/>
      </c>
      <c r="E1318" s="4" t="str">
        <f ca="1">IFERROR(__xludf.DUMMYFUNCTION("IFERROR(GOOGLETRANSLATE(B1318,""en"",""zh-CN""),)"),"")</f>
        <v/>
      </c>
    </row>
    <row r="1319" spans="1:5">
      <c r="A1319" s="3"/>
      <c r="B1319" s="4" t="str">
        <f ca="1">IFERROR(__xludf.DUMMYFUNCTION("IFERROR(GOOGLETRANSLATE(A1319,""ko"",""en""),)"),"")</f>
        <v/>
      </c>
      <c r="C1319" s="4" t="str">
        <f ca="1">IFERROR(__xludf.DUMMYFUNCTION("IFERROR(GOOGLETRANSLATE(B1319,""en"",""ja""),)"),"")</f>
        <v/>
      </c>
      <c r="D1319" s="4" t="str">
        <f ca="1">IFERROR(__xludf.DUMMYFUNCTION("IFERROR(GOOGLETRANSLATE(B1319,""en"",""zh-TW""),)"),"")</f>
        <v/>
      </c>
      <c r="E1319" s="4" t="str">
        <f ca="1">IFERROR(__xludf.DUMMYFUNCTION("IFERROR(GOOGLETRANSLATE(B1319,""en"",""zh-CN""),)"),"")</f>
        <v/>
      </c>
    </row>
    <row r="1320" spans="1:5">
      <c r="A1320" s="3"/>
      <c r="B1320" s="4" t="str">
        <f ca="1">IFERROR(__xludf.DUMMYFUNCTION("IFERROR(GOOGLETRANSLATE(A1320,""ko"",""en""),)"),"")</f>
        <v/>
      </c>
      <c r="C1320" s="4" t="str">
        <f ca="1">IFERROR(__xludf.DUMMYFUNCTION("IFERROR(GOOGLETRANSLATE(B1320,""en"",""ja""),)"),"")</f>
        <v/>
      </c>
      <c r="D1320" s="4" t="str">
        <f ca="1">IFERROR(__xludf.DUMMYFUNCTION("IFERROR(GOOGLETRANSLATE(B1320,""en"",""zh-TW""),)"),"")</f>
        <v/>
      </c>
      <c r="E1320" s="4" t="str">
        <f ca="1">IFERROR(__xludf.DUMMYFUNCTION("IFERROR(GOOGLETRANSLATE(B1320,""en"",""zh-CN""),)"),"")</f>
        <v/>
      </c>
    </row>
    <row r="1321" spans="1:5">
      <c r="A1321" s="3"/>
      <c r="B1321" s="4" t="str">
        <f ca="1">IFERROR(__xludf.DUMMYFUNCTION("IFERROR(GOOGLETRANSLATE(A1321,""ko"",""en""),)"),"")</f>
        <v/>
      </c>
      <c r="C1321" s="4" t="str">
        <f ca="1">IFERROR(__xludf.DUMMYFUNCTION("IFERROR(GOOGLETRANSLATE(B1321,""en"",""ja""),)"),"")</f>
        <v/>
      </c>
      <c r="D1321" s="4" t="str">
        <f ca="1">IFERROR(__xludf.DUMMYFUNCTION("IFERROR(GOOGLETRANSLATE(B1321,""en"",""zh-TW""),)"),"")</f>
        <v/>
      </c>
      <c r="E1321" s="4" t="str">
        <f ca="1">IFERROR(__xludf.DUMMYFUNCTION("IFERROR(GOOGLETRANSLATE(B1321,""en"",""zh-CN""),)"),"")</f>
        <v/>
      </c>
    </row>
    <row r="1322" spans="1:5">
      <c r="A1322" s="3"/>
      <c r="B1322" s="4" t="str">
        <f ca="1">IFERROR(__xludf.DUMMYFUNCTION("IFERROR(GOOGLETRANSLATE(A1322,""ko"",""en""),)"),"")</f>
        <v/>
      </c>
      <c r="C1322" s="4" t="str">
        <f ca="1">IFERROR(__xludf.DUMMYFUNCTION("IFERROR(GOOGLETRANSLATE(B1322,""en"",""ja""),)"),"")</f>
        <v/>
      </c>
      <c r="D1322" s="4" t="str">
        <f ca="1">IFERROR(__xludf.DUMMYFUNCTION("IFERROR(GOOGLETRANSLATE(B1322,""en"",""zh-TW""),)"),"")</f>
        <v/>
      </c>
      <c r="E1322" s="4" t="str">
        <f ca="1">IFERROR(__xludf.DUMMYFUNCTION("IFERROR(GOOGLETRANSLATE(B1322,""en"",""zh-CN""),)"),"")</f>
        <v/>
      </c>
    </row>
    <row r="1323" spans="1:5">
      <c r="A1323" s="3"/>
      <c r="B1323" s="4" t="str">
        <f ca="1">IFERROR(__xludf.DUMMYFUNCTION("IFERROR(GOOGLETRANSLATE(A1323,""ko"",""en""),)"),"")</f>
        <v/>
      </c>
      <c r="C1323" s="4" t="str">
        <f ca="1">IFERROR(__xludf.DUMMYFUNCTION("IFERROR(GOOGLETRANSLATE(B1323,""en"",""ja""),)"),"")</f>
        <v/>
      </c>
      <c r="D1323" s="4" t="str">
        <f ca="1">IFERROR(__xludf.DUMMYFUNCTION("IFERROR(GOOGLETRANSLATE(B1323,""en"",""zh-TW""),)"),"")</f>
        <v/>
      </c>
      <c r="E1323" s="4" t="str">
        <f ca="1">IFERROR(__xludf.DUMMYFUNCTION("IFERROR(GOOGLETRANSLATE(B1323,""en"",""zh-CN""),)"),"")</f>
        <v/>
      </c>
    </row>
    <row r="1324" spans="1:5">
      <c r="A1324" s="3"/>
      <c r="B1324" s="4" t="str">
        <f ca="1">IFERROR(__xludf.DUMMYFUNCTION("IFERROR(GOOGLETRANSLATE(A1324,""ko"",""en""),)"),"")</f>
        <v/>
      </c>
      <c r="C1324" s="4" t="str">
        <f ca="1">IFERROR(__xludf.DUMMYFUNCTION("IFERROR(GOOGLETRANSLATE(B1324,""en"",""ja""),)"),"")</f>
        <v/>
      </c>
      <c r="D1324" s="4" t="str">
        <f ca="1">IFERROR(__xludf.DUMMYFUNCTION("IFERROR(GOOGLETRANSLATE(B1324,""en"",""zh-TW""),)"),"")</f>
        <v/>
      </c>
      <c r="E1324" s="4" t="str">
        <f ca="1">IFERROR(__xludf.DUMMYFUNCTION("IFERROR(GOOGLETRANSLATE(B1324,""en"",""zh-CN""),)"),"")</f>
        <v/>
      </c>
    </row>
    <row r="1325" spans="1:5">
      <c r="A1325" s="3"/>
      <c r="B1325" s="4" t="str">
        <f ca="1">IFERROR(__xludf.DUMMYFUNCTION("IFERROR(GOOGLETRANSLATE(A1325,""ko"",""en""),)"),"")</f>
        <v/>
      </c>
      <c r="C1325" s="4" t="str">
        <f ca="1">IFERROR(__xludf.DUMMYFUNCTION("IFERROR(GOOGLETRANSLATE(B1325,""en"",""ja""),)"),"")</f>
        <v/>
      </c>
      <c r="D1325" s="4" t="str">
        <f ca="1">IFERROR(__xludf.DUMMYFUNCTION("IFERROR(GOOGLETRANSLATE(B1325,""en"",""zh-TW""),)"),"")</f>
        <v/>
      </c>
      <c r="E1325" s="4" t="str">
        <f ca="1">IFERROR(__xludf.DUMMYFUNCTION("IFERROR(GOOGLETRANSLATE(B1325,""en"",""zh-CN""),)"),"")</f>
        <v/>
      </c>
    </row>
    <row r="1326" spans="1:5">
      <c r="A1326" s="3"/>
      <c r="B1326" s="4" t="str">
        <f ca="1">IFERROR(__xludf.DUMMYFUNCTION("IFERROR(GOOGLETRANSLATE(A1326,""ko"",""en""),)"),"")</f>
        <v/>
      </c>
      <c r="C1326" s="4" t="str">
        <f ca="1">IFERROR(__xludf.DUMMYFUNCTION("IFERROR(GOOGLETRANSLATE(B1326,""en"",""ja""),)"),"")</f>
        <v/>
      </c>
      <c r="D1326" s="4" t="str">
        <f ca="1">IFERROR(__xludf.DUMMYFUNCTION("IFERROR(GOOGLETRANSLATE(B1326,""en"",""zh-TW""),)"),"")</f>
        <v/>
      </c>
      <c r="E1326" s="4" t="str">
        <f ca="1">IFERROR(__xludf.DUMMYFUNCTION("IFERROR(GOOGLETRANSLATE(B1326,""en"",""zh-CN""),)"),"")</f>
        <v/>
      </c>
    </row>
    <row r="1327" spans="1:5">
      <c r="A1327" s="3"/>
      <c r="B1327" s="4" t="str">
        <f ca="1">IFERROR(__xludf.DUMMYFUNCTION("IFERROR(GOOGLETRANSLATE(A1327,""ko"",""en""),)"),"")</f>
        <v/>
      </c>
      <c r="C1327" s="4" t="str">
        <f ca="1">IFERROR(__xludf.DUMMYFUNCTION("IFERROR(GOOGLETRANSLATE(B1327,""en"",""ja""),)"),"")</f>
        <v/>
      </c>
      <c r="D1327" s="4" t="str">
        <f ca="1">IFERROR(__xludf.DUMMYFUNCTION("IFERROR(GOOGLETRANSLATE(B1327,""en"",""zh-TW""),)"),"")</f>
        <v/>
      </c>
      <c r="E1327" s="4" t="str">
        <f ca="1">IFERROR(__xludf.DUMMYFUNCTION("IFERROR(GOOGLETRANSLATE(B1327,""en"",""zh-CN""),)"),"")</f>
        <v/>
      </c>
    </row>
    <row r="1328" spans="1:5">
      <c r="A1328" s="3"/>
      <c r="B1328" s="4" t="str">
        <f ca="1">IFERROR(__xludf.DUMMYFUNCTION("IFERROR(GOOGLETRANSLATE(A1328,""ko"",""en""),)"),"")</f>
        <v/>
      </c>
      <c r="C1328" s="4" t="str">
        <f ca="1">IFERROR(__xludf.DUMMYFUNCTION("IFERROR(GOOGLETRANSLATE(B1328,""en"",""ja""),)"),"")</f>
        <v/>
      </c>
      <c r="D1328" s="4" t="str">
        <f ca="1">IFERROR(__xludf.DUMMYFUNCTION("IFERROR(GOOGLETRANSLATE(B1328,""en"",""zh-TW""),)"),"")</f>
        <v/>
      </c>
      <c r="E1328" s="4" t="str">
        <f ca="1">IFERROR(__xludf.DUMMYFUNCTION("IFERROR(GOOGLETRANSLATE(B1328,""en"",""zh-CN""),)"),"")</f>
        <v/>
      </c>
    </row>
    <row r="1329" spans="1:5">
      <c r="A1329" s="3"/>
      <c r="B1329" s="4" t="str">
        <f ca="1">IFERROR(__xludf.DUMMYFUNCTION("IFERROR(GOOGLETRANSLATE(A1329,""ko"",""en""),)"),"")</f>
        <v/>
      </c>
      <c r="C1329" s="4" t="str">
        <f ca="1">IFERROR(__xludf.DUMMYFUNCTION("IFERROR(GOOGLETRANSLATE(B1329,""en"",""ja""),)"),"")</f>
        <v/>
      </c>
      <c r="D1329" s="4" t="str">
        <f ca="1">IFERROR(__xludf.DUMMYFUNCTION("IFERROR(GOOGLETRANSLATE(B1329,""en"",""zh-TW""),)"),"")</f>
        <v/>
      </c>
      <c r="E1329" s="4" t="str">
        <f ca="1">IFERROR(__xludf.DUMMYFUNCTION("IFERROR(GOOGLETRANSLATE(B1329,""en"",""zh-CN""),)"),"")</f>
        <v/>
      </c>
    </row>
    <row r="1330" spans="1:5">
      <c r="A1330" s="3"/>
      <c r="B1330" s="4" t="str">
        <f ca="1">IFERROR(__xludf.DUMMYFUNCTION("IFERROR(GOOGLETRANSLATE(A1330,""ko"",""en""),)"),"")</f>
        <v/>
      </c>
      <c r="C1330" s="4" t="str">
        <f ca="1">IFERROR(__xludf.DUMMYFUNCTION("IFERROR(GOOGLETRANSLATE(B1330,""en"",""ja""),)"),"")</f>
        <v/>
      </c>
      <c r="D1330" s="4" t="str">
        <f ca="1">IFERROR(__xludf.DUMMYFUNCTION("IFERROR(GOOGLETRANSLATE(B1330,""en"",""zh-TW""),)"),"")</f>
        <v/>
      </c>
      <c r="E1330" s="4" t="str">
        <f ca="1">IFERROR(__xludf.DUMMYFUNCTION("IFERROR(GOOGLETRANSLATE(B1330,""en"",""zh-CN""),)"),"")</f>
        <v/>
      </c>
    </row>
    <row r="1331" spans="1:5">
      <c r="A1331" s="3"/>
      <c r="B1331" s="4" t="str">
        <f ca="1">IFERROR(__xludf.DUMMYFUNCTION("IFERROR(GOOGLETRANSLATE(A1331,""ko"",""en""),)"),"")</f>
        <v/>
      </c>
      <c r="C1331" s="4" t="str">
        <f ca="1">IFERROR(__xludf.DUMMYFUNCTION("IFERROR(GOOGLETRANSLATE(B1331,""en"",""ja""),)"),"")</f>
        <v/>
      </c>
      <c r="D1331" s="4" t="str">
        <f ca="1">IFERROR(__xludf.DUMMYFUNCTION("IFERROR(GOOGLETRANSLATE(B1331,""en"",""zh-TW""),)"),"")</f>
        <v/>
      </c>
      <c r="E1331" s="4" t="str">
        <f ca="1">IFERROR(__xludf.DUMMYFUNCTION("IFERROR(GOOGLETRANSLATE(B1331,""en"",""zh-CN""),)"),"")</f>
        <v/>
      </c>
    </row>
    <row r="1332" spans="1:5">
      <c r="A1332" s="3"/>
      <c r="B1332" s="4" t="str">
        <f ca="1">IFERROR(__xludf.DUMMYFUNCTION("IFERROR(GOOGLETRANSLATE(A1332,""ko"",""en""),)"),"")</f>
        <v/>
      </c>
      <c r="C1332" s="4" t="str">
        <f ca="1">IFERROR(__xludf.DUMMYFUNCTION("IFERROR(GOOGLETRANSLATE(B1332,""en"",""ja""),)"),"")</f>
        <v/>
      </c>
      <c r="D1332" s="4" t="str">
        <f ca="1">IFERROR(__xludf.DUMMYFUNCTION("IFERROR(GOOGLETRANSLATE(B1332,""en"",""zh-TW""),)"),"")</f>
        <v/>
      </c>
      <c r="E1332" s="4" t="str">
        <f ca="1">IFERROR(__xludf.DUMMYFUNCTION("IFERROR(GOOGLETRANSLATE(B1332,""en"",""zh-CN""),)"),"")</f>
        <v/>
      </c>
    </row>
    <row r="1333" spans="1:5">
      <c r="A1333" s="3"/>
      <c r="B1333" s="4" t="str">
        <f ca="1">IFERROR(__xludf.DUMMYFUNCTION("IFERROR(GOOGLETRANSLATE(A1333,""ko"",""en""),)"),"")</f>
        <v/>
      </c>
      <c r="C1333" s="4" t="str">
        <f ca="1">IFERROR(__xludf.DUMMYFUNCTION("IFERROR(GOOGLETRANSLATE(B1333,""en"",""ja""),)"),"")</f>
        <v/>
      </c>
      <c r="D1333" s="4" t="str">
        <f ca="1">IFERROR(__xludf.DUMMYFUNCTION("IFERROR(GOOGLETRANSLATE(B1333,""en"",""zh-TW""),)"),"")</f>
        <v/>
      </c>
      <c r="E1333" s="4" t="str">
        <f ca="1">IFERROR(__xludf.DUMMYFUNCTION("IFERROR(GOOGLETRANSLATE(B1333,""en"",""zh-CN""),)"),"")</f>
        <v/>
      </c>
    </row>
    <row r="1334" spans="1:5">
      <c r="A1334" s="3"/>
      <c r="B1334" s="4" t="str">
        <f ca="1">IFERROR(__xludf.DUMMYFUNCTION("IFERROR(GOOGLETRANSLATE(A1334,""ko"",""en""),)"),"")</f>
        <v/>
      </c>
      <c r="C1334" s="4" t="str">
        <f ca="1">IFERROR(__xludf.DUMMYFUNCTION("IFERROR(GOOGLETRANSLATE(B1334,""en"",""ja""),)"),"")</f>
        <v/>
      </c>
      <c r="D1334" s="4" t="str">
        <f ca="1">IFERROR(__xludf.DUMMYFUNCTION("IFERROR(GOOGLETRANSLATE(B1334,""en"",""zh-TW""),)"),"")</f>
        <v/>
      </c>
      <c r="E1334" s="4" t="str">
        <f ca="1">IFERROR(__xludf.DUMMYFUNCTION("IFERROR(GOOGLETRANSLATE(B1334,""en"",""zh-CN""),)"),"")</f>
        <v/>
      </c>
    </row>
    <row r="1335" spans="1:5">
      <c r="A1335" s="3"/>
      <c r="B1335" s="4" t="str">
        <f ca="1">IFERROR(__xludf.DUMMYFUNCTION("IFERROR(GOOGLETRANSLATE(A1335,""ko"",""en""),)"),"")</f>
        <v/>
      </c>
      <c r="C1335" s="4" t="str">
        <f ca="1">IFERROR(__xludf.DUMMYFUNCTION("IFERROR(GOOGLETRANSLATE(B1335,""en"",""ja""),)"),"")</f>
        <v/>
      </c>
      <c r="D1335" s="4" t="str">
        <f ca="1">IFERROR(__xludf.DUMMYFUNCTION("IFERROR(GOOGLETRANSLATE(B1335,""en"",""zh-TW""),)"),"")</f>
        <v/>
      </c>
      <c r="E1335" s="4" t="str">
        <f ca="1">IFERROR(__xludf.DUMMYFUNCTION("IFERROR(GOOGLETRANSLATE(B1335,""en"",""zh-CN""),)"),"")</f>
        <v/>
      </c>
    </row>
    <row r="1336" spans="1:5">
      <c r="A1336" s="3"/>
      <c r="B1336" s="4" t="str">
        <f ca="1">IFERROR(__xludf.DUMMYFUNCTION("IFERROR(GOOGLETRANSLATE(A1336,""ko"",""en""),)"),"")</f>
        <v/>
      </c>
      <c r="C1336" s="4" t="str">
        <f ca="1">IFERROR(__xludf.DUMMYFUNCTION("IFERROR(GOOGLETRANSLATE(B1336,""en"",""ja""),)"),"")</f>
        <v/>
      </c>
      <c r="D1336" s="4" t="str">
        <f ca="1">IFERROR(__xludf.DUMMYFUNCTION("IFERROR(GOOGLETRANSLATE(B1336,""en"",""zh-TW""),)"),"")</f>
        <v/>
      </c>
      <c r="E1336" s="4" t="str">
        <f ca="1">IFERROR(__xludf.DUMMYFUNCTION("IFERROR(GOOGLETRANSLATE(B1336,""en"",""zh-CN""),)"),"")</f>
        <v/>
      </c>
    </row>
    <row r="1337" spans="1:5">
      <c r="A1337" s="3"/>
      <c r="B1337" s="4" t="str">
        <f ca="1">IFERROR(__xludf.DUMMYFUNCTION("IFERROR(GOOGLETRANSLATE(A1337,""ko"",""en""),)"),"")</f>
        <v/>
      </c>
      <c r="C1337" s="4" t="str">
        <f ca="1">IFERROR(__xludf.DUMMYFUNCTION("IFERROR(GOOGLETRANSLATE(B1337,""en"",""ja""),)"),"")</f>
        <v/>
      </c>
      <c r="D1337" s="4" t="str">
        <f ca="1">IFERROR(__xludf.DUMMYFUNCTION("IFERROR(GOOGLETRANSLATE(B1337,""en"",""zh-TW""),)"),"")</f>
        <v/>
      </c>
      <c r="E1337" s="4" t="str">
        <f ca="1">IFERROR(__xludf.DUMMYFUNCTION("IFERROR(GOOGLETRANSLATE(B1337,""en"",""zh-CN""),)"),"")</f>
        <v/>
      </c>
    </row>
    <row r="1338" spans="1:5">
      <c r="A1338" s="3"/>
      <c r="B1338" s="4" t="str">
        <f ca="1">IFERROR(__xludf.DUMMYFUNCTION("IFERROR(GOOGLETRANSLATE(A1338,""ko"",""en""),)"),"")</f>
        <v/>
      </c>
      <c r="C1338" s="4" t="str">
        <f ca="1">IFERROR(__xludf.DUMMYFUNCTION("IFERROR(GOOGLETRANSLATE(B1338,""en"",""ja""),)"),"")</f>
        <v/>
      </c>
      <c r="D1338" s="4" t="str">
        <f ca="1">IFERROR(__xludf.DUMMYFUNCTION("IFERROR(GOOGLETRANSLATE(B1338,""en"",""zh-TW""),)"),"")</f>
        <v/>
      </c>
      <c r="E1338" s="4" t="str">
        <f ca="1">IFERROR(__xludf.DUMMYFUNCTION("IFERROR(GOOGLETRANSLATE(B1338,""en"",""zh-CN""),)"),"")</f>
        <v/>
      </c>
    </row>
    <row r="1339" spans="1:5">
      <c r="A1339" s="3"/>
      <c r="B1339" s="4" t="str">
        <f ca="1">IFERROR(__xludf.DUMMYFUNCTION("IFERROR(GOOGLETRANSLATE(A1339,""ko"",""en""),)"),"")</f>
        <v/>
      </c>
      <c r="C1339" s="4" t="str">
        <f ca="1">IFERROR(__xludf.DUMMYFUNCTION("IFERROR(GOOGLETRANSLATE(B1339,""en"",""ja""),)"),"")</f>
        <v/>
      </c>
      <c r="D1339" s="4" t="str">
        <f ca="1">IFERROR(__xludf.DUMMYFUNCTION("IFERROR(GOOGLETRANSLATE(B1339,""en"",""zh-TW""),)"),"")</f>
        <v/>
      </c>
      <c r="E1339" s="4" t="str">
        <f ca="1">IFERROR(__xludf.DUMMYFUNCTION("IFERROR(GOOGLETRANSLATE(B1339,""en"",""zh-CN""),)"),"")</f>
        <v/>
      </c>
    </row>
    <row r="1340" spans="1:5">
      <c r="A1340" s="3"/>
      <c r="B1340" s="4" t="str">
        <f ca="1">IFERROR(__xludf.DUMMYFUNCTION("IFERROR(GOOGLETRANSLATE(A1340,""ko"",""en""),)"),"")</f>
        <v/>
      </c>
      <c r="C1340" s="4" t="str">
        <f ca="1">IFERROR(__xludf.DUMMYFUNCTION("IFERROR(GOOGLETRANSLATE(B1340,""en"",""ja""),)"),"")</f>
        <v/>
      </c>
      <c r="D1340" s="4" t="str">
        <f ca="1">IFERROR(__xludf.DUMMYFUNCTION("IFERROR(GOOGLETRANSLATE(B1340,""en"",""zh-TW""),)"),"")</f>
        <v/>
      </c>
      <c r="E1340" s="4" t="str">
        <f ca="1">IFERROR(__xludf.DUMMYFUNCTION("IFERROR(GOOGLETRANSLATE(B1340,""en"",""zh-CN""),)"),"")</f>
        <v/>
      </c>
    </row>
    <row r="1341" spans="1:5">
      <c r="A1341" s="3"/>
      <c r="B1341" s="4" t="str">
        <f ca="1">IFERROR(__xludf.DUMMYFUNCTION("IFERROR(GOOGLETRANSLATE(A1341,""ko"",""en""),)"),"")</f>
        <v/>
      </c>
      <c r="C1341" s="4" t="str">
        <f ca="1">IFERROR(__xludf.DUMMYFUNCTION("IFERROR(GOOGLETRANSLATE(B1341,""en"",""ja""),)"),"")</f>
        <v/>
      </c>
      <c r="D1341" s="4" t="str">
        <f ca="1">IFERROR(__xludf.DUMMYFUNCTION("IFERROR(GOOGLETRANSLATE(B1341,""en"",""zh-TW""),)"),"")</f>
        <v/>
      </c>
      <c r="E1341" s="4" t="str">
        <f ca="1">IFERROR(__xludf.DUMMYFUNCTION("IFERROR(GOOGLETRANSLATE(B1341,""en"",""zh-CN""),)"),"")</f>
        <v/>
      </c>
    </row>
    <row r="1342" spans="1:5">
      <c r="A1342" s="3"/>
      <c r="B1342" s="4" t="str">
        <f ca="1">IFERROR(__xludf.DUMMYFUNCTION("IFERROR(GOOGLETRANSLATE(A1342,""ko"",""en""),)"),"")</f>
        <v/>
      </c>
      <c r="C1342" s="4" t="str">
        <f ca="1">IFERROR(__xludf.DUMMYFUNCTION("IFERROR(GOOGLETRANSLATE(B1342,""en"",""ja""),)"),"")</f>
        <v/>
      </c>
      <c r="D1342" s="4" t="str">
        <f ca="1">IFERROR(__xludf.DUMMYFUNCTION("IFERROR(GOOGLETRANSLATE(B1342,""en"",""zh-TW""),)"),"")</f>
        <v/>
      </c>
      <c r="E1342" s="4" t="str">
        <f ca="1">IFERROR(__xludf.DUMMYFUNCTION("IFERROR(GOOGLETRANSLATE(B1342,""en"",""zh-CN""),)"),"")</f>
        <v/>
      </c>
    </row>
    <row r="1343" spans="1:5">
      <c r="A1343" s="3"/>
      <c r="B1343" s="4" t="str">
        <f ca="1">IFERROR(__xludf.DUMMYFUNCTION("IFERROR(GOOGLETRANSLATE(A1343,""ko"",""en""),)"),"")</f>
        <v/>
      </c>
      <c r="C1343" s="4" t="str">
        <f ca="1">IFERROR(__xludf.DUMMYFUNCTION("IFERROR(GOOGLETRANSLATE(B1343,""en"",""ja""),)"),"")</f>
        <v/>
      </c>
      <c r="D1343" s="4" t="str">
        <f ca="1">IFERROR(__xludf.DUMMYFUNCTION("IFERROR(GOOGLETRANSLATE(B1343,""en"",""zh-TW""),)"),"")</f>
        <v/>
      </c>
      <c r="E1343" s="4" t="str">
        <f ca="1">IFERROR(__xludf.DUMMYFUNCTION("IFERROR(GOOGLETRANSLATE(B1343,""en"",""zh-CN""),)"),"")</f>
        <v/>
      </c>
    </row>
    <row r="1344" spans="1:5">
      <c r="A1344" s="3"/>
      <c r="B1344" s="4" t="str">
        <f ca="1">IFERROR(__xludf.DUMMYFUNCTION("IFERROR(GOOGLETRANSLATE(A1344,""ko"",""en""),)"),"")</f>
        <v/>
      </c>
      <c r="C1344" s="4" t="str">
        <f ca="1">IFERROR(__xludf.DUMMYFUNCTION("IFERROR(GOOGLETRANSLATE(B1344,""en"",""ja""),)"),"")</f>
        <v/>
      </c>
      <c r="D1344" s="4" t="str">
        <f ca="1">IFERROR(__xludf.DUMMYFUNCTION("IFERROR(GOOGLETRANSLATE(B1344,""en"",""zh-TW""),)"),"")</f>
        <v/>
      </c>
      <c r="E1344" s="4" t="str">
        <f ca="1">IFERROR(__xludf.DUMMYFUNCTION("IFERROR(GOOGLETRANSLATE(B1344,""en"",""zh-CN""),)"),"")</f>
        <v/>
      </c>
    </row>
    <row r="1345" spans="1:5">
      <c r="A1345" s="3"/>
      <c r="B1345" s="4" t="str">
        <f ca="1">IFERROR(__xludf.DUMMYFUNCTION("IFERROR(GOOGLETRANSLATE(A1345,""ko"",""en""),)"),"")</f>
        <v/>
      </c>
      <c r="C1345" s="4" t="str">
        <f ca="1">IFERROR(__xludf.DUMMYFUNCTION("IFERROR(GOOGLETRANSLATE(B1345,""en"",""ja""),)"),"")</f>
        <v/>
      </c>
      <c r="D1345" s="4" t="str">
        <f ca="1">IFERROR(__xludf.DUMMYFUNCTION("IFERROR(GOOGLETRANSLATE(B1345,""en"",""zh-TW""),)"),"")</f>
        <v/>
      </c>
      <c r="E1345" s="4" t="str">
        <f ca="1">IFERROR(__xludf.DUMMYFUNCTION("IFERROR(GOOGLETRANSLATE(B1345,""en"",""zh-CN""),)"),"")</f>
        <v/>
      </c>
    </row>
    <row r="1346" spans="1:5">
      <c r="A1346" s="3"/>
      <c r="B1346" s="4" t="str">
        <f ca="1">IFERROR(__xludf.DUMMYFUNCTION("IFERROR(GOOGLETRANSLATE(A1346,""ko"",""en""),)"),"")</f>
        <v/>
      </c>
      <c r="C1346" s="4" t="str">
        <f ca="1">IFERROR(__xludf.DUMMYFUNCTION("IFERROR(GOOGLETRANSLATE(B1346,""en"",""ja""),)"),"")</f>
        <v/>
      </c>
      <c r="D1346" s="4" t="str">
        <f ca="1">IFERROR(__xludf.DUMMYFUNCTION("IFERROR(GOOGLETRANSLATE(B1346,""en"",""zh-TW""),)"),"")</f>
        <v/>
      </c>
      <c r="E1346" s="4" t="str">
        <f ca="1">IFERROR(__xludf.DUMMYFUNCTION("IFERROR(GOOGLETRANSLATE(B1346,""en"",""zh-CN""),)"),"")</f>
        <v/>
      </c>
    </row>
    <row r="1347" spans="1:5">
      <c r="A1347" s="3"/>
      <c r="B1347" s="4" t="str">
        <f ca="1">IFERROR(__xludf.DUMMYFUNCTION("IFERROR(GOOGLETRANSLATE(A1347,""ko"",""en""),)"),"")</f>
        <v/>
      </c>
      <c r="C1347" s="4" t="str">
        <f ca="1">IFERROR(__xludf.DUMMYFUNCTION("IFERROR(GOOGLETRANSLATE(B1347,""en"",""ja""),)"),"")</f>
        <v/>
      </c>
      <c r="D1347" s="4" t="str">
        <f ca="1">IFERROR(__xludf.DUMMYFUNCTION("IFERROR(GOOGLETRANSLATE(B1347,""en"",""zh-TW""),)"),"")</f>
        <v/>
      </c>
      <c r="E1347" s="4" t="str">
        <f ca="1">IFERROR(__xludf.DUMMYFUNCTION("IFERROR(GOOGLETRANSLATE(B1347,""en"",""zh-CN""),)"),"")</f>
        <v/>
      </c>
    </row>
    <row r="1348" spans="1:5">
      <c r="A1348" s="3"/>
      <c r="B1348" s="4" t="str">
        <f ca="1">IFERROR(__xludf.DUMMYFUNCTION("IFERROR(GOOGLETRANSLATE(A1348,""ko"",""en""),)"),"")</f>
        <v/>
      </c>
      <c r="C1348" s="4" t="str">
        <f ca="1">IFERROR(__xludf.DUMMYFUNCTION("IFERROR(GOOGLETRANSLATE(B1348,""en"",""ja""),)"),"")</f>
        <v/>
      </c>
      <c r="D1348" s="4" t="str">
        <f ca="1">IFERROR(__xludf.DUMMYFUNCTION("IFERROR(GOOGLETRANSLATE(B1348,""en"",""zh-TW""),)"),"")</f>
        <v/>
      </c>
      <c r="E1348" s="4" t="str">
        <f ca="1">IFERROR(__xludf.DUMMYFUNCTION("IFERROR(GOOGLETRANSLATE(B1348,""en"",""zh-CN""),)"),"")</f>
        <v/>
      </c>
    </row>
    <row r="1349" spans="1:5">
      <c r="A1349" s="3"/>
      <c r="B1349" s="4" t="str">
        <f ca="1">IFERROR(__xludf.DUMMYFUNCTION("IFERROR(GOOGLETRANSLATE(A1349,""ko"",""en""),)"),"")</f>
        <v/>
      </c>
      <c r="C1349" s="4" t="str">
        <f ca="1">IFERROR(__xludf.DUMMYFUNCTION("IFERROR(GOOGLETRANSLATE(B1349,""en"",""ja""),)"),"")</f>
        <v/>
      </c>
      <c r="D1349" s="4" t="str">
        <f ca="1">IFERROR(__xludf.DUMMYFUNCTION("IFERROR(GOOGLETRANSLATE(B1349,""en"",""zh-TW""),)"),"")</f>
        <v/>
      </c>
      <c r="E1349" s="4" t="str">
        <f ca="1">IFERROR(__xludf.DUMMYFUNCTION("IFERROR(GOOGLETRANSLATE(B1349,""en"",""zh-CN""),)"),"")</f>
        <v/>
      </c>
    </row>
    <row r="1350" spans="1:5">
      <c r="A1350" s="3"/>
      <c r="B1350" s="4" t="str">
        <f ca="1">IFERROR(__xludf.DUMMYFUNCTION("IFERROR(GOOGLETRANSLATE(A1350,""ko"",""en""),)"),"")</f>
        <v/>
      </c>
      <c r="C1350" s="4" t="str">
        <f ca="1">IFERROR(__xludf.DUMMYFUNCTION("IFERROR(GOOGLETRANSLATE(B1350,""en"",""ja""),)"),"")</f>
        <v/>
      </c>
      <c r="D1350" s="4" t="str">
        <f ca="1">IFERROR(__xludf.DUMMYFUNCTION("IFERROR(GOOGLETRANSLATE(B1350,""en"",""zh-TW""),)"),"")</f>
        <v/>
      </c>
      <c r="E1350" s="4" t="str">
        <f ca="1">IFERROR(__xludf.DUMMYFUNCTION("IFERROR(GOOGLETRANSLATE(B1350,""en"",""zh-CN""),)"),"")</f>
        <v/>
      </c>
    </row>
    <row r="1351" spans="1:5">
      <c r="A1351" s="3"/>
      <c r="B1351" s="4" t="str">
        <f ca="1">IFERROR(__xludf.DUMMYFUNCTION("IFERROR(GOOGLETRANSLATE(A1351,""ko"",""en""),)"),"")</f>
        <v/>
      </c>
      <c r="C1351" s="4" t="str">
        <f ca="1">IFERROR(__xludf.DUMMYFUNCTION("IFERROR(GOOGLETRANSLATE(B1351,""en"",""ja""),)"),"")</f>
        <v/>
      </c>
      <c r="D1351" s="4" t="str">
        <f ca="1">IFERROR(__xludf.DUMMYFUNCTION("IFERROR(GOOGLETRANSLATE(B1351,""en"",""zh-TW""),)"),"")</f>
        <v/>
      </c>
      <c r="E1351" s="4" t="str">
        <f ca="1">IFERROR(__xludf.DUMMYFUNCTION("IFERROR(GOOGLETRANSLATE(B1351,""en"",""zh-CN""),)"),"")</f>
        <v/>
      </c>
    </row>
    <row r="1352" spans="1:5">
      <c r="A1352" s="3"/>
      <c r="B1352" s="4" t="str">
        <f ca="1">IFERROR(__xludf.DUMMYFUNCTION("IFERROR(GOOGLETRANSLATE(A1352,""ko"",""en""),)"),"")</f>
        <v/>
      </c>
      <c r="C1352" s="4" t="str">
        <f ca="1">IFERROR(__xludf.DUMMYFUNCTION("IFERROR(GOOGLETRANSLATE(B1352,""en"",""ja""),)"),"")</f>
        <v/>
      </c>
      <c r="D1352" s="4" t="str">
        <f ca="1">IFERROR(__xludf.DUMMYFUNCTION("IFERROR(GOOGLETRANSLATE(B1352,""en"",""zh-TW""),)"),"")</f>
        <v/>
      </c>
      <c r="E1352" s="4" t="str">
        <f ca="1">IFERROR(__xludf.DUMMYFUNCTION("IFERROR(GOOGLETRANSLATE(B1352,""en"",""zh-CN""),)"),"")</f>
        <v/>
      </c>
    </row>
    <row r="1353" spans="1:5">
      <c r="A1353" s="3"/>
      <c r="B1353" s="4" t="str">
        <f ca="1">IFERROR(__xludf.DUMMYFUNCTION("IFERROR(GOOGLETRANSLATE(A1353,""ko"",""en""),)"),"")</f>
        <v/>
      </c>
      <c r="C1353" s="4" t="str">
        <f ca="1">IFERROR(__xludf.DUMMYFUNCTION("IFERROR(GOOGLETRANSLATE(B1353,""en"",""ja""),)"),"")</f>
        <v/>
      </c>
      <c r="D1353" s="4" t="str">
        <f ca="1">IFERROR(__xludf.DUMMYFUNCTION("IFERROR(GOOGLETRANSLATE(B1353,""en"",""zh-TW""),)"),"")</f>
        <v/>
      </c>
      <c r="E1353" s="4" t="str">
        <f ca="1">IFERROR(__xludf.DUMMYFUNCTION("IFERROR(GOOGLETRANSLATE(B1353,""en"",""zh-CN""),)"),"")</f>
        <v/>
      </c>
    </row>
    <row r="1354" spans="1:5">
      <c r="A1354" s="3"/>
      <c r="B1354" s="4" t="str">
        <f ca="1">IFERROR(__xludf.DUMMYFUNCTION("IFERROR(GOOGLETRANSLATE(A1354,""ko"",""en""),)"),"")</f>
        <v/>
      </c>
      <c r="C1354" s="4" t="str">
        <f ca="1">IFERROR(__xludf.DUMMYFUNCTION("IFERROR(GOOGLETRANSLATE(B1354,""en"",""ja""),)"),"")</f>
        <v/>
      </c>
      <c r="D1354" s="4" t="str">
        <f ca="1">IFERROR(__xludf.DUMMYFUNCTION("IFERROR(GOOGLETRANSLATE(B1354,""en"",""zh-TW""),)"),"")</f>
        <v/>
      </c>
      <c r="E1354" s="4" t="str">
        <f ca="1">IFERROR(__xludf.DUMMYFUNCTION("IFERROR(GOOGLETRANSLATE(B1354,""en"",""zh-CN""),)"),"")</f>
        <v/>
      </c>
    </row>
    <row r="1355" spans="1:5">
      <c r="A1355" s="3"/>
      <c r="B1355" s="4" t="str">
        <f ca="1">IFERROR(__xludf.DUMMYFUNCTION("IFERROR(GOOGLETRANSLATE(A1355,""ko"",""en""),)"),"")</f>
        <v/>
      </c>
      <c r="C1355" s="4" t="str">
        <f ca="1">IFERROR(__xludf.DUMMYFUNCTION("IFERROR(GOOGLETRANSLATE(B1355,""en"",""ja""),)"),"")</f>
        <v/>
      </c>
      <c r="D1355" s="4" t="str">
        <f ca="1">IFERROR(__xludf.DUMMYFUNCTION("IFERROR(GOOGLETRANSLATE(B1355,""en"",""zh-TW""),)"),"")</f>
        <v/>
      </c>
      <c r="E1355" s="4" t="str">
        <f ca="1">IFERROR(__xludf.DUMMYFUNCTION("IFERROR(GOOGLETRANSLATE(B1355,""en"",""zh-CN""),)"),"")</f>
        <v/>
      </c>
    </row>
    <row r="1356" spans="1:5">
      <c r="A1356" s="3"/>
      <c r="B1356" s="4" t="str">
        <f ca="1">IFERROR(__xludf.DUMMYFUNCTION("IFERROR(GOOGLETRANSLATE(A1356,""ko"",""en""),)"),"")</f>
        <v/>
      </c>
      <c r="C1356" s="4" t="str">
        <f ca="1">IFERROR(__xludf.DUMMYFUNCTION("IFERROR(GOOGLETRANSLATE(B1356,""en"",""ja""),)"),"")</f>
        <v/>
      </c>
      <c r="D1356" s="4" t="str">
        <f ca="1">IFERROR(__xludf.DUMMYFUNCTION("IFERROR(GOOGLETRANSLATE(B1356,""en"",""zh-TW""),)"),"")</f>
        <v/>
      </c>
      <c r="E1356" s="4" t="str">
        <f ca="1">IFERROR(__xludf.DUMMYFUNCTION("IFERROR(GOOGLETRANSLATE(B1356,""en"",""zh-CN""),)"),"")</f>
        <v/>
      </c>
    </row>
    <row r="1357" spans="1:5">
      <c r="A1357" s="3"/>
      <c r="B1357" s="4" t="str">
        <f ca="1">IFERROR(__xludf.DUMMYFUNCTION("IFERROR(GOOGLETRANSLATE(A1357,""ko"",""en""),)"),"")</f>
        <v/>
      </c>
      <c r="C1357" s="4" t="str">
        <f ca="1">IFERROR(__xludf.DUMMYFUNCTION("IFERROR(GOOGLETRANSLATE(B1357,""en"",""ja""),)"),"")</f>
        <v/>
      </c>
      <c r="D1357" s="4" t="str">
        <f ca="1">IFERROR(__xludf.DUMMYFUNCTION("IFERROR(GOOGLETRANSLATE(B1357,""en"",""zh-TW""),)"),"")</f>
        <v/>
      </c>
      <c r="E1357" s="4" t="str">
        <f ca="1">IFERROR(__xludf.DUMMYFUNCTION("IFERROR(GOOGLETRANSLATE(B1357,""en"",""zh-CN""),)"),"")</f>
        <v/>
      </c>
    </row>
    <row r="1358" spans="1:5">
      <c r="A1358" s="3"/>
      <c r="B1358" s="4" t="str">
        <f ca="1">IFERROR(__xludf.DUMMYFUNCTION("IFERROR(GOOGLETRANSLATE(A1358,""ko"",""en""),)"),"")</f>
        <v/>
      </c>
      <c r="C1358" s="4" t="str">
        <f ca="1">IFERROR(__xludf.DUMMYFUNCTION("IFERROR(GOOGLETRANSLATE(B1358,""en"",""ja""),)"),"")</f>
        <v/>
      </c>
      <c r="D1358" s="4" t="str">
        <f ca="1">IFERROR(__xludf.DUMMYFUNCTION("IFERROR(GOOGLETRANSLATE(B1358,""en"",""zh-TW""),)"),"")</f>
        <v/>
      </c>
      <c r="E1358" s="4" t="str">
        <f ca="1">IFERROR(__xludf.DUMMYFUNCTION("IFERROR(GOOGLETRANSLATE(B1358,""en"",""zh-CN""),)"),"")</f>
        <v/>
      </c>
    </row>
    <row r="1359" spans="1:5">
      <c r="A1359" s="3"/>
      <c r="B1359" s="4" t="str">
        <f ca="1">IFERROR(__xludf.DUMMYFUNCTION("IFERROR(GOOGLETRANSLATE(A1359,""ko"",""en""),)"),"")</f>
        <v/>
      </c>
      <c r="C1359" s="4" t="str">
        <f ca="1">IFERROR(__xludf.DUMMYFUNCTION("IFERROR(GOOGLETRANSLATE(B1359,""en"",""ja""),)"),"")</f>
        <v/>
      </c>
      <c r="D1359" s="4" t="str">
        <f ca="1">IFERROR(__xludf.DUMMYFUNCTION("IFERROR(GOOGLETRANSLATE(B1359,""en"",""zh-TW""),)"),"")</f>
        <v/>
      </c>
      <c r="E1359" s="4" t="str">
        <f ca="1">IFERROR(__xludf.DUMMYFUNCTION("IFERROR(GOOGLETRANSLATE(B1359,""en"",""zh-CN""),)"),"")</f>
        <v/>
      </c>
    </row>
    <row r="1360" spans="1:5">
      <c r="A1360" s="3"/>
      <c r="B1360" s="4" t="str">
        <f ca="1">IFERROR(__xludf.DUMMYFUNCTION("IFERROR(GOOGLETRANSLATE(A1360,""ko"",""en""),)"),"")</f>
        <v/>
      </c>
      <c r="C1360" s="4" t="str">
        <f ca="1">IFERROR(__xludf.DUMMYFUNCTION("IFERROR(GOOGLETRANSLATE(B1360,""en"",""ja""),)"),"")</f>
        <v/>
      </c>
      <c r="D1360" s="4" t="str">
        <f ca="1">IFERROR(__xludf.DUMMYFUNCTION("IFERROR(GOOGLETRANSLATE(B1360,""en"",""zh-TW""),)"),"")</f>
        <v/>
      </c>
      <c r="E1360" s="4" t="str">
        <f ca="1">IFERROR(__xludf.DUMMYFUNCTION("IFERROR(GOOGLETRANSLATE(B1360,""en"",""zh-CN""),)"),"")</f>
        <v/>
      </c>
    </row>
    <row r="1361" spans="1:5">
      <c r="A1361" s="3"/>
      <c r="B1361" s="4" t="str">
        <f ca="1">IFERROR(__xludf.DUMMYFUNCTION("IFERROR(GOOGLETRANSLATE(A1361,""ko"",""en""),)"),"")</f>
        <v/>
      </c>
      <c r="C1361" s="4" t="str">
        <f ca="1">IFERROR(__xludf.DUMMYFUNCTION("IFERROR(GOOGLETRANSLATE(B1361,""en"",""ja""),)"),"")</f>
        <v/>
      </c>
      <c r="D1361" s="4" t="str">
        <f ca="1">IFERROR(__xludf.DUMMYFUNCTION("IFERROR(GOOGLETRANSLATE(B1361,""en"",""zh-TW""),)"),"")</f>
        <v/>
      </c>
      <c r="E1361" s="4" t="str">
        <f ca="1">IFERROR(__xludf.DUMMYFUNCTION("IFERROR(GOOGLETRANSLATE(B1361,""en"",""zh-CN""),)"),"")</f>
        <v/>
      </c>
    </row>
    <row r="1362" spans="1:5">
      <c r="A1362" s="3"/>
      <c r="B1362" s="4" t="str">
        <f ca="1">IFERROR(__xludf.DUMMYFUNCTION("IFERROR(GOOGLETRANSLATE(A1362,""ko"",""en""),)"),"")</f>
        <v/>
      </c>
      <c r="C1362" s="4" t="str">
        <f ca="1">IFERROR(__xludf.DUMMYFUNCTION("IFERROR(GOOGLETRANSLATE(B1362,""en"",""ja""),)"),"")</f>
        <v/>
      </c>
      <c r="D1362" s="4" t="str">
        <f ca="1">IFERROR(__xludf.DUMMYFUNCTION("IFERROR(GOOGLETRANSLATE(B1362,""en"",""zh-TW""),)"),"")</f>
        <v/>
      </c>
      <c r="E1362" s="4" t="str">
        <f ca="1">IFERROR(__xludf.DUMMYFUNCTION("IFERROR(GOOGLETRANSLATE(B1362,""en"",""zh-CN""),)"),"")</f>
        <v/>
      </c>
    </row>
    <row r="1363" spans="1:5">
      <c r="A1363" s="3"/>
      <c r="B1363" s="4" t="str">
        <f ca="1">IFERROR(__xludf.DUMMYFUNCTION("IFERROR(GOOGLETRANSLATE(A1363,""ko"",""en""),)"),"")</f>
        <v/>
      </c>
      <c r="C1363" s="4" t="str">
        <f ca="1">IFERROR(__xludf.DUMMYFUNCTION("IFERROR(GOOGLETRANSLATE(B1363,""en"",""ja""),)"),"")</f>
        <v/>
      </c>
      <c r="D1363" s="4" t="str">
        <f ca="1">IFERROR(__xludf.DUMMYFUNCTION("IFERROR(GOOGLETRANSLATE(B1363,""en"",""zh-TW""),)"),"")</f>
        <v/>
      </c>
      <c r="E1363" s="4" t="str">
        <f ca="1">IFERROR(__xludf.DUMMYFUNCTION("IFERROR(GOOGLETRANSLATE(B1363,""en"",""zh-CN""),)"),"")</f>
        <v/>
      </c>
    </row>
    <row r="1364" spans="1:5">
      <c r="A1364" s="3"/>
      <c r="B1364" s="4" t="str">
        <f ca="1">IFERROR(__xludf.DUMMYFUNCTION("IFERROR(GOOGLETRANSLATE(A1364,""ko"",""en""),)"),"")</f>
        <v/>
      </c>
      <c r="C1364" s="4" t="str">
        <f ca="1">IFERROR(__xludf.DUMMYFUNCTION("IFERROR(GOOGLETRANSLATE(B1364,""en"",""ja""),)"),"")</f>
        <v/>
      </c>
      <c r="D1364" s="4" t="str">
        <f ca="1">IFERROR(__xludf.DUMMYFUNCTION("IFERROR(GOOGLETRANSLATE(B1364,""en"",""zh-TW""),)"),"")</f>
        <v/>
      </c>
      <c r="E1364" s="4" t="str">
        <f ca="1">IFERROR(__xludf.DUMMYFUNCTION("IFERROR(GOOGLETRANSLATE(B1364,""en"",""zh-CN""),)"),"")</f>
        <v/>
      </c>
    </row>
    <row r="1365" spans="1:5">
      <c r="A1365" s="3"/>
      <c r="B1365" s="4" t="str">
        <f ca="1">IFERROR(__xludf.DUMMYFUNCTION("IFERROR(GOOGLETRANSLATE(A1365,""ko"",""en""),)"),"")</f>
        <v/>
      </c>
      <c r="C1365" s="4" t="str">
        <f ca="1">IFERROR(__xludf.DUMMYFUNCTION("IFERROR(GOOGLETRANSLATE(B1365,""en"",""ja""),)"),"")</f>
        <v/>
      </c>
      <c r="D1365" s="4" t="str">
        <f ca="1">IFERROR(__xludf.DUMMYFUNCTION("IFERROR(GOOGLETRANSLATE(B1365,""en"",""zh-TW""),)"),"")</f>
        <v/>
      </c>
      <c r="E1365" s="4" t="str">
        <f ca="1">IFERROR(__xludf.DUMMYFUNCTION("IFERROR(GOOGLETRANSLATE(B1365,""en"",""zh-CN""),)"),"")</f>
        <v/>
      </c>
    </row>
    <row r="1366" spans="1:5">
      <c r="A1366" s="3"/>
      <c r="B1366" s="4" t="str">
        <f ca="1">IFERROR(__xludf.DUMMYFUNCTION("IFERROR(GOOGLETRANSLATE(A1366,""ko"",""en""),)"),"")</f>
        <v/>
      </c>
      <c r="C1366" s="4" t="str">
        <f ca="1">IFERROR(__xludf.DUMMYFUNCTION("IFERROR(GOOGLETRANSLATE(B1366,""en"",""ja""),)"),"")</f>
        <v/>
      </c>
      <c r="D1366" s="4" t="str">
        <f ca="1">IFERROR(__xludf.DUMMYFUNCTION("IFERROR(GOOGLETRANSLATE(B1366,""en"",""zh-TW""),)"),"")</f>
        <v/>
      </c>
      <c r="E1366" s="4" t="str">
        <f ca="1">IFERROR(__xludf.DUMMYFUNCTION("IFERROR(GOOGLETRANSLATE(B1366,""en"",""zh-CN""),)"),"")</f>
        <v/>
      </c>
    </row>
    <row r="1367" spans="1:5">
      <c r="A1367" s="3"/>
      <c r="B1367" s="4" t="str">
        <f ca="1">IFERROR(__xludf.DUMMYFUNCTION("IFERROR(GOOGLETRANSLATE(A1367,""ko"",""en""),)"),"")</f>
        <v/>
      </c>
      <c r="C1367" s="4" t="str">
        <f ca="1">IFERROR(__xludf.DUMMYFUNCTION("IFERROR(GOOGLETRANSLATE(B1367,""en"",""ja""),)"),"")</f>
        <v/>
      </c>
      <c r="D1367" s="4" t="str">
        <f ca="1">IFERROR(__xludf.DUMMYFUNCTION("IFERROR(GOOGLETRANSLATE(B1367,""en"",""zh-TW""),)"),"")</f>
        <v/>
      </c>
      <c r="E1367" s="4" t="str">
        <f ca="1">IFERROR(__xludf.DUMMYFUNCTION("IFERROR(GOOGLETRANSLATE(B1367,""en"",""zh-CN""),)"),"")</f>
        <v/>
      </c>
    </row>
    <row r="1368" spans="1:5">
      <c r="A1368" s="3"/>
      <c r="B1368" s="4" t="str">
        <f ca="1">IFERROR(__xludf.DUMMYFUNCTION("IFERROR(GOOGLETRANSLATE(A1368,""ko"",""en""),)"),"")</f>
        <v/>
      </c>
      <c r="C1368" s="4" t="str">
        <f ca="1">IFERROR(__xludf.DUMMYFUNCTION("IFERROR(GOOGLETRANSLATE(B1368,""en"",""ja""),)"),"")</f>
        <v/>
      </c>
      <c r="D1368" s="4" t="str">
        <f ca="1">IFERROR(__xludf.DUMMYFUNCTION("IFERROR(GOOGLETRANSLATE(B1368,""en"",""zh-TW""),)"),"")</f>
        <v/>
      </c>
      <c r="E1368" s="4" t="str">
        <f ca="1">IFERROR(__xludf.DUMMYFUNCTION("IFERROR(GOOGLETRANSLATE(B1368,""en"",""zh-CN""),)"),"")</f>
        <v/>
      </c>
    </row>
    <row r="1369" spans="1:5">
      <c r="A1369" s="3"/>
      <c r="B1369" s="4" t="str">
        <f ca="1">IFERROR(__xludf.DUMMYFUNCTION("IFERROR(GOOGLETRANSLATE(A1369,""ko"",""en""),)"),"")</f>
        <v/>
      </c>
      <c r="C1369" s="4" t="str">
        <f ca="1">IFERROR(__xludf.DUMMYFUNCTION("IFERROR(GOOGLETRANSLATE(B1369,""en"",""ja""),)"),"")</f>
        <v/>
      </c>
      <c r="D1369" s="4" t="str">
        <f ca="1">IFERROR(__xludf.DUMMYFUNCTION("IFERROR(GOOGLETRANSLATE(B1369,""en"",""zh-TW""),)"),"")</f>
        <v/>
      </c>
      <c r="E1369" s="4" t="str">
        <f ca="1">IFERROR(__xludf.DUMMYFUNCTION("IFERROR(GOOGLETRANSLATE(B1369,""en"",""zh-CN""),)"),"")</f>
        <v/>
      </c>
    </row>
    <row r="1370" spans="1:5">
      <c r="A1370" s="3"/>
      <c r="B1370" s="4" t="str">
        <f ca="1">IFERROR(__xludf.DUMMYFUNCTION("IFERROR(GOOGLETRANSLATE(A1370,""ko"",""en""),)"),"")</f>
        <v/>
      </c>
      <c r="C1370" s="4" t="str">
        <f ca="1">IFERROR(__xludf.DUMMYFUNCTION("IFERROR(GOOGLETRANSLATE(B1370,""en"",""ja""),)"),"")</f>
        <v/>
      </c>
      <c r="D1370" s="4" t="str">
        <f ca="1">IFERROR(__xludf.DUMMYFUNCTION("IFERROR(GOOGLETRANSLATE(B1370,""en"",""zh-TW""),)"),"")</f>
        <v/>
      </c>
      <c r="E1370" s="4" t="str">
        <f ca="1">IFERROR(__xludf.DUMMYFUNCTION("IFERROR(GOOGLETRANSLATE(B1370,""en"",""zh-CN""),)"),"")</f>
        <v/>
      </c>
    </row>
    <row r="1371" spans="1:5">
      <c r="A1371" s="3"/>
      <c r="B1371" s="4" t="str">
        <f ca="1">IFERROR(__xludf.DUMMYFUNCTION("IFERROR(GOOGLETRANSLATE(A1371,""ko"",""en""),)"),"")</f>
        <v/>
      </c>
      <c r="C1371" s="4" t="str">
        <f ca="1">IFERROR(__xludf.DUMMYFUNCTION("IFERROR(GOOGLETRANSLATE(B1371,""en"",""ja""),)"),"")</f>
        <v/>
      </c>
      <c r="D1371" s="4" t="str">
        <f ca="1">IFERROR(__xludf.DUMMYFUNCTION("IFERROR(GOOGLETRANSLATE(B1371,""en"",""zh-TW""),)"),"")</f>
        <v/>
      </c>
      <c r="E1371" s="4" t="str">
        <f ca="1">IFERROR(__xludf.DUMMYFUNCTION("IFERROR(GOOGLETRANSLATE(B1371,""en"",""zh-CN""),)"),"")</f>
        <v/>
      </c>
    </row>
    <row r="1372" spans="1:5">
      <c r="A1372" s="3"/>
      <c r="B1372" s="4" t="str">
        <f ca="1">IFERROR(__xludf.DUMMYFUNCTION("IFERROR(GOOGLETRANSLATE(A1372,""ko"",""en""),)"),"")</f>
        <v/>
      </c>
      <c r="C1372" s="4" t="str">
        <f ca="1">IFERROR(__xludf.DUMMYFUNCTION("IFERROR(GOOGLETRANSLATE(B1372,""en"",""ja""),)"),"")</f>
        <v/>
      </c>
      <c r="D1372" s="4" t="str">
        <f ca="1">IFERROR(__xludf.DUMMYFUNCTION("IFERROR(GOOGLETRANSLATE(B1372,""en"",""zh-TW""),)"),"")</f>
        <v/>
      </c>
      <c r="E1372" s="4" t="str">
        <f ca="1">IFERROR(__xludf.DUMMYFUNCTION("IFERROR(GOOGLETRANSLATE(B1372,""en"",""zh-CN""),)"),"")</f>
        <v/>
      </c>
    </row>
    <row r="1373" spans="1:5">
      <c r="A1373" s="3"/>
      <c r="B1373" s="4" t="str">
        <f ca="1">IFERROR(__xludf.DUMMYFUNCTION("IFERROR(GOOGLETRANSLATE(A1373,""ko"",""en""),)"),"")</f>
        <v/>
      </c>
      <c r="C1373" s="4" t="str">
        <f ca="1">IFERROR(__xludf.DUMMYFUNCTION("IFERROR(GOOGLETRANSLATE(B1373,""en"",""ja""),)"),"")</f>
        <v/>
      </c>
      <c r="D1373" s="4" t="str">
        <f ca="1">IFERROR(__xludf.DUMMYFUNCTION("IFERROR(GOOGLETRANSLATE(B1373,""en"",""zh-TW""),)"),"")</f>
        <v/>
      </c>
      <c r="E1373" s="4" t="str">
        <f ca="1">IFERROR(__xludf.DUMMYFUNCTION("IFERROR(GOOGLETRANSLATE(B1373,""en"",""zh-CN""),)"),"")</f>
        <v/>
      </c>
    </row>
    <row r="1374" spans="1:5">
      <c r="A1374" s="3"/>
      <c r="B1374" s="4" t="str">
        <f ca="1">IFERROR(__xludf.DUMMYFUNCTION("IFERROR(GOOGLETRANSLATE(A1374,""ko"",""en""),)"),"")</f>
        <v/>
      </c>
      <c r="C1374" s="4" t="str">
        <f ca="1">IFERROR(__xludf.DUMMYFUNCTION("IFERROR(GOOGLETRANSLATE(B1374,""en"",""ja""),)"),"")</f>
        <v/>
      </c>
      <c r="D1374" s="4" t="str">
        <f ca="1">IFERROR(__xludf.DUMMYFUNCTION("IFERROR(GOOGLETRANSLATE(B1374,""en"",""zh-TW""),)"),"")</f>
        <v/>
      </c>
      <c r="E1374" s="4" t="str">
        <f ca="1">IFERROR(__xludf.DUMMYFUNCTION("IFERROR(GOOGLETRANSLATE(B1374,""en"",""zh-CN""),)"),"")</f>
        <v/>
      </c>
    </row>
    <row r="1375" spans="1:5">
      <c r="A1375" s="3"/>
      <c r="B1375" s="4" t="str">
        <f ca="1">IFERROR(__xludf.DUMMYFUNCTION("IFERROR(GOOGLETRANSLATE(A1375,""ko"",""en""),)"),"")</f>
        <v/>
      </c>
      <c r="C1375" s="4" t="str">
        <f ca="1">IFERROR(__xludf.DUMMYFUNCTION("IFERROR(GOOGLETRANSLATE(B1375,""en"",""ja""),)"),"")</f>
        <v/>
      </c>
      <c r="D1375" s="4" t="str">
        <f ca="1">IFERROR(__xludf.DUMMYFUNCTION("IFERROR(GOOGLETRANSLATE(B1375,""en"",""zh-TW""),)"),"")</f>
        <v/>
      </c>
      <c r="E1375" s="4" t="str">
        <f ca="1">IFERROR(__xludf.DUMMYFUNCTION("IFERROR(GOOGLETRANSLATE(B1375,""en"",""zh-CN""),)"),"")</f>
        <v/>
      </c>
    </row>
    <row r="1376" spans="1:5">
      <c r="A1376" s="3"/>
      <c r="B1376" s="4" t="str">
        <f ca="1">IFERROR(__xludf.DUMMYFUNCTION("IFERROR(GOOGLETRANSLATE(A1376,""ko"",""en""),)"),"")</f>
        <v/>
      </c>
      <c r="C1376" s="4" t="str">
        <f ca="1">IFERROR(__xludf.DUMMYFUNCTION("IFERROR(GOOGLETRANSLATE(B1376,""en"",""ja""),)"),"")</f>
        <v/>
      </c>
      <c r="D1376" s="4" t="str">
        <f ca="1">IFERROR(__xludf.DUMMYFUNCTION("IFERROR(GOOGLETRANSLATE(B1376,""en"",""zh-TW""),)"),"")</f>
        <v/>
      </c>
      <c r="E1376" s="4" t="str">
        <f ca="1">IFERROR(__xludf.DUMMYFUNCTION("IFERROR(GOOGLETRANSLATE(B1376,""en"",""zh-CN""),)"),"")</f>
        <v/>
      </c>
    </row>
    <row r="1377" spans="1:5">
      <c r="A1377" s="3"/>
      <c r="B1377" s="4" t="str">
        <f ca="1">IFERROR(__xludf.DUMMYFUNCTION("IFERROR(GOOGLETRANSLATE(A1377,""ko"",""en""),)"),"")</f>
        <v/>
      </c>
      <c r="C1377" s="4" t="str">
        <f ca="1">IFERROR(__xludf.DUMMYFUNCTION("IFERROR(GOOGLETRANSLATE(B1377,""en"",""ja""),)"),"")</f>
        <v/>
      </c>
      <c r="D1377" s="4" t="str">
        <f ca="1">IFERROR(__xludf.DUMMYFUNCTION("IFERROR(GOOGLETRANSLATE(B1377,""en"",""zh-TW""),)"),"")</f>
        <v/>
      </c>
      <c r="E1377" s="4" t="str">
        <f ca="1">IFERROR(__xludf.DUMMYFUNCTION("IFERROR(GOOGLETRANSLATE(B1377,""en"",""zh-CN""),)"),"")</f>
        <v/>
      </c>
    </row>
    <row r="1378" spans="1:5">
      <c r="A1378" s="3"/>
      <c r="B1378" s="4" t="str">
        <f ca="1">IFERROR(__xludf.DUMMYFUNCTION("IFERROR(GOOGLETRANSLATE(A1378,""ko"",""en""),)"),"")</f>
        <v/>
      </c>
      <c r="C1378" s="4" t="str">
        <f ca="1">IFERROR(__xludf.DUMMYFUNCTION("IFERROR(GOOGLETRANSLATE(B1378,""en"",""ja""),)"),"")</f>
        <v/>
      </c>
      <c r="D1378" s="4" t="str">
        <f ca="1">IFERROR(__xludf.DUMMYFUNCTION("IFERROR(GOOGLETRANSLATE(B1378,""en"",""zh-TW""),)"),"")</f>
        <v/>
      </c>
      <c r="E1378" s="4" t="str">
        <f ca="1">IFERROR(__xludf.DUMMYFUNCTION("IFERROR(GOOGLETRANSLATE(B1378,""en"",""zh-CN""),)"),"")</f>
        <v/>
      </c>
    </row>
    <row r="1379" spans="1:5">
      <c r="A1379" s="3"/>
      <c r="B1379" s="4" t="str">
        <f ca="1">IFERROR(__xludf.DUMMYFUNCTION("IFERROR(GOOGLETRANSLATE(A1379,""ko"",""en""),)"),"")</f>
        <v/>
      </c>
      <c r="C1379" s="4" t="str">
        <f ca="1">IFERROR(__xludf.DUMMYFUNCTION("IFERROR(GOOGLETRANSLATE(B1379,""en"",""ja""),)"),"")</f>
        <v/>
      </c>
      <c r="D1379" s="4" t="str">
        <f ca="1">IFERROR(__xludf.DUMMYFUNCTION("IFERROR(GOOGLETRANSLATE(B1379,""en"",""zh-TW""),)"),"")</f>
        <v/>
      </c>
      <c r="E1379" s="4" t="str">
        <f ca="1">IFERROR(__xludf.DUMMYFUNCTION("IFERROR(GOOGLETRANSLATE(B1379,""en"",""zh-CN""),)"),"")</f>
        <v/>
      </c>
    </row>
    <row r="1380" spans="1:5">
      <c r="A1380" s="3"/>
      <c r="B1380" s="4" t="str">
        <f ca="1">IFERROR(__xludf.DUMMYFUNCTION("IFERROR(GOOGLETRANSLATE(A1380,""ko"",""en""),)"),"")</f>
        <v/>
      </c>
      <c r="C1380" s="4" t="str">
        <f ca="1">IFERROR(__xludf.DUMMYFUNCTION("IFERROR(GOOGLETRANSLATE(B1380,""en"",""ja""),)"),"")</f>
        <v/>
      </c>
      <c r="D1380" s="4" t="str">
        <f ca="1">IFERROR(__xludf.DUMMYFUNCTION("IFERROR(GOOGLETRANSLATE(B1380,""en"",""zh-TW""),)"),"")</f>
        <v/>
      </c>
      <c r="E1380" s="4" t="str">
        <f ca="1">IFERROR(__xludf.DUMMYFUNCTION("IFERROR(GOOGLETRANSLATE(B1380,""en"",""zh-CN""),)"),"")</f>
        <v/>
      </c>
    </row>
    <row r="1381" spans="1:5">
      <c r="A1381" s="3"/>
      <c r="B1381" s="4" t="str">
        <f ca="1">IFERROR(__xludf.DUMMYFUNCTION("IFERROR(GOOGLETRANSLATE(A1381,""ko"",""en""),)"),"")</f>
        <v/>
      </c>
      <c r="C1381" s="4" t="str">
        <f ca="1">IFERROR(__xludf.DUMMYFUNCTION("IFERROR(GOOGLETRANSLATE(B1381,""en"",""ja""),)"),"")</f>
        <v/>
      </c>
      <c r="D1381" s="4" t="str">
        <f ca="1">IFERROR(__xludf.DUMMYFUNCTION("IFERROR(GOOGLETRANSLATE(B1381,""en"",""zh-TW""),)"),"")</f>
        <v/>
      </c>
      <c r="E1381" s="4" t="str">
        <f ca="1">IFERROR(__xludf.DUMMYFUNCTION("IFERROR(GOOGLETRANSLATE(B1381,""en"",""zh-CN""),)"),"")</f>
        <v/>
      </c>
    </row>
    <row r="1382" spans="1:5">
      <c r="A1382" s="3"/>
      <c r="B1382" s="4" t="str">
        <f ca="1">IFERROR(__xludf.DUMMYFUNCTION("IFERROR(GOOGLETRANSLATE(A1382,""ko"",""en""),)"),"")</f>
        <v/>
      </c>
      <c r="C1382" s="4" t="str">
        <f ca="1">IFERROR(__xludf.DUMMYFUNCTION("IFERROR(GOOGLETRANSLATE(B1382,""en"",""ja""),)"),"")</f>
        <v/>
      </c>
      <c r="D1382" s="4" t="str">
        <f ca="1">IFERROR(__xludf.DUMMYFUNCTION("IFERROR(GOOGLETRANSLATE(B1382,""en"",""zh-TW""),)"),"")</f>
        <v/>
      </c>
      <c r="E1382" s="4" t="str">
        <f ca="1">IFERROR(__xludf.DUMMYFUNCTION("IFERROR(GOOGLETRANSLATE(B1382,""en"",""zh-CN""),)"),"")</f>
        <v/>
      </c>
    </row>
    <row r="1383" spans="1:5">
      <c r="A1383" s="3"/>
      <c r="B1383" s="4" t="str">
        <f ca="1">IFERROR(__xludf.DUMMYFUNCTION("IFERROR(GOOGLETRANSLATE(A1383,""ko"",""en""),)"),"")</f>
        <v/>
      </c>
      <c r="C1383" s="4" t="str">
        <f ca="1">IFERROR(__xludf.DUMMYFUNCTION("IFERROR(GOOGLETRANSLATE(B1383,""en"",""ja""),)"),"")</f>
        <v/>
      </c>
      <c r="D1383" s="4" t="str">
        <f ca="1">IFERROR(__xludf.DUMMYFUNCTION("IFERROR(GOOGLETRANSLATE(B1383,""en"",""zh-TW""),)"),"")</f>
        <v/>
      </c>
      <c r="E1383" s="4" t="str">
        <f ca="1">IFERROR(__xludf.DUMMYFUNCTION("IFERROR(GOOGLETRANSLATE(B1383,""en"",""zh-CN""),)"),"")</f>
        <v/>
      </c>
    </row>
    <row r="1384" spans="1:5">
      <c r="A1384" s="3"/>
      <c r="B1384" s="4" t="str">
        <f ca="1">IFERROR(__xludf.DUMMYFUNCTION("IFERROR(GOOGLETRANSLATE(A1384,""ko"",""en""),)"),"")</f>
        <v/>
      </c>
      <c r="C1384" s="4" t="str">
        <f ca="1">IFERROR(__xludf.DUMMYFUNCTION("IFERROR(GOOGLETRANSLATE(B1384,""en"",""ja""),)"),"")</f>
        <v/>
      </c>
      <c r="D1384" s="4" t="str">
        <f ca="1">IFERROR(__xludf.DUMMYFUNCTION("IFERROR(GOOGLETRANSLATE(B1384,""en"",""zh-TW""),)"),"")</f>
        <v/>
      </c>
      <c r="E1384" s="4" t="str">
        <f ca="1">IFERROR(__xludf.DUMMYFUNCTION("IFERROR(GOOGLETRANSLATE(B1384,""en"",""zh-CN""),)"),"")</f>
        <v/>
      </c>
    </row>
    <row r="1385" spans="1:5">
      <c r="A1385" s="3"/>
      <c r="B1385" s="4" t="str">
        <f ca="1">IFERROR(__xludf.DUMMYFUNCTION("IFERROR(GOOGLETRANSLATE(A1385,""ko"",""en""),)"),"")</f>
        <v/>
      </c>
      <c r="C1385" s="4" t="str">
        <f ca="1">IFERROR(__xludf.DUMMYFUNCTION("IFERROR(GOOGLETRANSLATE(B1385,""en"",""ja""),)"),"")</f>
        <v/>
      </c>
      <c r="D1385" s="4" t="str">
        <f ca="1">IFERROR(__xludf.DUMMYFUNCTION("IFERROR(GOOGLETRANSLATE(B1385,""en"",""zh-TW""),)"),"")</f>
        <v/>
      </c>
      <c r="E1385" s="4" t="str">
        <f ca="1">IFERROR(__xludf.DUMMYFUNCTION("IFERROR(GOOGLETRANSLATE(B1385,""en"",""zh-CN""),)"),"")</f>
        <v/>
      </c>
    </row>
    <row r="1386" spans="1:5">
      <c r="A1386" s="3"/>
      <c r="B1386" s="4" t="str">
        <f ca="1">IFERROR(__xludf.DUMMYFUNCTION("IFERROR(GOOGLETRANSLATE(A1386,""ko"",""en""),)"),"")</f>
        <v/>
      </c>
      <c r="C1386" s="4" t="str">
        <f ca="1">IFERROR(__xludf.DUMMYFUNCTION("IFERROR(GOOGLETRANSLATE(B1386,""en"",""ja""),)"),"")</f>
        <v/>
      </c>
      <c r="D1386" s="4" t="str">
        <f ca="1">IFERROR(__xludf.DUMMYFUNCTION("IFERROR(GOOGLETRANSLATE(B1386,""en"",""zh-TW""),)"),"")</f>
        <v/>
      </c>
      <c r="E1386" s="4" t="str">
        <f ca="1">IFERROR(__xludf.DUMMYFUNCTION("IFERROR(GOOGLETRANSLATE(B1386,""en"",""zh-CN""),)"),"")</f>
        <v/>
      </c>
    </row>
    <row r="1387" spans="1:5">
      <c r="A1387" s="3"/>
      <c r="B1387" s="4" t="str">
        <f ca="1">IFERROR(__xludf.DUMMYFUNCTION("IFERROR(GOOGLETRANSLATE(A1387,""ko"",""en""),)"),"")</f>
        <v/>
      </c>
      <c r="C1387" s="4" t="str">
        <f ca="1">IFERROR(__xludf.DUMMYFUNCTION("IFERROR(GOOGLETRANSLATE(B1387,""en"",""ja""),)"),"")</f>
        <v/>
      </c>
      <c r="D1387" s="4" t="str">
        <f ca="1">IFERROR(__xludf.DUMMYFUNCTION("IFERROR(GOOGLETRANSLATE(B1387,""en"",""zh-TW""),)"),"")</f>
        <v/>
      </c>
      <c r="E1387" s="4" t="str">
        <f ca="1">IFERROR(__xludf.DUMMYFUNCTION("IFERROR(GOOGLETRANSLATE(B1387,""en"",""zh-CN""),)"),"")</f>
        <v/>
      </c>
    </row>
    <row r="1388" spans="1:5">
      <c r="A1388" s="3"/>
      <c r="B1388" s="4" t="str">
        <f ca="1">IFERROR(__xludf.DUMMYFUNCTION("IFERROR(GOOGLETRANSLATE(A1388,""ko"",""en""),)"),"")</f>
        <v/>
      </c>
      <c r="C1388" s="4" t="str">
        <f ca="1">IFERROR(__xludf.DUMMYFUNCTION("IFERROR(GOOGLETRANSLATE(B1388,""en"",""ja""),)"),"")</f>
        <v/>
      </c>
      <c r="D1388" s="4" t="str">
        <f ca="1">IFERROR(__xludf.DUMMYFUNCTION("IFERROR(GOOGLETRANSLATE(B1388,""en"",""zh-TW""),)"),"")</f>
        <v/>
      </c>
      <c r="E1388" s="4" t="str">
        <f ca="1">IFERROR(__xludf.DUMMYFUNCTION("IFERROR(GOOGLETRANSLATE(B1388,""en"",""zh-CN""),)"),"")</f>
        <v/>
      </c>
    </row>
    <row r="1389" spans="1:5">
      <c r="A1389" s="3"/>
      <c r="B1389" s="4" t="str">
        <f ca="1">IFERROR(__xludf.DUMMYFUNCTION("IFERROR(GOOGLETRANSLATE(A1389,""ko"",""en""),)"),"")</f>
        <v/>
      </c>
      <c r="C1389" s="4" t="str">
        <f ca="1">IFERROR(__xludf.DUMMYFUNCTION("IFERROR(GOOGLETRANSLATE(B1389,""en"",""ja""),)"),"")</f>
        <v/>
      </c>
      <c r="D1389" s="4" t="str">
        <f ca="1">IFERROR(__xludf.DUMMYFUNCTION("IFERROR(GOOGLETRANSLATE(B1389,""en"",""zh-TW""),)"),"")</f>
        <v/>
      </c>
      <c r="E1389" s="4" t="str">
        <f ca="1">IFERROR(__xludf.DUMMYFUNCTION("IFERROR(GOOGLETRANSLATE(B1389,""en"",""zh-CN""),)"),"")</f>
        <v/>
      </c>
    </row>
    <row r="1390" spans="1:5">
      <c r="A1390" s="3"/>
      <c r="B1390" s="4" t="str">
        <f ca="1">IFERROR(__xludf.DUMMYFUNCTION("IFERROR(GOOGLETRANSLATE(A1390,""ko"",""en""),)"),"")</f>
        <v/>
      </c>
      <c r="C1390" s="4" t="str">
        <f ca="1">IFERROR(__xludf.DUMMYFUNCTION("IFERROR(GOOGLETRANSLATE(B1390,""en"",""ja""),)"),"")</f>
        <v/>
      </c>
      <c r="D1390" s="4" t="str">
        <f ca="1">IFERROR(__xludf.DUMMYFUNCTION("IFERROR(GOOGLETRANSLATE(B1390,""en"",""zh-TW""),)"),"")</f>
        <v/>
      </c>
      <c r="E1390" s="4" t="str">
        <f ca="1">IFERROR(__xludf.DUMMYFUNCTION("IFERROR(GOOGLETRANSLATE(B1390,""en"",""zh-CN""),)"),"")</f>
        <v/>
      </c>
    </row>
    <row r="1391" spans="1:5">
      <c r="A1391" s="3"/>
      <c r="B1391" s="4" t="str">
        <f ca="1">IFERROR(__xludf.DUMMYFUNCTION("IFERROR(GOOGLETRANSLATE(A1391,""ko"",""en""),)"),"")</f>
        <v/>
      </c>
      <c r="C1391" s="4" t="str">
        <f ca="1">IFERROR(__xludf.DUMMYFUNCTION("IFERROR(GOOGLETRANSLATE(B1391,""en"",""ja""),)"),"")</f>
        <v/>
      </c>
      <c r="D1391" s="4" t="str">
        <f ca="1">IFERROR(__xludf.DUMMYFUNCTION("IFERROR(GOOGLETRANSLATE(B1391,""en"",""zh-TW""),)"),"")</f>
        <v/>
      </c>
      <c r="E1391" s="4" t="str">
        <f ca="1">IFERROR(__xludf.DUMMYFUNCTION("IFERROR(GOOGLETRANSLATE(B1391,""en"",""zh-CN""),)"),"")</f>
        <v/>
      </c>
    </row>
    <row r="1392" spans="1:5">
      <c r="A1392" s="3"/>
      <c r="B1392" s="4" t="str">
        <f ca="1">IFERROR(__xludf.DUMMYFUNCTION("IFERROR(GOOGLETRANSLATE(A1392,""ko"",""en""),)"),"")</f>
        <v/>
      </c>
      <c r="C1392" s="4" t="str">
        <f ca="1">IFERROR(__xludf.DUMMYFUNCTION("IFERROR(GOOGLETRANSLATE(B1392,""en"",""ja""),)"),"")</f>
        <v/>
      </c>
      <c r="D1392" s="4" t="str">
        <f ca="1">IFERROR(__xludf.DUMMYFUNCTION("IFERROR(GOOGLETRANSLATE(B1392,""en"",""zh-TW""),)"),"")</f>
        <v/>
      </c>
      <c r="E1392" s="4" t="str">
        <f ca="1">IFERROR(__xludf.DUMMYFUNCTION("IFERROR(GOOGLETRANSLATE(B1392,""en"",""zh-CN""),)"),"")</f>
        <v/>
      </c>
    </row>
    <row r="1393" spans="1:5">
      <c r="A1393" s="3"/>
      <c r="B1393" s="4" t="str">
        <f ca="1">IFERROR(__xludf.DUMMYFUNCTION("IFERROR(GOOGLETRANSLATE(A1393,""ko"",""en""),)"),"")</f>
        <v/>
      </c>
      <c r="C1393" s="4" t="str">
        <f ca="1">IFERROR(__xludf.DUMMYFUNCTION("IFERROR(GOOGLETRANSLATE(B1393,""en"",""ja""),)"),"")</f>
        <v/>
      </c>
      <c r="D1393" s="4" t="str">
        <f ca="1">IFERROR(__xludf.DUMMYFUNCTION("IFERROR(GOOGLETRANSLATE(B1393,""en"",""zh-TW""),)"),"")</f>
        <v/>
      </c>
      <c r="E1393" s="4" t="str">
        <f ca="1">IFERROR(__xludf.DUMMYFUNCTION("IFERROR(GOOGLETRANSLATE(B1393,""en"",""zh-CN""),)"),"")</f>
        <v/>
      </c>
    </row>
    <row r="1394" spans="1:5">
      <c r="A1394" s="3"/>
      <c r="B1394" s="4" t="str">
        <f ca="1">IFERROR(__xludf.DUMMYFUNCTION("IFERROR(GOOGLETRANSLATE(A1394,""ko"",""en""),)"),"")</f>
        <v/>
      </c>
      <c r="C1394" s="4" t="str">
        <f ca="1">IFERROR(__xludf.DUMMYFUNCTION("IFERROR(GOOGLETRANSLATE(B1394,""en"",""ja""),)"),"")</f>
        <v/>
      </c>
      <c r="D1394" s="4" t="str">
        <f ca="1">IFERROR(__xludf.DUMMYFUNCTION("IFERROR(GOOGLETRANSLATE(B1394,""en"",""zh-TW""),)"),"")</f>
        <v/>
      </c>
      <c r="E1394" s="4" t="str">
        <f ca="1">IFERROR(__xludf.DUMMYFUNCTION("IFERROR(GOOGLETRANSLATE(B1394,""en"",""zh-CN""),)"),"")</f>
        <v/>
      </c>
    </row>
    <row r="1395" spans="1:5">
      <c r="A1395" s="3"/>
      <c r="B1395" s="4" t="str">
        <f ca="1">IFERROR(__xludf.DUMMYFUNCTION("IFERROR(GOOGLETRANSLATE(A1395,""ko"",""en""),)"),"")</f>
        <v/>
      </c>
      <c r="C1395" s="4" t="str">
        <f ca="1">IFERROR(__xludf.DUMMYFUNCTION("IFERROR(GOOGLETRANSLATE(B1395,""en"",""ja""),)"),"")</f>
        <v/>
      </c>
      <c r="D1395" s="4" t="str">
        <f ca="1">IFERROR(__xludf.DUMMYFUNCTION("IFERROR(GOOGLETRANSLATE(B1395,""en"",""zh-TW""),)"),"")</f>
        <v/>
      </c>
      <c r="E1395" s="4" t="str">
        <f ca="1">IFERROR(__xludf.DUMMYFUNCTION("IFERROR(GOOGLETRANSLATE(B1395,""en"",""zh-CN""),)"),"")</f>
        <v/>
      </c>
    </row>
    <row r="1396" spans="1:5">
      <c r="A1396" s="3"/>
      <c r="B1396" s="4" t="str">
        <f ca="1">IFERROR(__xludf.DUMMYFUNCTION("IFERROR(GOOGLETRANSLATE(A1396,""ko"",""en""),)"),"")</f>
        <v/>
      </c>
      <c r="C1396" s="4" t="str">
        <f ca="1">IFERROR(__xludf.DUMMYFUNCTION("IFERROR(GOOGLETRANSLATE(B1396,""en"",""ja""),)"),"")</f>
        <v/>
      </c>
      <c r="D1396" s="4" t="str">
        <f ca="1">IFERROR(__xludf.DUMMYFUNCTION("IFERROR(GOOGLETRANSLATE(B1396,""en"",""zh-TW""),)"),"")</f>
        <v/>
      </c>
      <c r="E1396" s="4" t="str">
        <f ca="1">IFERROR(__xludf.DUMMYFUNCTION("IFERROR(GOOGLETRANSLATE(B1396,""en"",""zh-CN""),)"),"")</f>
        <v/>
      </c>
    </row>
    <row r="1397" spans="1:5">
      <c r="A1397" s="3"/>
      <c r="B1397" s="4" t="str">
        <f ca="1">IFERROR(__xludf.DUMMYFUNCTION("IFERROR(GOOGLETRANSLATE(A1397,""ko"",""en""),)"),"")</f>
        <v/>
      </c>
      <c r="C1397" s="4" t="str">
        <f ca="1">IFERROR(__xludf.DUMMYFUNCTION("IFERROR(GOOGLETRANSLATE(B1397,""en"",""ja""),)"),"")</f>
        <v/>
      </c>
      <c r="D1397" s="4" t="str">
        <f ca="1">IFERROR(__xludf.DUMMYFUNCTION("IFERROR(GOOGLETRANSLATE(B1397,""en"",""zh-TW""),)"),"")</f>
        <v/>
      </c>
      <c r="E1397" s="4" t="str">
        <f ca="1">IFERROR(__xludf.DUMMYFUNCTION("IFERROR(GOOGLETRANSLATE(B1397,""en"",""zh-CN""),)"),"")</f>
        <v/>
      </c>
    </row>
    <row r="1398" spans="1:5">
      <c r="A1398" s="3"/>
      <c r="B1398" s="4" t="str">
        <f ca="1">IFERROR(__xludf.DUMMYFUNCTION("IFERROR(GOOGLETRANSLATE(A1398,""ko"",""en""),)"),"")</f>
        <v/>
      </c>
      <c r="C1398" s="4" t="str">
        <f ca="1">IFERROR(__xludf.DUMMYFUNCTION("IFERROR(GOOGLETRANSLATE(B1398,""en"",""ja""),)"),"")</f>
        <v/>
      </c>
      <c r="D1398" s="4" t="str">
        <f ca="1">IFERROR(__xludf.DUMMYFUNCTION("IFERROR(GOOGLETRANSLATE(B1398,""en"",""zh-TW""),)"),"")</f>
        <v/>
      </c>
      <c r="E1398" s="4" t="str">
        <f ca="1">IFERROR(__xludf.DUMMYFUNCTION("IFERROR(GOOGLETRANSLATE(B1398,""en"",""zh-CN""),)"),"")</f>
        <v/>
      </c>
    </row>
    <row r="1399" spans="1:5">
      <c r="A1399" s="3"/>
      <c r="B1399" s="4" t="str">
        <f ca="1">IFERROR(__xludf.DUMMYFUNCTION("IFERROR(GOOGLETRANSLATE(A1399,""ko"",""en""),)"),"")</f>
        <v/>
      </c>
      <c r="C1399" s="4" t="str">
        <f ca="1">IFERROR(__xludf.DUMMYFUNCTION("IFERROR(GOOGLETRANSLATE(B1399,""en"",""ja""),)"),"")</f>
        <v/>
      </c>
      <c r="D1399" s="4" t="str">
        <f ca="1">IFERROR(__xludf.DUMMYFUNCTION("IFERROR(GOOGLETRANSLATE(B1399,""en"",""zh-TW""),)"),"")</f>
        <v/>
      </c>
      <c r="E1399" s="4" t="str">
        <f ca="1">IFERROR(__xludf.DUMMYFUNCTION("IFERROR(GOOGLETRANSLATE(B1399,""en"",""zh-CN""),)"),"")</f>
        <v/>
      </c>
    </row>
    <row r="1400" spans="1:5">
      <c r="A1400" s="3"/>
      <c r="B1400" s="4" t="str">
        <f ca="1">IFERROR(__xludf.DUMMYFUNCTION("IFERROR(GOOGLETRANSLATE(A1400,""ko"",""en""),)"),"")</f>
        <v/>
      </c>
      <c r="C1400" s="4" t="str">
        <f ca="1">IFERROR(__xludf.DUMMYFUNCTION("IFERROR(GOOGLETRANSLATE(B1400,""en"",""ja""),)"),"")</f>
        <v/>
      </c>
      <c r="D1400" s="4" t="str">
        <f ca="1">IFERROR(__xludf.DUMMYFUNCTION("IFERROR(GOOGLETRANSLATE(B1400,""en"",""zh-TW""),)"),"")</f>
        <v/>
      </c>
      <c r="E1400" s="4" t="str">
        <f ca="1">IFERROR(__xludf.DUMMYFUNCTION("IFERROR(GOOGLETRANSLATE(B1400,""en"",""zh-CN""),)"),"")</f>
        <v/>
      </c>
    </row>
    <row r="1401" spans="1:5">
      <c r="A1401" s="3"/>
      <c r="B1401" s="4" t="str">
        <f ca="1">IFERROR(__xludf.DUMMYFUNCTION("IFERROR(GOOGLETRANSLATE(A1401,""ko"",""en""),)"),"")</f>
        <v/>
      </c>
      <c r="C1401" s="4" t="str">
        <f ca="1">IFERROR(__xludf.DUMMYFUNCTION("IFERROR(GOOGLETRANSLATE(B1401,""en"",""ja""),)"),"")</f>
        <v/>
      </c>
      <c r="D1401" s="4" t="str">
        <f ca="1">IFERROR(__xludf.DUMMYFUNCTION("IFERROR(GOOGLETRANSLATE(B1401,""en"",""zh-TW""),)"),"")</f>
        <v/>
      </c>
      <c r="E1401" s="4" t="str">
        <f ca="1">IFERROR(__xludf.DUMMYFUNCTION("IFERROR(GOOGLETRANSLATE(B1401,""en"",""zh-CN""),)"),"")</f>
        <v/>
      </c>
    </row>
    <row r="1402" spans="1:5">
      <c r="A1402" s="3"/>
      <c r="B1402" s="4" t="str">
        <f ca="1">IFERROR(__xludf.DUMMYFUNCTION("IFERROR(GOOGLETRANSLATE(A1402,""ko"",""en""),)"),"")</f>
        <v/>
      </c>
      <c r="C1402" s="4" t="str">
        <f ca="1">IFERROR(__xludf.DUMMYFUNCTION("IFERROR(GOOGLETRANSLATE(B1402,""en"",""ja""),)"),"")</f>
        <v/>
      </c>
      <c r="D1402" s="4" t="str">
        <f ca="1">IFERROR(__xludf.DUMMYFUNCTION("IFERROR(GOOGLETRANSLATE(B1402,""en"",""zh-TW""),)"),"")</f>
        <v/>
      </c>
      <c r="E1402" s="4" t="str">
        <f ca="1">IFERROR(__xludf.DUMMYFUNCTION("IFERROR(GOOGLETRANSLATE(B1402,""en"",""zh-CN""),)"),"")</f>
        <v/>
      </c>
    </row>
    <row r="1403" spans="1:5">
      <c r="A1403" s="3"/>
      <c r="B1403" s="4" t="str">
        <f ca="1">IFERROR(__xludf.DUMMYFUNCTION("IFERROR(GOOGLETRANSLATE(A1403,""ko"",""en""),)"),"")</f>
        <v/>
      </c>
      <c r="C1403" s="4" t="str">
        <f ca="1">IFERROR(__xludf.DUMMYFUNCTION("IFERROR(GOOGLETRANSLATE(B1403,""en"",""ja""),)"),"")</f>
        <v/>
      </c>
      <c r="D1403" s="4" t="str">
        <f ca="1">IFERROR(__xludf.DUMMYFUNCTION("IFERROR(GOOGLETRANSLATE(B1403,""en"",""zh-TW""),)"),"")</f>
        <v/>
      </c>
      <c r="E1403" s="4" t="str">
        <f ca="1">IFERROR(__xludf.DUMMYFUNCTION("IFERROR(GOOGLETRANSLATE(B1403,""en"",""zh-CN""),)"),"")</f>
        <v/>
      </c>
    </row>
    <row r="1404" spans="1:5">
      <c r="A1404" s="3"/>
      <c r="B1404" s="4" t="str">
        <f ca="1">IFERROR(__xludf.DUMMYFUNCTION("IFERROR(GOOGLETRANSLATE(A1404,""ko"",""en""),)"),"")</f>
        <v/>
      </c>
      <c r="C1404" s="4" t="str">
        <f ca="1">IFERROR(__xludf.DUMMYFUNCTION("IFERROR(GOOGLETRANSLATE(B1404,""en"",""ja""),)"),"")</f>
        <v/>
      </c>
      <c r="D1404" s="4" t="str">
        <f ca="1">IFERROR(__xludf.DUMMYFUNCTION("IFERROR(GOOGLETRANSLATE(B1404,""en"",""zh-TW""),)"),"")</f>
        <v/>
      </c>
      <c r="E1404" s="4" t="str">
        <f ca="1">IFERROR(__xludf.DUMMYFUNCTION("IFERROR(GOOGLETRANSLATE(B1404,""en"",""zh-CN""),)"),"")</f>
        <v/>
      </c>
    </row>
    <row r="1405" spans="1:5">
      <c r="A1405" s="3"/>
      <c r="B1405" s="4" t="str">
        <f ca="1">IFERROR(__xludf.DUMMYFUNCTION("IFERROR(GOOGLETRANSLATE(A1405,""ko"",""en""),)"),"")</f>
        <v/>
      </c>
      <c r="C1405" s="4" t="str">
        <f ca="1">IFERROR(__xludf.DUMMYFUNCTION("IFERROR(GOOGLETRANSLATE(B1405,""en"",""ja""),)"),"")</f>
        <v/>
      </c>
      <c r="D1405" s="4" t="str">
        <f ca="1">IFERROR(__xludf.DUMMYFUNCTION("IFERROR(GOOGLETRANSLATE(B1405,""en"",""zh-TW""),)"),"")</f>
        <v/>
      </c>
      <c r="E1405" s="4" t="str">
        <f ca="1">IFERROR(__xludf.DUMMYFUNCTION("IFERROR(GOOGLETRANSLATE(B1405,""en"",""zh-CN""),)"),"")</f>
        <v/>
      </c>
    </row>
    <row r="1406" spans="1:5">
      <c r="A1406" s="3"/>
      <c r="B1406" s="4" t="str">
        <f ca="1">IFERROR(__xludf.DUMMYFUNCTION("IFERROR(GOOGLETRANSLATE(A1406,""ko"",""en""),)"),"")</f>
        <v/>
      </c>
      <c r="C1406" s="4" t="str">
        <f ca="1">IFERROR(__xludf.DUMMYFUNCTION("IFERROR(GOOGLETRANSLATE(B1406,""en"",""ja""),)"),"")</f>
        <v/>
      </c>
      <c r="D1406" s="4" t="str">
        <f ca="1">IFERROR(__xludf.DUMMYFUNCTION("IFERROR(GOOGLETRANSLATE(B1406,""en"",""zh-TW""),)"),"")</f>
        <v/>
      </c>
      <c r="E1406" s="4" t="str">
        <f ca="1">IFERROR(__xludf.DUMMYFUNCTION("IFERROR(GOOGLETRANSLATE(B1406,""en"",""zh-CN""),)"),"")</f>
        <v/>
      </c>
    </row>
    <row r="1407" spans="1:5">
      <c r="A1407" s="3"/>
      <c r="B1407" s="4" t="str">
        <f ca="1">IFERROR(__xludf.DUMMYFUNCTION("IFERROR(GOOGLETRANSLATE(A1407,""ko"",""en""),)"),"")</f>
        <v/>
      </c>
      <c r="C1407" s="4" t="str">
        <f ca="1">IFERROR(__xludf.DUMMYFUNCTION("IFERROR(GOOGLETRANSLATE(B1407,""en"",""ja""),)"),"")</f>
        <v/>
      </c>
      <c r="D1407" s="4" t="str">
        <f ca="1">IFERROR(__xludf.DUMMYFUNCTION("IFERROR(GOOGLETRANSLATE(B1407,""en"",""zh-TW""),)"),"")</f>
        <v/>
      </c>
      <c r="E1407" s="4" t="str">
        <f ca="1">IFERROR(__xludf.DUMMYFUNCTION("IFERROR(GOOGLETRANSLATE(B1407,""en"",""zh-CN""),)"),"")</f>
        <v/>
      </c>
    </row>
    <row r="1408" spans="1:5">
      <c r="A1408" s="3"/>
      <c r="B1408" s="4" t="str">
        <f ca="1">IFERROR(__xludf.DUMMYFUNCTION("IFERROR(GOOGLETRANSLATE(A1408,""ko"",""en""),)"),"")</f>
        <v/>
      </c>
      <c r="C1408" s="4" t="str">
        <f ca="1">IFERROR(__xludf.DUMMYFUNCTION("IFERROR(GOOGLETRANSLATE(B1408,""en"",""ja""),)"),"")</f>
        <v/>
      </c>
      <c r="D1408" s="4" t="str">
        <f ca="1">IFERROR(__xludf.DUMMYFUNCTION("IFERROR(GOOGLETRANSLATE(B1408,""en"",""zh-TW""),)"),"")</f>
        <v/>
      </c>
      <c r="E1408" s="4" t="str">
        <f ca="1">IFERROR(__xludf.DUMMYFUNCTION("IFERROR(GOOGLETRANSLATE(B1408,""en"",""zh-CN""),)"),"")</f>
        <v/>
      </c>
    </row>
    <row r="1409" spans="1:5">
      <c r="A1409" s="3"/>
      <c r="B1409" s="4" t="str">
        <f ca="1">IFERROR(__xludf.DUMMYFUNCTION("IFERROR(GOOGLETRANSLATE(A1409,""ko"",""en""),)"),"")</f>
        <v/>
      </c>
      <c r="C1409" s="4" t="str">
        <f ca="1">IFERROR(__xludf.DUMMYFUNCTION("IFERROR(GOOGLETRANSLATE(B1409,""en"",""ja""),)"),"")</f>
        <v/>
      </c>
      <c r="D1409" s="4" t="str">
        <f ca="1">IFERROR(__xludf.DUMMYFUNCTION("IFERROR(GOOGLETRANSLATE(B1409,""en"",""zh-TW""),)"),"")</f>
        <v/>
      </c>
      <c r="E1409" s="4" t="str">
        <f ca="1">IFERROR(__xludf.DUMMYFUNCTION("IFERROR(GOOGLETRANSLATE(B1409,""en"",""zh-CN""),)"),"")</f>
        <v/>
      </c>
    </row>
    <row r="1410" spans="1:5">
      <c r="A1410" s="3"/>
      <c r="B1410" s="4" t="str">
        <f ca="1">IFERROR(__xludf.DUMMYFUNCTION("IFERROR(GOOGLETRANSLATE(A1410,""ko"",""en""),)"),"")</f>
        <v/>
      </c>
      <c r="C1410" s="4" t="str">
        <f ca="1">IFERROR(__xludf.DUMMYFUNCTION("IFERROR(GOOGLETRANSLATE(B1410,""en"",""ja""),)"),"")</f>
        <v/>
      </c>
      <c r="D1410" s="4" t="str">
        <f ca="1">IFERROR(__xludf.DUMMYFUNCTION("IFERROR(GOOGLETRANSLATE(B1410,""en"",""zh-TW""),)"),"")</f>
        <v/>
      </c>
      <c r="E1410" s="4" t="str">
        <f ca="1">IFERROR(__xludf.DUMMYFUNCTION("IFERROR(GOOGLETRANSLATE(B1410,""en"",""zh-CN""),)"),"")</f>
        <v/>
      </c>
    </row>
    <row r="1411" spans="1:5">
      <c r="A1411" s="3"/>
      <c r="B1411" s="4" t="str">
        <f ca="1">IFERROR(__xludf.DUMMYFUNCTION("IFERROR(GOOGLETRANSLATE(A1411,""ko"",""en""),)"),"")</f>
        <v/>
      </c>
      <c r="C1411" s="4" t="str">
        <f ca="1">IFERROR(__xludf.DUMMYFUNCTION("IFERROR(GOOGLETRANSLATE(B1411,""en"",""ja""),)"),"")</f>
        <v/>
      </c>
      <c r="D1411" s="4" t="str">
        <f ca="1">IFERROR(__xludf.DUMMYFUNCTION("IFERROR(GOOGLETRANSLATE(B1411,""en"",""zh-TW""),)"),"")</f>
        <v/>
      </c>
      <c r="E1411" s="4" t="str">
        <f ca="1">IFERROR(__xludf.DUMMYFUNCTION("IFERROR(GOOGLETRANSLATE(B1411,""en"",""zh-CN""),)"),"")</f>
        <v/>
      </c>
    </row>
    <row r="1412" spans="1:5">
      <c r="A1412" s="3"/>
      <c r="B1412" s="4" t="str">
        <f ca="1">IFERROR(__xludf.DUMMYFUNCTION("IFERROR(GOOGLETRANSLATE(A1412,""ko"",""en""),)"),"")</f>
        <v/>
      </c>
      <c r="C1412" s="4" t="str">
        <f ca="1">IFERROR(__xludf.DUMMYFUNCTION("IFERROR(GOOGLETRANSLATE(B1412,""en"",""ja""),)"),"")</f>
        <v/>
      </c>
      <c r="D1412" s="4" t="str">
        <f ca="1">IFERROR(__xludf.DUMMYFUNCTION("IFERROR(GOOGLETRANSLATE(B1412,""en"",""zh-TW""),)"),"")</f>
        <v/>
      </c>
      <c r="E1412" s="4" t="str">
        <f ca="1">IFERROR(__xludf.DUMMYFUNCTION("IFERROR(GOOGLETRANSLATE(B1412,""en"",""zh-CN""),)"),"")</f>
        <v/>
      </c>
    </row>
    <row r="1413" spans="1:5">
      <c r="A1413" s="3"/>
      <c r="B1413" s="4" t="str">
        <f ca="1">IFERROR(__xludf.DUMMYFUNCTION("IFERROR(GOOGLETRANSLATE(A1413,""ko"",""en""),)"),"")</f>
        <v/>
      </c>
      <c r="C1413" s="4" t="str">
        <f ca="1">IFERROR(__xludf.DUMMYFUNCTION("IFERROR(GOOGLETRANSLATE(B1413,""en"",""ja""),)"),"")</f>
        <v/>
      </c>
      <c r="D1413" s="4" t="str">
        <f ca="1">IFERROR(__xludf.DUMMYFUNCTION("IFERROR(GOOGLETRANSLATE(B1413,""en"",""zh-TW""),)"),"")</f>
        <v/>
      </c>
      <c r="E1413" s="4" t="str">
        <f ca="1">IFERROR(__xludf.DUMMYFUNCTION("IFERROR(GOOGLETRANSLATE(B1413,""en"",""zh-CN""),)"),"")</f>
        <v/>
      </c>
    </row>
    <row r="1414" spans="1:5">
      <c r="A1414" s="3"/>
      <c r="B1414" s="4" t="str">
        <f ca="1">IFERROR(__xludf.DUMMYFUNCTION("IFERROR(GOOGLETRANSLATE(A1414,""ko"",""en""),)"),"")</f>
        <v/>
      </c>
      <c r="C1414" s="4" t="str">
        <f ca="1">IFERROR(__xludf.DUMMYFUNCTION("IFERROR(GOOGLETRANSLATE(B1414,""en"",""ja""),)"),"")</f>
        <v/>
      </c>
      <c r="D1414" s="4" t="str">
        <f ca="1">IFERROR(__xludf.DUMMYFUNCTION("IFERROR(GOOGLETRANSLATE(B1414,""en"",""zh-TW""),)"),"")</f>
        <v/>
      </c>
      <c r="E1414" s="4" t="str">
        <f ca="1">IFERROR(__xludf.DUMMYFUNCTION("IFERROR(GOOGLETRANSLATE(B1414,""en"",""zh-CN""),)"),"")</f>
        <v/>
      </c>
    </row>
    <row r="1415" spans="1:5">
      <c r="A1415" s="3"/>
      <c r="B1415" s="4" t="str">
        <f ca="1">IFERROR(__xludf.DUMMYFUNCTION("IFERROR(GOOGLETRANSLATE(A1415,""ko"",""en""),)"),"")</f>
        <v/>
      </c>
      <c r="C1415" s="4" t="str">
        <f ca="1">IFERROR(__xludf.DUMMYFUNCTION("IFERROR(GOOGLETRANSLATE(B1415,""en"",""ja""),)"),"")</f>
        <v/>
      </c>
      <c r="D1415" s="4" t="str">
        <f ca="1">IFERROR(__xludf.DUMMYFUNCTION("IFERROR(GOOGLETRANSLATE(B1415,""en"",""zh-TW""),)"),"")</f>
        <v/>
      </c>
      <c r="E1415" s="4" t="str">
        <f ca="1">IFERROR(__xludf.DUMMYFUNCTION("IFERROR(GOOGLETRANSLATE(B1415,""en"",""zh-CN""),)"),"")</f>
        <v/>
      </c>
    </row>
    <row r="1416" spans="1:5">
      <c r="A1416" s="3"/>
      <c r="B1416" s="4" t="str">
        <f ca="1">IFERROR(__xludf.DUMMYFUNCTION("IFERROR(GOOGLETRANSLATE(A1416,""ko"",""en""),)"),"")</f>
        <v/>
      </c>
      <c r="C1416" s="4" t="str">
        <f ca="1">IFERROR(__xludf.DUMMYFUNCTION("IFERROR(GOOGLETRANSLATE(B1416,""en"",""ja""),)"),"")</f>
        <v/>
      </c>
      <c r="D1416" s="4" t="str">
        <f ca="1">IFERROR(__xludf.DUMMYFUNCTION("IFERROR(GOOGLETRANSLATE(B1416,""en"",""zh-TW""),)"),"")</f>
        <v/>
      </c>
      <c r="E1416" s="4" t="str">
        <f ca="1">IFERROR(__xludf.DUMMYFUNCTION("IFERROR(GOOGLETRANSLATE(B1416,""en"",""zh-CN""),)"),"")</f>
        <v/>
      </c>
    </row>
    <row r="1417" spans="1:5">
      <c r="A1417" s="3"/>
      <c r="B1417" s="4" t="str">
        <f ca="1">IFERROR(__xludf.DUMMYFUNCTION("IFERROR(GOOGLETRANSLATE(A1417,""ko"",""en""),)"),"")</f>
        <v/>
      </c>
      <c r="C1417" s="4" t="str">
        <f ca="1">IFERROR(__xludf.DUMMYFUNCTION("IFERROR(GOOGLETRANSLATE(B1417,""en"",""ja""),)"),"")</f>
        <v/>
      </c>
      <c r="D1417" s="4" t="str">
        <f ca="1">IFERROR(__xludf.DUMMYFUNCTION("IFERROR(GOOGLETRANSLATE(B1417,""en"",""zh-TW""),)"),"")</f>
        <v/>
      </c>
      <c r="E1417" s="4" t="str">
        <f ca="1">IFERROR(__xludf.DUMMYFUNCTION("IFERROR(GOOGLETRANSLATE(B1417,""en"",""zh-CN""),)"),"")</f>
        <v/>
      </c>
    </row>
    <row r="1418" spans="1:5">
      <c r="A1418" s="3"/>
      <c r="B1418" s="4" t="str">
        <f ca="1">IFERROR(__xludf.DUMMYFUNCTION("IFERROR(GOOGLETRANSLATE(A1418,""ko"",""en""),)"),"")</f>
        <v/>
      </c>
      <c r="C1418" s="4" t="str">
        <f ca="1">IFERROR(__xludf.DUMMYFUNCTION("IFERROR(GOOGLETRANSLATE(B1418,""en"",""ja""),)"),"")</f>
        <v/>
      </c>
      <c r="D1418" s="4" t="str">
        <f ca="1">IFERROR(__xludf.DUMMYFUNCTION("IFERROR(GOOGLETRANSLATE(B1418,""en"",""zh-TW""),)"),"")</f>
        <v/>
      </c>
      <c r="E1418" s="4" t="str">
        <f ca="1">IFERROR(__xludf.DUMMYFUNCTION("IFERROR(GOOGLETRANSLATE(B1418,""en"",""zh-CN""),)"),"")</f>
        <v/>
      </c>
    </row>
    <row r="1419" spans="1:5">
      <c r="A1419" s="3"/>
      <c r="B1419" s="4" t="str">
        <f ca="1">IFERROR(__xludf.DUMMYFUNCTION("IFERROR(GOOGLETRANSLATE(A1419,""ko"",""en""),)"),"")</f>
        <v/>
      </c>
      <c r="C1419" s="4" t="str">
        <f ca="1">IFERROR(__xludf.DUMMYFUNCTION("IFERROR(GOOGLETRANSLATE(B1419,""en"",""ja""),)"),"")</f>
        <v/>
      </c>
      <c r="D1419" s="4" t="str">
        <f ca="1">IFERROR(__xludf.DUMMYFUNCTION("IFERROR(GOOGLETRANSLATE(B1419,""en"",""zh-TW""),)"),"")</f>
        <v/>
      </c>
      <c r="E1419" s="4" t="str">
        <f ca="1">IFERROR(__xludf.DUMMYFUNCTION("IFERROR(GOOGLETRANSLATE(B1419,""en"",""zh-CN""),)"),"")</f>
        <v/>
      </c>
    </row>
    <row r="1420" spans="1:5">
      <c r="A1420" s="3"/>
      <c r="B1420" s="4" t="str">
        <f ca="1">IFERROR(__xludf.DUMMYFUNCTION("IFERROR(GOOGLETRANSLATE(A1420,""ko"",""en""),)"),"")</f>
        <v/>
      </c>
      <c r="C1420" s="4" t="str">
        <f ca="1">IFERROR(__xludf.DUMMYFUNCTION("IFERROR(GOOGLETRANSLATE(B1420,""en"",""ja""),)"),"")</f>
        <v/>
      </c>
      <c r="D1420" s="4" t="str">
        <f ca="1">IFERROR(__xludf.DUMMYFUNCTION("IFERROR(GOOGLETRANSLATE(B1420,""en"",""zh-TW""),)"),"")</f>
        <v/>
      </c>
      <c r="E1420" s="4" t="str">
        <f ca="1">IFERROR(__xludf.DUMMYFUNCTION("IFERROR(GOOGLETRANSLATE(B1420,""en"",""zh-CN""),)"),"")</f>
        <v/>
      </c>
    </row>
    <row r="1421" spans="1:5">
      <c r="A1421" s="3"/>
      <c r="B1421" s="4" t="str">
        <f ca="1">IFERROR(__xludf.DUMMYFUNCTION("IFERROR(GOOGLETRANSLATE(A1421,""ko"",""en""),)"),"")</f>
        <v/>
      </c>
      <c r="C1421" s="4" t="str">
        <f ca="1">IFERROR(__xludf.DUMMYFUNCTION("IFERROR(GOOGLETRANSLATE(B1421,""en"",""ja""),)"),"")</f>
        <v/>
      </c>
      <c r="D1421" s="4" t="str">
        <f ca="1">IFERROR(__xludf.DUMMYFUNCTION("IFERROR(GOOGLETRANSLATE(B1421,""en"",""zh-TW""),)"),"")</f>
        <v/>
      </c>
      <c r="E1421" s="4" t="str">
        <f ca="1">IFERROR(__xludf.DUMMYFUNCTION("IFERROR(GOOGLETRANSLATE(B1421,""en"",""zh-CN""),)"),"")</f>
        <v/>
      </c>
    </row>
    <row r="1422" spans="1:5">
      <c r="A1422" s="3"/>
      <c r="B1422" s="4" t="str">
        <f ca="1">IFERROR(__xludf.DUMMYFUNCTION("IFERROR(GOOGLETRANSLATE(A1422,""ko"",""en""),)"),"")</f>
        <v/>
      </c>
      <c r="C1422" s="4" t="str">
        <f ca="1">IFERROR(__xludf.DUMMYFUNCTION("IFERROR(GOOGLETRANSLATE(B1422,""en"",""ja""),)"),"")</f>
        <v/>
      </c>
      <c r="D1422" s="4" t="str">
        <f ca="1">IFERROR(__xludf.DUMMYFUNCTION("IFERROR(GOOGLETRANSLATE(B1422,""en"",""zh-TW""),)"),"")</f>
        <v/>
      </c>
      <c r="E1422" s="4" t="str">
        <f ca="1">IFERROR(__xludf.DUMMYFUNCTION("IFERROR(GOOGLETRANSLATE(B1422,""en"",""zh-CN""),)"),"")</f>
        <v/>
      </c>
    </row>
    <row r="1423" spans="1:5">
      <c r="A1423" s="3"/>
      <c r="B1423" s="4" t="str">
        <f ca="1">IFERROR(__xludf.DUMMYFUNCTION("IFERROR(GOOGLETRANSLATE(A1423,""ko"",""en""),)"),"")</f>
        <v/>
      </c>
      <c r="C1423" s="4" t="str">
        <f ca="1">IFERROR(__xludf.DUMMYFUNCTION("IFERROR(GOOGLETRANSLATE(B1423,""en"",""ja""),)"),"")</f>
        <v/>
      </c>
      <c r="D1423" s="4" t="str">
        <f ca="1">IFERROR(__xludf.DUMMYFUNCTION("IFERROR(GOOGLETRANSLATE(B1423,""en"",""zh-TW""),)"),"")</f>
        <v/>
      </c>
      <c r="E1423" s="4" t="str">
        <f ca="1">IFERROR(__xludf.DUMMYFUNCTION("IFERROR(GOOGLETRANSLATE(B1423,""en"",""zh-CN""),)"),"")</f>
        <v/>
      </c>
    </row>
    <row r="1424" spans="1:5">
      <c r="A1424" s="3"/>
      <c r="B1424" s="4" t="str">
        <f ca="1">IFERROR(__xludf.DUMMYFUNCTION("IFERROR(GOOGLETRANSLATE(A1424,""ko"",""en""),)"),"")</f>
        <v/>
      </c>
      <c r="C1424" s="4" t="str">
        <f ca="1">IFERROR(__xludf.DUMMYFUNCTION("IFERROR(GOOGLETRANSLATE(B1424,""en"",""ja""),)"),"")</f>
        <v/>
      </c>
      <c r="D1424" s="4" t="str">
        <f ca="1">IFERROR(__xludf.DUMMYFUNCTION("IFERROR(GOOGLETRANSLATE(B1424,""en"",""zh-TW""),)"),"")</f>
        <v/>
      </c>
      <c r="E1424" s="4" t="str">
        <f ca="1">IFERROR(__xludf.DUMMYFUNCTION("IFERROR(GOOGLETRANSLATE(B1424,""en"",""zh-CN""),)"),"")</f>
        <v/>
      </c>
    </row>
    <row r="1425" spans="1:5">
      <c r="A1425" s="3"/>
      <c r="B1425" s="4" t="str">
        <f ca="1">IFERROR(__xludf.DUMMYFUNCTION("IFERROR(GOOGLETRANSLATE(A1425,""ko"",""en""),)"),"")</f>
        <v/>
      </c>
      <c r="C1425" s="4" t="str">
        <f ca="1">IFERROR(__xludf.DUMMYFUNCTION("IFERROR(GOOGLETRANSLATE(B1425,""en"",""ja""),)"),"")</f>
        <v/>
      </c>
      <c r="D1425" s="4" t="str">
        <f ca="1">IFERROR(__xludf.DUMMYFUNCTION("IFERROR(GOOGLETRANSLATE(B1425,""en"",""zh-TW""),)"),"")</f>
        <v/>
      </c>
      <c r="E1425" s="4" t="str">
        <f ca="1">IFERROR(__xludf.DUMMYFUNCTION("IFERROR(GOOGLETRANSLATE(B1425,""en"",""zh-CN""),)"),"")</f>
        <v/>
      </c>
    </row>
    <row r="1426" spans="1:5">
      <c r="A1426" s="3"/>
      <c r="B1426" s="4" t="str">
        <f ca="1">IFERROR(__xludf.DUMMYFUNCTION("IFERROR(GOOGLETRANSLATE(A1426,""ko"",""en""),)"),"")</f>
        <v/>
      </c>
      <c r="C1426" s="4" t="str">
        <f ca="1">IFERROR(__xludf.DUMMYFUNCTION("IFERROR(GOOGLETRANSLATE(B1426,""en"",""ja""),)"),"")</f>
        <v/>
      </c>
      <c r="D1426" s="4" t="str">
        <f ca="1">IFERROR(__xludf.DUMMYFUNCTION("IFERROR(GOOGLETRANSLATE(B1426,""en"",""zh-TW""),)"),"")</f>
        <v/>
      </c>
      <c r="E1426" s="4" t="str">
        <f ca="1">IFERROR(__xludf.DUMMYFUNCTION("IFERROR(GOOGLETRANSLATE(B1426,""en"",""zh-CN""),)"),"")</f>
        <v/>
      </c>
    </row>
    <row r="1427" spans="1:5">
      <c r="A1427" s="3"/>
      <c r="B1427" s="4" t="str">
        <f ca="1">IFERROR(__xludf.DUMMYFUNCTION("IFERROR(GOOGLETRANSLATE(A1427,""ko"",""en""),)"),"")</f>
        <v/>
      </c>
      <c r="C1427" s="4" t="str">
        <f ca="1">IFERROR(__xludf.DUMMYFUNCTION("IFERROR(GOOGLETRANSLATE(B1427,""en"",""ja""),)"),"")</f>
        <v/>
      </c>
      <c r="D1427" s="4" t="str">
        <f ca="1">IFERROR(__xludf.DUMMYFUNCTION("IFERROR(GOOGLETRANSLATE(B1427,""en"",""zh-TW""),)"),"")</f>
        <v/>
      </c>
      <c r="E1427" s="4" t="str">
        <f ca="1">IFERROR(__xludf.DUMMYFUNCTION("IFERROR(GOOGLETRANSLATE(B1427,""en"",""zh-CN""),)"),"")</f>
        <v/>
      </c>
    </row>
    <row r="1428" spans="1:5">
      <c r="A1428" s="3"/>
      <c r="B1428" s="4" t="str">
        <f ca="1">IFERROR(__xludf.DUMMYFUNCTION("IFERROR(GOOGLETRANSLATE(A1428,""ko"",""en""),)"),"")</f>
        <v/>
      </c>
      <c r="C1428" s="4" t="str">
        <f ca="1">IFERROR(__xludf.DUMMYFUNCTION("IFERROR(GOOGLETRANSLATE(B1428,""en"",""ja""),)"),"")</f>
        <v/>
      </c>
      <c r="D1428" s="4" t="str">
        <f ca="1">IFERROR(__xludf.DUMMYFUNCTION("IFERROR(GOOGLETRANSLATE(B1428,""en"",""zh-TW""),)"),"")</f>
        <v/>
      </c>
      <c r="E1428" s="4" t="str">
        <f ca="1">IFERROR(__xludf.DUMMYFUNCTION("IFERROR(GOOGLETRANSLATE(B1428,""en"",""zh-CN""),)"),"")</f>
        <v/>
      </c>
    </row>
    <row r="1429" spans="1:5">
      <c r="A1429" s="3"/>
      <c r="B1429" s="4" t="str">
        <f ca="1">IFERROR(__xludf.DUMMYFUNCTION("IFERROR(GOOGLETRANSLATE(A1429,""ko"",""en""),)"),"")</f>
        <v/>
      </c>
      <c r="C1429" s="4" t="str">
        <f ca="1">IFERROR(__xludf.DUMMYFUNCTION("IFERROR(GOOGLETRANSLATE(B1429,""en"",""ja""),)"),"")</f>
        <v/>
      </c>
      <c r="D1429" s="4" t="str">
        <f ca="1">IFERROR(__xludf.DUMMYFUNCTION("IFERROR(GOOGLETRANSLATE(B1429,""en"",""zh-TW""),)"),"")</f>
        <v/>
      </c>
      <c r="E1429" s="4" t="str">
        <f ca="1">IFERROR(__xludf.DUMMYFUNCTION("IFERROR(GOOGLETRANSLATE(B1429,""en"",""zh-CN""),)"),"")</f>
        <v/>
      </c>
    </row>
    <row r="1430" spans="1:5">
      <c r="A1430" s="3"/>
      <c r="B1430" s="4" t="str">
        <f ca="1">IFERROR(__xludf.DUMMYFUNCTION("IFERROR(GOOGLETRANSLATE(A1430,""ko"",""en""),)"),"")</f>
        <v/>
      </c>
      <c r="C1430" s="4" t="str">
        <f ca="1">IFERROR(__xludf.DUMMYFUNCTION("IFERROR(GOOGLETRANSLATE(B1430,""en"",""ja""),)"),"")</f>
        <v/>
      </c>
      <c r="D1430" s="4" t="str">
        <f ca="1">IFERROR(__xludf.DUMMYFUNCTION("IFERROR(GOOGLETRANSLATE(B1430,""en"",""zh-TW""),)"),"")</f>
        <v/>
      </c>
      <c r="E1430" s="4" t="str">
        <f ca="1">IFERROR(__xludf.DUMMYFUNCTION("IFERROR(GOOGLETRANSLATE(B1430,""en"",""zh-CN""),)"),"")</f>
        <v/>
      </c>
    </row>
    <row r="1431" spans="1:5">
      <c r="A1431" s="3"/>
      <c r="B1431" s="4" t="str">
        <f ca="1">IFERROR(__xludf.DUMMYFUNCTION("IFERROR(GOOGLETRANSLATE(A1431,""ko"",""en""),)"),"")</f>
        <v/>
      </c>
      <c r="C1431" s="4" t="str">
        <f ca="1">IFERROR(__xludf.DUMMYFUNCTION("IFERROR(GOOGLETRANSLATE(B1431,""en"",""ja""),)"),"")</f>
        <v/>
      </c>
      <c r="D1431" s="4" t="str">
        <f ca="1">IFERROR(__xludf.DUMMYFUNCTION("IFERROR(GOOGLETRANSLATE(B1431,""en"",""zh-TW""),)"),"")</f>
        <v/>
      </c>
      <c r="E1431" s="4" t="str">
        <f ca="1">IFERROR(__xludf.DUMMYFUNCTION("IFERROR(GOOGLETRANSLATE(B1431,""en"",""zh-CN""),)"),"")</f>
        <v/>
      </c>
    </row>
    <row r="1432" spans="1:5">
      <c r="A1432" s="3"/>
      <c r="B1432" s="4" t="str">
        <f ca="1">IFERROR(__xludf.DUMMYFUNCTION("IFERROR(GOOGLETRANSLATE(A1432,""ko"",""en""),)"),"")</f>
        <v/>
      </c>
      <c r="C1432" s="4" t="str">
        <f ca="1">IFERROR(__xludf.DUMMYFUNCTION("IFERROR(GOOGLETRANSLATE(B1432,""en"",""ja""),)"),"")</f>
        <v/>
      </c>
      <c r="D1432" s="4" t="str">
        <f ca="1">IFERROR(__xludf.DUMMYFUNCTION("IFERROR(GOOGLETRANSLATE(B1432,""en"",""zh-TW""),)"),"")</f>
        <v/>
      </c>
      <c r="E1432" s="4" t="str">
        <f ca="1">IFERROR(__xludf.DUMMYFUNCTION("IFERROR(GOOGLETRANSLATE(B1432,""en"",""zh-CN""),)"),"")</f>
        <v/>
      </c>
    </row>
    <row r="1433" spans="1:5">
      <c r="A1433" s="3"/>
      <c r="B1433" s="4" t="str">
        <f ca="1">IFERROR(__xludf.DUMMYFUNCTION("IFERROR(GOOGLETRANSLATE(A1433,""ko"",""en""),)"),"")</f>
        <v/>
      </c>
      <c r="C1433" s="4" t="str">
        <f ca="1">IFERROR(__xludf.DUMMYFUNCTION("IFERROR(GOOGLETRANSLATE(B1433,""en"",""ja""),)"),"")</f>
        <v/>
      </c>
      <c r="D1433" s="4" t="str">
        <f ca="1">IFERROR(__xludf.DUMMYFUNCTION("IFERROR(GOOGLETRANSLATE(B1433,""en"",""zh-TW""),)"),"")</f>
        <v/>
      </c>
      <c r="E1433" s="4" t="str">
        <f ca="1">IFERROR(__xludf.DUMMYFUNCTION("IFERROR(GOOGLETRANSLATE(B1433,""en"",""zh-CN""),)"),"")</f>
        <v/>
      </c>
    </row>
    <row r="1434" spans="1:5">
      <c r="A1434" s="3"/>
      <c r="B1434" s="4" t="str">
        <f ca="1">IFERROR(__xludf.DUMMYFUNCTION("IFERROR(GOOGLETRANSLATE(A1434,""ko"",""en""),)"),"")</f>
        <v/>
      </c>
      <c r="C1434" s="4" t="str">
        <f ca="1">IFERROR(__xludf.DUMMYFUNCTION("IFERROR(GOOGLETRANSLATE(B1434,""en"",""ja""),)"),"")</f>
        <v/>
      </c>
      <c r="D1434" s="4" t="str">
        <f ca="1">IFERROR(__xludf.DUMMYFUNCTION("IFERROR(GOOGLETRANSLATE(B1434,""en"",""zh-TW""),)"),"")</f>
        <v/>
      </c>
      <c r="E1434" s="4" t="str">
        <f ca="1">IFERROR(__xludf.DUMMYFUNCTION("IFERROR(GOOGLETRANSLATE(B1434,""en"",""zh-CN""),)"),"")</f>
        <v/>
      </c>
    </row>
    <row r="1435" spans="1:5">
      <c r="A1435" s="3"/>
      <c r="B1435" s="4" t="str">
        <f ca="1">IFERROR(__xludf.DUMMYFUNCTION("IFERROR(GOOGLETRANSLATE(A1435,""ko"",""en""),)"),"")</f>
        <v/>
      </c>
      <c r="C1435" s="4" t="str">
        <f ca="1">IFERROR(__xludf.DUMMYFUNCTION("IFERROR(GOOGLETRANSLATE(B1435,""en"",""ja""),)"),"")</f>
        <v/>
      </c>
      <c r="D1435" s="4" t="str">
        <f ca="1">IFERROR(__xludf.DUMMYFUNCTION("IFERROR(GOOGLETRANSLATE(B1435,""en"",""zh-TW""),)"),"")</f>
        <v/>
      </c>
      <c r="E1435" s="4" t="str">
        <f ca="1">IFERROR(__xludf.DUMMYFUNCTION("IFERROR(GOOGLETRANSLATE(B1435,""en"",""zh-CN""),)"),"")</f>
        <v/>
      </c>
    </row>
    <row r="1436" spans="1:5">
      <c r="A1436" s="3"/>
      <c r="B1436" s="4" t="str">
        <f ca="1">IFERROR(__xludf.DUMMYFUNCTION("IFERROR(GOOGLETRANSLATE(A1436,""ko"",""en""),)"),"")</f>
        <v/>
      </c>
      <c r="C1436" s="4" t="str">
        <f ca="1">IFERROR(__xludf.DUMMYFUNCTION("IFERROR(GOOGLETRANSLATE(B1436,""en"",""ja""),)"),"")</f>
        <v/>
      </c>
      <c r="D1436" s="4" t="str">
        <f ca="1">IFERROR(__xludf.DUMMYFUNCTION("IFERROR(GOOGLETRANSLATE(B1436,""en"",""zh-TW""),)"),"")</f>
        <v/>
      </c>
      <c r="E1436" s="4" t="str">
        <f ca="1">IFERROR(__xludf.DUMMYFUNCTION("IFERROR(GOOGLETRANSLATE(B1436,""en"",""zh-CN""),)"),"")</f>
        <v/>
      </c>
    </row>
    <row r="1437" spans="1:5">
      <c r="A1437" s="3"/>
      <c r="B1437" s="4" t="str">
        <f ca="1">IFERROR(__xludf.DUMMYFUNCTION("IFERROR(GOOGLETRANSLATE(A1437,""ko"",""en""),)"),"")</f>
        <v/>
      </c>
      <c r="C1437" s="4" t="str">
        <f ca="1">IFERROR(__xludf.DUMMYFUNCTION("IFERROR(GOOGLETRANSLATE(B1437,""en"",""ja""),)"),"")</f>
        <v/>
      </c>
      <c r="D1437" s="4" t="str">
        <f ca="1">IFERROR(__xludf.DUMMYFUNCTION("IFERROR(GOOGLETRANSLATE(B1437,""en"",""zh-TW""),)"),"")</f>
        <v/>
      </c>
      <c r="E1437" s="4" t="str">
        <f ca="1">IFERROR(__xludf.DUMMYFUNCTION("IFERROR(GOOGLETRANSLATE(B1437,""en"",""zh-CN""),)"),"")</f>
        <v/>
      </c>
    </row>
    <row r="1438" spans="1:5">
      <c r="A1438" s="3"/>
      <c r="B1438" s="4" t="str">
        <f ca="1">IFERROR(__xludf.DUMMYFUNCTION("IFERROR(GOOGLETRANSLATE(A1438,""ko"",""en""),)"),"")</f>
        <v/>
      </c>
      <c r="C1438" s="4" t="str">
        <f ca="1">IFERROR(__xludf.DUMMYFUNCTION("IFERROR(GOOGLETRANSLATE(B1438,""en"",""ja""),)"),"")</f>
        <v/>
      </c>
      <c r="D1438" s="4" t="str">
        <f ca="1">IFERROR(__xludf.DUMMYFUNCTION("IFERROR(GOOGLETRANSLATE(B1438,""en"",""zh-TW""),)"),"")</f>
        <v/>
      </c>
      <c r="E1438" s="4" t="str">
        <f ca="1">IFERROR(__xludf.DUMMYFUNCTION("IFERROR(GOOGLETRANSLATE(B1438,""en"",""zh-CN""),)"),"")</f>
        <v/>
      </c>
    </row>
    <row r="1439" spans="1:5">
      <c r="A1439" s="3"/>
      <c r="B1439" s="4" t="str">
        <f ca="1">IFERROR(__xludf.DUMMYFUNCTION("IFERROR(GOOGLETRANSLATE(A1439,""ko"",""en""),)"),"")</f>
        <v/>
      </c>
      <c r="C1439" s="4" t="str">
        <f ca="1">IFERROR(__xludf.DUMMYFUNCTION("IFERROR(GOOGLETRANSLATE(B1439,""en"",""ja""),)"),"")</f>
        <v/>
      </c>
      <c r="D1439" s="4" t="str">
        <f ca="1">IFERROR(__xludf.DUMMYFUNCTION("IFERROR(GOOGLETRANSLATE(B1439,""en"",""zh-TW""),)"),"")</f>
        <v/>
      </c>
      <c r="E1439" s="4" t="str">
        <f ca="1">IFERROR(__xludf.DUMMYFUNCTION("IFERROR(GOOGLETRANSLATE(B1439,""en"",""zh-CN""),)"),"")</f>
        <v/>
      </c>
    </row>
    <row r="1440" spans="1:5">
      <c r="A1440" s="3"/>
      <c r="B1440" s="4" t="str">
        <f ca="1">IFERROR(__xludf.DUMMYFUNCTION("IFERROR(GOOGLETRANSLATE(A1440,""ko"",""en""),)"),"")</f>
        <v/>
      </c>
      <c r="C1440" s="4" t="str">
        <f ca="1">IFERROR(__xludf.DUMMYFUNCTION("IFERROR(GOOGLETRANSLATE(B1440,""en"",""ja""),)"),"")</f>
        <v/>
      </c>
      <c r="D1440" s="4" t="str">
        <f ca="1">IFERROR(__xludf.DUMMYFUNCTION("IFERROR(GOOGLETRANSLATE(B1440,""en"",""zh-TW""),)"),"")</f>
        <v/>
      </c>
      <c r="E1440" s="4" t="str">
        <f ca="1">IFERROR(__xludf.DUMMYFUNCTION("IFERROR(GOOGLETRANSLATE(B1440,""en"",""zh-CN""),)"),"")</f>
        <v/>
      </c>
    </row>
    <row r="1441" spans="1:5">
      <c r="A1441" s="3"/>
      <c r="B1441" s="4" t="str">
        <f ca="1">IFERROR(__xludf.DUMMYFUNCTION("IFERROR(GOOGLETRANSLATE(A1441,""ko"",""en""),)"),"")</f>
        <v/>
      </c>
      <c r="C1441" s="4" t="str">
        <f ca="1">IFERROR(__xludf.DUMMYFUNCTION("IFERROR(GOOGLETRANSLATE(B1441,""en"",""ja""),)"),"")</f>
        <v/>
      </c>
      <c r="D1441" s="4" t="str">
        <f ca="1">IFERROR(__xludf.DUMMYFUNCTION("IFERROR(GOOGLETRANSLATE(B1441,""en"",""zh-TW""),)"),"")</f>
        <v/>
      </c>
      <c r="E1441" s="4" t="str">
        <f ca="1">IFERROR(__xludf.DUMMYFUNCTION("IFERROR(GOOGLETRANSLATE(B1441,""en"",""zh-CN""),)"),"")</f>
        <v/>
      </c>
    </row>
    <row r="1442" spans="1:5">
      <c r="A1442" s="3"/>
      <c r="B1442" s="4" t="str">
        <f ca="1">IFERROR(__xludf.DUMMYFUNCTION("IFERROR(GOOGLETRANSLATE(A1442,""ko"",""en""),)"),"")</f>
        <v/>
      </c>
      <c r="C1442" s="4" t="str">
        <f ca="1">IFERROR(__xludf.DUMMYFUNCTION("IFERROR(GOOGLETRANSLATE(B1442,""en"",""ja""),)"),"")</f>
        <v/>
      </c>
      <c r="D1442" s="4" t="str">
        <f ca="1">IFERROR(__xludf.DUMMYFUNCTION("IFERROR(GOOGLETRANSLATE(B1442,""en"",""zh-TW""),)"),"")</f>
        <v/>
      </c>
      <c r="E1442" s="4" t="str">
        <f ca="1">IFERROR(__xludf.DUMMYFUNCTION("IFERROR(GOOGLETRANSLATE(B1442,""en"",""zh-CN""),)"),"")</f>
        <v/>
      </c>
    </row>
    <row r="1443" spans="1:5">
      <c r="A1443" s="3"/>
      <c r="B1443" s="4" t="str">
        <f ca="1">IFERROR(__xludf.DUMMYFUNCTION("IFERROR(GOOGLETRANSLATE(A1443,""ko"",""en""),)"),"")</f>
        <v/>
      </c>
      <c r="C1443" s="4" t="str">
        <f ca="1">IFERROR(__xludf.DUMMYFUNCTION("IFERROR(GOOGLETRANSLATE(B1443,""en"",""ja""),)"),"")</f>
        <v/>
      </c>
      <c r="D1443" s="4" t="str">
        <f ca="1">IFERROR(__xludf.DUMMYFUNCTION("IFERROR(GOOGLETRANSLATE(B1443,""en"",""zh-TW""),)"),"")</f>
        <v/>
      </c>
      <c r="E1443" s="4" t="str">
        <f ca="1">IFERROR(__xludf.DUMMYFUNCTION("IFERROR(GOOGLETRANSLATE(B1443,""en"",""zh-CN""),)"),"")</f>
        <v/>
      </c>
    </row>
    <row r="1444" spans="1:5">
      <c r="A1444" s="3"/>
      <c r="B1444" s="4" t="str">
        <f ca="1">IFERROR(__xludf.DUMMYFUNCTION("IFERROR(GOOGLETRANSLATE(A1444,""ko"",""en""),)"),"")</f>
        <v/>
      </c>
      <c r="C1444" s="4" t="str">
        <f ca="1">IFERROR(__xludf.DUMMYFUNCTION("IFERROR(GOOGLETRANSLATE(B1444,""en"",""ja""),)"),"")</f>
        <v/>
      </c>
      <c r="D1444" s="4" t="str">
        <f ca="1">IFERROR(__xludf.DUMMYFUNCTION("IFERROR(GOOGLETRANSLATE(B1444,""en"",""zh-TW""),)"),"")</f>
        <v/>
      </c>
      <c r="E1444" s="4" t="str">
        <f ca="1">IFERROR(__xludf.DUMMYFUNCTION("IFERROR(GOOGLETRANSLATE(B1444,""en"",""zh-CN""),)"),"")</f>
        <v/>
      </c>
    </row>
    <row r="1445" spans="1:5">
      <c r="A1445" s="3"/>
      <c r="B1445" s="4" t="str">
        <f ca="1">IFERROR(__xludf.DUMMYFUNCTION("IFERROR(GOOGLETRANSLATE(A1445,""ko"",""en""),)"),"")</f>
        <v/>
      </c>
      <c r="C1445" s="4" t="str">
        <f ca="1">IFERROR(__xludf.DUMMYFUNCTION("IFERROR(GOOGLETRANSLATE(B1445,""en"",""ja""),)"),"")</f>
        <v/>
      </c>
      <c r="D1445" s="4" t="str">
        <f ca="1">IFERROR(__xludf.DUMMYFUNCTION("IFERROR(GOOGLETRANSLATE(B1445,""en"",""zh-TW""),)"),"")</f>
        <v/>
      </c>
      <c r="E1445" s="4" t="str">
        <f ca="1">IFERROR(__xludf.DUMMYFUNCTION("IFERROR(GOOGLETRANSLATE(B1445,""en"",""zh-CN""),)"),"")</f>
        <v/>
      </c>
    </row>
    <row r="1446" spans="1:5">
      <c r="A1446" s="3"/>
      <c r="B1446" s="4" t="str">
        <f ca="1">IFERROR(__xludf.DUMMYFUNCTION("IFERROR(GOOGLETRANSLATE(A1446,""ko"",""en""),)"),"")</f>
        <v/>
      </c>
      <c r="C1446" s="4" t="str">
        <f ca="1">IFERROR(__xludf.DUMMYFUNCTION("IFERROR(GOOGLETRANSLATE(B1446,""en"",""ja""),)"),"")</f>
        <v/>
      </c>
      <c r="D1446" s="4" t="str">
        <f ca="1">IFERROR(__xludf.DUMMYFUNCTION("IFERROR(GOOGLETRANSLATE(B1446,""en"",""zh-TW""),)"),"")</f>
        <v/>
      </c>
      <c r="E1446" s="4" t="str">
        <f ca="1">IFERROR(__xludf.DUMMYFUNCTION("IFERROR(GOOGLETRANSLATE(B1446,""en"",""zh-CN""),)"),"")</f>
        <v/>
      </c>
    </row>
    <row r="1447" spans="1:5">
      <c r="A1447" s="3"/>
      <c r="B1447" s="4" t="str">
        <f ca="1">IFERROR(__xludf.DUMMYFUNCTION("IFERROR(GOOGLETRANSLATE(A1447,""ko"",""en""),)"),"")</f>
        <v/>
      </c>
      <c r="C1447" s="4" t="str">
        <f ca="1">IFERROR(__xludf.DUMMYFUNCTION("IFERROR(GOOGLETRANSLATE(B1447,""en"",""ja""),)"),"")</f>
        <v/>
      </c>
      <c r="D1447" s="4" t="str">
        <f ca="1">IFERROR(__xludf.DUMMYFUNCTION("IFERROR(GOOGLETRANSLATE(B1447,""en"",""zh-TW""),)"),"")</f>
        <v/>
      </c>
      <c r="E1447" s="4" t="str">
        <f ca="1">IFERROR(__xludf.DUMMYFUNCTION("IFERROR(GOOGLETRANSLATE(B1447,""en"",""zh-CN""),)"),"")</f>
        <v/>
      </c>
    </row>
    <row r="1448" spans="1:5">
      <c r="A1448" s="3"/>
      <c r="B1448" s="4" t="str">
        <f ca="1">IFERROR(__xludf.DUMMYFUNCTION("IFERROR(GOOGLETRANSLATE(A1448,""ko"",""en""),)"),"")</f>
        <v/>
      </c>
      <c r="C1448" s="4" t="str">
        <f ca="1">IFERROR(__xludf.DUMMYFUNCTION("IFERROR(GOOGLETRANSLATE(B1448,""en"",""ja""),)"),"")</f>
        <v/>
      </c>
      <c r="D1448" s="4" t="str">
        <f ca="1">IFERROR(__xludf.DUMMYFUNCTION("IFERROR(GOOGLETRANSLATE(B1448,""en"",""zh-TW""),)"),"")</f>
        <v/>
      </c>
      <c r="E1448" s="4" t="str">
        <f ca="1">IFERROR(__xludf.DUMMYFUNCTION("IFERROR(GOOGLETRANSLATE(B1448,""en"",""zh-CN""),)"),"")</f>
        <v/>
      </c>
    </row>
    <row r="1449" spans="1:5">
      <c r="A1449" s="3"/>
      <c r="B1449" s="4" t="str">
        <f ca="1">IFERROR(__xludf.DUMMYFUNCTION("IFERROR(GOOGLETRANSLATE(A1449,""ko"",""en""),)"),"")</f>
        <v/>
      </c>
      <c r="C1449" s="4" t="str">
        <f ca="1">IFERROR(__xludf.DUMMYFUNCTION("IFERROR(GOOGLETRANSLATE(B1449,""en"",""ja""),)"),"")</f>
        <v/>
      </c>
      <c r="D1449" s="4" t="str">
        <f ca="1">IFERROR(__xludf.DUMMYFUNCTION("IFERROR(GOOGLETRANSLATE(B1449,""en"",""zh-TW""),)"),"")</f>
        <v/>
      </c>
      <c r="E1449" s="4" t="str">
        <f ca="1">IFERROR(__xludf.DUMMYFUNCTION("IFERROR(GOOGLETRANSLATE(B1449,""en"",""zh-CN""),)"),"")</f>
        <v/>
      </c>
    </row>
    <row r="1450" spans="1:5">
      <c r="A1450" s="3"/>
      <c r="B1450" s="4" t="str">
        <f ca="1">IFERROR(__xludf.DUMMYFUNCTION("IFERROR(GOOGLETRANSLATE(A1450,""ko"",""en""),)"),"")</f>
        <v/>
      </c>
      <c r="C1450" s="4" t="str">
        <f ca="1">IFERROR(__xludf.DUMMYFUNCTION("IFERROR(GOOGLETRANSLATE(B1450,""en"",""ja""),)"),"")</f>
        <v/>
      </c>
      <c r="D1450" s="4" t="str">
        <f ca="1">IFERROR(__xludf.DUMMYFUNCTION("IFERROR(GOOGLETRANSLATE(B1450,""en"",""zh-TW""),)"),"")</f>
        <v/>
      </c>
      <c r="E1450" s="4" t="str">
        <f ca="1">IFERROR(__xludf.DUMMYFUNCTION("IFERROR(GOOGLETRANSLATE(B1450,""en"",""zh-CN""),)"),"")</f>
        <v/>
      </c>
    </row>
    <row r="1451" spans="1:5">
      <c r="A1451" s="3"/>
      <c r="B1451" s="4" t="str">
        <f ca="1">IFERROR(__xludf.DUMMYFUNCTION("IFERROR(GOOGLETRANSLATE(A1451,""ko"",""en""),)"),"")</f>
        <v/>
      </c>
      <c r="C1451" s="4" t="str">
        <f ca="1">IFERROR(__xludf.DUMMYFUNCTION("IFERROR(GOOGLETRANSLATE(B1451,""en"",""ja""),)"),"")</f>
        <v/>
      </c>
      <c r="D1451" s="4" t="str">
        <f ca="1">IFERROR(__xludf.DUMMYFUNCTION("IFERROR(GOOGLETRANSLATE(B1451,""en"",""zh-TW""),)"),"")</f>
        <v/>
      </c>
      <c r="E1451" s="4" t="str">
        <f ca="1">IFERROR(__xludf.DUMMYFUNCTION("IFERROR(GOOGLETRANSLATE(B1451,""en"",""zh-CN""),)"),"")</f>
        <v/>
      </c>
    </row>
    <row r="1452" spans="1:5">
      <c r="A1452" s="3"/>
      <c r="B1452" s="4" t="str">
        <f ca="1">IFERROR(__xludf.DUMMYFUNCTION("IFERROR(GOOGLETRANSLATE(A1452,""ko"",""en""),)"),"")</f>
        <v/>
      </c>
      <c r="C1452" s="4" t="str">
        <f ca="1">IFERROR(__xludf.DUMMYFUNCTION("IFERROR(GOOGLETRANSLATE(B1452,""en"",""ja""),)"),"")</f>
        <v/>
      </c>
      <c r="D1452" s="4" t="str">
        <f ca="1">IFERROR(__xludf.DUMMYFUNCTION("IFERROR(GOOGLETRANSLATE(B1452,""en"",""zh-TW""),)"),"")</f>
        <v/>
      </c>
      <c r="E1452" s="4" t="str">
        <f ca="1">IFERROR(__xludf.DUMMYFUNCTION("IFERROR(GOOGLETRANSLATE(B1452,""en"",""zh-CN""),)"),"")</f>
        <v/>
      </c>
    </row>
    <row r="1453" spans="1:5">
      <c r="A1453" s="3"/>
      <c r="B1453" s="4" t="str">
        <f ca="1">IFERROR(__xludf.DUMMYFUNCTION("IFERROR(GOOGLETRANSLATE(A1453,""ko"",""en""),)"),"")</f>
        <v/>
      </c>
      <c r="C1453" s="4" t="str">
        <f ca="1">IFERROR(__xludf.DUMMYFUNCTION("IFERROR(GOOGLETRANSLATE(B1453,""en"",""ja""),)"),"")</f>
        <v/>
      </c>
      <c r="D1453" s="4" t="str">
        <f ca="1">IFERROR(__xludf.DUMMYFUNCTION("IFERROR(GOOGLETRANSLATE(B1453,""en"",""zh-TW""),)"),"")</f>
        <v/>
      </c>
      <c r="E1453" s="4" t="str">
        <f ca="1">IFERROR(__xludf.DUMMYFUNCTION("IFERROR(GOOGLETRANSLATE(B1453,""en"",""zh-CN""),)"),"")</f>
        <v/>
      </c>
    </row>
    <row r="1454" spans="1:5">
      <c r="A1454" s="3"/>
      <c r="B1454" s="4" t="str">
        <f ca="1">IFERROR(__xludf.DUMMYFUNCTION("IFERROR(GOOGLETRANSLATE(A1454,""ko"",""en""),)"),"")</f>
        <v/>
      </c>
      <c r="C1454" s="4" t="str">
        <f ca="1">IFERROR(__xludf.DUMMYFUNCTION("IFERROR(GOOGLETRANSLATE(B1454,""en"",""ja""),)"),"")</f>
        <v/>
      </c>
      <c r="D1454" s="4" t="str">
        <f ca="1">IFERROR(__xludf.DUMMYFUNCTION("IFERROR(GOOGLETRANSLATE(B1454,""en"",""zh-TW""),)"),"")</f>
        <v/>
      </c>
      <c r="E1454" s="4" t="str">
        <f ca="1">IFERROR(__xludf.DUMMYFUNCTION("IFERROR(GOOGLETRANSLATE(B1454,""en"",""zh-CN""),)"),"")</f>
        <v/>
      </c>
    </row>
    <row r="1455" spans="1:5">
      <c r="A1455" s="3"/>
      <c r="B1455" s="4" t="str">
        <f ca="1">IFERROR(__xludf.DUMMYFUNCTION("IFERROR(GOOGLETRANSLATE(A1455,""ko"",""en""),)"),"")</f>
        <v/>
      </c>
      <c r="C1455" s="4" t="str">
        <f ca="1">IFERROR(__xludf.DUMMYFUNCTION("IFERROR(GOOGLETRANSLATE(B1455,""en"",""ja""),)"),"")</f>
        <v/>
      </c>
      <c r="D1455" s="4" t="str">
        <f ca="1">IFERROR(__xludf.DUMMYFUNCTION("IFERROR(GOOGLETRANSLATE(B1455,""en"",""zh-TW""),)"),"")</f>
        <v/>
      </c>
      <c r="E1455" s="4" t="str">
        <f ca="1">IFERROR(__xludf.DUMMYFUNCTION("IFERROR(GOOGLETRANSLATE(B1455,""en"",""zh-CN""),)"),"")</f>
        <v/>
      </c>
    </row>
    <row r="1456" spans="1:5">
      <c r="A1456" s="3"/>
      <c r="B1456" s="4" t="str">
        <f ca="1">IFERROR(__xludf.DUMMYFUNCTION("IFERROR(GOOGLETRANSLATE(A1456,""ko"",""en""),)"),"")</f>
        <v/>
      </c>
      <c r="C1456" s="4" t="str">
        <f ca="1">IFERROR(__xludf.DUMMYFUNCTION("IFERROR(GOOGLETRANSLATE(B1456,""en"",""ja""),)"),"")</f>
        <v/>
      </c>
      <c r="D1456" s="4" t="str">
        <f ca="1">IFERROR(__xludf.DUMMYFUNCTION("IFERROR(GOOGLETRANSLATE(B1456,""en"",""zh-TW""),)"),"")</f>
        <v/>
      </c>
      <c r="E1456" s="4" t="str">
        <f ca="1">IFERROR(__xludf.DUMMYFUNCTION("IFERROR(GOOGLETRANSLATE(B1456,""en"",""zh-CN""),)"),"")</f>
        <v/>
      </c>
    </row>
    <row r="1457" spans="1:5">
      <c r="A1457" s="3"/>
      <c r="B1457" s="4" t="str">
        <f ca="1">IFERROR(__xludf.DUMMYFUNCTION("IFERROR(GOOGLETRANSLATE(A1457,""ko"",""en""),)"),"")</f>
        <v/>
      </c>
      <c r="C1457" s="4" t="str">
        <f ca="1">IFERROR(__xludf.DUMMYFUNCTION("IFERROR(GOOGLETRANSLATE(B1457,""en"",""ja""),)"),"")</f>
        <v/>
      </c>
      <c r="D1457" s="4" t="str">
        <f ca="1">IFERROR(__xludf.DUMMYFUNCTION("IFERROR(GOOGLETRANSLATE(B1457,""en"",""zh-TW""),)"),"")</f>
        <v/>
      </c>
      <c r="E1457" s="4" t="str">
        <f ca="1">IFERROR(__xludf.DUMMYFUNCTION("IFERROR(GOOGLETRANSLATE(B1457,""en"",""zh-CN""),)"),"")</f>
        <v/>
      </c>
    </row>
    <row r="1458" spans="1:5">
      <c r="A1458" s="3"/>
      <c r="B1458" s="4" t="str">
        <f ca="1">IFERROR(__xludf.DUMMYFUNCTION("IFERROR(GOOGLETRANSLATE(A1458,""ko"",""en""),)"),"")</f>
        <v/>
      </c>
      <c r="C1458" s="4" t="str">
        <f ca="1">IFERROR(__xludf.DUMMYFUNCTION("IFERROR(GOOGLETRANSLATE(B1458,""en"",""ja""),)"),"")</f>
        <v/>
      </c>
      <c r="D1458" s="4" t="str">
        <f ca="1">IFERROR(__xludf.DUMMYFUNCTION("IFERROR(GOOGLETRANSLATE(B1458,""en"",""zh-TW""),)"),"")</f>
        <v/>
      </c>
      <c r="E1458" s="4" t="str">
        <f ca="1">IFERROR(__xludf.DUMMYFUNCTION("IFERROR(GOOGLETRANSLATE(B1458,""en"",""zh-CN""),)"),"")</f>
        <v/>
      </c>
    </row>
    <row r="1459" spans="1:5">
      <c r="A1459" s="3"/>
      <c r="B1459" s="4" t="str">
        <f ca="1">IFERROR(__xludf.DUMMYFUNCTION("IFERROR(GOOGLETRANSLATE(A1459,""ko"",""en""),)"),"")</f>
        <v/>
      </c>
      <c r="C1459" s="4" t="str">
        <f ca="1">IFERROR(__xludf.DUMMYFUNCTION("IFERROR(GOOGLETRANSLATE(B1459,""en"",""ja""),)"),"")</f>
        <v/>
      </c>
      <c r="D1459" s="4" t="str">
        <f ca="1">IFERROR(__xludf.DUMMYFUNCTION("IFERROR(GOOGLETRANSLATE(B1459,""en"",""zh-TW""),)"),"")</f>
        <v/>
      </c>
      <c r="E1459" s="4" t="str">
        <f ca="1">IFERROR(__xludf.DUMMYFUNCTION("IFERROR(GOOGLETRANSLATE(B1459,""en"",""zh-CN""),)"),"")</f>
        <v/>
      </c>
    </row>
    <row r="1460" spans="1:5">
      <c r="A1460" s="3"/>
      <c r="B1460" s="4" t="str">
        <f ca="1">IFERROR(__xludf.DUMMYFUNCTION("IFERROR(GOOGLETRANSLATE(A1460,""ko"",""en""),)"),"")</f>
        <v/>
      </c>
      <c r="C1460" s="4" t="str">
        <f ca="1">IFERROR(__xludf.DUMMYFUNCTION("IFERROR(GOOGLETRANSLATE(B1460,""en"",""ja""),)"),"")</f>
        <v/>
      </c>
      <c r="D1460" s="4" t="str">
        <f ca="1">IFERROR(__xludf.DUMMYFUNCTION("IFERROR(GOOGLETRANSLATE(B1460,""en"",""zh-TW""),)"),"")</f>
        <v/>
      </c>
      <c r="E1460" s="4" t="str">
        <f ca="1">IFERROR(__xludf.DUMMYFUNCTION("IFERROR(GOOGLETRANSLATE(B1460,""en"",""zh-CN""),)"),"")</f>
        <v/>
      </c>
    </row>
    <row r="1461" spans="1:5">
      <c r="A1461" s="3"/>
      <c r="B1461" s="4" t="str">
        <f ca="1">IFERROR(__xludf.DUMMYFUNCTION("IFERROR(GOOGLETRANSLATE(A1461,""ko"",""en""),)"),"")</f>
        <v/>
      </c>
      <c r="C1461" s="4" t="str">
        <f ca="1">IFERROR(__xludf.DUMMYFUNCTION("IFERROR(GOOGLETRANSLATE(B1461,""en"",""ja""),)"),"")</f>
        <v/>
      </c>
      <c r="D1461" s="4" t="str">
        <f ca="1">IFERROR(__xludf.DUMMYFUNCTION("IFERROR(GOOGLETRANSLATE(B1461,""en"",""zh-TW""),)"),"")</f>
        <v/>
      </c>
      <c r="E1461" s="4" t="str">
        <f ca="1">IFERROR(__xludf.DUMMYFUNCTION("IFERROR(GOOGLETRANSLATE(B1461,""en"",""zh-CN""),)"),"")</f>
        <v/>
      </c>
    </row>
    <row r="1462" spans="1:5">
      <c r="A1462" s="3"/>
      <c r="B1462" s="4" t="str">
        <f ca="1">IFERROR(__xludf.DUMMYFUNCTION("IFERROR(GOOGLETRANSLATE(A1462,""ko"",""en""),)"),"")</f>
        <v/>
      </c>
      <c r="C1462" s="4" t="str">
        <f ca="1">IFERROR(__xludf.DUMMYFUNCTION("IFERROR(GOOGLETRANSLATE(B1462,""en"",""ja""),)"),"")</f>
        <v/>
      </c>
      <c r="D1462" s="4" t="str">
        <f ca="1">IFERROR(__xludf.DUMMYFUNCTION("IFERROR(GOOGLETRANSLATE(B1462,""en"",""zh-TW""),)"),"")</f>
        <v/>
      </c>
      <c r="E1462" s="4" t="str">
        <f ca="1">IFERROR(__xludf.DUMMYFUNCTION("IFERROR(GOOGLETRANSLATE(B1462,""en"",""zh-CN""),)"),"")</f>
        <v/>
      </c>
    </row>
    <row r="1463" spans="1:5">
      <c r="A1463" s="3"/>
      <c r="B1463" s="4" t="str">
        <f ca="1">IFERROR(__xludf.DUMMYFUNCTION("IFERROR(GOOGLETRANSLATE(A1463,""ko"",""en""),)"),"")</f>
        <v/>
      </c>
      <c r="C1463" s="4" t="str">
        <f ca="1">IFERROR(__xludf.DUMMYFUNCTION("IFERROR(GOOGLETRANSLATE(B1463,""en"",""ja""),)"),"")</f>
        <v/>
      </c>
      <c r="D1463" s="4" t="str">
        <f ca="1">IFERROR(__xludf.DUMMYFUNCTION("IFERROR(GOOGLETRANSLATE(B1463,""en"",""zh-TW""),)"),"")</f>
        <v/>
      </c>
      <c r="E1463" s="4" t="str">
        <f ca="1">IFERROR(__xludf.DUMMYFUNCTION("IFERROR(GOOGLETRANSLATE(B1463,""en"",""zh-CN""),)"),"")</f>
        <v/>
      </c>
    </row>
    <row r="1464" spans="1:5">
      <c r="A1464" s="3"/>
      <c r="B1464" s="4" t="str">
        <f ca="1">IFERROR(__xludf.DUMMYFUNCTION("IFERROR(GOOGLETRANSLATE(A1464,""ko"",""en""),)"),"")</f>
        <v/>
      </c>
      <c r="C1464" s="4" t="str">
        <f ca="1">IFERROR(__xludf.DUMMYFUNCTION("IFERROR(GOOGLETRANSLATE(B1464,""en"",""ja""),)"),"")</f>
        <v/>
      </c>
      <c r="D1464" s="4" t="str">
        <f ca="1">IFERROR(__xludf.DUMMYFUNCTION("IFERROR(GOOGLETRANSLATE(B1464,""en"",""zh-TW""),)"),"")</f>
        <v/>
      </c>
      <c r="E1464" s="4" t="str">
        <f ca="1">IFERROR(__xludf.DUMMYFUNCTION("IFERROR(GOOGLETRANSLATE(B1464,""en"",""zh-CN""),)"),"")</f>
        <v/>
      </c>
    </row>
    <row r="1465" spans="1:5">
      <c r="A1465" s="3"/>
      <c r="B1465" s="4" t="str">
        <f ca="1">IFERROR(__xludf.DUMMYFUNCTION("IFERROR(GOOGLETRANSLATE(A1465,""ko"",""en""),)"),"")</f>
        <v/>
      </c>
      <c r="C1465" s="4" t="str">
        <f ca="1">IFERROR(__xludf.DUMMYFUNCTION("IFERROR(GOOGLETRANSLATE(B1465,""en"",""ja""),)"),"")</f>
        <v/>
      </c>
      <c r="D1465" s="4" t="str">
        <f ca="1">IFERROR(__xludf.DUMMYFUNCTION("IFERROR(GOOGLETRANSLATE(B1465,""en"",""zh-TW""),)"),"")</f>
        <v/>
      </c>
      <c r="E1465" s="4" t="str">
        <f ca="1">IFERROR(__xludf.DUMMYFUNCTION("IFERROR(GOOGLETRANSLATE(B1465,""en"",""zh-CN""),)"),"")</f>
        <v/>
      </c>
    </row>
    <row r="1466" spans="1:5">
      <c r="A1466" s="3"/>
      <c r="B1466" s="4" t="str">
        <f ca="1">IFERROR(__xludf.DUMMYFUNCTION("IFERROR(GOOGLETRANSLATE(A1466,""ko"",""en""),)"),"")</f>
        <v/>
      </c>
      <c r="C1466" s="4" t="str">
        <f ca="1">IFERROR(__xludf.DUMMYFUNCTION("IFERROR(GOOGLETRANSLATE(B1466,""en"",""ja""),)"),"")</f>
        <v/>
      </c>
      <c r="D1466" s="4" t="str">
        <f ca="1">IFERROR(__xludf.DUMMYFUNCTION("IFERROR(GOOGLETRANSLATE(B1466,""en"",""zh-TW""),)"),"")</f>
        <v/>
      </c>
      <c r="E1466" s="4" t="str">
        <f ca="1">IFERROR(__xludf.DUMMYFUNCTION("IFERROR(GOOGLETRANSLATE(B1466,""en"",""zh-CN""),)"),"")</f>
        <v/>
      </c>
    </row>
    <row r="1467" spans="1:5">
      <c r="A1467" s="3"/>
      <c r="B1467" s="4" t="str">
        <f ca="1">IFERROR(__xludf.DUMMYFUNCTION("IFERROR(GOOGLETRANSLATE(A1467,""ko"",""en""),)"),"")</f>
        <v/>
      </c>
      <c r="C1467" s="4" t="str">
        <f ca="1">IFERROR(__xludf.DUMMYFUNCTION("IFERROR(GOOGLETRANSLATE(B1467,""en"",""ja""),)"),"")</f>
        <v/>
      </c>
      <c r="D1467" s="4" t="str">
        <f ca="1">IFERROR(__xludf.DUMMYFUNCTION("IFERROR(GOOGLETRANSLATE(B1467,""en"",""zh-TW""),)"),"")</f>
        <v/>
      </c>
      <c r="E1467" s="4" t="str">
        <f ca="1">IFERROR(__xludf.DUMMYFUNCTION("IFERROR(GOOGLETRANSLATE(B1467,""en"",""zh-CN""),)"),"")</f>
        <v/>
      </c>
    </row>
    <row r="1468" spans="1:5">
      <c r="A1468" s="3"/>
      <c r="B1468" s="4" t="str">
        <f ca="1">IFERROR(__xludf.DUMMYFUNCTION("IFERROR(GOOGLETRANSLATE(A1468,""ko"",""en""),)"),"")</f>
        <v/>
      </c>
      <c r="C1468" s="4" t="str">
        <f ca="1">IFERROR(__xludf.DUMMYFUNCTION("IFERROR(GOOGLETRANSLATE(B1468,""en"",""ja""),)"),"")</f>
        <v/>
      </c>
      <c r="D1468" s="4" t="str">
        <f ca="1">IFERROR(__xludf.DUMMYFUNCTION("IFERROR(GOOGLETRANSLATE(B1468,""en"",""zh-TW""),)"),"")</f>
        <v/>
      </c>
      <c r="E1468" s="4" t="str">
        <f ca="1">IFERROR(__xludf.DUMMYFUNCTION("IFERROR(GOOGLETRANSLATE(B1468,""en"",""zh-CN""),)"),"")</f>
        <v/>
      </c>
    </row>
    <row r="1469" spans="1:5">
      <c r="A1469" s="3"/>
      <c r="B1469" s="4" t="str">
        <f ca="1">IFERROR(__xludf.DUMMYFUNCTION("IFERROR(GOOGLETRANSLATE(A1469,""ko"",""en""),)"),"")</f>
        <v/>
      </c>
      <c r="C1469" s="4" t="str">
        <f ca="1">IFERROR(__xludf.DUMMYFUNCTION("IFERROR(GOOGLETRANSLATE(B1469,""en"",""ja""),)"),"")</f>
        <v/>
      </c>
      <c r="D1469" s="4" t="str">
        <f ca="1">IFERROR(__xludf.DUMMYFUNCTION("IFERROR(GOOGLETRANSLATE(B1469,""en"",""zh-TW""),)"),"")</f>
        <v/>
      </c>
      <c r="E1469" s="4" t="str">
        <f ca="1">IFERROR(__xludf.DUMMYFUNCTION("IFERROR(GOOGLETRANSLATE(B1469,""en"",""zh-CN""),)"),"")</f>
        <v/>
      </c>
    </row>
    <row r="1470" spans="1:5">
      <c r="A1470" s="3"/>
      <c r="B1470" s="4" t="str">
        <f ca="1">IFERROR(__xludf.DUMMYFUNCTION("IFERROR(GOOGLETRANSLATE(A1470,""ko"",""en""),)"),"")</f>
        <v/>
      </c>
      <c r="C1470" s="4" t="str">
        <f ca="1">IFERROR(__xludf.DUMMYFUNCTION("IFERROR(GOOGLETRANSLATE(B1470,""en"",""ja""),)"),"")</f>
        <v/>
      </c>
      <c r="D1470" s="4" t="str">
        <f ca="1">IFERROR(__xludf.DUMMYFUNCTION("IFERROR(GOOGLETRANSLATE(B1470,""en"",""zh-TW""),)"),"")</f>
        <v/>
      </c>
      <c r="E1470" s="4" t="str">
        <f ca="1">IFERROR(__xludf.DUMMYFUNCTION("IFERROR(GOOGLETRANSLATE(B1470,""en"",""zh-CN""),)"),"")</f>
        <v/>
      </c>
    </row>
    <row r="1471" spans="1:5">
      <c r="A1471" s="3"/>
      <c r="B1471" s="4" t="str">
        <f ca="1">IFERROR(__xludf.DUMMYFUNCTION("IFERROR(GOOGLETRANSLATE(A1471,""ko"",""en""),)"),"")</f>
        <v/>
      </c>
      <c r="C1471" s="4" t="str">
        <f ca="1">IFERROR(__xludf.DUMMYFUNCTION("IFERROR(GOOGLETRANSLATE(B1471,""en"",""ja""),)"),"")</f>
        <v/>
      </c>
      <c r="D1471" s="4" t="str">
        <f ca="1">IFERROR(__xludf.DUMMYFUNCTION("IFERROR(GOOGLETRANSLATE(B1471,""en"",""zh-TW""),)"),"")</f>
        <v/>
      </c>
      <c r="E1471" s="4" t="str">
        <f ca="1">IFERROR(__xludf.DUMMYFUNCTION("IFERROR(GOOGLETRANSLATE(B1471,""en"",""zh-CN""),)"),"")</f>
        <v/>
      </c>
    </row>
    <row r="1472" spans="1:5">
      <c r="A1472" s="3"/>
      <c r="B1472" s="4" t="str">
        <f ca="1">IFERROR(__xludf.DUMMYFUNCTION("IFERROR(GOOGLETRANSLATE(A1472,""ko"",""en""),)"),"")</f>
        <v/>
      </c>
      <c r="C1472" s="4" t="str">
        <f ca="1">IFERROR(__xludf.DUMMYFUNCTION("IFERROR(GOOGLETRANSLATE(B1472,""en"",""ja""),)"),"")</f>
        <v/>
      </c>
      <c r="D1472" s="4" t="str">
        <f ca="1">IFERROR(__xludf.DUMMYFUNCTION("IFERROR(GOOGLETRANSLATE(B1472,""en"",""zh-TW""),)"),"")</f>
        <v/>
      </c>
      <c r="E1472" s="4" t="str">
        <f ca="1">IFERROR(__xludf.DUMMYFUNCTION("IFERROR(GOOGLETRANSLATE(B1472,""en"",""zh-CN""),)"),"")</f>
        <v/>
      </c>
    </row>
    <row r="1473" spans="1:5">
      <c r="A1473" s="3"/>
      <c r="B1473" s="4" t="str">
        <f ca="1">IFERROR(__xludf.DUMMYFUNCTION("IFERROR(GOOGLETRANSLATE(A1473,""ko"",""en""),)"),"")</f>
        <v/>
      </c>
      <c r="C1473" s="4" t="str">
        <f ca="1">IFERROR(__xludf.DUMMYFUNCTION("IFERROR(GOOGLETRANSLATE(B1473,""en"",""ja""),)"),"")</f>
        <v/>
      </c>
      <c r="D1473" s="4" t="str">
        <f ca="1">IFERROR(__xludf.DUMMYFUNCTION("IFERROR(GOOGLETRANSLATE(B1473,""en"",""zh-TW""),)"),"")</f>
        <v/>
      </c>
      <c r="E1473" s="4" t="str">
        <f ca="1">IFERROR(__xludf.DUMMYFUNCTION("IFERROR(GOOGLETRANSLATE(B1473,""en"",""zh-CN""),)"),"")</f>
        <v/>
      </c>
    </row>
    <row r="1474" spans="1:5">
      <c r="A1474" s="3"/>
      <c r="B1474" s="4" t="str">
        <f ca="1">IFERROR(__xludf.DUMMYFUNCTION("IFERROR(GOOGLETRANSLATE(A1474,""ko"",""en""),)"),"")</f>
        <v/>
      </c>
      <c r="C1474" s="4" t="str">
        <f ca="1">IFERROR(__xludf.DUMMYFUNCTION("IFERROR(GOOGLETRANSLATE(B1474,""en"",""ja""),)"),"")</f>
        <v/>
      </c>
      <c r="D1474" s="4" t="str">
        <f ca="1">IFERROR(__xludf.DUMMYFUNCTION("IFERROR(GOOGLETRANSLATE(B1474,""en"",""zh-TW""),)"),"")</f>
        <v/>
      </c>
      <c r="E1474" s="4" t="str">
        <f ca="1">IFERROR(__xludf.DUMMYFUNCTION("IFERROR(GOOGLETRANSLATE(B1474,""en"",""zh-CN""),)"),"")</f>
        <v/>
      </c>
    </row>
    <row r="1475" spans="1:5">
      <c r="A1475" s="3"/>
      <c r="B1475" s="4" t="str">
        <f ca="1">IFERROR(__xludf.DUMMYFUNCTION("IFERROR(GOOGLETRANSLATE(A1475,""ko"",""en""),)"),"")</f>
        <v/>
      </c>
      <c r="C1475" s="4" t="str">
        <f ca="1">IFERROR(__xludf.DUMMYFUNCTION("IFERROR(GOOGLETRANSLATE(B1475,""en"",""ja""),)"),"")</f>
        <v/>
      </c>
      <c r="D1475" s="4" t="str">
        <f ca="1">IFERROR(__xludf.DUMMYFUNCTION("IFERROR(GOOGLETRANSLATE(B1475,""en"",""zh-TW""),)"),"")</f>
        <v/>
      </c>
      <c r="E1475" s="4" t="str">
        <f ca="1">IFERROR(__xludf.DUMMYFUNCTION("IFERROR(GOOGLETRANSLATE(B1475,""en"",""zh-CN""),)"),"")</f>
        <v/>
      </c>
    </row>
    <row r="1476" spans="1:5">
      <c r="A1476" s="3"/>
      <c r="B1476" s="4" t="str">
        <f ca="1">IFERROR(__xludf.DUMMYFUNCTION("IFERROR(GOOGLETRANSLATE(A1476,""ko"",""en""),)"),"")</f>
        <v/>
      </c>
      <c r="C1476" s="4" t="str">
        <f ca="1">IFERROR(__xludf.DUMMYFUNCTION("IFERROR(GOOGLETRANSLATE(B1476,""en"",""ja""),)"),"")</f>
        <v/>
      </c>
      <c r="D1476" s="4" t="str">
        <f ca="1">IFERROR(__xludf.DUMMYFUNCTION("IFERROR(GOOGLETRANSLATE(B1476,""en"",""zh-TW""),)"),"")</f>
        <v/>
      </c>
      <c r="E1476" s="4" t="str">
        <f ca="1">IFERROR(__xludf.DUMMYFUNCTION("IFERROR(GOOGLETRANSLATE(B1476,""en"",""zh-CN""),)"),"")</f>
        <v/>
      </c>
    </row>
    <row r="1477" spans="1:5">
      <c r="A1477" s="3"/>
      <c r="B1477" s="4" t="str">
        <f ca="1">IFERROR(__xludf.DUMMYFUNCTION("IFERROR(GOOGLETRANSLATE(A1477,""ko"",""en""),)"),"")</f>
        <v/>
      </c>
      <c r="C1477" s="4" t="str">
        <f ca="1">IFERROR(__xludf.DUMMYFUNCTION("IFERROR(GOOGLETRANSLATE(B1477,""en"",""ja""),)"),"")</f>
        <v/>
      </c>
      <c r="D1477" s="4" t="str">
        <f ca="1">IFERROR(__xludf.DUMMYFUNCTION("IFERROR(GOOGLETRANSLATE(B1477,""en"",""zh-TW""),)"),"")</f>
        <v/>
      </c>
      <c r="E1477" s="4" t="str">
        <f ca="1">IFERROR(__xludf.DUMMYFUNCTION("IFERROR(GOOGLETRANSLATE(B1477,""en"",""zh-CN""),)"),"")</f>
        <v/>
      </c>
    </row>
    <row r="1478" spans="1:5">
      <c r="A1478" s="3"/>
      <c r="B1478" s="4" t="str">
        <f ca="1">IFERROR(__xludf.DUMMYFUNCTION("IFERROR(GOOGLETRANSLATE(A1478,""ko"",""en""),)"),"")</f>
        <v/>
      </c>
      <c r="C1478" s="4" t="str">
        <f ca="1">IFERROR(__xludf.DUMMYFUNCTION("IFERROR(GOOGLETRANSLATE(B1478,""en"",""ja""),)"),"")</f>
        <v/>
      </c>
      <c r="D1478" s="4" t="str">
        <f ca="1">IFERROR(__xludf.DUMMYFUNCTION("IFERROR(GOOGLETRANSLATE(B1478,""en"",""zh-TW""),)"),"")</f>
        <v/>
      </c>
      <c r="E1478" s="4" t="str">
        <f ca="1">IFERROR(__xludf.DUMMYFUNCTION("IFERROR(GOOGLETRANSLATE(B1478,""en"",""zh-CN""),)"),"")</f>
        <v/>
      </c>
    </row>
    <row r="1479" spans="1:5">
      <c r="A1479" s="3"/>
      <c r="B1479" s="4" t="str">
        <f ca="1">IFERROR(__xludf.DUMMYFUNCTION("IFERROR(GOOGLETRANSLATE(A1479,""ko"",""en""),)"),"")</f>
        <v/>
      </c>
      <c r="C1479" s="4" t="str">
        <f ca="1">IFERROR(__xludf.DUMMYFUNCTION("IFERROR(GOOGLETRANSLATE(B1479,""en"",""ja""),)"),"")</f>
        <v/>
      </c>
      <c r="D1479" s="4" t="str">
        <f ca="1">IFERROR(__xludf.DUMMYFUNCTION("IFERROR(GOOGLETRANSLATE(B1479,""en"",""zh-TW""),)"),"")</f>
        <v/>
      </c>
      <c r="E1479" s="4" t="str">
        <f ca="1">IFERROR(__xludf.DUMMYFUNCTION("IFERROR(GOOGLETRANSLATE(B1479,""en"",""zh-CN""),)"),"")</f>
        <v/>
      </c>
    </row>
    <row r="1480" spans="1:5">
      <c r="A1480" s="3"/>
      <c r="B1480" s="4" t="str">
        <f ca="1">IFERROR(__xludf.DUMMYFUNCTION("IFERROR(GOOGLETRANSLATE(A1480,""ko"",""en""),)"),"")</f>
        <v/>
      </c>
      <c r="C1480" s="4" t="str">
        <f ca="1">IFERROR(__xludf.DUMMYFUNCTION("IFERROR(GOOGLETRANSLATE(B1480,""en"",""ja""),)"),"")</f>
        <v/>
      </c>
      <c r="D1480" s="4" t="str">
        <f ca="1">IFERROR(__xludf.DUMMYFUNCTION("IFERROR(GOOGLETRANSLATE(B1480,""en"",""zh-TW""),)"),"")</f>
        <v/>
      </c>
      <c r="E1480" s="4" t="str">
        <f ca="1">IFERROR(__xludf.DUMMYFUNCTION("IFERROR(GOOGLETRANSLATE(B1480,""en"",""zh-CN""),)"),"")</f>
        <v/>
      </c>
    </row>
    <row r="1481" spans="1:5">
      <c r="A1481" s="3"/>
      <c r="B1481" s="4" t="str">
        <f ca="1">IFERROR(__xludf.DUMMYFUNCTION("IFERROR(GOOGLETRANSLATE(A1481,""ko"",""en""),)"),"")</f>
        <v/>
      </c>
      <c r="C1481" s="4" t="str">
        <f ca="1">IFERROR(__xludf.DUMMYFUNCTION("IFERROR(GOOGLETRANSLATE(B1481,""en"",""ja""),)"),"")</f>
        <v/>
      </c>
      <c r="D1481" s="4" t="str">
        <f ca="1">IFERROR(__xludf.DUMMYFUNCTION("IFERROR(GOOGLETRANSLATE(B1481,""en"",""zh-TW""),)"),"")</f>
        <v/>
      </c>
      <c r="E1481" s="4" t="str">
        <f ca="1">IFERROR(__xludf.DUMMYFUNCTION("IFERROR(GOOGLETRANSLATE(B1481,""en"",""zh-CN""),)"),"")</f>
        <v/>
      </c>
    </row>
    <row r="1482" spans="1:5">
      <c r="A1482" s="3"/>
      <c r="B1482" s="4" t="str">
        <f ca="1">IFERROR(__xludf.DUMMYFUNCTION("IFERROR(GOOGLETRANSLATE(A1482,""ko"",""en""),)"),"")</f>
        <v/>
      </c>
      <c r="C1482" s="4" t="str">
        <f ca="1">IFERROR(__xludf.DUMMYFUNCTION("IFERROR(GOOGLETRANSLATE(B1482,""en"",""ja""),)"),"")</f>
        <v/>
      </c>
      <c r="D1482" s="4" t="str">
        <f ca="1">IFERROR(__xludf.DUMMYFUNCTION("IFERROR(GOOGLETRANSLATE(B1482,""en"",""zh-TW""),)"),"")</f>
        <v/>
      </c>
      <c r="E1482" s="4" t="str">
        <f ca="1">IFERROR(__xludf.DUMMYFUNCTION("IFERROR(GOOGLETRANSLATE(B1482,""en"",""zh-CN""),)"),"")</f>
        <v/>
      </c>
    </row>
    <row r="1483" spans="1:5">
      <c r="A1483" s="3"/>
      <c r="B1483" s="4" t="str">
        <f ca="1">IFERROR(__xludf.DUMMYFUNCTION("IFERROR(GOOGLETRANSLATE(A1483,""ko"",""en""),)"),"")</f>
        <v/>
      </c>
      <c r="C1483" s="4" t="str">
        <f ca="1">IFERROR(__xludf.DUMMYFUNCTION("IFERROR(GOOGLETRANSLATE(B1483,""en"",""ja""),)"),"")</f>
        <v/>
      </c>
      <c r="D1483" s="4" t="str">
        <f ca="1">IFERROR(__xludf.DUMMYFUNCTION("IFERROR(GOOGLETRANSLATE(B1483,""en"",""zh-TW""),)"),"")</f>
        <v/>
      </c>
      <c r="E1483" s="4" t="str">
        <f ca="1">IFERROR(__xludf.DUMMYFUNCTION("IFERROR(GOOGLETRANSLATE(B1483,""en"",""zh-CN""),)"),"")</f>
        <v/>
      </c>
    </row>
    <row r="1484" spans="1:5">
      <c r="A1484" s="3"/>
      <c r="B1484" s="4" t="str">
        <f ca="1">IFERROR(__xludf.DUMMYFUNCTION("IFERROR(GOOGLETRANSLATE(A1484,""ko"",""en""),)"),"")</f>
        <v/>
      </c>
      <c r="C1484" s="4" t="str">
        <f ca="1">IFERROR(__xludf.DUMMYFUNCTION("IFERROR(GOOGLETRANSLATE(B1484,""en"",""ja""),)"),"")</f>
        <v/>
      </c>
      <c r="D1484" s="4" t="str">
        <f ca="1">IFERROR(__xludf.DUMMYFUNCTION("IFERROR(GOOGLETRANSLATE(B1484,""en"",""zh-TW""),)"),"")</f>
        <v/>
      </c>
      <c r="E1484" s="4" t="str">
        <f ca="1">IFERROR(__xludf.DUMMYFUNCTION("IFERROR(GOOGLETRANSLATE(B1484,""en"",""zh-CN""),)"),"")</f>
        <v/>
      </c>
    </row>
    <row r="1485" spans="1:5">
      <c r="A1485" s="3"/>
      <c r="B1485" s="4" t="str">
        <f ca="1">IFERROR(__xludf.DUMMYFUNCTION("IFERROR(GOOGLETRANSLATE(A1485,""ko"",""en""),)"),"")</f>
        <v/>
      </c>
      <c r="C1485" s="4" t="str">
        <f ca="1">IFERROR(__xludf.DUMMYFUNCTION("IFERROR(GOOGLETRANSLATE(B1485,""en"",""ja""),)"),"")</f>
        <v/>
      </c>
      <c r="D1485" s="4" t="str">
        <f ca="1">IFERROR(__xludf.DUMMYFUNCTION("IFERROR(GOOGLETRANSLATE(B1485,""en"",""zh-TW""),)"),"")</f>
        <v/>
      </c>
      <c r="E1485" s="4" t="str">
        <f ca="1">IFERROR(__xludf.DUMMYFUNCTION("IFERROR(GOOGLETRANSLATE(B1485,""en"",""zh-CN""),)"),"")</f>
        <v/>
      </c>
    </row>
    <row r="1486" spans="1:5">
      <c r="A1486" s="3"/>
      <c r="B1486" s="4" t="str">
        <f ca="1">IFERROR(__xludf.DUMMYFUNCTION("IFERROR(GOOGLETRANSLATE(A1486,""ko"",""en""),)"),"")</f>
        <v/>
      </c>
      <c r="C1486" s="4" t="str">
        <f ca="1">IFERROR(__xludf.DUMMYFUNCTION("IFERROR(GOOGLETRANSLATE(B1486,""en"",""ja""),)"),"")</f>
        <v/>
      </c>
      <c r="D1486" s="4" t="str">
        <f ca="1">IFERROR(__xludf.DUMMYFUNCTION("IFERROR(GOOGLETRANSLATE(B1486,""en"",""zh-TW""),)"),"")</f>
        <v/>
      </c>
      <c r="E1486" s="4" t="str">
        <f ca="1">IFERROR(__xludf.DUMMYFUNCTION("IFERROR(GOOGLETRANSLATE(B1486,""en"",""zh-CN""),)"),"")</f>
        <v/>
      </c>
    </row>
    <row r="1487" spans="1:5">
      <c r="A1487" s="3"/>
      <c r="B1487" s="4" t="str">
        <f ca="1">IFERROR(__xludf.DUMMYFUNCTION("IFERROR(GOOGLETRANSLATE(A1487,""ko"",""en""),)"),"")</f>
        <v/>
      </c>
      <c r="C1487" s="4" t="str">
        <f ca="1">IFERROR(__xludf.DUMMYFUNCTION("IFERROR(GOOGLETRANSLATE(B1487,""en"",""ja""),)"),"")</f>
        <v/>
      </c>
      <c r="D1487" s="4" t="str">
        <f ca="1">IFERROR(__xludf.DUMMYFUNCTION("IFERROR(GOOGLETRANSLATE(B1487,""en"",""zh-TW""),)"),"")</f>
        <v/>
      </c>
      <c r="E1487" s="4" t="str">
        <f ca="1">IFERROR(__xludf.DUMMYFUNCTION("IFERROR(GOOGLETRANSLATE(B1487,""en"",""zh-CN""),)"),"")</f>
        <v/>
      </c>
    </row>
    <row r="1488" spans="1:5">
      <c r="A1488" s="3"/>
      <c r="B1488" s="4" t="str">
        <f ca="1">IFERROR(__xludf.DUMMYFUNCTION("IFERROR(GOOGLETRANSLATE(A1488,""ko"",""en""),)"),"")</f>
        <v/>
      </c>
      <c r="C1488" s="4" t="str">
        <f ca="1">IFERROR(__xludf.DUMMYFUNCTION("IFERROR(GOOGLETRANSLATE(B1488,""en"",""ja""),)"),"")</f>
        <v/>
      </c>
      <c r="D1488" s="4" t="str">
        <f ca="1">IFERROR(__xludf.DUMMYFUNCTION("IFERROR(GOOGLETRANSLATE(B1488,""en"",""zh-TW""),)"),"")</f>
        <v/>
      </c>
      <c r="E1488" s="4" t="str">
        <f ca="1">IFERROR(__xludf.DUMMYFUNCTION("IFERROR(GOOGLETRANSLATE(B1488,""en"",""zh-CN""),)"),"")</f>
        <v/>
      </c>
    </row>
    <row r="1489" spans="1:5">
      <c r="A1489" s="3"/>
      <c r="B1489" s="4" t="str">
        <f ca="1">IFERROR(__xludf.DUMMYFUNCTION("IFERROR(GOOGLETRANSLATE(A1489,""ko"",""en""),)"),"")</f>
        <v/>
      </c>
      <c r="C1489" s="4" t="str">
        <f ca="1">IFERROR(__xludf.DUMMYFUNCTION("IFERROR(GOOGLETRANSLATE(B1489,""en"",""ja""),)"),"")</f>
        <v/>
      </c>
      <c r="D1489" s="4" t="str">
        <f ca="1">IFERROR(__xludf.DUMMYFUNCTION("IFERROR(GOOGLETRANSLATE(B1489,""en"",""zh-TW""),)"),"")</f>
        <v/>
      </c>
      <c r="E1489" s="4" t="str">
        <f ca="1">IFERROR(__xludf.DUMMYFUNCTION("IFERROR(GOOGLETRANSLATE(B1489,""en"",""zh-CN""),)"),"")</f>
        <v/>
      </c>
    </row>
    <row r="1490" spans="1:5">
      <c r="A1490" s="3"/>
      <c r="B1490" s="4" t="str">
        <f ca="1">IFERROR(__xludf.DUMMYFUNCTION("IFERROR(GOOGLETRANSLATE(A1490,""ko"",""en""),)"),"")</f>
        <v/>
      </c>
      <c r="C1490" s="4" t="str">
        <f ca="1">IFERROR(__xludf.DUMMYFUNCTION("IFERROR(GOOGLETRANSLATE(B1490,""en"",""ja""),)"),"")</f>
        <v/>
      </c>
      <c r="D1490" s="4" t="str">
        <f ca="1">IFERROR(__xludf.DUMMYFUNCTION("IFERROR(GOOGLETRANSLATE(B1490,""en"",""zh-TW""),)"),"")</f>
        <v/>
      </c>
      <c r="E1490" s="4" t="str">
        <f ca="1">IFERROR(__xludf.DUMMYFUNCTION("IFERROR(GOOGLETRANSLATE(B1490,""en"",""zh-CN""),)"),"")</f>
        <v/>
      </c>
    </row>
    <row r="1491" spans="1:5">
      <c r="A1491" s="3"/>
      <c r="B1491" s="4" t="str">
        <f ca="1">IFERROR(__xludf.DUMMYFUNCTION("IFERROR(GOOGLETRANSLATE(A1491,""ko"",""en""),)"),"")</f>
        <v/>
      </c>
      <c r="C1491" s="4" t="str">
        <f ca="1">IFERROR(__xludf.DUMMYFUNCTION("IFERROR(GOOGLETRANSLATE(B1491,""en"",""ja""),)"),"")</f>
        <v/>
      </c>
      <c r="D1491" s="4" t="str">
        <f ca="1">IFERROR(__xludf.DUMMYFUNCTION("IFERROR(GOOGLETRANSLATE(B1491,""en"",""zh-TW""),)"),"")</f>
        <v/>
      </c>
      <c r="E1491" s="4" t="str">
        <f ca="1">IFERROR(__xludf.DUMMYFUNCTION("IFERROR(GOOGLETRANSLATE(B1491,""en"",""zh-CN""),)"),"")</f>
        <v/>
      </c>
    </row>
    <row r="1492" spans="1:5">
      <c r="A1492" s="3"/>
      <c r="B1492" s="4" t="str">
        <f ca="1">IFERROR(__xludf.DUMMYFUNCTION("IFERROR(GOOGLETRANSLATE(A1492,""ko"",""en""),)"),"")</f>
        <v/>
      </c>
      <c r="C1492" s="4" t="str">
        <f ca="1">IFERROR(__xludf.DUMMYFUNCTION("IFERROR(GOOGLETRANSLATE(B1492,""en"",""ja""),)"),"")</f>
        <v/>
      </c>
      <c r="D1492" s="4" t="str">
        <f ca="1">IFERROR(__xludf.DUMMYFUNCTION("IFERROR(GOOGLETRANSLATE(B1492,""en"",""zh-TW""),)"),"")</f>
        <v/>
      </c>
      <c r="E1492" s="4" t="str">
        <f ca="1">IFERROR(__xludf.DUMMYFUNCTION("IFERROR(GOOGLETRANSLATE(B1492,""en"",""zh-CN""),)"),"")</f>
        <v/>
      </c>
    </row>
    <row r="1493" spans="1:5">
      <c r="A1493" s="3"/>
      <c r="B1493" s="4" t="str">
        <f ca="1">IFERROR(__xludf.DUMMYFUNCTION("IFERROR(GOOGLETRANSLATE(A1493,""ko"",""en""),)"),"")</f>
        <v/>
      </c>
      <c r="C1493" s="4" t="str">
        <f ca="1">IFERROR(__xludf.DUMMYFUNCTION("IFERROR(GOOGLETRANSLATE(B1493,""en"",""ja""),)"),"")</f>
        <v/>
      </c>
      <c r="D1493" s="4" t="str">
        <f ca="1">IFERROR(__xludf.DUMMYFUNCTION("IFERROR(GOOGLETRANSLATE(B1493,""en"",""zh-TW""),)"),"")</f>
        <v/>
      </c>
      <c r="E1493" s="4" t="str">
        <f ca="1">IFERROR(__xludf.DUMMYFUNCTION("IFERROR(GOOGLETRANSLATE(B1493,""en"",""zh-CN""),)"),"")</f>
        <v/>
      </c>
    </row>
    <row r="1494" spans="1:5">
      <c r="A1494" s="3"/>
      <c r="B1494" s="4" t="str">
        <f ca="1">IFERROR(__xludf.DUMMYFUNCTION("IFERROR(GOOGLETRANSLATE(A1494,""ko"",""en""),)"),"")</f>
        <v/>
      </c>
      <c r="C1494" s="4" t="str">
        <f ca="1">IFERROR(__xludf.DUMMYFUNCTION("IFERROR(GOOGLETRANSLATE(B1494,""en"",""ja""),)"),"")</f>
        <v/>
      </c>
      <c r="D1494" s="4" t="str">
        <f ca="1">IFERROR(__xludf.DUMMYFUNCTION("IFERROR(GOOGLETRANSLATE(B1494,""en"",""zh-TW""),)"),"")</f>
        <v/>
      </c>
      <c r="E1494" s="4" t="str">
        <f ca="1">IFERROR(__xludf.DUMMYFUNCTION("IFERROR(GOOGLETRANSLATE(B1494,""en"",""zh-CN""),)"),"")</f>
        <v/>
      </c>
    </row>
    <row r="1495" spans="1:5">
      <c r="A1495" s="3"/>
      <c r="B1495" s="4" t="str">
        <f ca="1">IFERROR(__xludf.DUMMYFUNCTION("IFERROR(GOOGLETRANSLATE(A1495,""ko"",""en""),)"),"")</f>
        <v/>
      </c>
      <c r="C1495" s="4" t="str">
        <f ca="1">IFERROR(__xludf.DUMMYFUNCTION("IFERROR(GOOGLETRANSLATE(B1495,""en"",""ja""),)"),"")</f>
        <v/>
      </c>
      <c r="D1495" s="4" t="str">
        <f ca="1">IFERROR(__xludf.DUMMYFUNCTION("IFERROR(GOOGLETRANSLATE(B1495,""en"",""zh-TW""),)"),"")</f>
        <v/>
      </c>
      <c r="E1495" s="4" t="str">
        <f ca="1">IFERROR(__xludf.DUMMYFUNCTION("IFERROR(GOOGLETRANSLATE(B1495,""en"",""zh-CN""),)"),"")</f>
        <v/>
      </c>
    </row>
    <row r="1496" spans="1:5">
      <c r="A1496" s="3"/>
      <c r="B1496" s="4" t="str">
        <f ca="1">IFERROR(__xludf.DUMMYFUNCTION("IFERROR(GOOGLETRANSLATE(A1496,""ko"",""en""),)"),"")</f>
        <v/>
      </c>
      <c r="C1496" s="4" t="str">
        <f ca="1">IFERROR(__xludf.DUMMYFUNCTION("IFERROR(GOOGLETRANSLATE(B1496,""en"",""ja""),)"),"")</f>
        <v/>
      </c>
      <c r="D1496" s="4" t="str">
        <f ca="1">IFERROR(__xludf.DUMMYFUNCTION("IFERROR(GOOGLETRANSLATE(B1496,""en"",""zh-TW""),)"),"")</f>
        <v/>
      </c>
      <c r="E1496" s="4" t="str">
        <f ca="1">IFERROR(__xludf.DUMMYFUNCTION("IFERROR(GOOGLETRANSLATE(B1496,""en"",""zh-CN""),)"),"")</f>
        <v/>
      </c>
    </row>
    <row r="1497" spans="1:5">
      <c r="A1497" s="3"/>
      <c r="B1497" s="4" t="str">
        <f ca="1">IFERROR(__xludf.DUMMYFUNCTION("IFERROR(GOOGLETRANSLATE(A1497,""ko"",""en""),)"),"")</f>
        <v/>
      </c>
      <c r="C1497" s="4" t="str">
        <f ca="1">IFERROR(__xludf.DUMMYFUNCTION("IFERROR(GOOGLETRANSLATE(B1497,""en"",""ja""),)"),"")</f>
        <v/>
      </c>
      <c r="D1497" s="4" t="str">
        <f ca="1">IFERROR(__xludf.DUMMYFUNCTION("IFERROR(GOOGLETRANSLATE(B1497,""en"",""zh-TW""),)"),"")</f>
        <v/>
      </c>
      <c r="E1497" s="4" t="str">
        <f ca="1">IFERROR(__xludf.DUMMYFUNCTION("IFERROR(GOOGLETRANSLATE(B1497,""en"",""zh-CN""),)"),"")</f>
        <v/>
      </c>
    </row>
    <row r="1498" spans="1:5">
      <c r="A1498" s="3"/>
      <c r="B1498" s="4" t="str">
        <f ca="1">IFERROR(__xludf.DUMMYFUNCTION("IFERROR(GOOGLETRANSLATE(A1498,""ko"",""en""),)"),"")</f>
        <v/>
      </c>
      <c r="C1498" s="4" t="str">
        <f ca="1">IFERROR(__xludf.DUMMYFUNCTION("IFERROR(GOOGLETRANSLATE(B1498,""en"",""ja""),)"),"")</f>
        <v/>
      </c>
      <c r="D1498" s="4" t="str">
        <f ca="1">IFERROR(__xludf.DUMMYFUNCTION("IFERROR(GOOGLETRANSLATE(B1498,""en"",""zh-TW""),)"),"")</f>
        <v/>
      </c>
      <c r="E1498" s="4" t="str">
        <f ca="1">IFERROR(__xludf.DUMMYFUNCTION("IFERROR(GOOGLETRANSLATE(B1498,""en"",""zh-CN""),)"),"")</f>
        <v/>
      </c>
    </row>
    <row r="1499" spans="1:5">
      <c r="A1499" s="3"/>
      <c r="B1499" s="4" t="str">
        <f ca="1">IFERROR(__xludf.DUMMYFUNCTION("IFERROR(GOOGLETRANSLATE(A1499,""ko"",""en""),)"),"")</f>
        <v/>
      </c>
      <c r="C1499" s="4" t="str">
        <f ca="1">IFERROR(__xludf.DUMMYFUNCTION("IFERROR(GOOGLETRANSLATE(B1499,""en"",""ja""),)"),"")</f>
        <v/>
      </c>
      <c r="D1499" s="4" t="str">
        <f ca="1">IFERROR(__xludf.DUMMYFUNCTION("IFERROR(GOOGLETRANSLATE(B1499,""en"",""zh-TW""),)"),"")</f>
        <v/>
      </c>
      <c r="E1499" s="4" t="str">
        <f ca="1">IFERROR(__xludf.DUMMYFUNCTION("IFERROR(GOOGLETRANSLATE(B1499,""en"",""zh-CN""),)"),"")</f>
        <v/>
      </c>
    </row>
    <row r="1500" spans="1:5">
      <c r="A1500" s="3"/>
      <c r="B1500" s="4" t="str">
        <f ca="1">IFERROR(__xludf.DUMMYFUNCTION("IFERROR(GOOGLETRANSLATE(A1500,""ko"",""en""),)"),"")</f>
        <v/>
      </c>
      <c r="C1500" s="4" t="str">
        <f ca="1">IFERROR(__xludf.DUMMYFUNCTION("IFERROR(GOOGLETRANSLATE(B1500,""en"",""ja""),)"),"")</f>
        <v/>
      </c>
      <c r="D1500" s="4" t="str">
        <f ca="1">IFERROR(__xludf.DUMMYFUNCTION("IFERROR(GOOGLETRANSLATE(B1500,""en"",""zh-TW""),)"),"")</f>
        <v/>
      </c>
      <c r="E1500" s="4" t="str">
        <f ca="1">IFERROR(__xludf.DUMMYFUNCTION("IFERROR(GOOGLETRANSLATE(B1500,""en"",""zh-CN""),)"),"")</f>
        <v/>
      </c>
    </row>
    <row r="1501" spans="1:5">
      <c r="A1501" s="3"/>
      <c r="B1501" s="4" t="str">
        <f ca="1">IFERROR(__xludf.DUMMYFUNCTION("IFERROR(GOOGLETRANSLATE(A1501,""ko"",""en""),)"),"")</f>
        <v/>
      </c>
      <c r="C1501" s="4" t="str">
        <f ca="1">IFERROR(__xludf.DUMMYFUNCTION("IFERROR(GOOGLETRANSLATE(B1501,""en"",""ja""),)"),"")</f>
        <v/>
      </c>
      <c r="D1501" s="4" t="str">
        <f ca="1">IFERROR(__xludf.DUMMYFUNCTION("IFERROR(GOOGLETRANSLATE(B1501,""en"",""zh-TW""),)"),"")</f>
        <v/>
      </c>
      <c r="E1501" s="4" t="str">
        <f ca="1">IFERROR(__xludf.DUMMYFUNCTION("IFERROR(GOOGLETRANSLATE(B1501,""en"",""zh-CN""),)"),"")</f>
        <v/>
      </c>
    </row>
    <row r="1502" spans="1:5">
      <c r="A1502" s="3"/>
      <c r="B1502" s="4" t="str">
        <f ca="1">IFERROR(__xludf.DUMMYFUNCTION("IFERROR(GOOGLETRANSLATE(A1502,""ko"",""en""),)"),"")</f>
        <v/>
      </c>
      <c r="C1502" s="4" t="str">
        <f ca="1">IFERROR(__xludf.DUMMYFUNCTION("IFERROR(GOOGLETRANSLATE(B1502,""en"",""ja""),)"),"")</f>
        <v/>
      </c>
      <c r="D1502" s="4" t="str">
        <f ca="1">IFERROR(__xludf.DUMMYFUNCTION("IFERROR(GOOGLETRANSLATE(B1502,""en"",""zh-TW""),)"),"")</f>
        <v/>
      </c>
      <c r="E1502" s="4" t="str">
        <f ca="1">IFERROR(__xludf.DUMMYFUNCTION("IFERROR(GOOGLETRANSLATE(B1502,""en"",""zh-CN""),)"),"")</f>
        <v/>
      </c>
    </row>
    <row r="1503" spans="1:5">
      <c r="A1503" s="3"/>
      <c r="B1503" s="4" t="str">
        <f ca="1">IFERROR(__xludf.DUMMYFUNCTION("IFERROR(GOOGLETRANSLATE(A1503,""ko"",""en""),)"),"")</f>
        <v/>
      </c>
      <c r="C1503" s="4" t="str">
        <f ca="1">IFERROR(__xludf.DUMMYFUNCTION("IFERROR(GOOGLETRANSLATE(B1503,""en"",""ja""),)"),"")</f>
        <v/>
      </c>
      <c r="D1503" s="4" t="str">
        <f ca="1">IFERROR(__xludf.DUMMYFUNCTION("IFERROR(GOOGLETRANSLATE(B1503,""en"",""zh-TW""),)"),"")</f>
        <v/>
      </c>
      <c r="E1503" s="4" t="str">
        <f ca="1">IFERROR(__xludf.DUMMYFUNCTION("IFERROR(GOOGLETRANSLATE(B1503,""en"",""zh-CN""),)"),"")</f>
        <v/>
      </c>
    </row>
    <row r="1504" spans="1:5">
      <c r="A1504" s="3"/>
      <c r="B1504" s="4" t="str">
        <f ca="1">IFERROR(__xludf.DUMMYFUNCTION("IFERROR(GOOGLETRANSLATE(A1504,""ko"",""en""),)"),"")</f>
        <v/>
      </c>
      <c r="C1504" s="4" t="str">
        <f ca="1">IFERROR(__xludf.DUMMYFUNCTION("IFERROR(GOOGLETRANSLATE(B1504,""en"",""ja""),)"),"")</f>
        <v/>
      </c>
      <c r="D1504" s="4" t="str">
        <f ca="1">IFERROR(__xludf.DUMMYFUNCTION("IFERROR(GOOGLETRANSLATE(B1504,""en"",""zh-TW""),)"),"")</f>
        <v/>
      </c>
      <c r="E1504" s="4" t="str">
        <f ca="1">IFERROR(__xludf.DUMMYFUNCTION("IFERROR(GOOGLETRANSLATE(B1504,""en"",""zh-CN""),)"),"")</f>
        <v/>
      </c>
    </row>
    <row r="1505" spans="1:5">
      <c r="A1505" s="3"/>
      <c r="B1505" s="4" t="str">
        <f ca="1">IFERROR(__xludf.DUMMYFUNCTION("IFERROR(GOOGLETRANSLATE(A1505,""ko"",""en""),)"),"")</f>
        <v/>
      </c>
      <c r="C1505" s="4" t="str">
        <f ca="1">IFERROR(__xludf.DUMMYFUNCTION("IFERROR(GOOGLETRANSLATE(B1505,""en"",""ja""),)"),"")</f>
        <v/>
      </c>
      <c r="D1505" s="4" t="str">
        <f ca="1">IFERROR(__xludf.DUMMYFUNCTION("IFERROR(GOOGLETRANSLATE(B1505,""en"",""zh-TW""),)"),"")</f>
        <v/>
      </c>
      <c r="E1505" s="4" t="str">
        <f ca="1">IFERROR(__xludf.DUMMYFUNCTION("IFERROR(GOOGLETRANSLATE(B1505,""en"",""zh-CN""),)"),"")</f>
        <v/>
      </c>
    </row>
    <row r="1506" spans="1:5">
      <c r="A1506" s="3"/>
      <c r="B1506" s="4" t="str">
        <f ca="1">IFERROR(__xludf.DUMMYFUNCTION("IFERROR(GOOGLETRANSLATE(A1506,""ko"",""en""),)"),"")</f>
        <v/>
      </c>
      <c r="C1506" s="4" t="str">
        <f ca="1">IFERROR(__xludf.DUMMYFUNCTION("IFERROR(GOOGLETRANSLATE(B1506,""en"",""ja""),)"),"")</f>
        <v/>
      </c>
      <c r="D1506" s="4" t="str">
        <f ca="1">IFERROR(__xludf.DUMMYFUNCTION("IFERROR(GOOGLETRANSLATE(B1506,""en"",""zh-TW""),)"),"")</f>
        <v/>
      </c>
      <c r="E1506" s="4" t="str">
        <f ca="1">IFERROR(__xludf.DUMMYFUNCTION("IFERROR(GOOGLETRANSLATE(B1506,""en"",""zh-CN""),)"),"")</f>
        <v/>
      </c>
    </row>
    <row r="1507" spans="1:5">
      <c r="A1507" s="3"/>
      <c r="B1507" s="4" t="str">
        <f ca="1">IFERROR(__xludf.DUMMYFUNCTION("IFERROR(GOOGLETRANSLATE(A1507,""ko"",""en""),)"),"")</f>
        <v/>
      </c>
      <c r="C1507" s="4" t="str">
        <f ca="1">IFERROR(__xludf.DUMMYFUNCTION("IFERROR(GOOGLETRANSLATE(B1507,""en"",""ja""),)"),"")</f>
        <v/>
      </c>
      <c r="D1507" s="4" t="str">
        <f ca="1">IFERROR(__xludf.DUMMYFUNCTION("IFERROR(GOOGLETRANSLATE(B1507,""en"",""zh-TW""),)"),"")</f>
        <v/>
      </c>
      <c r="E1507" s="4" t="str">
        <f ca="1">IFERROR(__xludf.DUMMYFUNCTION("IFERROR(GOOGLETRANSLATE(B1507,""en"",""zh-CN""),)"),"")</f>
        <v/>
      </c>
    </row>
    <row r="1508" spans="1:5">
      <c r="A1508" s="3"/>
      <c r="B1508" s="4" t="str">
        <f ca="1">IFERROR(__xludf.DUMMYFUNCTION("IFERROR(GOOGLETRANSLATE(A1508,""ko"",""en""),)"),"")</f>
        <v/>
      </c>
      <c r="C1508" s="4" t="str">
        <f ca="1">IFERROR(__xludf.DUMMYFUNCTION("IFERROR(GOOGLETRANSLATE(B1508,""en"",""ja""),)"),"")</f>
        <v/>
      </c>
      <c r="D1508" s="4" t="str">
        <f ca="1">IFERROR(__xludf.DUMMYFUNCTION("IFERROR(GOOGLETRANSLATE(B1508,""en"",""zh-TW""),)"),"")</f>
        <v/>
      </c>
      <c r="E1508" s="4" t="str">
        <f ca="1">IFERROR(__xludf.DUMMYFUNCTION("IFERROR(GOOGLETRANSLATE(B1508,""en"",""zh-CN""),)"),"")</f>
        <v/>
      </c>
    </row>
    <row r="1509" spans="1:5">
      <c r="A1509" s="3"/>
      <c r="B1509" s="4" t="str">
        <f ca="1">IFERROR(__xludf.DUMMYFUNCTION("IFERROR(GOOGLETRANSLATE(A1509,""ko"",""en""),)"),"")</f>
        <v/>
      </c>
      <c r="C1509" s="4" t="str">
        <f ca="1">IFERROR(__xludf.DUMMYFUNCTION("IFERROR(GOOGLETRANSLATE(B1509,""en"",""ja""),)"),"")</f>
        <v/>
      </c>
      <c r="D1509" s="4" t="str">
        <f ca="1">IFERROR(__xludf.DUMMYFUNCTION("IFERROR(GOOGLETRANSLATE(B1509,""en"",""zh-TW""),)"),"")</f>
        <v/>
      </c>
      <c r="E1509" s="4" t="str">
        <f ca="1">IFERROR(__xludf.DUMMYFUNCTION("IFERROR(GOOGLETRANSLATE(B1509,""en"",""zh-CN""),)"),"")</f>
        <v/>
      </c>
    </row>
    <row r="1510" spans="1:5">
      <c r="A1510" s="3"/>
      <c r="B1510" s="4" t="str">
        <f ca="1">IFERROR(__xludf.DUMMYFUNCTION("IFERROR(GOOGLETRANSLATE(A1510,""ko"",""en""),)"),"")</f>
        <v/>
      </c>
      <c r="C1510" s="4" t="str">
        <f ca="1">IFERROR(__xludf.DUMMYFUNCTION("IFERROR(GOOGLETRANSLATE(B1510,""en"",""ja""),)"),"")</f>
        <v/>
      </c>
      <c r="D1510" s="4" t="str">
        <f ca="1">IFERROR(__xludf.DUMMYFUNCTION("IFERROR(GOOGLETRANSLATE(B1510,""en"",""zh-TW""),)"),"")</f>
        <v/>
      </c>
      <c r="E1510" s="4" t="str">
        <f ca="1">IFERROR(__xludf.DUMMYFUNCTION("IFERROR(GOOGLETRANSLATE(B1510,""en"",""zh-CN""),)"),"")</f>
        <v/>
      </c>
    </row>
    <row r="1511" spans="1:5">
      <c r="A1511" s="3"/>
      <c r="B1511" s="4" t="str">
        <f ca="1">IFERROR(__xludf.DUMMYFUNCTION("IFERROR(GOOGLETRANSLATE(A1511,""ko"",""en""),)"),"")</f>
        <v/>
      </c>
      <c r="C1511" s="4" t="str">
        <f ca="1">IFERROR(__xludf.DUMMYFUNCTION("IFERROR(GOOGLETRANSLATE(B1511,""en"",""ja""),)"),"")</f>
        <v/>
      </c>
      <c r="D1511" s="4" t="str">
        <f ca="1">IFERROR(__xludf.DUMMYFUNCTION("IFERROR(GOOGLETRANSLATE(B1511,""en"",""zh-TW""),)"),"")</f>
        <v/>
      </c>
      <c r="E1511" s="4" t="str">
        <f ca="1">IFERROR(__xludf.DUMMYFUNCTION("IFERROR(GOOGLETRANSLATE(B1511,""en"",""zh-CN""),)"),"")</f>
        <v/>
      </c>
    </row>
    <row r="1512" spans="1:5">
      <c r="A1512" s="3"/>
      <c r="B1512" s="4" t="str">
        <f ca="1">IFERROR(__xludf.DUMMYFUNCTION("IFERROR(GOOGLETRANSLATE(A1512,""ko"",""en""),)"),"")</f>
        <v/>
      </c>
      <c r="C1512" s="4" t="str">
        <f ca="1">IFERROR(__xludf.DUMMYFUNCTION("IFERROR(GOOGLETRANSLATE(B1512,""en"",""ja""),)"),"")</f>
        <v/>
      </c>
      <c r="D1512" s="4" t="str">
        <f ca="1">IFERROR(__xludf.DUMMYFUNCTION("IFERROR(GOOGLETRANSLATE(B1512,""en"",""zh-TW""),)"),"")</f>
        <v/>
      </c>
      <c r="E1512" s="4" t="str">
        <f ca="1">IFERROR(__xludf.DUMMYFUNCTION("IFERROR(GOOGLETRANSLATE(B1512,""en"",""zh-CN""),)"),"")</f>
        <v/>
      </c>
    </row>
    <row r="1513" spans="1:5">
      <c r="A1513" s="3"/>
      <c r="B1513" s="4" t="str">
        <f ca="1">IFERROR(__xludf.DUMMYFUNCTION("IFERROR(GOOGLETRANSLATE(A1513,""ko"",""en""),)"),"")</f>
        <v/>
      </c>
      <c r="C1513" s="4" t="str">
        <f ca="1">IFERROR(__xludf.DUMMYFUNCTION("IFERROR(GOOGLETRANSLATE(B1513,""en"",""ja""),)"),"")</f>
        <v/>
      </c>
      <c r="D1513" s="4" t="str">
        <f ca="1">IFERROR(__xludf.DUMMYFUNCTION("IFERROR(GOOGLETRANSLATE(B1513,""en"",""zh-TW""),)"),"")</f>
        <v/>
      </c>
      <c r="E1513" s="4" t="str">
        <f ca="1">IFERROR(__xludf.DUMMYFUNCTION("IFERROR(GOOGLETRANSLATE(B1513,""en"",""zh-CN""),)"),"")</f>
        <v/>
      </c>
    </row>
    <row r="1514" spans="1:5">
      <c r="A1514" s="3"/>
      <c r="B1514" s="4" t="str">
        <f ca="1">IFERROR(__xludf.DUMMYFUNCTION("IFERROR(GOOGLETRANSLATE(A1514,""ko"",""en""),)"),"")</f>
        <v/>
      </c>
      <c r="C1514" s="4" t="str">
        <f ca="1">IFERROR(__xludf.DUMMYFUNCTION("IFERROR(GOOGLETRANSLATE(B1514,""en"",""ja""),)"),"")</f>
        <v/>
      </c>
      <c r="D1514" s="4" t="str">
        <f ca="1">IFERROR(__xludf.DUMMYFUNCTION("IFERROR(GOOGLETRANSLATE(B1514,""en"",""zh-TW""),)"),"")</f>
        <v/>
      </c>
      <c r="E1514" s="4" t="str">
        <f ca="1">IFERROR(__xludf.DUMMYFUNCTION("IFERROR(GOOGLETRANSLATE(B1514,""en"",""zh-CN""),)"),"")</f>
        <v/>
      </c>
    </row>
    <row r="1515" spans="1:5">
      <c r="A1515" s="3"/>
      <c r="B1515" s="4" t="str">
        <f ca="1">IFERROR(__xludf.DUMMYFUNCTION("IFERROR(GOOGLETRANSLATE(A1515,""ko"",""en""),)"),"")</f>
        <v/>
      </c>
      <c r="C1515" s="4" t="str">
        <f ca="1">IFERROR(__xludf.DUMMYFUNCTION("IFERROR(GOOGLETRANSLATE(B1515,""en"",""ja""),)"),"")</f>
        <v/>
      </c>
      <c r="D1515" s="4" t="str">
        <f ca="1">IFERROR(__xludf.DUMMYFUNCTION("IFERROR(GOOGLETRANSLATE(B1515,""en"",""zh-TW""),)"),"")</f>
        <v/>
      </c>
      <c r="E1515" s="4" t="str">
        <f ca="1">IFERROR(__xludf.DUMMYFUNCTION("IFERROR(GOOGLETRANSLATE(B1515,""en"",""zh-CN""),)"),"")</f>
        <v/>
      </c>
    </row>
    <row r="1516" spans="1:5">
      <c r="A1516" s="3"/>
      <c r="B1516" s="4" t="str">
        <f ca="1">IFERROR(__xludf.DUMMYFUNCTION("IFERROR(GOOGLETRANSLATE(A1516,""ko"",""en""),)"),"")</f>
        <v/>
      </c>
      <c r="C1516" s="4" t="str">
        <f ca="1">IFERROR(__xludf.DUMMYFUNCTION("IFERROR(GOOGLETRANSLATE(B1516,""en"",""ja""),)"),"")</f>
        <v/>
      </c>
      <c r="D1516" s="4" t="str">
        <f ca="1">IFERROR(__xludf.DUMMYFUNCTION("IFERROR(GOOGLETRANSLATE(B1516,""en"",""zh-TW""),)"),"")</f>
        <v/>
      </c>
      <c r="E1516" s="4" t="str">
        <f ca="1">IFERROR(__xludf.DUMMYFUNCTION("IFERROR(GOOGLETRANSLATE(B1516,""en"",""zh-CN""),)"),"")</f>
        <v/>
      </c>
    </row>
    <row r="1517" spans="1:5">
      <c r="A1517" s="3"/>
      <c r="B1517" s="4" t="str">
        <f ca="1">IFERROR(__xludf.DUMMYFUNCTION("IFERROR(GOOGLETRANSLATE(A1517,""ko"",""en""),)"),"")</f>
        <v/>
      </c>
      <c r="C1517" s="4" t="str">
        <f ca="1">IFERROR(__xludf.DUMMYFUNCTION("IFERROR(GOOGLETRANSLATE(B1517,""en"",""ja""),)"),"")</f>
        <v/>
      </c>
      <c r="D1517" s="4" t="str">
        <f ca="1">IFERROR(__xludf.DUMMYFUNCTION("IFERROR(GOOGLETRANSLATE(B1517,""en"",""zh-TW""),)"),"")</f>
        <v/>
      </c>
      <c r="E1517" s="4" t="str">
        <f ca="1">IFERROR(__xludf.DUMMYFUNCTION("IFERROR(GOOGLETRANSLATE(B1517,""en"",""zh-CN""),)"),"")</f>
        <v/>
      </c>
    </row>
    <row r="1518" spans="1:5">
      <c r="A1518" s="3"/>
      <c r="B1518" s="4" t="str">
        <f ca="1">IFERROR(__xludf.DUMMYFUNCTION("IFERROR(GOOGLETRANSLATE(A1518,""ko"",""en""),)"),"")</f>
        <v/>
      </c>
      <c r="C1518" s="4" t="str">
        <f ca="1">IFERROR(__xludf.DUMMYFUNCTION("IFERROR(GOOGLETRANSLATE(B1518,""en"",""ja""),)"),"")</f>
        <v/>
      </c>
      <c r="D1518" s="4" t="str">
        <f ca="1">IFERROR(__xludf.DUMMYFUNCTION("IFERROR(GOOGLETRANSLATE(B1518,""en"",""zh-TW""),)"),"")</f>
        <v/>
      </c>
      <c r="E1518" s="4" t="str">
        <f ca="1">IFERROR(__xludf.DUMMYFUNCTION("IFERROR(GOOGLETRANSLATE(B1518,""en"",""zh-CN""),)"),"")</f>
        <v/>
      </c>
    </row>
    <row r="1519" spans="1:5">
      <c r="A1519" s="3"/>
      <c r="B1519" s="4" t="str">
        <f ca="1">IFERROR(__xludf.DUMMYFUNCTION("IFERROR(GOOGLETRANSLATE(A1519,""ko"",""en""),)"),"")</f>
        <v/>
      </c>
      <c r="C1519" s="4" t="str">
        <f ca="1">IFERROR(__xludf.DUMMYFUNCTION("IFERROR(GOOGLETRANSLATE(B1519,""en"",""ja""),)"),"")</f>
        <v/>
      </c>
      <c r="D1519" s="4" t="str">
        <f ca="1">IFERROR(__xludf.DUMMYFUNCTION("IFERROR(GOOGLETRANSLATE(B1519,""en"",""zh-TW""),)"),"")</f>
        <v/>
      </c>
      <c r="E1519" s="4" t="str">
        <f ca="1">IFERROR(__xludf.DUMMYFUNCTION("IFERROR(GOOGLETRANSLATE(B1519,""en"",""zh-CN""),)"),"")</f>
        <v/>
      </c>
    </row>
    <row r="1520" spans="1:5">
      <c r="A1520" s="3"/>
      <c r="B1520" s="4" t="str">
        <f ca="1">IFERROR(__xludf.DUMMYFUNCTION("IFERROR(GOOGLETRANSLATE(A1520,""ko"",""en""),)"),"")</f>
        <v/>
      </c>
      <c r="C1520" s="4" t="str">
        <f ca="1">IFERROR(__xludf.DUMMYFUNCTION("IFERROR(GOOGLETRANSLATE(B1520,""en"",""ja""),)"),"")</f>
        <v/>
      </c>
      <c r="D1520" s="4" t="str">
        <f ca="1">IFERROR(__xludf.DUMMYFUNCTION("IFERROR(GOOGLETRANSLATE(B1520,""en"",""zh-TW""),)"),"")</f>
        <v/>
      </c>
      <c r="E1520" s="4" t="str">
        <f ca="1">IFERROR(__xludf.DUMMYFUNCTION("IFERROR(GOOGLETRANSLATE(B1520,""en"",""zh-CN""),)"),"")</f>
        <v/>
      </c>
    </row>
    <row r="1521" spans="1:5">
      <c r="A1521" s="3"/>
      <c r="B1521" s="4" t="str">
        <f ca="1">IFERROR(__xludf.DUMMYFUNCTION("IFERROR(GOOGLETRANSLATE(A1521,""ko"",""en""),)"),"")</f>
        <v/>
      </c>
      <c r="C1521" s="4" t="str">
        <f ca="1">IFERROR(__xludf.DUMMYFUNCTION("IFERROR(GOOGLETRANSLATE(B1521,""en"",""ja""),)"),"")</f>
        <v/>
      </c>
      <c r="D1521" s="4" t="str">
        <f ca="1">IFERROR(__xludf.DUMMYFUNCTION("IFERROR(GOOGLETRANSLATE(B1521,""en"",""zh-TW""),)"),"")</f>
        <v/>
      </c>
      <c r="E1521" s="4" t="str">
        <f ca="1">IFERROR(__xludf.DUMMYFUNCTION("IFERROR(GOOGLETRANSLATE(B1521,""en"",""zh-CN""),)"),"")</f>
        <v/>
      </c>
    </row>
    <row r="1522" spans="1:5">
      <c r="A1522" s="3"/>
      <c r="B1522" s="4" t="str">
        <f ca="1">IFERROR(__xludf.DUMMYFUNCTION("IFERROR(GOOGLETRANSLATE(A1522,""ko"",""en""),)"),"")</f>
        <v/>
      </c>
      <c r="C1522" s="4" t="str">
        <f ca="1">IFERROR(__xludf.DUMMYFUNCTION("IFERROR(GOOGLETRANSLATE(B1522,""en"",""ja""),)"),"")</f>
        <v/>
      </c>
      <c r="D1522" s="4" t="str">
        <f ca="1">IFERROR(__xludf.DUMMYFUNCTION("IFERROR(GOOGLETRANSLATE(B1522,""en"",""zh-TW""),)"),"")</f>
        <v/>
      </c>
      <c r="E1522" s="4" t="str">
        <f ca="1">IFERROR(__xludf.DUMMYFUNCTION("IFERROR(GOOGLETRANSLATE(B1522,""en"",""zh-CN""),)"),"")</f>
        <v/>
      </c>
    </row>
    <row r="1523" spans="1:5">
      <c r="A1523" s="3"/>
      <c r="B1523" s="4" t="str">
        <f ca="1">IFERROR(__xludf.DUMMYFUNCTION("IFERROR(GOOGLETRANSLATE(A1523,""ko"",""en""),)"),"")</f>
        <v/>
      </c>
      <c r="C1523" s="4" t="str">
        <f ca="1">IFERROR(__xludf.DUMMYFUNCTION("IFERROR(GOOGLETRANSLATE(B1523,""en"",""ja""),)"),"")</f>
        <v/>
      </c>
      <c r="D1523" s="4" t="str">
        <f ca="1">IFERROR(__xludf.DUMMYFUNCTION("IFERROR(GOOGLETRANSLATE(B1523,""en"",""zh-TW""),)"),"")</f>
        <v/>
      </c>
      <c r="E1523" s="4" t="str">
        <f ca="1">IFERROR(__xludf.DUMMYFUNCTION("IFERROR(GOOGLETRANSLATE(B1523,""en"",""zh-CN""),)"),"")</f>
        <v/>
      </c>
    </row>
    <row r="1524" spans="1:5">
      <c r="A1524" s="3"/>
      <c r="B1524" s="4" t="str">
        <f ca="1">IFERROR(__xludf.DUMMYFUNCTION("IFERROR(GOOGLETRANSLATE(A1524,""ko"",""en""),)"),"")</f>
        <v/>
      </c>
      <c r="C1524" s="4" t="str">
        <f ca="1">IFERROR(__xludf.DUMMYFUNCTION("IFERROR(GOOGLETRANSLATE(B1524,""en"",""ja""),)"),"")</f>
        <v/>
      </c>
      <c r="D1524" s="4" t="str">
        <f ca="1">IFERROR(__xludf.DUMMYFUNCTION("IFERROR(GOOGLETRANSLATE(B1524,""en"",""zh-TW""),)"),"")</f>
        <v/>
      </c>
      <c r="E1524" s="4" t="str">
        <f ca="1">IFERROR(__xludf.DUMMYFUNCTION("IFERROR(GOOGLETRANSLATE(B1524,""en"",""zh-CN""),)"),"")</f>
        <v/>
      </c>
    </row>
    <row r="1525" spans="1:5">
      <c r="A1525" s="3"/>
      <c r="B1525" s="4" t="str">
        <f ca="1">IFERROR(__xludf.DUMMYFUNCTION("IFERROR(GOOGLETRANSLATE(A1525,""ko"",""en""),)"),"")</f>
        <v/>
      </c>
      <c r="C1525" s="4" t="str">
        <f ca="1">IFERROR(__xludf.DUMMYFUNCTION("IFERROR(GOOGLETRANSLATE(B1525,""en"",""ja""),)"),"")</f>
        <v/>
      </c>
      <c r="D1525" s="4" t="str">
        <f ca="1">IFERROR(__xludf.DUMMYFUNCTION("IFERROR(GOOGLETRANSLATE(B1525,""en"",""zh-TW""),)"),"")</f>
        <v/>
      </c>
      <c r="E1525" s="4" t="str">
        <f ca="1">IFERROR(__xludf.DUMMYFUNCTION("IFERROR(GOOGLETRANSLATE(B1525,""en"",""zh-CN""),)"),"")</f>
        <v/>
      </c>
    </row>
    <row r="1526" spans="1:5">
      <c r="A1526" s="3"/>
      <c r="B1526" s="4" t="str">
        <f ca="1">IFERROR(__xludf.DUMMYFUNCTION("IFERROR(GOOGLETRANSLATE(A1526,""ko"",""en""),)"),"")</f>
        <v/>
      </c>
      <c r="C1526" s="4" t="str">
        <f ca="1">IFERROR(__xludf.DUMMYFUNCTION("IFERROR(GOOGLETRANSLATE(B1526,""en"",""ja""),)"),"")</f>
        <v/>
      </c>
      <c r="D1526" s="4" t="str">
        <f ca="1">IFERROR(__xludf.DUMMYFUNCTION("IFERROR(GOOGLETRANSLATE(B1526,""en"",""zh-TW""),)"),"")</f>
        <v/>
      </c>
      <c r="E1526" s="4" t="str">
        <f ca="1">IFERROR(__xludf.DUMMYFUNCTION("IFERROR(GOOGLETRANSLATE(B1526,""en"",""zh-CN""),)"),"")</f>
        <v/>
      </c>
    </row>
    <row r="1527" spans="1:5">
      <c r="A1527" s="3"/>
      <c r="B1527" s="4" t="str">
        <f ca="1">IFERROR(__xludf.DUMMYFUNCTION("IFERROR(GOOGLETRANSLATE(A1527,""ko"",""en""),)"),"")</f>
        <v/>
      </c>
      <c r="C1527" s="4" t="str">
        <f ca="1">IFERROR(__xludf.DUMMYFUNCTION("IFERROR(GOOGLETRANSLATE(B1527,""en"",""ja""),)"),"")</f>
        <v/>
      </c>
      <c r="D1527" s="4" t="str">
        <f ca="1">IFERROR(__xludf.DUMMYFUNCTION("IFERROR(GOOGLETRANSLATE(B1527,""en"",""zh-TW""),)"),"")</f>
        <v/>
      </c>
      <c r="E1527" s="4" t="str">
        <f ca="1">IFERROR(__xludf.DUMMYFUNCTION("IFERROR(GOOGLETRANSLATE(B1527,""en"",""zh-CN""),)"),"")</f>
        <v/>
      </c>
    </row>
    <row r="1528" spans="1:5">
      <c r="A1528" s="3"/>
      <c r="B1528" s="4" t="str">
        <f ca="1">IFERROR(__xludf.DUMMYFUNCTION("IFERROR(GOOGLETRANSLATE(A1528,""ko"",""en""),)"),"")</f>
        <v/>
      </c>
      <c r="C1528" s="4" t="str">
        <f ca="1">IFERROR(__xludf.DUMMYFUNCTION("IFERROR(GOOGLETRANSLATE(B1528,""en"",""ja""),)"),"")</f>
        <v/>
      </c>
      <c r="D1528" s="4" t="str">
        <f ca="1">IFERROR(__xludf.DUMMYFUNCTION("IFERROR(GOOGLETRANSLATE(B1528,""en"",""zh-TW""),)"),"")</f>
        <v/>
      </c>
      <c r="E1528" s="4" t="str">
        <f ca="1">IFERROR(__xludf.DUMMYFUNCTION("IFERROR(GOOGLETRANSLATE(B1528,""en"",""zh-CN""),)"),"")</f>
        <v/>
      </c>
    </row>
    <row r="1529" spans="1:5">
      <c r="A1529" s="3"/>
      <c r="B1529" s="4" t="str">
        <f ca="1">IFERROR(__xludf.DUMMYFUNCTION("IFERROR(GOOGLETRANSLATE(A1529,""ko"",""en""),)"),"")</f>
        <v/>
      </c>
      <c r="C1529" s="4" t="str">
        <f ca="1">IFERROR(__xludf.DUMMYFUNCTION("IFERROR(GOOGLETRANSLATE(B1529,""en"",""ja""),)"),"")</f>
        <v/>
      </c>
      <c r="D1529" s="4" t="str">
        <f ca="1">IFERROR(__xludf.DUMMYFUNCTION("IFERROR(GOOGLETRANSLATE(B1529,""en"",""zh-TW""),)"),"")</f>
        <v/>
      </c>
      <c r="E1529" s="4" t="str">
        <f ca="1">IFERROR(__xludf.DUMMYFUNCTION("IFERROR(GOOGLETRANSLATE(B1529,""en"",""zh-CN""),)"),"")</f>
        <v/>
      </c>
    </row>
    <row r="1530" spans="1:5">
      <c r="A1530" s="3"/>
      <c r="B1530" s="4" t="str">
        <f ca="1">IFERROR(__xludf.DUMMYFUNCTION("IFERROR(GOOGLETRANSLATE(A1530,""ko"",""en""),)"),"")</f>
        <v/>
      </c>
      <c r="C1530" s="4" t="str">
        <f ca="1">IFERROR(__xludf.DUMMYFUNCTION("IFERROR(GOOGLETRANSLATE(B1530,""en"",""ja""),)"),"")</f>
        <v/>
      </c>
      <c r="D1530" s="4" t="str">
        <f ca="1">IFERROR(__xludf.DUMMYFUNCTION("IFERROR(GOOGLETRANSLATE(B1530,""en"",""zh-TW""),)"),"")</f>
        <v/>
      </c>
      <c r="E1530" s="4" t="str">
        <f ca="1">IFERROR(__xludf.DUMMYFUNCTION("IFERROR(GOOGLETRANSLATE(B1530,""en"",""zh-CN""),)"),"")</f>
        <v/>
      </c>
    </row>
    <row r="1531" spans="1:5">
      <c r="A1531" s="3"/>
      <c r="B1531" s="4" t="str">
        <f ca="1">IFERROR(__xludf.DUMMYFUNCTION("IFERROR(GOOGLETRANSLATE(A1531,""ko"",""en""),)"),"")</f>
        <v/>
      </c>
      <c r="C1531" s="4" t="str">
        <f ca="1">IFERROR(__xludf.DUMMYFUNCTION("IFERROR(GOOGLETRANSLATE(B1531,""en"",""ja""),)"),"")</f>
        <v/>
      </c>
      <c r="D1531" s="4" t="str">
        <f ca="1">IFERROR(__xludf.DUMMYFUNCTION("IFERROR(GOOGLETRANSLATE(B1531,""en"",""zh-TW""),)"),"")</f>
        <v/>
      </c>
      <c r="E1531" s="4" t="str">
        <f ca="1">IFERROR(__xludf.DUMMYFUNCTION("IFERROR(GOOGLETRANSLATE(B1531,""en"",""zh-CN""),)"),"")</f>
        <v/>
      </c>
    </row>
    <row r="1532" spans="1:5">
      <c r="A1532" s="3"/>
      <c r="B1532" s="4" t="str">
        <f ca="1">IFERROR(__xludf.DUMMYFUNCTION("IFERROR(GOOGLETRANSLATE(A1532,""ko"",""en""),)"),"")</f>
        <v/>
      </c>
      <c r="C1532" s="4" t="str">
        <f ca="1">IFERROR(__xludf.DUMMYFUNCTION("IFERROR(GOOGLETRANSLATE(B1532,""en"",""ja""),)"),"")</f>
        <v/>
      </c>
      <c r="D1532" s="4" t="str">
        <f ca="1">IFERROR(__xludf.DUMMYFUNCTION("IFERROR(GOOGLETRANSLATE(B1532,""en"",""zh-TW""),)"),"")</f>
        <v/>
      </c>
      <c r="E1532" s="4" t="str">
        <f ca="1">IFERROR(__xludf.DUMMYFUNCTION("IFERROR(GOOGLETRANSLATE(B1532,""en"",""zh-CN""),)"),"")</f>
        <v/>
      </c>
    </row>
    <row r="1533" spans="1:5">
      <c r="A1533" s="3"/>
      <c r="B1533" s="4" t="str">
        <f ca="1">IFERROR(__xludf.DUMMYFUNCTION("IFERROR(GOOGLETRANSLATE(A1533,""ko"",""en""),)"),"")</f>
        <v/>
      </c>
      <c r="C1533" s="4" t="str">
        <f ca="1">IFERROR(__xludf.DUMMYFUNCTION("IFERROR(GOOGLETRANSLATE(B1533,""en"",""ja""),)"),"")</f>
        <v/>
      </c>
      <c r="D1533" s="4" t="str">
        <f ca="1">IFERROR(__xludf.DUMMYFUNCTION("IFERROR(GOOGLETRANSLATE(B1533,""en"",""zh-TW""),)"),"")</f>
        <v/>
      </c>
      <c r="E1533" s="4" t="str">
        <f ca="1">IFERROR(__xludf.DUMMYFUNCTION("IFERROR(GOOGLETRANSLATE(B1533,""en"",""zh-CN""),)"),"")</f>
        <v/>
      </c>
    </row>
    <row r="1534" spans="1:5">
      <c r="A1534" s="3"/>
      <c r="B1534" s="4" t="str">
        <f ca="1">IFERROR(__xludf.DUMMYFUNCTION("IFERROR(GOOGLETRANSLATE(A1534,""ko"",""en""),)"),"")</f>
        <v/>
      </c>
      <c r="C1534" s="4" t="str">
        <f ca="1">IFERROR(__xludf.DUMMYFUNCTION("IFERROR(GOOGLETRANSLATE(B1534,""en"",""ja""),)"),"")</f>
        <v/>
      </c>
      <c r="D1534" s="4" t="str">
        <f ca="1">IFERROR(__xludf.DUMMYFUNCTION("IFERROR(GOOGLETRANSLATE(B1534,""en"",""zh-TW""),)"),"")</f>
        <v/>
      </c>
      <c r="E1534" s="4" t="str">
        <f ca="1">IFERROR(__xludf.DUMMYFUNCTION("IFERROR(GOOGLETRANSLATE(B1534,""en"",""zh-CN""),)"),"")</f>
        <v/>
      </c>
    </row>
    <row r="1535" spans="1:5">
      <c r="A1535" s="3"/>
      <c r="B1535" s="4" t="str">
        <f ca="1">IFERROR(__xludf.DUMMYFUNCTION("IFERROR(GOOGLETRANSLATE(A1535,""ko"",""en""),)"),"")</f>
        <v/>
      </c>
      <c r="C1535" s="4" t="str">
        <f ca="1">IFERROR(__xludf.DUMMYFUNCTION("IFERROR(GOOGLETRANSLATE(B1535,""en"",""ja""),)"),"")</f>
        <v/>
      </c>
      <c r="D1535" s="4" t="str">
        <f ca="1">IFERROR(__xludf.DUMMYFUNCTION("IFERROR(GOOGLETRANSLATE(B1535,""en"",""zh-TW""),)"),"")</f>
        <v/>
      </c>
      <c r="E1535" s="4" t="str">
        <f ca="1">IFERROR(__xludf.DUMMYFUNCTION("IFERROR(GOOGLETRANSLATE(B1535,""en"",""zh-CN""),)"),"")</f>
        <v/>
      </c>
    </row>
    <row r="1536" spans="1:5">
      <c r="A1536" s="3"/>
      <c r="B1536" s="4" t="str">
        <f ca="1">IFERROR(__xludf.DUMMYFUNCTION("IFERROR(GOOGLETRANSLATE(A1536,""ko"",""en""),)"),"")</f>
        <v/>
      </c>
      <c r="C1536" s="4" t="str">
        <f ca="1">IFERROR(__xludf.DUMMYFUNCTION("IFERROR(GOOGLETRANSLATE(B1536,""en"",""ja""),)"),"")</f>
        <v/>
      </c>
      <c r="D1536" s="4" t="str">
        <f ca="1">IFERROR(__xludf.DUMMYFUNCTION("IFERROR(GOOGLETRANSLATE(B1536,""en"",""zh-TW""),)"),"")</f>
        <v/>
      </c>
      <c r="E1536" s="4" t="str">
        <f ca="1">IFERROR(__xludf.DUMMYFUNCTION("IFERROR(GOOGLETRANSLATE(B1536,""en"",""zh-CN""),)"),"")</f>
        <v/>
      </c>
    </row>
    <row r="1537" spans="1:5">
      <c r="A1537" s="3"/>
      <c r="B1537" s="4" t="str">
        <f ca="1">IFERROR(__xludf.DUMMYFUNCTION("IFERROR(GOOGLETRANSLATE(A1537,""ko"",""en""),)"),"")</f>
        <v/>
      </c>
      <c r="C1537" s="4" t="str">
        <f ca="1">IFERROR(__xludf.DUMMYFUNCTION("IFERROR(GOOGLETRANSLATE(B1537,""en"",""ja""),)"),"")</f>
        <v/>
      </c>
      <c r="D1537" s="4" t="str">
        <f ca="1">IFERROR(__xludf.DUMMYFUNCTION("IFERROR(GOOGLETRANSLATE(B1537,""en"",""zh-TW""),)"),"")</f>
        <v/>
      </c>
      <c r="E1537" s="4" t="str">
        <f ca="1">IFERROR(__xludf.DUMMYFUNCTION("IFERROR(GOOGLETRANSLATE(B1537,""en"",""zh-CN""),)"),"")</f>
        <v/>
      </c>
    </row>
    <row r="1538" spans="1:5">
      <c r="A1538" s="3"/>
      <c r="B1538" s="4" t="str">
        <f ca="1">IFERROR(__xludf.DUMMYFUNCTION("IFERROR(GOOGLETRANSLATE(A1538,""ko"",""en""),)"),"")</f>
        <v/>
      </c>
      <c r="C1538" s="4" t="str">
        <f ca="1">IFERROR(__xludf.DUMMYFUNCTION("IFERROR(GOOGLETRANSLATE(B1538,""en"",""ja""),)"),"")</f>
        <v/>
      </c>
      <c r="D1538" s="4" t="str">
        <f ca="1">IFERROR(__xludf.DUMMYFUNCTION("IFERROR(GOOGLETRANSLATE(B1538,""en"",""zh-TW""),)"),"")</f>
        <v/>
      </c>
      <c r="E1538" s="4" t="str">
        <f ca="1">IFERROR(__xludf.DUMMYFUNCTION("IFERROR(GOOGLETRANSLATE(B1538,""en"",""zh-CN""),)"),"")</f>
        <v/>
      </c>
    </row>
    <row r="1539" spans="1:5">
      <c r="A1539" s="3"/>
      <c r="B1539" s="4" t="str">
        <f ca="1">IFERROR(__xludf.DUMMYFUNCTION("IFERROR(GOOGLETRANSLATE(A1539,""ko"",""en""),)"),"")</f>
        <v/>
      </c>
      <c r="C1539" s="4" t="str">
        <f ca="1">IFERROR(__xludf.DUMMYFUNCTION("IFERROR(GOOGLETRANSLATE(B1539,""en"",""ja""),)"),"")</f>
        <v/>
      </c>
      <c r="D1539" s="4" t="str">
        <f ca="1">IFERROR(__xludf.DUMMYFUNCTION("IFERROR(GOOGLETRANSLATE(B1539,""en"",""zh-TW""),)"),"")</f>
        <v/>
      </c>
      <c r="E1539" s="4" t="str">
        <f ca="1">IFERROR(__xludf.DUMMYFUNCTION("IFERROR(GOOGLETRANSLATE(B1539,""en"",""zh-CN""),)"),"")</f>
        <v/>
      </c>
    </row>
    <row r="1540" spans="1:5">
      <c r="A1540" s="3"/>
      <c r="B1540" s="4" t="str">
        <f ca="1">IFERROR(__xludf.DUMMYFUNCTION("IFERROR(GOOGLETRANSLATE(A1540,""ko"",""en""),)"),"")</f>
        <v/>
      </c>
      <c r="C1540" s="4" t="str">
        <f ca="1">IFERROR(__xludf.DUMMYFUNCTION("IFERROR(GOOGLETRANSLATE(B1540,""en"",""ja""),)"),"")</f>
        <v/>
      </c>
      <c r="D1540" s="4" t="str">
        <f ca="1">IFERROR(__xludf.DUMMYFUNCTION("IFERROR(GOOGLETRANSLATE(B1540,""en"",""zh-TW""),)"),"")</f>
        <v/>
      </c>
      <c r="E1540" s="4" t="str">
        <f ca="1">IFERROR(__xludf.DUMMYFUNCTION("IFERROR(GOOGLETRANSLATE(B1540,""en"",""zh-CN""),)"),"")</f>
        <v/>
      </c>
    </row>
    <row r="1541" spans="1:5">
      <c r="A1541" s="3"/>
      <c r="B1541" s="4" t="str">
        <f ca="1">IFERROR(__xludf.DUMMYFUNCTION("IFERROR(GOOGLETRANSLATE(A1541,""ko"",""en""),)"),"")</f>
        <v/>
      </c>
      <c r="C1541" s="4" t="str">
        <f ca="1">IFERROR(__xludf.DUMMYFUNCTION("IFERROR(GOOGLETRANSLATE(B1541,""en"",""ja""),)"),"")</f>
        <v/>
      </c>
      <c r="D1541" s="4" t="str">
        <f ca="1">IFERROR(__xludf.DUMMYFUNCTION("IFERROR(GOOGLETRANSLATE(B1541,""en"",""zh-TW""),)"),"")</f>
        <v/>
      </c>
      <c r="E1541" s="4" t="str">
        <f ca="1">IFERROR(__xludf.DUMMYFUNCTION("IFERROR(GOOGLETRANSLATE(B1541,""en"",""zh-CN""),)"),"")</f>
        <v/>
      </c>
    </row>
    <row r="1542" spans="1:5">
      <c r="A1542" s="3"/>
      <c r="B1542" s="4" t="str">
        <f ca="1">IFERROR(__xludf.DUMMYFUNCTION("IFERROR(GOOGLETRANSLATE(A1542,""ko"",""en""),)"),"")</f>
        <v/>
      </c>
      <c r="C1542" s="4" t="str">
        <f ca="1">IFERROR(__xludf.DUMMYFUNCTION("IFERROR(GOOGLETRANSLATE(B1542,""en"",""ja""),)"),"")</f>
        <v/>
      </c>
      <c r="D1542" s="4" t="str">
        <f ca="1">IFERROR(__xludf.DUMMYFUNCTION("IFERROR(GOOGLETRANSLATE(B1542,""en"",""zh-TW""),)"),"")</f>
        <v/>
      </c>
      <c r="E1542" s="4" t="str">
        <f ca="1">IFERROR(__xludf.DUMMYFUNCTION("IFERROR(GOOGLETRANSLATE(B1542,""en"",""zh-CN""),)"),"")</f>
        <v/>
      </c>
    </row>
    <row r="1543" spans="1:5">
      <c r="A1543" s="3"/>
      <c r="B1543" s="4" t="str">
        <f ca="1">IFERROR(__xludf.DUMMYFUNCTION("IFERROR(GOOGLETRANSLATE(A1543,""ko"",""en""),)"),"")</f>
        <v/>
      </c>
      <c r="C1543" s="4" t="str">
        <f ca="1">IFERROR(__xludf.DUMMYFUNCTION("IFERROR(GOOGLETRANSLATE(B1543,""en"",""ja""),)"),"")</f>
        <v/>
      </c>
      <c r="D1543" s="4" t="str">
        <f ca="1">IFERROR(__xludf.DUMMYFUNCTION("IFERROR(GOOGLETRANSLATE(B1543,""en"",""zh-TW""),)"),"")</f>
        <v/>
      </c>
      <c r="E1543" s="4" t="str">
        <f ca="1">IFERROR(__xludf.DUMMYFUNCTION("IFERROR(GOOGLETRANSLATE(B1543,""en"",""zh-CN""),)"),"")</f>
        <v/>
      </c>
    </row>
    <row r="1544" spans="1:5">
      <c r="A1544" s="3"/>
      <c r="B1544" s="4" t="str">
        <f ca="1">IFERROR(__xludf.DUMMYFUNCTION("IFERROR(GOOGLETRANSLATE(A1544,""ko"",""en""),)"),"")</f>
        <v/>
      </c>
      <c r="C1544" s="4" t="str">
        <f ca="1">IFERROR(__xludf.DUMMYFUNCTION("IFERROR(GOOGLETRANSLATE(B1544,""en"",""ja""),)"),"")</f>
        <v/>
      </c>
      <c r="D1544" s="4" t="str">
        <f ca="1">IFERROR(__xludf.DUMMYFUNCTION("IFERROR(GOOGLETRANSLATE(B1544,""en"",""zh-TW""),)"),"")</f>
        <v/>
      </c>
      <c r="E1544" s="4" t="str">
        <f ca="1">IFERROR(__xludf.DUMMYFUNCTION("IFERROR(GOOGLETRANSLATE(B1544,""en"",""zh-CN""),)"),"")</f>
        <v/>
      </c>
    </row>
    <row r="1545" spans="1:5">
      <c r="A1545" s="3"/>
      <c r="B1545" s="4" t="str">
        <f ca="1">IFERROR(__xludf.DUMMYFUNCTION("IFERROR(GOOGLETRANSLATE(A1545,""ko"",""en""),)"),"")</f>
        <v/>
      </c>
      <c r="C1545" s="4" t="str">
        <f ca="1">IFERROR(__xludf.DUMMYFUNCTION("IFERROR(GOOGLETRANSLATE(B1545,""en"",""ja""),)"),"")</f>
        <v/>
      </c>
      <c r="D1545" s="4" t="str">
        <f ca="1">IFERROR(__xludf.DUMMYFUNCTION("IFERROR(GOOGLETRANSLATE(B1545,""en"",""zh-TW""),)"),"")</f>
        <v/>
      </c>
      <c r="E1545" s="4" t="str">
        <f ca="1">IFERROR(__xludf.DUMMYFUNCTION("IFERROR(GOOGLETRANSLATE(B1545,""en"",""zh-CN""),)"),"")</f>
        <v/>
      </c>
    </row>
    <row r="1546" spans="1:5">
      <c r="A1546" s="3"/>
      <c r="B1546" s="4" t="str">
        <f ca="1">IFERROR(__xludf.DUMMYFUNCTION("IFERROR(GOOGLETRANSLATE(A1546,""ko"",""en""),)"),"")</f>
        <v/>
      </c>
      <c r="C1546" s="4" t="str">
        <f ca="1">IFERROR(__xludf.DUMMYFUNCTION("IFERROR(GOOGLETRANSLATE(B1546,""en"",""ja""),)"),"")</f>
        <v/>
      </c>
      <c r="D1546" s="4" t="str">
        <f ca="1">IFERROR(__xludf.DUMMYFUNCTION("IFERROR(GOOGLETRANSLATE(B1546,""en"",""zh-TW""),)"),"")</f>
        <v/>
      </c>
      <c r="E1546" s="4" t="str">
        <f ca="1">IFERROR(__xludf.DUMMYFUNCTION("IFERROR(GOOGLETRANSLATE(B1546,""en"",""zh-CN""),)"),"")</f>
        <v/>
      </c>
    </row>
    <row r="1547" spans="1:5">
      <c r="A1547" s="3"/>
      <c r="B1547" s="4" t="str">
        <f ca="1">IFERROR(__xludf.DUMMYFUNCTION("IFERROR(GOOGLETRANSLATE(A1547,""ko"",""en""),)"),"")</f>
        <v/>
      </c>
      <c r="C1547" s="4" t="str">
        <f ca="1">IFERROR(__xludf.DUMMYFUNCTION("IFERROR(GOOGLETRANSLATE(B1547,""en"",""ja""),)"),"")</f>
        <v/>
      </c>
      <c r="D1547" s="4" t="str">
        <f ca="1">IFERROR(__xludf.DUMMYFUNCTION("IFERROR(GOOGLETRANSLATE(B1547,""en"",""zh-TW""),)"),"")</f>
        <v/>
      </c>
      <c r="E1547" s="4" t="str">
        <f ca="1">IFERROR(__xludf.DUMMYFUNCTION("IFERROR(GOOGLETRANSLATE(B1547,""en"",""zh-CN""),)"),"")</f>
        <v/>
      </c>
    </row>
    <row r="1548" spans="1:5">
      <c r="A1548" s="3"/>
      <c r="B1548" s="4" t="str">
        <f ca="1">IFERROR(__xludf.DUMMYFUNCTION("IFERROR(GOOGLETRANSLATE(A1548,""ko"",""en""),)"),"")</f>
        <v/>
      </c>
      <c r="C1548" s="4" t="str">
        <f ca="1">IFERROR(__xludf.DUMMYFUNCTION("IFERROR(GOOGLETRANSLATE(B1548,""en"",""ja""),)"),"")</f>
        <v/>
      </c>
      <c r="D1548" s="4" t="str">
        <f ca="1">IFERROR(__xludf.DUMMYFUNCTION("IFERROR(GOOGLETRANSLATE(B1548,""en"",""zh-TW""),)"),"")</f>
        <v/>
      </c>
      <c r="E1548" s="4" t="str">
        <f ca="1">IFERROR(__xludf.DUMMYFUNCTION("IFERROR(GOOGLETRANSLATE(B1548,""en"",""zh-CN""),)"),"")</f>
        <v/>
      </c>
    </row>
    <row r="1549" spans="1:5">
      <c r="A1549" s="3"/>
      <c r="B1549" s="4" t="str">
        <f ca="1">IFERROR(__xludf.DUMMYFUNCTION("IFERROR(GOOGLETRANSLATE(A1549,""ko"",""en""),)"),"")</f>
        <v/>
      </c>
      <c r="C1549" s="4" t="str">
        <f ca="1">IFERROR(__xludf.DUMMYFUNCTION("IFERROR(GOOGLETRANSLATE(B1549,""en"",""ja""),)"),"")</f>
        <v/>
      </c>
      <c r="D1549" s="4" t="str">
        <f ca="1">IFERROR(__xludf.DUMMYFUNCTION("IFERROR(GOOGLETRANSLATE(B1549,""en"",""zh-TW""),)"),"")</f>
        <v/>
      </c>
      <c r="E1549" s="4" t="str">
        <f ca="1">IFERROR(__xludf.DUMMYFUNCTION("IFERROR(GOOGLETRANSLATE(B1549,""en"",""zh-CN""),)"),"")</f>
        <v/>
      </c>
    </row>
    <row r="1550" spans="1:5">
      <c r="A1550" s="3"/>
      <c r="B1550" s="4" t="str">
        <f ca="1">IFERROR(__xludf.DUMMYFUNCTION("IFERROR(GOOGLETRANSLATE(A1550,""ko"",""en""),)"),"")</f>
        <v/>
      </c>
      <c r="C1550" s="4" t="str">
        <f ca="1">IFERROR(__xludf.DUMMYFUNCTION("IFERROR(GOOGLETRANSLATE(B1550,""en"",""ja""),)"),"")</f>
        <v/>
      </c>
      <c r="D1550" s="4" t="str">
        <f ca="1">IFERROR(__xludf.DUMMYFUNCTION("IFERROR(GOOGLETRANSLATE(B1550,""en"",""zh-TW""),)"),"")</f>
        <v/>
      </c>
      <c r="E1550" s="4" t="str">
        <f ca="1">IFERROR(__xludf.DUMMYFUNCTION("IFERROR(GOOGLETRANSLATE(B1550,""en"",""zh-CN""),)"),"")</f>
        <v/>
      </c>
    </row>
    <row r="1551" spans="1:5">
      <c r="A1551" s="3"/>
      <c r="B1551" s="4" t="str">
        <f ca="1">IFERROR(__xludf.DUMMYFUNCTION("IFERROR(GOOGLETRANSLATE(A1551,""ko"",""en""),)"),"")</f>
        <v/>
      </c>
      <c r="C1551" s="4" t="str">
        <f ca="1">IFERROR(__xludf.DUMMYFUNCTION("IFERROR(GOOGLETRANSLATE(B1551,""en"",""ja""),)"),"")</f>
        <v/>
      </c>
      <c r="D1551" s="4" t="str">
        <f ca="1">IFERROR(__xludf.DUMMYFUNCTION("IFERROR(GOOGLETRANSLATE(B1551,""en"",""zh-TW""),)"),"")</f>
        <v/>
      </c>
      <c r="E1551" s="4" t="str">
        <f ca="1">IFERROR(__xludf.DUMMYFUNCTION("IFERROR(GOOGLETRANSLATE(B1551,""en"",""zh-CN""),)"),"")</f>
        <v/>
      </c>
    </row>
    <row r="1552" spans="1:5">
      <c r="A1552" s="3"/>
      <c r="B1552" s="4" t="str">
        <f ca="1">IFERROR(__xludf.DUMMYFUNCTION("IFERROR(GOOGLETRANSLATE(A1552,""ko"",""en""),)"),"")</f>
        <v/>
      </c>
      <c r="C1552" s="4" t="str">
        <f ca="1">IFERROR(__xludf.DUMMYFUNCTION("IFERROR(GOOGLETRANSLATE(B1552,""en"",""ja""),)"),"")</f>
        <v/>
      </c>
      <c r="D1552" s="4" t="str">
        <f ca="1">IFERROR(__xludf.DUMMYFUNCTION("IFERROR(GOOGLETRANSLATE(B1552,""en"",""zh-TW""),)"),"")</f>
        <v/>
      </c>
      <c r="E1552" s="4" t="str">
        <f ca="1">IFERROR(__xludf.DUMMYFUNCTION("IFERROR(GOOGLETRANSLATE(B1552,""en"",""zh-CN""),)"),"")</f>
        <v/>
      </c>
    </row>
    <row r="1553" spans="1:5">
      <c r="A1553" s="3"/>
      <c r="B1553" s="4" t="str">
        <f ca="1">IFERROR(__xludf.DUMMYFUNCTION("IFERROR(GOOGLETRANSLATE(A1553,""ko"",""en""),)"),"")</f>
        <v/>
      </c>
      <c r="C1553" s="4" t="str">
        <f ca="1">IFERROR(__xludf.DUMMYFUNCTION("IFERROR(GOOGLETRANSLATE(B1553,""en"",""ja""),)"),"")</f>
        <v/>
      </c>
      <c r="D1553" s="4" t="str">
        <f ca="1">IFERROR(__xludf.DUMMYFUNCTION("IFERROR(GOOGLETRANSLATE(B1553,""en"",""zh-TW""),)"),"")</f>
        <v/>
      </c>
      <c r="E1553" s="4" t="str">
        <f ca="1">IFERROR(__xludf.DUMMYFUNCTION("IFERROR(GOOGLETRANSLATE(B1553,""en"",""zh-CN""),)"),"")</f>
        <v/>
      </c>
    </row>
    <row r="1554" spans="1:5">
      <c r="A1554" s="3"/>
      <c r="B1554" s="4" t="str">
        <f ca="1">IFERROR(__xludf.DUMMYFUNCTION("IFERROR(GOOGLETRANSLATE(A1554,""ko"",""en""),)"),"")</f>
        <v/>
      </c>
      <c r="C1554" s="4" t="str">
        <f ca="1">IFERROR(__xludf.DUMMYFUNCTION("IFERROR(GOOGLETRANSLATE(B1554,""en"",""ja""),)"),"")</f>
        <v/>
      </c>
      <c r="D1554" s="4" t="str">
        <f ca="1">IFERROR(__xludf.DUMMYFUNCTION("IFERROR(GOOGLETRANSLATE(B1554,""en"",""zh-TW""),)"),"")</f>
        <v/>
      </c>
      <c r="E1554" s="4" t="str">
        <f ca="1">IFERROR(__xludf.DUMMYFUNCTION("IFERROR(GOOGLETRANSLATE(B1554,""en"",""zh-CN""),)"),"")</f>
        <v/>
      </c>
    </row>
    <row r="1555" spans="1:5">
      <c r="A1555" s="3"/>
      <c r="B1555" s="4" t="str">
        <f ca="1">IFERROR(__xludf.DUMMYFUNCTION("IFERROR(GOOGLETRANSLATE(A1555,""ko"",""en""),)"),"")</f>
        <v/>
      </c>
      <c r="C1555" s="4" t="str">
        <f ca="1">IFERROR(__xludf.DUMMYFUNCTION("IFERROR(GOOGLETRANSLATE(B1555,""en"",""ja""),)"),"")</f>
        <v/>
      </c>
      <c r="D1555" s="4" t="str">
        <f ca="1">IFERROR(__xludf.DUMMYFUNCTION("IFERROR(GOOGLETRANSLATE(B1555,""en"",""zh-TW""),)"),"")</f>
        <v/>
      </c>
      <c r="E1555" s="4" t="str">
        <f ca="1">IFERROR(__xludf.DUMMYFUNCTION("IFERROR(GOOGLETRANSLATE(B1555,""en"",""zh-CN""),)"),"")</f>
        <v/>
      </c>
    </row>
    <row r="1556" spans="1:5">
      <c r="A1556" s="3"/>
      <c r="B1556" s="4" t="str">
        <f ca="1">IFERROR(__xludf.DUMMYFUNCTION("IFERROR(GOOGLETRANSLATE(A1556,""ko"",""en""),)"),"")</f>
        <v/>
      </c>
      <c r="C1556" s="4" t="str">
        <f ca="1">IFERROR(__xludf.DUMMYFUNCTION("IFERROR(GOOGLETRANSLATE(B1556,""en"",""ja""),)"),"")</f>
        <v/>
      </c>
      <c r="D1556" s="4" t="str">
        <f ca="1">IFERROR(__xludf.DUMMYFUNCTION("IFERROR(GOOGLETRANSLATE(B1556,""en"",""zh-TW""),)"),"")</f>
        <v/>
      </c>
      <c r="E1556" s="4" t="str">
        <f ca="1">IFERROR(__xludf.DUMMYFUNCTION("IFERROR(GOOGLETRANSLATE(B1556,""en"",""zh-CN""),)"),"")</f>
        <v/>
      </c>
    </row>
    <row r="1557" spans="1:5">
      <c r="A1557" s="3"/>
      <c r="B1557" s="4" t="str">
        <f ca="1">IFERROR(__xludf.DUMMYFUNCTION("IFERROR(GOOGLETRANSLATE(A1557,""ko"",""en""),)"),"")</f>
        <v/>
      </c>
      <c r="C1557" s="4" t="str">
        <f ca="1">IFERROR(__xludf.DUMMYFUNCTION("IFERROR(GOOGLETRANSLATE(B1557,""en"",""ja""),)"),"")</f>
        <v/>
      </c>
      <c r="D1557" s="4" t="str">
        <f ca="1">IFERROR(__xludf.DUMMYFUNCTION("IFERROR(GOOGLETRANSLATE(B1557,""en"",""zh-TW""),)"),"")</f>
        <v/>
      </c>
      <c r="E1557" s="4" t="str">
        <f ca="1">IFERROR(__xludf.DUMMYFUNCTION("IFERROR(GOOGLETRANSLATE(B1557,""en"",""zh-CN""),)"),"")</f>
        <v/>
      </c>
    </row>
    <row r="1558" spans="1:5">
      <c r="A1558" s="3"/>
      <c r="B1558" s="4" t="str">
        <f ca="1">IFERROR(__xludf.DUMMYFUNCTION("IFERROR(GOOGLETRANSLATE(A1558,""ko"",""en""),)"),"")</f>
        <v/>
      </c>
      <c r="C1558" s="4" t="str">
        <f ca="1">IFERROR(__xludf.DUMMYFUNCTION("IFERROR(GOOGLETRANSLATE(B1558,""en"",""ja""),)"),"")</f>
        <v/>
      </c>
      <c r="D1558" s="4" t="str">
        <f ca="1">IFERROR(__xludf.DUMMYFUNCTION("IFERROR(GOOGLETRANSLATE(B1558,""en"",""zh-TW""),)"),"")</f>
        <v/>
      </c>
      <c r="E1558" s="4" t="str">
        <f ca="1">IFERROR(__xludf.DUMMYFUNCTION("IFERROR(GOOGLETRANSLATE(B1558,""en"",""zh-CN""),)"),"")</f>
        <v/>
      </c>
    </row>
    <row r="1559" spans="1:5">
      <c r="A1559" s="3"/>
      <c r="B1559" s="4" t="str">
        <f ca="1">IFERROR(__xludf.DUMMYFUNCTION("IFERROR(GOOGLETRANSLATE(A1559,""ko"",""en""),)"),"")</f>
        <v/>
      </c>
      <c r="C1559" s="4" t="str">
        <f ca="1">IFERROR(__xludf.DUMMYFUNCTION("IFERROR(GOOGLETRANSLATE(B1559,""en"",""ja""),)"),"")</f>
        <v/>
      </c>
      <c r="D1559" s="4" t="str">
        <f ca="1">IFERROR(__xludf.DUMMYFUNCTION("IFERROR(GOOGLETRANSLATE(B1559,""en"",""zh-TW""),)"),"")</f>
        <v/>
      </c>
      <c r="E1559" s="4" t="str">
        <f ca="1">IFERROR(__xludf.DUMMYFUNCTION("IFERROR(GOOGLETRANSLATE(B1559,""en"",""zh-CN""),)"),"")</f>
        <v/>
      </c>
    </row>
    <row r="1560" spans="1:5">
      <c r="A1560" s="3"/>
      <c r="B1560" s="4" t="str">
        <f ca="1">IFERROR(__xludf.DUMMYFUNCTION("IFERROR(GOOGLETRANSLATE(A1560,""ko"",""en""),)"),"")</f>
        <v/>
      </c>
      <c r="C1560" s="4" t="str">
        <f ca="1">IFERROR(__xludf.DUMMYFUNCTION("IFERROR(GOOGLETRANSLATE(B1560,""en"",""ja""),)"),"")</f>
        <v/>
      </c>
      <c r="D1560" s="4" t="str">
        <f ca="1">IFERROR(__xludf.DUMMYFUNCTION("IFERROR(GOOGLETRANSLATE(B1560,""en"",""zh-TW""),)"),"")</f>
        <v/>
      </c>
      <c r="E1560" s="4" t="str">
        <f ca="1">IFERROR(__xludf.DUMMYFUNCTION("IFERROR(GOOGLETRANSLATE(B1560,""en"",""zh-CN""),)"),"")</f>
        <v/>
      </c>
    </row>
    <row r="1561" spans="1:5">
      <c r="A1561" s="3"/>
      <c r="B1561" s="4" t="str">
        <f ca="1">IFERROR(__xludf.DUMMYFUNCTION("IFERROR(GOOGLETRANSLATE(A1561,""ko"",""en""),)"),"")</f>
        <v/>
      </c>
      <c r="C1561" s="4" t="str">
        <f ca="1">IFERROR(__xludf.DUMMYFUNCTION("IFERROR(GOOGLETRANSLATE(B1561,""en"",""ja""),)"),"")</f>
        <v/>
      </c>
      <c r="D1561" s="4" t="str">
        <f ca="1">IFERROR(__xludf.DUMMYFUNCTION("IFERROR(GOOGLETRANSLATE(B1561,""en"",""zh-TW""),)"),"")</f>
        <v/>
      </c>
      <c r="E1561" s="4" t="str">
        <f ca="1">IFERROR(__xludf.DUMMYFUNCTION("IFERROR(GOOGLETRANSLATE(B1561,""en"",""zh-CN""),)"),"")</f>
        <v/>
      </c>
    </row>
    <row r="1562" spans="1:5">
      <c r="A1562" s="3"/>
      <c r="B1562" s="4" t="str">
        <f ca="1">IFERROR(__xludf.DUMMYFUNCTION("IFERROR(GOOGLETRANSLATE(A1562,""ko"",""en""),)"),"")</f>
        <v/>
      </c>
      <c r="C1562" s="4" t="str">
        <f ca="1">IFERROR(__xludf.DUMMYFUNCTION("IFERROR(GOOGLETRANSLATE(B1562,""en"",""ja""),)"),"")</f>
        <v/>
      </c>
      <c r="D1562" s="4" t="str">
        <f ca="1">IFERROR(__xludf.DUMMYFUNCTION("IFERROR(GOOGLETRANSLATE(B1562,""en"",""zh-TW""),)"),"")</f>
        <v/>
      </c>
      <c r="E1562" s="4" t="str">
        <f ca="1">IFERROR(__xludf.DUMMYFUNCTION("IFERROR(GOOGLETRANSLATE(B1562,""en"",""zh-CN""),)"),"")</f>
        <v/>
      </c>
    </row>
    <row r="1563" spans="1:5">
      <c r="A1563" s="3"/>
      <c r="B1563" s="4" t="str">
        <f ca="1">IFERROR(__xludf.DUMMYFUNCTION("IFERROR(GOOGLETRANSLATE(A1563,""ko"",""en""),)"),"")</f>
        <v/>
      </c>
      <c r="C1563" s="4" t="str">
        <f ca="1">IFERROR(__xludf.DUMMYFUNCTION("IFERROR(GOOGLETRANSLATE(B1563,""en"",""ja""),)"),"")</f>
        <v/>
      </c>
      <c r="D1563" s="4" t="str">
        <f ca="1">IFERROR(__xludf.DUMMYFUNCTION("IFERROR(GOOGLETRANSLATE(B1563,""en"",""zh-TW""),)"),"")</f>
        <v/>
      </c>
      <c r="E1563" s="4" t="str">
        <f ca="1">IFERROR(__xludf.DUMMYFUNCTION("IFERROR(GOOGLETRANSLATE(B1563,""en"",""zh-CN""),)"),"")</f>
        <v/>
      </c>
    </row>
    <row r="1564" spans="1:5">
      <c r="A1564" s="3"/>
      <c r="B1564" s="4" t="str">
        <f ca="1">IFERROR(__xludf.DUMMYFUNCTION("IFERROR(GOOGLETRANSLATE(A1564,""ko"",""en""),)"),"")</f>
        <v/>
      </c>
      <c r="C1564" s="4" t="str">
        <f ca="1">IFERROR(__xludf.DUMMYFUNCTION("IFERROR(GOOGLETRANSLATE(B1564,""en"",""ja""),)"),"")</f>
        <v/>
      </c>
      <c r="D1564" s="4" t="str">
        <f ca="1">IFERROR(__xludf.DUMMYFUNCTION("IFERROR(GOOGLETRANSLATE(B1564,""en"",""zh-TW""),)"),"")</f>
        <v/>
      </c>
      <c r="E1564" s="4" t="str">
        <f ca="1">IFERROR(__xludf.DUMMYFUNCTION("IFERROR(GOOGLETRANSLATE(B1564,""en"",""zh-CN""),)"),"")</f>
        <v/>
      </c>
    </row>
    <row r="1565" spans="1:5">
      <c r="A1565" s="3"/>
      <c r="B1565" s="4" t="str">
        <f ca="1">IFERROR(__xludf.DUMMYFUNCTION("IFERROR(GOOGLETRANSLATE(A1565,""ko"",""en""),)"),"")</f>
        <v/>
      </c>
      <c r="C1565" s="4" t="str">
        <f ca="1">IFERROR(__xludf.DUMMYFUNCTION("IFERROR(GOOGLETRANSLATE(B1565,""en"",""ja""),)"),"")</f>
        <v/>
      </c>
      <c r="D1565" s="4" t="str">
        <f ca="1">IFERROR(__xludf.DUMMYFUNCTION("IFERROR(GOOGLETRANSLATE(B1565,""en"",""zh-TW""),)"),"")</f>
        <v/>
      </c>
      <c r="E1565" s="4" t="str">
        <f ca="1">IFERROR(__xludf.DUMMYFUNCTION("IFERROR(GOOGLETRANSLATE(B1565,""en"",""zh-CN""),)"),"")</f>
        <v/>
      </c>
    </row>
    <row r="1566" spans="1:5">
      <c r="A1566" s="3"/>
      <c r="B1566" s="4" t="str">
        <f ca="1">IFERROR(__xludf.DUMMYFUNCTION("IFERROR(GOOGLETRANSLATE(A1566,""ko"",""en""),)"),"")</f>
        <v/>
      </c>
      <c r="C1566" s="4" t="str">
        <f ca="1">IFERROR(__xludf.DUMMYFUNCTION("IFERROR(GOOGLETRANSLATE(B1566,""en"",""ja""),)"),"")</f>
        <v/>
      </c>
      <c r="D1566" s="4" t="str">
        <f ca="1">IFERROR(__xludf.DUMMYFUNCTION("IFERROR(GOOGLETRANSLATE(B1566,""en"",""zh-TW""),)"),"")</f>
        <v/>
      </c>
      <c r="E1566" s="4" t="str">
        <f ca="1">IFERROR(__xludf.DUMMYFUNCTION("IFERROR(GOOGLETRANSLATE(B1566,""en"",""zh-CN""),)"),"")</f>
        <v/>
      </c>
    </row>
    <row r="1567" spans="1:5">
      <c r="A1567" s="3"/>
      <c r="B1567" s="4" t="str">
        <f ca="1">IFERROR(__xludf.DUMMYFUNCTION("IFERROR(GOOGLETRANSLATE(A1567,""ko"",""en""),)"),"")</f>
        <v/>
      </c>
      <c r="C1567" s="4" t="str">
        <f ca="1">IFERROR(__xludf.DUMMYFUNCTION("IFERROR(GOOGLETRANSLATE(B1567,""en"",""ja""),)"),"")</f>
        <v/>
      </c>
      <c r="D1567" s="4" t="str">
        <f ca="1">IFERROR(__xludf.DUMMYFUNCTION("IFERROR(GOOGLETRANSLATE(B1567,""en"",""zh-TW""),)"),"")</f>
        <v/>
      </c>
      <c r="E1567" s="4" t="str">
        <f ca="1">IFERROR(__xludf.DUMMYFUNCTION("IFERROR(GOOGLETRANSLATE(B1567,""en"",""zh-CN""),)"),"")</f>
        <v/>
      </c>
    </row>
    <row r="1568" spans="1:5">
      <c r="A1568" s="3"/>
      <c r="B1568" s="4" t="str">
        <f ca="1">IFERROR(__xludf.DUMMYFUNCTION("IFERROR(GOOGLETRANSLATE(A1568,""ko"",""en""),)"),"")</f>
        <v/>
      </c>
      <c r="C1568" s="4" t="str">
        <f ca="1">IFERROR(__xludf.DUMMYFUNCTION("IFERROR(GOOGLETRANSLATE(B1568,""en"",""ja""),)"),"")</f>
        <v/>
      </c>
      <c r="D1568" s="4" t="str">
        <f ca="1">IFERROR(__xludf.DUMMYFUNCTION("IFERROR(GOOGLETRANSLATE(B1568,""en"",""zh-TW""),)"),"")</f>
        <v/>
      </c>
      <c r="E1568" s="4" t="str">
        <f ca="1">IFERROR(__xludf.DUMMYFUNCTION("IFERROR(GOOGLETRANSLATE(B1568,""en"",""zh-CN""),)"),"")</f>
        <v/>
      </c>
    </row>
    <row r="1569" spans="1:5">
      <c r="A1569" s="3"/>
      <c r="B1569" s="4" t="str">
        <f ca="1">IFERROR(__xludf.DUMMYFUNCTION("IFERROR(GOOGLETRANSLATE(A1569,""ko"",""en""),)"),"")</f>
        <v/>
      </c>
      <c r="C1569" s="4" t="str">
        <f ca="1">IFERROR(__xludf.DUMMYFUNCTION("IFERROR(GOOGLETRANSLATE(B1569,""en"",""ja""),)"),"")</f>
        <v/>
      </c>
      <c r="D1569" s="4" t="str">
        <f ca="1">IFERROR(__xludf.DUMMYFUNCTION("IFERROR(GOOGLETRANSLATE(B1569,""en"",""zh-TW""),)"),"")</f>
        <v/>
      </c>
      <c r="E1569" s="4" t="str">
        <f ca="1">IFERROR(__xludf.DUMMYFUNCTION("IFERROR(GOOGLETRANSLATE(B1569,""en"",""zh-CN""),)"),"")</f>
        <v/>
      </c>
    </row>
    <row r="1570" spans="1:5">
      <c r="A1570" s="3"/>
      <c r="B1570" s="4" t="str">
        <f ca="1">IFERROR(__xludf.DUMMYFUNCTION("IFERROR(GOOGLETRANSLATE(A1570,""ko"",""en""),)"),"")</f>
        <v/>
      </c>
      <c r="C1570" s="4" t="str">
        <f ca="1">IFERROR(__xludf.DUMMYFUNCTION("IFERROR(GOOGLETRANSLATE(B1570,""en"",""ja""),)"),"")</f>
        <v/>
      </c>
      <c r="D1570" s="4" t="str">
        <f ca="1">IFERROR(__xludf.DUMMYFUNCTION("IFERROR(GOOGLETRANSLATE(B1570,""en"",""zh-TW""),)"),"")</f>
        <v/>
      </c>
      <c r="E1570" s="4" t="str">
        <f ca="1">IFERROR(__xludf.DUMMYFUNCTION("IFERROR(GOOGLETRANSLATE(B1570,""en"",""zh-CN""),)"),"")</f>
        <v/>
      </c>
    </row>
    <row r="1571" spans="1:5">
      <c r="A1571" s="3"/>
      <c r="B1571" s="4" t="str">
        <f ca="1">IFERROR(__xludf.DUMMYFUNCTION("IFERROR(GOOGLETRANSLATE(A1571,""ko"",""en""),)"),"")</f>
        <v/>
      </c>
      <c r="C1571" s="4" t="str">
        <f ca="1">IFERROR(__xludf.DUMMYFUNCTION("IFERROR(GOOGLETRANSLATE(B1571,""en"",""ja""),)"),"")</f>
        <v/>
      </c>
      <c r="D1571" s="4" t="str">
        <f ca="1">IFERROR(__xludf.DUMMYFUNCTION("IFERROR(GOOGLETRANSLATE(B1571,""en"",""zh-TW""),)"),"")</f>
        <v/>
      </c>
      <c r="E1571" s="4" t="str">
        <f ca="1">IFERROR(__xludf.DUMMYFUNCTION("IFERROR(GOOGLETRANSLATE(B1571,""en"",""zh-CN""),)"),"")</f>
        <v/>
      </c>
    </row>
    <row r="1572" spans="1:5">
      <c r="A1572" s="3"/>
      <c r="B1572" s="4" t="str">
        <f ca="1">IFERROR(__xludf.DUMMYFUNCTION("IFERROR(GOOGLETRANSLATE(A1572,""ko"",""en""),)"),"")</f>
        <v/>
      </c>
      <c r="C1572" s="4" t="str">
        <f ca="1">IFERROR(__xludf.DUMMYFUNCTION("IFERROR(GOOGLETRANSLATE(B1572,""en"",""ja""),)"),"")</f>
        <v/>
      </c>
      <c r="D1572" s="4" t="str">
        <f ca="1">IFERROR(__xludf.DUMMYFUNCTION("IFERROR(GOOGLETRANSLATE(B1572,""en"",""zh-TW""),)"),"")</f>
        <v/>
      </c>
      <c r="E1572" s="4" t="str">
        <f ca="1">IFERROR(__xludf.DUMMYFUNCTION("IFERROR(GOOGLETRANSLATE(B1572,""en"",""zh-CN""),)"),"")</f>
        <v/>
      </c>
    </row>
    <row r="1573" spans="1:5">
      <c r="A1573" s="3"/>
      <c r="B1573" s="4" t="str">
        <f ca="1">IFERROR(__xludf.DUMMYFUNCTION("IFERROR(GOOGLETRANSLATE(A1573,""ko"",""en""),)"),"")</f>
        <v/>
      </c>
      <c r="C1573" s="4" t="str">
        <f ca="1">IFERROR(__xludf.DUMMYFUNCTION("IFERROR(GOOGLETRANSLATE(B1573,""en"",""ja""),)"),"")</f>
        <v/>
      </c>
      <c r="D1573" s="4" t="str">
        <f ca="1">IFERROR(__xludf.DUMMYFUNCTION("IFERROR(GOOGLETRANSLATE(B1573,""en"",""zh-TW""),)"),"")</f>
        <v/>
      </c>
      <c r="E1573" s="4" t="str">
        <f ca="1">IFERROR(__xludf.DUMMYFUNCTION("IFERROR(GOOGLETRANSLATE(B1573,""en"",""zh-CN""),)"),"")</f>
        <v/>
      </c>
    </row>
    <row r="1574" spans="1:5">
      <c r="A1574" s="3"/>
      <c r="B1574" s="4" t="str">
        <f ca="1">IFERROR(__xludf.DUMMYFUNCTION("IFERROR(GOOGLETRANSLATE(A1574,""ko"",""en""),)"),"")</f>
        <v/>
      </c>
      <c r="C1574" s="4" t="str">
        <f ca="1">IFERROR(__xludf.DUMMYFUNCTION("IFERROR(GOOGLETRANSLATE(B1574,""en"",""ja""),)"),"")</f>
        <v/>
      </c>
      <c r="D1574" s="4" t="str">
        <f ca="1">IFERROR(__xludf.DUMMYFUNCTION("IFERROR(GOOGLETRANSLATE(B1574,""en"",""zh-TW""),)"),"")</f>
        <v/>
      </c>
      <c r="E1574" s="4" t="str">
        <f ca="1">IFERROR(__xludf.DUMMYFUNCTION("IFERROR(GOOGLETRANSLATE(B1574,""en"",""zh-CN""),)"),"")</f>
        <v/>
      </c>
    </row>
    <row r="1575" spans="1:5">
      <c r="A1575" s="3"/>
      <c r="B1575" s="4" t="str">
        <f ca="1">IFERROR(__xludf.DUMMYFUNCTION("IFERROR(GOOGLETRANSLATE(A1575,""ko"",""en""),)"),"")</f>
        <v/>
      </c>
      <c r="C1575" s="4" t="str">
        <f ca="1">IFERROR(__xludf.DUMMYFUNCTION("IFERROR(GOOGLETRANSLATE(B1575,""en"",""ja""),)"),"")</f>
        <v/>
      </c>
      <c r="D1575" s="4" t="str">
        <f ca="1">IFERROR(__xludf.DUMMYFUNCTION("IFERROR(GOOGLETRANSLATE(B1575,""en"",""zh-TW""),)"),"")</f>
        <v/>
      </c>
      <c r="E1575" s="4" t="str">
        <f ca="1">IFERROR(__xludf.DUMMYFUNCTION("IFERROR(GOOGLETRANSLATE(B1575,""en"",""zh-CN""),)"),"")</f>
        <v/>
      </c>
    </row>
    <row r="1576" spans="1:5">
      <c r="A1576" s="3"/>
      <c r="B1576" s="4" t="str">
        <f ca="1">IFERROR(__xludf.DUMMYFUNCTION("IFERROR(GOOGLETRANSLATE(A1576,""ko"",""en""),)"),"")</f>
        <v/>
      </c>
      <c r="C1576" s="4" t="str">
        <f ca="1">IFERROR(__xludf.DUMMYFUNCTION("IFERROR(GOOGLETRANSLATE(B1576,""en"",""ja""),)"),"")</f>
        <v/>
      </c>
      <c r="D1576" s="4" t="str">
        <f ca="1">IFERROR(__xludf.DUMMYFUNCTION("IFERROR(GOOGLETRANSLATE(B1576,""en"",""zh-TW""),)"),"")</f>
        <v/>
      </c>
      <c r="E1576" s="4" t="str">
        <f ca="1">IFERROR(__xludf.DUMMYFUNCTION("IFERROR(GOOGLETRANSLATE(B1576,""en"",""zh-CN""),)"),"")</f>
        <v/>
      </c>
    </row>
    <row r="1577" spans="1:5">
      <c r="A1577" s="3"/>
      <c r="B1577" s="4" t="str">
        <f ca="1">IFERROR(__xludf.DUMMYFUNCTION("IFERROR(GOOGLETRANSLATE(A1577,""ko"",""en""),)"),"")</f>
        <v/>
      </c>
      <c r="C1577" s="4" t="str">
        <f ca="1">IFERROR(__xludf.DUMMYFUNCTION("IFERROR(GOOGLETRANSLATE(B1577,""en"",""ja""),)"),"")</f>
        <v/>
      </c>
      <c r="D1577" s="4" t="str">
        <f ca="1">IFERROR(__xludf.DUMMYFUNCTION("IFERROR(GOOGLETRANSLATE(B1577,""en"",""zh-TW""),)"),"")</f>
        <v/>
      </c>
      <c r="E1577" s="4" t="str">
        <f ca="1">IFERROR(__xludf.DUMMYFUNCTION("IFERROR(GOOGLETRANSLATE(B1577,""en"",""zh-CN""),)"),"")</f>
        <v/>
      </c>
    </row>
    <row r="1578" spans="1:5">
      <c r="A1578" s="3"/>
      <c r="B1578" s="4" t="str">
        <f ca="1">IFERROR(__xludf.DUMMYFUNCTION("IFERROR(GOOGLETRANSLATE(A1578,""ko"",""en""),)"),"")</f>
        <v/>
      </c>
      <c r="C1578" s="4" t="str">
        <f ca="1">IFERROR(__xludf.DUMMYFUNCTION("IFERROR(GOOGLETRANSLATE(B1578,""en"",""ja""),)"),"")</f>
        <v/>
      </c>
      <c r="D1578" s="4" t="str">
        <f ca="1">IFERROR(__xludf.DUMMYFUNCTION("IFERROR(GOOGLETRANSLATE(B1578,""en"",""zh-TW""),)"),"")</f>
        <v/>
      </c>
      <c r="E1578" s="4" t="str">
        <f ca="1">IFERROR(__xludf.DUMMYFUNCTION("IFERROR(GOOGLETRANSLATE(B1578,""en"",""zh-CN""),)"),"")</f>
        <v/>
      </c>
    </row>
    <row r="1579" spans="1:5">
      <c r="A1579" s="3"/>
      <c r="B1579" s="4" t="str">
        <f ca="1">IFERROR(__xludf.DUMMYFUNCTION("IFERROR(GOOGLETRANSLATE(A1579,""ko"",""en""),)"),"")</f>
        <v/>
      </c>
      <c r="C1579" s="4" t="str">
        <f ca="1">IFERROR(__xludf.DUMMYFUNCTION("IFERROR(GOOGLETRANSLATE(B1579,""en"",""ja""),)"),"")</f>
        <v/>
      </c>
      <c r="D1579" s="4" t="str">
        <f ca="1">IFERROR(__xludf.DUMMYFUNCTION("IFERROR(GOOGLETRANSLATE(B1579,""en"",""zh-TW""),)"),"")</f>
        <v/>
      </c>
      <c r="E1579" s="4" t="str">
        <f ca="1">IFERROR(__xludf.DUMMYFUNCTION("IFERROR(GOOGLETRANSLATE(B1579,""en"",""zh-CN""),)"),"")</f>
        <v/>
      </c>
    </row>
    <row r="1580" spans="1:5">
      <c r="A1580" s="3"/>
      <c r="B1580" s="4" t="str">
        <f ca="1">IFERROR(__xludf.DUMMYFUNCTION("IFERROR(GOOGLETRANSLATE(A1580,""ko"",""en""),)"),"")</f>
        <v/>
      </c>
      <c r="C1580" s="4" t="str">
        <f ca="1">IFERROR(__xludf.DUMMYFUNCTION("IFERROR(GOOGLETRANSLATE(B1580,""en"",""ja""),)"),"")</f>
        <v/>
      </c>
      <c r="D1580" s="4" t="str">
        <f ca="1">IFERROR(__xludf.DUMMYFUNCTION("IFERROR(GOOGLETRANSLATE(B1580,""en"",""zh-TW""),)"),"")</f>
        <v/>
      </c>
      <c r="E1580" s="4" t="str">
        <f ca="1">IFERROR(__xludf.DUMMYFUNCTION("IFERROR(GOOGLETRANSLATE(B1580,""en"",""zh-CN""),)"),"")</f>
        <v/>
      </c>
    </row>
    <row r="1581" spans="1:5">
      <c r="A1581" s="3"/>
      <c r="B1581" s="4" t="str">
        <f ca="1">IFERROR(__xludf.DUMMYFUNCTION("IFERROR(GOOGLETRANSLATE(A1581,""ko"",""en""),)"),"")</f>
        <v/>
      </c>
      <c r="C1581" s="4" t="str">
        <f ca="1">IFERROR(__xludf.DUMMYFUNCTION("IFERROR(GOOGLETRANSLATE(B1581,""en"",""ja""),)"),"")</f>
        <v/>
      </c>
      <c r="D1581" s="4" t="str">
        <f ca="1">IFERROR(__xludf.DUMMYFUNCTION("IFERROR(GOOGLETRANSLATE(B1581,""en"",""zh-TW""),)"),"")</f>
        <v/>
      </c>
      <c r="E1581" s="4" t="str">
        <f ca="1">IFERROR(__xludf.DUMMYFUNCTION("IFERROR(GOOGLETRANSLATE(B1581,""en"",""zh-CN""),)"),"")</f>
        <v/>
      </c>
    </row>
    <row r="1582" spans="1:5">
      <c r="A1582" s="3"/>
      <c r="B1582" s="4" t="str">
        <f ca="1">IFERROR(__xludf.DUMMYFUNCTION("IFERROR(GOOGLETRANSLATE(A1582,""ko"",""en""),)"),"")</f>
        <v/>
      </c>
      <c r="C1582" s="4" t="str">
        <f ca="1">IFERROR(__xludf.DUMMYFUNCTION("IFERROR(GOOGLETRANSLATE(B1582,""en"",""ja""),)"),"")</f>
        <v/>
      </c>
      <c r="D1582" s="4" t="str">
        <f ca="1">IFERROR(__xludf.DUMMYFUNCTION("IFERROR(GOOGLETRANSLATE(B1582,""en"",""zh-TW""),)"),"")</f>
        <v/>
      </c>
      <c r="E1582" s="4" t="str">
        <f ca="1">IFERROR(__xludf.DUMMYFUNCTION("IFERROR(GOOGLETRANSLATE(B1582,""en"",""zh-CN""),)"),"")</f>
        <v/>
      </c>
    </row>
    <row r="1583" spans="1:5">
      <c r="A1583" s="3"/>
      <c r="B1583" s="4" t="str">
        <f ca="1">IFERROR(__xludf.DUMMYFUNCTION("IFERROR(GOOGLETRANSLATE(A1583,""ko"",""en""),)"),"")</f>
        <v/>
      </c>
      <c r="C1583" s="4" t="str">
        <f ca="1">IFERROR(__xludf.DUMMYFUNCTION("IFERROR(GOOGLETRANSLATE(B1583,""en"",""ja""),)"),"")</f>
        <v/>
      </c>
      <c r="D1583" s="4" t="str">
        <f ca="1">IFERROR(__xludf.DUMMYFUNCTION("IFERROR(GOOGLETRANSLATE(B1583,""en"",""zh-TW""),)"),"")</f>
        <v/>
      </c>
      <c r="E1583" s="4" t="str">
        <f ca="1">IFERROR(__xludf.DUMMYFUNCTION("IFERROR(GOOGLETRANSLATE(B1583,""en"",""zh-CN""),)"),"")</f>
        <v/>
      </c>
    </row>
    <row r="1584" spans="1:5">
      <c r="A1584" s="3"/>
      <c r="B1584" s="4" t="str">
        <f ca="1">IFERROR(__xludf.DUMMYFUNCTION("IFERROR(GOOGLETRANSLATE(A1584,""ko"",""en""),)"),"")</f>
        <v/>
      </c>
      <c r="C1584" s="4" t="str">
        <f ca="1">IFERROR(__xludf.DUMMYFUNCTION("IFERROR(GOOGLETRANSLATE(B1584,""en"",""ja""),)"),"")</f>
        <v/>
      </c>
      <c r="D1584" s="4" t="str">
        <f ca="1">IFERROR(__xludf.DUMMYFUNCTION("IFERROR(GOOGLETRANSLATE(B1584,""en"",""zh-TW""),)"),"")</f>
        <v/>
      </c>
      <c r="E1584" s="4" t="str">
        <f ca="1">IFERROR(__xludf.DUMMYFUNCTION("IFERROR(GOOGLETRANSLATE(B1584,""en"",""zh-CN""),)"),"")</f>
        <v/>
      </c>
    </row>
    <row r="1585" spans="1:5">
      <c r="A1585" s="3"/>
      <c r="B1585" s="4" t="str">
        <f ca="1">IFERROR(__xludf.DUMMYFUNCTION("IFERROR(GOOGLETRANSLATE(A1585,""ko"",""en""),)"),"")</f>
        <v/>
      </c>
      <c r="C1585" s="4" t="str">
        <f ca="1">IFERROR(__xludf.DUMMYFUNCTION("IFERROR(GOOGLETRANSLATE(B1585,""en"",""ja""),)"),"")</f>
        <v/>
      </c>
      <c r="D1585" s="4" t="str">
        <f ca="1">IFERROR(__xludf.DUMMYFUNCTION("IFERROR(GOOGLETRANSLATE(B1585,""en"",""zh-TW""),)"),"")</f>
        <v/>
      </c>
      <c r="E1585" s="4" t="str">
        <f ca="1">IFERROR(__xludf.DUMMYFUNCTION("IFERROR(GOOGLETRANSLATE(B1585,""en"",""zh-CN""),)"),"")</f>
        <v/>
      </c>
    </row>
    <row r="1586" spans="1:5">
      <c r="A1586" s="3"/>
      <c r="B1586" s="4" t="str">
        <f ca="1">IFERROR(__xludf.DUMMYFUNCTION("IFERROR(GOOGLETRANSLATE(A1586,""ko"",""en""),)"),"")</f>
        <v/>
      </c>
      <c r="C1586" s="4" t="str">
        <f ca="1">IFERROR(__xludf.DUMMYFUNCTION("IFERROR(GOOGLETRANSLATE(B1586,""en"",""ja""),)"),"")</f>
        <v/>
      </c>
      <c r="D1586" s="4" t="str">
        <f ca="1">IFERROR(__xludf.DUMMYFUNCTION("IFERROR(GOOGLETRANSLATE(B1586,""en"",""zh-TW""),)"),"")</f>
        <v/>
      </c>
      <c r="E1586" s="4" t="str">
        <f ca="1">IFERROR(__xludf.DUMMYFUNCTION("IFERROR(GOOGLETRANSLATE(B1586,""en"",""zh-CN""),)"),"")</f>
        <v/>
      </c>
    </row>
    <row r="1587" spans="1:5">
      <c r="A1587" s="3"/>
      <c r="B1587" s="4" t="str">
        <f ca="1">IFERROR(__xludf.DUMMYFUNCTION("IFERROR(GOOGLETRANSLATE(A1587,""ko"",""en""),)"),"")</f>
        <v/>
      </c>
      <c r="C1587" s="4" t="str">
        <f ca="1">IFERROR(__xludf.DUMMYFUNCTION("IFERROR(GOOGLETRANSLATE(B1587,""en"",""ja""),)"),"")</f>
        <v/>
      </c>
      <c r="D1587" s="4" t="str">
        <f ca="1">IFERROR(__xludf.DUMMYFUNCTION("IFERROR(GOOGLETRANSLATE(B1587,""en"",""zh-TW""),)"),"")</f>
        <v/>
      </c>
      <c r="E1587" s="4" t="str">
        <f ca="1">IFERROR(__xludf.DUMMYFUNCTION("IFERROR(GOOGLETRANSLATE(B1587,""en"",""zh-CN""),)"),"")</f>
        <v/>
      </c>
    </row>
    <row r="1588" spans="1:5">
      <c r="A1588" s="3"/>
      <c r="B1588" s="4" t="str">
        <f ca="1">IFERROR(__xludf.DUMMYFUNCTION("IFERROR(GOOGLETRANSLATE(A1588,""ko"",""en""),)"),"")</f>
        <v/>
      </c>
      <c r="C1588" s="4" t="str">
        <f ca="1">IFERROR(__xludf.DUMMYFUNCTION("IFERROR(GOOGLETRANSLATE(B1588,""en"",""ja""),)"),"")</f>
        <v/>
      </c>
      <c r="D1588" s="4" t="str">
        <f ca="1">IFERROR(__xludf.DUMMYFUNCTION("IFERROR(GOOGLETRANSLATE(B1588,""en"",""zh-TW""),)"),"")</f>
        <v/>
      </c>
      <c r="E1588" s="4" t="str">
        <f ca="1">IFERROR(__xludf.DUMMYFUNCTION("IFERROR(GOOGLETRANSLATE(B1588,""en"",""zh-CN""),)"),"")</f>
        <v/>
      </c>
    </row>
    <row r="1589" spans="1:5">
      <c r="A1589" s="3"/>
      <c r="B1589" s="4" t="str">
        <f ca="1">IFERROR(__xludf.DUMMYFUNCTION("IFERROR(GOOGLETRANSLATE(A1589,""ko"",""en""),)"),"")</f>
        <v/>
      </c>
      <c r="C1589" s="4" t="str">
        <f ca="1">IFERROR(__xludf.DUMMYFUNCTION("IFERROR(GOOGLETRANSLATE(B1589,""en"",""ja""),)"),"")</f>
        <v/>
      </c>
      <c r="D1589" s="4" t="str">
        <f ca="1">IFERROR(__xludf.DUMMYFUNCTION("IFERROR(GOOGLETRANSLATE(B1589,""en"",""zh-TW""),)"),"")</f>
        <v/>
      </c>
      <c r="E1589" s="4" t="str">
        <f ca="1">IFERROR(__xludf.DUMMYFUNCTION("IFERROR(GOOGLETRANSLATE(B1589,""en"",""zh-CN""),)"),"")</f>
        <v/>
      </c>
    </row>
    <row r="1590" spans="1:5">
      <c r="A1590" s="3"/>
      <c r="B1590" s="4" t="str">
        <f ca="1">IFERROR(__xludf.DUMMYFUNCTION("IFERROR(GOOGLETRANSLATE(A1590,""ko"",""en""),)"),"")</f>
        <v/>
      </c>
      <c r="C1590" s="4" t="str">
        <f ca="1">IFERROR(__xludf.DUMMYFUNCTION("IFERROR(GOOGLETRANSLATE(B1590,""en"",""ja""),)"),"")</f>
        <v/>
      </c>
      <c r="D1590" s="4" t="str">
        <f ca="1">IFERROR(__xludf.DUMMYFUNCTION("IFERROR(GOOGLETRANSLATE(B1590,""en"",""zh-TW""),)"),"")</f>
        <v/>
      </c>
      <c r="E1590" s="4" t="str">
        <f ca="1">IFERROR(__xludf.DUMMYFUNCTION("IFERROR(GOOGLETRANSLATE(B1590,""en"",""zh-CN""),)"),"")</f>
        <v/>
      </c>
    </row>
    <row r="1591" spans="1:5">
      <c r="A1591" s="3"/>
      <c r="B1591" s="4" t="str">
        <f ca="1">IFERROR(__xludf.DUMMYFUNCTION("IFERROR(GOOGLETRANSLATE(A1591,""ko"",""en""),)"),"")</f>
        <v/>
      </c>
      <c r="C1591" s="4" t="str">
        <f ca="1">IFERROR(__xludf.DUMMYFUNCTION("IFERROR(GOOGLETRANSLATE(B1591,""en"",""ja""),)"),"")</f>
        <v/>
      </c>
      <c r="D1591" s="4" t="str">
        <f ca="1">IFERROR(__xludf.DUMMYFUNCTION("IFERROR(GOOGLETRANSLATE(B1591,""en"",""zh-TW""),)"),"")</f>
        <v/>
      </c>
      <c r="E1591" s="4" t="str">
        <f ca="1">IFERROR(__xludf.DUMMYFUNCTION("IFERROR(GOOGLETRANSLATE(B1591,""en"",""zh-CN""),)"),"")</f>
        <v/>
      </c>
    </row>
    <row r="1592" spans="1:5">
      <c r="A1592" s="3"/>
      <c r="B1592" s="4" t="str">
        <f ca="1">IFERROR(__xludf.DUMMYFUNCTION("IFERROR(GOOGLETRANSLATE(A1592,""ko"",""en""),)"),"")</f>
        <v/>
      </c>
      <c r="C1592" s="4" t="str">
        <f ca="1">IFERROR(__xludf.DUMMYFUNCTION("IFERROR(GOOGLETRANSLATE(B1592,""en"",""ja""),)"),"")</f>
        <v/>
      </c>
      <c r="D1592" s="4" t="str">
        <f ca="1">IFERROR(__xludf.DUMMYFUNCTION("IFERROR(GOOGLETRANSLATE(B1592,""en"",""zh-TW""),)"),"")</f>
        <v/>
      </c>
      <c r="E1592" s="4" t="str">
        <f ca="1">IFERROR(__xludf.DUMMYFUNCTION("IFERROR(GOOGLETRANSLATE(B1592,""en"",""zh-CN""),)"),"")</f>
        <v/>
      </c>
    </row>
    <row r="1593" spans="1:5">
      <c r="A1593" s="3"/>
      <c r="B1593" s="4" t="str">
        <f ca="1">IFERROR(__xludf.DUMMYFUNCTION("IFERROR(GOOGLETRANSLATE(A1593,""ko"",""en""),)"),"")</f>
        <v/>
      </c>
      <c r="C1593" s="4" t="str">
        <f ca="1">IFERROR(__xludf.DUMMYFUNCTION("IFERROR(GOOGLETRANSLATE(B1593,""en"",""ja""),)"),"")</f>
        <v/>
      </c>
      <c r="D1593" s="4" t="str">
        <f ca="1">IFERROR(__xludf.DUMMYFUNCTION("IFERROR(GOOGLETRANSLATE(B1593,""en"",""zh-TW""),)"),"")</f>
        <v/>
      </c>
      <c r="E1593" s="4" t="str">
        <f ca="1">IFERROR(__xludf.DUMMYFUNCTION("IFERROR(GOOGLETRANSLATE(B1593,""en"",""zh-CN""),)"),"")</f>
        <v/>
      </c>
    </row>
    <row r="1594" spans="1:5">
      <c r="A1594" s="3"/>
      <c r="B1594" s="4" t="str">
        <f ca="1">IFERROR(__xludf.DUMMYFUNCTION("IFERROR(GOOGLETRANSLATE(A1594,""ko"",""en""),)"),"")</f>
        <v/>
      </c>
      <c r="C1594" s="4" t="str">
        <f ca="1">IFERROR(__xludf.DUMMYFUNCTION("IFERROR(GOOGLETRANSLATE(B1594,""en"",""ja""),)"),"")</f>
        <v/>
      </c>
      <c r="D1594" s="4" t="str">
        <f ca="1">IFERROR(__xludf.DUMMYFUNCTION("IFERROR(GOOGLETRANSLATE(B1594,""en"",""zh-TW""),)"),"")</f>
        <v/>
      </c>
      <c r="E1594" s="4" t="str">
        <f ca="1">IFERROR(__xludf.DUMMYFUNCTION("IFERROR(GOOGLETRANSLATE(B1594,""en"",""zh-CN""),)"),"")</f>
        <v/>
      </c>
    </row>
    <row r="1595" spans="1:5">
      <c r="A1595" s="3"/>
      <c r="B1595" s="4" t="str">
        <f ca="1">IFERROR(__xludf.DUMMYFUNCTION("IFERROR(GOOGLETRANSLATE(A1595,""ko"",""en""),)"),"")</f>
        <v/>
      </c>
      <c r="C1595" s="4" t="str">
        <f ca="1">IFERROR(__xludf.DUMMYFUNCTION("IFERROR(GOOGLETRANSLATE(B1595,""en"",""ja""),)"),"")</f>
        <v/>
      </c>
      <c r="D1595" s="4" t="str">
        <f ca="1">IFERROR(__xludf.DUMMYFUNCTION("IFERROR(GOOGLETRANSLATE(B1595,""en"",""zh-TW""),)"),"")</f>
        <v/>
      </c>
      <c r="E1595" s="4" t="str">
        <f ca="1">IFERROR(__xludf.DUMMYFUNCTION("IFERROR(GOOGLETRANSLATE(B1595,""en"",""zh-CN""),)"),"")</f>
        <v/>
      </c>
    </row>
    <row r="1596" spans="1:5">
      <c r="A1596" s="3"/>
      <c r="B1596" s="4" t="str">
        <f ca="1">IFERROR(__xludf.DUMMYFUNCTION("IFERROR(GOOGLETRANSLATE(A1596,""ko"",""en""),)"),"")</f>
        <v/>
      </c>
      <c r="C1596" s="4" t="str">
        <f ca="1">IFERROR(__xludf.DUMMYFUNCTION("IFERROR(GOOGLETRANSLATE(B1596,""en"",""ja""),)"),"")</f>
        <v/>
      </c>
      <c r="D1596" s="4" t="str">
        <f ca="1">IFERROR(__xludf.DUMMYFUNCTION("IFERROR(GOOGLETRANSLATE(B1596,""en"",""zh-TW""),)"),"")</f>
        <v/>
      </c>
      <c r="E1596" s="4" t="str">
        <f ca="1">IFERROR(__xludf.DUMMYFUNCTION("IFERROR(GOOGLETRANSLATE(B1596,""en"",""zh-CN""),)"),"")</f>
        <v/>
      </c>
    </row>
    <row r="1597" spans="1:5">
      <c r="A1597" s="3"/>
      <c r="B1597" s="4" t="str">
        <f ca="1">IFERROR(__xludf.DUMMYFUNCTION("IFERROR(GOOGLETRANSLATE(A1597,""ko"",""en""),)"),"")</f>
        <v/>
      </c>
      <c r="C1597" s="4" t="str">
        <f ca="1">IFERROR(__xludf.DUMMYFUNCTION("IFERROR(GOOGLETRANSLATE(B1597,""en"",""ja""),)"),"")</f>
        <v/>
      </c>
      <c r="D1597" s="4" t="str">
        <f ca="1">IFERROR(__xludf.DUMMYFUNCTION("IFERROR(GOOGLETRANSLATE(B1597,""en"",""zh-TW""),)"),"")</f>
        <v/>
      </c>
      <c r="E1597" s="4" t="str">
        <f ca="1">IFERROR(__xludf.DUMMYFUNCTION("IFERROR(GOOGLETRANSLATE(B1597,""en"",""zh-CN""),)"),"")</f>
        <v/>
      </c>
    </row>
    <row r="1598" spans="1:5">
      <c r="A1598" s="3"/>
      <c r="B1598" s="4" t="str">
        <f ca="1">IFERROR(__xludf.DUMMYFUNCTION("IFERROR(GOOGLETRANSLATE(A1598,""ko"",""en""),)"),"")</f>
        <v/>
      </c>
      <c r="C1598" s="4" t="str">
        <f ca="1">IFERROR(__xludf.DUMMYFUNCTION("IFERROR(GOOGLETRANSLATE(B1598,""en"",""ja""),)"),"")</f>
        <v/>
      </c>
      <c r="D1598" s="4" t="str">
        <f ca="1">IFERROR(__xludf.DUMMYFUNCTION("IFERROR(GOOGLETRANSLATE(B1598,""en"",""zh-TW""),)"),"")</f>
        <v/>
      </c>
      <c r="E1598" s="4" t="str">
        <f ca="1">IFERROR(__xludf.DUMMYFUNCTION("IFERROR(GOOGLETRANSLATE(B1598,""en"",""zh-CN""),)"),"")</f>
        <v/>
      </c>
    </row>
    <row r="1599" spans="1:5">
      <c r="A1599" s="3"/>
      <c r="B1599" s="4" t="str">
        <f ca="1">IFERROR(__xludf.DUMMYFUNCTION("IFERROR(GOOGLETRANSLATE(A1599,""ko"",""en""),)"),"")</f>
        <v/>
      </c>
      <c r="C1599" s="4" t="str">
        <f ca="1">IFERROR(__xludf.DUMMYFUNCTION("IFERROR(GOOGLETRANSLATE(B1599,""en"",""ja""),)"),"")</f>
        <v/>
      </c>
      <c r="D1599" s="4" t="str">
        <f ca="1">IFERROR(__xludf.DUMMYFUNCTION("IFERROR(GOOGLETRANSLATE(B1599,""en"",""zh-TW""),)"),"")</f>
        <v/>
      </c>
      <c r="E1599" s="4" t="str">
        <f ca="1">IFERROR(__xludf.DUMMYFUNCTION("IFERROR(GOOGLETRANSLATE(B1599,""en"",""zh-CN""),)"),"")</f>
        <v/>
      </c>
    </row>
    <row r="1600" spans="1:5">
      <c r="A1600" s="3"/>
      <c r="B1600" s="4" t="str">
        <f ca="1">IFERROR(__xludf.DUMMYFUNCTION("IFERROR(GOOGLETRANSLATE(A1600,""ko"",""en""),)"),"")</f>
        <v/>
      </c>
      <c r="C1600" s="4" t="str">
        <f ca="1">IFERROR(__xludf.DUMMYFUNCTION("IFERROR(GOOGLETRANSLATE(B1600,""en"",""ja""),)"),"")</f>
        <v/>
      </c>
      <c r="D1600" s="4" t="str">
        <f ca="1">IFERROR(__xludf.DUMMYFUNCTION("IFERROR(GOOGLETRANSLATE(B1600,""en"",""zh-TW""),)"),"")</f>
        <v/>
      </c>
      <c r="E1600" s="4" t="str">
        <f ca="1">IFERROR(__xludf.DUMMYFUNCTION("IFERROR(GOOGLETRANSLATE(B1600,""en"",""zh-CN""),)"),"")</f>
        <v/>
      </c>
    </row>
    <row r="1601" spans="1:5">
      <c r="A1601" s="3"/>
      <c r="B1601" s="4" t="str">
        <f ca="1">IFERROR(__xludf.DUMMYFUNCTION("IFERROR(GOOGLETRANSLATE(A1601,""ko"",""en""),)"),"")</f>
        <v/>
      </c>
      <c r="C1601" s="4" t="str">
        <f ca="1">IFERROR(__xludf.DUMMYFUNCTION("IFERROR(GOOGLETRANSLATE(B1601,""en"",""ja""),)"),"")</f>
        <v/>
      </c>
      <c r="D1601" s="4" t="str">
        <f ca="1">IFERROR(__xludf.DUMMYFUNCTION("IFERROR(GOOGLETRANSLATE(B1601,""en"",""zh-TW""),)"),"")</f>
        <v/>
      </c>
      <c r="E1601" s="4" t="str">
        <f ca="1">IFERROR(__xludf.DUMMYFUNCTION("IFERROR(GOOGLETRANSLATE(B1601,""en"",""zh-CN""),)"),"")</f>
        <v/>
      </c>
    </row>
    <row r="1602" spans="1:5">
      <c r="A1602" s="3"/>
      <c r="B1602" s="4" t="str">
        <f ca="1">IFERROR(__xludf.DUMMYFUNCTION("IFERROR(GOOGLETRANSLATE(A1602,""ko"",""en""),)"),"")</f>
        <v/>
      </c>
      <c r="C1602" s="4" t="str">
        <f ca="1">IFERROR(__xludf.DUMMYFUNCTION("IFERROR(GOOGLETRANSLATE(B1602,""en"",""ja""),)"),"")</f>
        <v/>
      </c>
      <c r="D1602" s="4" t="str">
        <f ca="1">IFERROR(__xludf.DUMMYFUNCTION("IFERROR(GOOGLETRANSLATE(B1602,""en"",""zh-TW""),)"),"")</f>
        <v/>
      </c>
      <c r="E1602" s="4" t="str">
        <f ca="1">IFERROR(__xludf.DUMMYFUNCTION("IFERROR(GOOGLETRANSLATE(B1602,""en"",""zh-CN""),)"),"")</f>
        <v/>
      </c>
    </row>
    <row r="1603" spans="1:5">
      <c r="A1603" s="3"/>
      <c r="B1603" s="4" t="str">
        <f ca="1">IFERROR(__xludf.DUMMYFUNCTION("IFERROR(GOOGLETRANSLATE(A1603,""ko"",""en""),)"),"")</f>
        <v/>
      </c>
      <c r="C1603" s="4" t="str">
        <f ca="1">IFERROR(__xludf.DUMMYFUNCTION("IFERROR(GOOGLETRANSLATE(B1603,""en"",""ja""),)"),"")</f>
        <v/>
      </c>
      <c r="D1603" s="4" t="str">
        <f ca="1">IFERROR(__xludf.DUMMYFUNCTION("IFERROR(GOOGLETRANSLATE(B1603,""en"",""zh-TW""),)"),"")</f>
        <v/>
      </c>
      <c r="E1603" s="4" t="str">
        <f ca="1">IFERROR(__xludf.DUMMYFUNCTION("IFERROR(GOOGLETRANSLATE(B1603,""en"",""zh-CN""),)"),"")</f>
        <v/>
      </c>
    </row>
    <row r="1604" spans="1:5">
      <c r="A1604" s="3"/>
      <c r="B1604" s="4" t="str">
        <f ca="1">IFERROR(__xludf.DUMMYFUNCTION("IFERROR(GOOGLETRANSLATE(A1604,""ko"",""en""),)"),"")</f>
        <v/>
      </c>
      <c r="C1604" s="4" t="str">
        <f ca="1">IFERROR(__xludf.DUMMYFUNCTION("IFERROR(GOOGLETRANSLATE(B1604,""en"",""ja""),)"),"")</f>
        <v/>
      </c>
      <c r="D1604" s="4" t="str">
        <f ca="1">IFERROR(__xludf.DUMMYFUNCTION("IFERROR(GOOGLETRANSLATE(B1604,""en"",""zh-TW""),)"),"")</f>
        <v/>
      </c>
      <c r="E1604" s="4" t="str">
        <f ca="1">IFERROR(__xludf.DUMMYFUNCTION("IFERROR(GOOGLETRANSLATE(B1604,""en"",""zh-CN""),)"),"")</f>
        <v/>
      </c>
    </row>
    <row r="1605" spans="1:5">
      <c r="A1605" s="3"/>
      <c r="B1605" s="4" t="str">
        <f ca="1">IFERROR(__xludf.DUMMYFUNCTION("IFERROR(GOOGLETRANSLATE(A1605,""ko"",""en""),)"),"")</f>
        <v/>
      </c>
      <c r="C1605" s="4" t="str">
        <f ca="1">IFERROR(__xludf.DUMMYFUNCTION("IFERROR(GOOGLETRANSLATE(B1605,""en"",""ja""),)"),"")</f>
        <v/>
      </c>
      <c r="D1605" s="4" t="str">
        <f ca="1">IFERROR(__xludf.DUMMYFUNCTION("IFERROR(GOOGLETRANSLATE(B1605,""en"",""zh-TW""),)"),"")</f>
        <v/>
      </c>
      <c r="E1605" s="4" t="str">
        <f ca="1">IFERROR(__xludf.DUMMYFUNCTION("IFERROR(GOOGLETRANSLATE(B1605,""en"",""zh-CN""),)"),"")</f>
        <v/>
      </c>
    </row>
    <row r="1606" spans="1:5">
      <c r="A1606" s="3"/>
      <c r="B1606" s="4" t="str">
        <f ca="1">IFERROR(__xludf.DUMMYFUNCTION("IFERROR(GOOGLETRANSLATE(A1606,""ko"",""en""),)"),"")</f>
        <v/>
      </c>
      <c r="C1606" s="4" t="str">
        <f ca="1">IFERROR(__xludf.DUMMYFUNCTION("IFERROR(GOOGLETRANSLATE(B1606,""en"",""ja""),)"),"")</f>
        <v/>
      </c>
      <c r="D1606" s="4" t="str">
        <f ca="1">IFERROR(__xludf.DUMMYFUNCTION("IFERROR(GOOGLETRANSLATE(B1606,""en"",""zh-TW""),)"),"")</f>
        <v/>
      </c>
      <c r="E1606" s="4" t="str">
        <f ca="1">IFERROR(__xludf.DUMMYFUNCTION("IFERROR(GOOGLETRANSLATE(B1606,""en"",""zh-CN""),)"),"")</f>
        <v/>
      </c>
    </row>
    <row r="1607" spans="1:5">
      <c r="A1607" s="3"/>
      <c r="B1607" s="4" t="str">
        <f ca="1">IFERROR(__xludf.DUMMYFUNCTION("IFERROR(GOOGLETRANSLATE(A1607,""ko"",""en""),)"),"")</f>
        <v/>
      </c>
      <c r="C1607" s="4" t="str">
        <f ca="1">IFERROR(__xludf.DUMMYFUNCTION("IFERROR(GOOGLETRANSLATE(B1607,""en"",""ja""),)"),"")</f>
        <v/>
      </c>
      <c r="D1607" s="4" t="str">
        <f ca="1">IFERROR(__xludf.DUMMYFUNCTION("IFERROR(GOOGLETRANSLATE(B1607,""en"",""zh-TW""),)"),"")</f>
        <v/>
      </c>
      <c r="E1607" s="4" t="str">
        <f ca="1">IFERROR(__xludf.DUMMYFUNCTION("IFERROR(GOOGLETRANSLATE(B1607,""en"",""zh-CN""),)"),"")</f>
        <v/>
      </c>
    </row>
    <row r="1608" spans="1:5">
      <c r="A1608" s="3"/>
      <c r="B1608" s="4" t="str">
        <f ca="1">IFERROR(__xludf.DUMMYFUNCTION("IFERROR(GOOGLETRANSLATE(A1608,""ko"",""en""),)"),"")</f>
        <v/>
      </c>
      <c r="C1608" s="4" t="str">
        <f ca="1">IFERROR(__xludf.DUMMYFUNCTION("IFERROR(GOOGLETRANSLATE(B1608,""en"",""ja""),)"),"")</f>
        <v/>
      </c>
      <c r="D1608" s="4" t="str">
        <f ca="1">IFERROR(__xludf.DUMMYFUNCTION("IFERROR(GOOGLETRANSLATE(B1608,""en"",""zh-TW""),)"),"")</f>
        <v/>
      </c>
      <c r="E1608" s="4" t="str">
        <f ca="1">IFERROR(__xludf.DUMMYFUNCTION("IFERROR(GOOGLETRANSLATE(B1608,""en"",""zh-CN""),)"),"")</f>
        <v/>
      </c>
    </row>
    <row r="1609" spans="1:5">
      <c r="A1609" s="3"/>
      <c r="B1609" s="4" t="str">
        <f ca="1">IFERROR(__xludf.DUMMYFUNCTION("IFERROR(GOOGLETRANSLATE(A1609,""ko"",""en""),)"),"")</f>
        <v/>
      </c>
      <c r="C1609" s="4" t="str">
        <f ca="1">IFERROR(__xludf.DUMMYFUNCTION("IFERROR(GOOGLETRANSLATE(B1609,""en"",""ja""),)"),"")</f>
        <v/>
      </c>
      <c r="D1609" s="4" t="str">
        <f ca="1">IFERROR(__xludf.DUMMYFUNCTION("IFERROR(GOOGLETRANSLATE(B1609,""en"",""zh-TW""),)"),"")</f>
        <v/>
      </c>
      <c r="E1609" s="4" t="str">
        <f ca="1">IFERROR(__xludf.DUMMYFUNCTION("IFERROR(GOOGLETRANSLATE(B1609,""en"",""zh-CN""),)"),"")</f>
        <v/>
      </c>
    </row>
    <row r="1610" spans="1:5">
      <c r="A1610" s="3"/>
      <c r="B1610" s="4" t="str">
        <f ca="1">IFERROR(__xludf.DUMMYFUNCTION("IFERROR(GOOGLETRANSLATE(A1610,""ko"",""en""),)"),"")</f>
        <v/>
      </c>
      <c r="C1610" s="4" t="str">
        <f ca="1">IFERROR(__xludf.DUMMYFUNCTION("IFERROR(GOOGLETRANSLATE(B1610,""en"",""ja""),)"),"")</f>
        <v/>
      </c>
      <c r="D1610" s="4" t="str">
        <f ca="1">IFERROR(__xludf.DUMMYFUNCTION("IFERROR(GOOGLETRANSLATE(B1610,""en"",""zh-TW""),)"),"")</f>
        <v/>
      </c>
      <c r="E1610" s="4" t="str">
        <f ca="1">IFERROR(__xludf.DUMMYFUNCTION("IFERROR(GOOGLETRANSLATE(B1610,""en"",""zh-CN""),)"),"")</f>
        <v/>
      </c>
    </row>
    <row r="1611" spans="1:5">
      <c r="A1611" s="3"/>
      <c r="B1611" s="4" t="str">
        <f ca="1">IFERROR(__xludf.DUMMYFUNCTION("IFERROR(GOOGLETRANSLATE(A1611,""ko"",""en""),)"),"")</f>
        <v/>
      </c>
      <c r="C1611" s="4" t="str">
        <f ca="1">IFERROR(__xludf.DUMMYFUNCTION("IFERROR(GOOGLETRANSLATE(B1611,""en"",""ja""),)"),"")</f>
        <v/>
      </c>
      <c r="D1611" s="4" t="str">
        <f ca="1">IFERROR(__xludf.DUMMYFUNCTION("IFERROR(GOOGLETRANSLATE(B1611,""en"",""zh-TW""),)"),"")</f>
        <v/>
      </c>
      <c r="E1611" s="4" t="str">
        <f ca="1">IFERROR(__xludf.DUMMYFUNCTION("IFERROR(GOOGLETRANSLATE(B1611,""en"",""zh-CN""),)"),"")</f>
        <v/>
      </c>
    </row>
    <row r="1612" spans="1:5">
      <c r="A1612" s="3"/>
      <c r="B1612" s="4" t="str">
        <f ca="1">IFERROR(__xludf.DUMMYFUNCTION("IFERROR(GOOGLETRANSLATE(A1612,""ko"",""en""),)"),"")</f>
        <v/>
      </c>
      <c r="C1612" s="4" t="str">
        <f ca="1">IFERROR(__xludf.DUMMYFUNCTION("IFERROR(GOOGLETRANSLATE(B1612,""en"",""ja""),)"),"")</f>
        <v/>
      </c>
      <c r="D1612" s="4" t="str">
        <f ca="1">IFERROR(__xludf.DUMMYFUNCTION("IFERROR(GOOGLETRANSLATE(B1612,""en"",""zh-TW""),)"),"")</f>
        <v/>
      </c>
      <c r="E1612" s="4" t="str">
        <f ca="1">IFERROR(__xludf.DUMMYFUNCTION("IFERROR(GOOGLETRANSLATE(B1612,""en"",""zh-CN""),)"),"")</f>
        <v/>
      </c>
    </row>
    <row r="1613" spans="1:5">
      <c r="A1613" s="3"/>
      <c r="B1613" s="4" t="str">
        <f ca="1">IFERROR(__xludf.DUMMYFUNCTION("IFERROR(GOOGLETRANSLATE(A1613,""ko"",""en""),)"),"")</f>
        <v/>
      </c>
      <c r="C1613" s="4" t="str">
        <f ca="1">IFERROR(__xludf.DUMMYFUNCTION("IFERROR(GOOGLETRANSLATE(B1613,""en"",""ja""),)"),"")</f>
        <v/>
      </c>
      <c r="D1613" s="4" t="str">
        <f ca="1">IFERROR(__xludf.DUMMYFUNCTION("IFERROR(GOOGLETRANSLATE(B1613,""en"",""zh-TW""),)"),"")</f>
        <v/>
      </c>
      <c r="E1613" s="4" t="str">
        <f ca="1">IFERROR(__xludf.DUMMYFUNCTION("IFERROR(GOOGLETRANSLATE(B1613,""en"",""zh-CN""),)"),"")</f>
        <v/>
      </c>
    </row>
    <row r="1614" spans="1:5">
      <c r="A1614" s="3"/>
      <c r="B1614" s="4" t="str">
        <f ca="1">IFERROR(__xludf.DUMMYFUNCTION("IFERROR(GOOGLETRANSLATE(A1614,""ko"",""en""),)"),"")</f>
        <v/>
      </c>
      <c r="C1614" s="4" t="str">
        <f ca="1">IFERROR(__xludf.DUMMYFUNCTION("IFERROR(GOOGLETRANSLATE(B1614,""en"",""ja""),)"),"")</f>
        <v/>
      </c>
      <c r="D1614" s="4" t="str">
        <f ca="1">IFERROR(__xludf.DUMMYFUNCTION("IFERROR(GOOGLETRANSLATE(B1614,""en"",""zh-TW""),)"),"")</f>
        <v/>
      </c>
      <c r="E1614" s="4" t="str">
        <f ca="1">IFERROR(__xludf.DUMMYFUNCTION("IFERROR(GOOGLETRANSLATE(B1614,""en"",""zh-CN""),)"),"")</f>
        <v/>
      </c>
    </row>
    <row r="1615" spans="1:5">
      <c r="A1615" s="3"/>
      <c r="B1615" s="4" t="str">
        <f ca="1">IFERROR(__xludf.DUMMYFUNCTION("IFERROR(GOOGLETRANSLATE(A1615,""ko"",""en""),)"),"")</f>
        <v/>
      </c>
      <c r="C1615" s="4" t="str">
        <f ca="1">IFERROR(__xludf.DUMMYFUNCTION("IFERROR(GOOGLETRANSLATE(B1615,""en"",""ja""),)"),"")</f>
        <v/>
      </c>
      <c r="D1615" s="4" t="str">
        <f ca="1">IFERROR(__xludf.DUMMYFUNCTION("IFERROR(GOOGLETRANSLATE(B1615,""en"",""zh-TW""),)"),"")</f>
        <v/>
      </c>
      <c r="E1615" s="4" t="str">
        <f ca="1">IFERROR(__xludf.DUMMYFUNCTION("IFERROR(GOOGLETRANSLATE(B1615,""en"",""zh-CN""),)"),"")</f>
        <v/>
      </c>
    </row>
    <row r="1616" spans="1:5">
      <c r="A1616" s="3"/>
      <c r="B1616" s="4" t="str">
        <f ca="1">IFERROR(__xludf.DUMMYFUNCTION("IFERROR(GOOGLETRANSLATE(A1616,""ko"",""en""),)"),"")</f>
        <v/>
      </c>
      <c r="C1616" s="4" t="str">
        <f ca="1">IFERROR(__xludf.DUMMYFUNCTION("IFERROR(GOOGLETRANSLATE(B1616,""en"",""ja""),)"),"")</f>
        <v/>
      </c>
      <c r="D1616" s="4" t="str">
        <f ca="1">IFERROR(__xludf.DUMMYFUNCTION("IFERROR(GOOGLETRANSLATE(B1616,""en"",""zh-TW""),)"),"")</f>
        <v/>
      </c>
      <c r="E1616" s="4" t="str">
        <f ca="1">IFERROR(__xludf.DUMMYFUNCTION("IFERROR(GOOGLETRANSLATE(B1616,""en"",""zh-CN""),)"),"")</f>
        <v/>
      </c>
    </row>
    <row r="1617" spans="1:5">
      <c r="A1617" s="3"/>
      <c r="B1617" s="4" t="str">
        <f ca="1">IFERROR(__xludf.DUMMYFUNCTION("IFERROR(GOOGLETRANSLATE(A1617,""ko"",""en""),)"),"")</f>
        <v/>
      </c>
      <c r="C1617" s="4" t="str">
        <f ca="1">IFERROR(__xludf.DUMMYFUNCTION("IFERROR(GOOGLETRANSLATE(B1617,""en"",""ja""),)"),"")</f>
        <v/>
      </c>
      <c r="D1617" s="4" t="str">
        <f ca="1">IFERROR(__xludf.DUMMYFUNCTION("IFERROR(GOOGLETRANSLATE(B1617,""en"",""zh-TW""),)"),"")</f>
        <v/>
      </c>
      <c r="E1617" s="4" t="str">
        <f ca="1">IFERROR(__xludf.DUMMYFUNCTION("IFERROR(GOOGLETRANSLATE(B1617,""en"",""zh-CN""),)"),"")</f>
        <v/>
      </c>
    </row>
    <row r="1618" spans="1:5">
      <c r="A1618" s="3"/>
      <c r="B1618" s="4" t="str">
        <f ca="1">IFERROR(__xludf.DUMMYFUNCTION("IFERROR(GOOGLETRANSLATE(A1618,""ko"",""en""),)"),"")</f>
        <v/>
      </c>
      <c r="C1618" s="4" t="str">
        <f ca="1">IFERROR(__xludf.DUMMYFUNCTION("IFERROR(GOOGLETRANSLATE(B1618,""en"",""ja""),)"),"")</f>
        <v/>
      </c>
      <c r="D1618" s="4" t="str">
        <f ca="1">IFERROR(__xludf.DUMMYFUNCTION("IFERROR(GOOGLETRANSLATE(B1618,""en"",""zh-TW""),)"),"")</f>
        <v/>
      </c>
      <c r="E1618" s="4" t="str">
        <f ca="1">IFERROR(__xludf.DUMMYFUNCTION("IFERROR(GOOGLETRANSLATE(B1618,""en"",""zh-CN""),)"),"")</f>
        <v/>
      </c>
    </row>
    <row r="1619" spans="1:5">
      <c r="A1619" s="3"/>
      <c r="B1619" s="4" t="str">
        <f ca="1">IFERROR(__xludf.DUMMYFUNCTION("IFERROR(GOOGLETRANSLATE(A1619,""ko"",""en""),)"),"")</f>
        <v/>
      </c>
      <c r="C1619" s="4" t="str">
        <f ca="1">IFERROR(__xludf.DUMMYFUNCTION("IFERROR(GOOGLETRANSLATE(B1619,""en"",""ja""),)"),"")</f>
        <v/>
      </c>
      <c r="D1619" s="4" t="str">
        <f ca="1">IFERROR(__xludf.DUMMYFUNCTION("IFERROR(GOOGLETRANSLATE(B1619,""en"",""zh-TW""),)"),"")</f>
        <v/>
      </c>
      <c r="E1619" s="4" t="str">
        <f ca="1">IFERROR(__xludf.DUMMYFUNCTION("IFERROR(GOOGLETRANSLATE(B1619,""en"",""zh-CN""),)"),"")</f>
        <v/>
      </c>
    </row>
    <row r="1620" spans="1:5">
      <c r="A1620" s="3"/>
      <c r="B1620" s="4" t="str">
        <f ca="1">IFERROR(__xludf.DUMMYFUNCTION("IFERROR(GOOGLETRANSLATE(A1620,""ko"",""en""),)"),"")</f>
        <v/>
      </c>
      <c r="C1620" s="4" t="str">
        <f ca="1">IFERROR(__xludf.DUMMYFUNCTION("IFERROR(GOOGLETRANSLATE(B1620,""en"",""ja""),)"),"")</f>
        <v/>
      </c>
      <c r="D1620" s="4" t="str">
        <f ca="1">IFERROR(__xludf.DUMMYFUNCTION("IFERROR(GOOGLETRANSLATE(B1620,""en"",""zh-TW""),)"),"")</f>
        <v/>
      </c>
      <c r="E1620" s="4" t="str">
        <f ca="1">IFERROR(__xludf.DUMMYFUNCTION("IFERROR(GOOGLETRANSLATE(B1620,""en"",""zh-CN""),)"),"")</f>
        <v/>
      </c>
    </row>
    <row r="1621" spans="1:5">
      <c r="A1621" s="3"/>
      <c r="B1621" s="4" t="str">
        <f ca="1">IFERROR(__xludf.DUMMYFUNCTION("IFERROR(GOOGLETRANSLATE(A1621,""ko"",""en""),)"),"")</f>
        <v/>
      </c>
      <c r="C1621" s="4" t="str">
        <f ca="1">IFERROR(__xludf.DUMMYFUNCTION("IFERROR(GOOGLETRANSLATE(B1621,""en"",""ja""),)"),"")</f>
        <v/>
      </c>
      <c r="D1621" s="4" t="str">
        <f ca="1">IFERROR(__xludf.DUMMYFUNCTION("IFERROR(GOOGLETRANSLATE(B1621,""en"",""zh-TW""),)"),"")</f>
        <v/>
      </c>
      <c r="E1621" s="4" t="str">
        <f ca="1">IFERROR(__xludf.DUMMYFUNCTION("IFERROR(GOOGLETRANSLATE(B1621,""en"",""zh-CN""),)"),"")</f>
        <v/>
      </c>
    </row>
    <row r="1622" spans="1:5">
      <c r="A1622" s="3"/>
      <c r="B1622" s="4" t="str">
        <f ca="1">IFERROR(__xludf.DUMMYFUNCTION("IFERROR(GOOGLETRANSLATE(A1622,""ko"",""en""),)"),"")</f>
        <v/>
      </c>
      <c r="C1622" s="4" t="str">
        <f ca="1">IFERROR(__xludf.DUMMYFUNCTION("IFERROR(GOOGLETRANSLATE(B1622,""en"",""ja""),)"),"")</f>
        <v/>
      </c>
      <c r="D1622" s="4" t="str">
        <f ca="1">IFERROR(__xludf.DUMMYFUNCTION("IFERROR(GOOGLETRANSLATE(B1622,""en"",""zh-TW""),)"),"")</f>
        <v/>
      </c>
      <c r="E1622" s="4" t="str">
        <f ca="1">IFERROR(__xludf.DUMMYFUNCTION("IFERROR(GOOGLETRANSLATE(B1622,""en"",""zh-CN""),)"),"")</f>
        <v/>
      </c>
    </row>
    <row r="1623" spans="1:5">
      <c r="A1623" s="3"/>
      <c r="B1623" s="4" t="str">
        <f ca="1">IFERROR(__xludf.DUMMYFUNCTION("IFERROR(GOOGLETRANSLATE(A1623,""ko"",""en""),)"),"")</f>
        <v/>
      </c>
      <c r="C1623" s="4" t="str">
        <f ca="1">IFERROR(__xludf.DUMMYFUNCTION("IFERROR(GOOGLETRANSLATE(B1623,""en"",""ja""),)"),"")</f>
        <v/>
      </c>
      <c r="D1623" s="4" t="str">
        <f ca="1">IFERROR(__xludf.DUMMYFUNCTION("IFERROR(GOOGLETRANSLATE(B1623,""en"",""zh-TW""),)"),"")</f>
        <v/>
      </c>
      <c r="E1623" s="4" t="str">
        <f ca="1">IFERROR(__xludf.DUMMYFUNCTION("IFERROR(GOOGLETRANSLATE(B1623,""en"",""zh-CN""),)"),"")</f>
        <v/>
      </c>
    </row>
    <row r="1624" spans="1:5">
      <c r="A1624" s="3"/>
      <c r="B1624" s="4" t="str">
        <f ca="1">IFERROR(__xludf.DUMMYFUNCTION("IFERROR(GOOGLETRANSLATE(A1624,""ko"",""en""),)"),"")</f>
        <v/>
      </c>
      <c r="C1624" s="4" t="str">
        <f ca="1">IFERROR(__xludf.DUMMYFUNCTION("IFERROR(GOOGLETRANSLATE(B1624,""en"",""ja""),)"),"")</f>
        <v/>
      </c>
      <c r="D1624" s="4" t="str">
        <f ca="1">IFERROR(__xludf.DUMMYFUNCTION("IFERROR(GOOGLETRANSLATE(B1624,""en"",""zh-TW""),)"),"")</f>
        <v/>
      </c>
      <c r="E1624" s="4" t="str">
        <f ca="1">IFERROR(__xludf.DUMMYFUNCTION("IFERROR(GOOGLETRANSLATE(B1624,""en"",""zh-CN""),)"),"")</f>
        <v/>
      </c>
    </row>
    <row r="1625" spans="1:5">
      <c r="A1625" s="3"/>
      <c r="B1625" s="4" t="str">
        <f ca="1">IFERROR(__xludf.DUMMYFUNCTION("IFERROR(GOOGLETRANSLATE(A1625,""ko"",""en""),)"),"")</f>
        <v/>
      </c>
      <c r="C1625" s="4" t="str">
        <f ca="1">IFERROR(__xludf.DUMMYFUNCTION("IFERROR(GOOGLETRANSLATE(B1625,""en"",""ja""),)"),"")</f>
        <v/>
      </c>
      <c r="D1625" s="4" t="str">
        <f ca="1">IFERROR(__xludf.DUMMYFUNCTION("IFERROR(GOOGLETRANSLATE(B1625,""en"",""zh-TW""),)"),"")</f>
        <v/>
      </c>
      <c r="E1625" s="4" t="str">
        <f ca="1">IFERROR(__xludf.DUMMYFUNCTION("IFERROR(GOOGLETRANSLATE(B1625,""en"",""zh-CN""),)"),"")</f>
        <v/>
      </c>
    </row>
    <row r="1626" spans="1:5">
      <c r="A1626" s="3"/>
      <c r="B1626" s="4" t="str">
        <f ca="1">IFERROR(__xludf.DUMMYFUNCTION("IFERROR(GOOGLETRANSLATE(A1626,""ko"",""en""),)"),"")</f>
        <v/>
      </c>
      <c r="C1626" s="4" t="str">
        <f ca="1">IFERROR(__xludf.DUMMYFUNCTION("IFERROR(GOOGLETRANSLATE(B1626,""en"",""ja""),)"),"")</f>
        <v/>
      </c>
      <c r="D1626" s="4" t="str">
        <f ca="1">IFERROR(__xludf.DUMMYFUNCTION("IFERROR(GOOGLETRANSLATE(B1626,""en"",""zh-TW""),)"),"")</f>
        <v/>
      </c>
      <c r="E1626" s="4" t="str">
        <f ca="1">IFERROR(__xludf.DUMMYFUNCTION("IFERROR(GOOGLETRANSLATE(B1626,""en"",""zh-CN""),)"),"")</f>
        <v/>
      </c>
    </row>
    <row r="1627" spans="1:5">
      <c r="A1627" s="3"/>
      <c r="B1627" s="4" t="str">
        <f ca="1">IFERROR(__xludf.DUMMYFUNCTION("IFERROR(GOOGLETRANSLATE(A1627,""ko"",""en""),)"),"")</f>
        <v/>
      </c>
      <c r="C1627" s="4" t="str">
        <f ca="1">IFERROR(__xludf.DUMMYFUNCTION("IFERROR(GOOGLETRANSLATE(B1627,""en"",""ja""),)"),"")</f>
        <v/>
      </c>
      <c r="D1627" s="4" t="str">
        <f ca="1">IFERROR(__xludf.DUMMYFUNCTION("IFERROR(GOOGLETRANSLATE(B1627,""en"",""zh-TW""),)"),"")</f>
        <v/>
      </c>
      <c r="E1627" s="4" t="str">
        <f ca="1">IFERROR(__xludf.DUMMYFUNCTION("IFERROR(GOOGLETRANSLATE(B1627,""en"",""zh-CN""),)"),"")</f>
        <v/>
      </c>
    </row>
    <row r="1628" spans="1:5">
      <c r="A1628" s="3"/>
      <c r="B1628" s="4" t="str">
        <f ca="1">IFERROR(__xludf.DUMMYFUNCTION("IFERROR(GOOGLETRANSLATE(A1628,""ko"",""en""),)"),"")</f>
        <v/>
      </c>
      <c r="C1628" s="4" t="str">
        <f ca="1">IFERROR(__xludf.DUMMYFUNCTION("IFERROR(GOOGLETRANSLATE(B1628,""en"",""ja""),)"),"")</f>
        <v/>
      </c>
      <c r="D1628" s="4" t="str">
        <f ca="1">IFERROR(__xludf.DUMMYFUNCTION("IFERROR(GOOGLETRANSLATE(B1628,""en"",""zh-TW""),)"),"")</f>
        <v/>
      </c>
      <c r="E1628" s="4" t="str">
        <f ca="1">IFERROR(__xludf.DUMMYFUNCTION("IFERROR(GOOGLETRANSLATE(B1628,""en"",""zh-CN""),)"),"")</f>
        <v/>
      </c>
    </row>
    <row r="1629" spans="1:5">
      <c r="A1629" s="3"/>
      <c r="B1629" s="4" t="str">
        <f ca="1">IFERROR(__xludf.DUMMYFUNCTION("IFERROR(GOOGLETRANSLATE(A1629,""ko"",""en""),)"),"")</f>
        <v/>
      </c>
      <c r="C1629" s="4" t="str">
        <f ca="1">IFERROR(__xludf.DUMMYFUNCTION("IFERROR(GOOGLETRANSLATE(B1629,""en"",""ja""),)"),"")</f>
        <v/>
      </c>
      <c r="D1629" s="4" t="str">
        <f ca="1">IFERROR(__xludf.DUMMYFUNCTION("IFERROR(GOOGLETRANSLATE(B1629,""en"",""zh-TW""),)"),"")</f>
        <v/>
      </c>
      <c r="E1629" s="4" t="str">
        <f ca="1">IFERROR(__xludf.DUMMYFUNCTION("IFERROR(GOOGLETRANSLATE(B1629,""en"",""zh-CN""),)"),"")</f>
        <v/>
      </c>
    </row>
    <row r="1630" spans="1:5">
      <c r="A1630" s="3"/>
      <c r="B1630" s="4" t="str">
        <f ca="1">IFERROR(__xludf.DUMMYFUNCTION("IFERROR(GOOGLETRANSLATE(A1630,""ko"",""en""),)"),"")</f>
        <v/>
      </c>
      <c r="C1630" s="4" t="str">
        <f ca="1">IFERROR(__xludf.DUMMYFUNCTION("IFERROR(GOOGLETRANSLATE(B1630,""en"",""ja""),)"),"")</f>
        <v/>
      </c>
      <c r="D1630" s="4" t="str">
        <f ca="1">IFERROR(__xludf.DUMMYFUNCTION("IFERROR(GOOGLETRANSLATE(B1630,""en"",""zh-TW""),)"),"")</f>
        <v/>
      </c>
      <c r="E1630" s="4" t="str">
        <f ca="1">IFERROR(__xludf.DUMMYFUNCTION("IFERROR(GOOGLETRANSLATE(B1630,""en"",""zh-CN""),)"),"")</f>
        <v/>
      </c>
    </row>
    <row r="1631" spans="1:5">
      <c r="A1631" s="3"/>
      <c r="B1631" s="4" t="str">
        <f ca="1">IFERROR(__xludf.DUMMYFUNCTION("IFERROR(GOOGLETRANSLATE(A1631,""ko"",""en""),)"),"")</f>
        <v/>
      </c>
      <c r="C1631" s="4" t="str">
        <f ca="1">IFERROR(__xludf.DUMMYFUNCTION("IFERROR(GOOGLETRANSLATE(B1631,""en"",""ja""),)"),"")</f>
        <v/>
      </c>
      <c r="D1631" s="4" t="str">
        <f ca="1">IFERROR(__xludf.DUMMYFUNCTION("IFERROR(GOOGLETRANSLATE(B1631,""en"",""zh-TW""),)"),"")</f>
        <v/>
      </c>
      <c r="E1631" s="4" t="str">
        <f ca="1">IFERROR(__xludf.DUMMYFUNCTION("IFERROR(GOOGLETRANSLATE(B1631,""en"",""zh-CN""),)"),"")</f>
        <v/>
      </c>
    </row>
    <row r="1632" spans="1:5">
      <c r="A1632" s="3"/>
      <c r="B1632" s="4" t="str">
        <f ca="1">IFERROR(__xludf.DUMMYFUNCTION("IFERROR(GOOGLETRANSLATE(A1632,""ko"",""en""),)"),"")</f>
        <v/>
      </c>
      <c r="C1632" s="4" t="str">
        <f ca="1">IFERROR(__xludf.DUMMYFUNCTION("IFERROR(GOOGLETRANSLATE(B1632,""en"",""ja""),)"),"")</f>
        <v/>
      </c>
      <c r="D1632" s="4" t="str">
        <f ca="1">IFERROR(__xludf.DUMMYFUNCTION("IFERROR(GOOGLETRANSLATE(B1632,""en"",""zh-TW""),)"),"")</f>
        <v/>
      </c>
      <c r="E1632" s="4" t="str">
        <f ca="1">IFERROR(__xludf.DUMMYFUNCTION("IFERROR(GOOGLETRANSLATE(B1632,""en"",""zh-CN""),)"),"")</f>
        <v/>
      </c>
    </row>
    <row r="1633" spans="1:5">
      <c r="A1633" s="3"/>
      <c r="B1633" s="4" t="str">
        <f ca="1">IFERROR(__xludf.DUMMYFUNCTION("IFERROR(GOOGLETRANSLATE(A1633,""ko"",""en""),)"),"")</f>
        <v/>
      </c>
      <c r="C1633" s="4" t="str">
        <f ca="1">IFERROR(__xludf.DUMMYFUNCTION("IFERROR(GOOGLETRANSLATE(B1633,""en"",""ja""),)"),"")</f>
        <v/>
      </c>
      <c r="D1633" s="4" t="str">
        <f ca="1">IFERROR(__xludf.DUMMYFUNCTION("IFERROR(GOOGLETRANSLATE(B1633,""en"",""zh-TW""),)"),"")</f>
        <v/>
      </c>
      <c r="E1633" s="4" t="str">
        <f ca="1">IFERROR(__xludf.DUMMYFUNCTION("IFERROR(GOOGLETRANSLATE(B1633,""en"",""zh-CN""),)"),"")</f>
        <v/>
      </c>
    </row>
    <row r="1634" spans="1:5">
      <c r="A1634" s="3"/>
      <c r="B1634" s="4" t="str">
        <f ca="1">IFERROR(__xludf.DUMMYFUNCTION("IFERROR(GOOGLETRANSLATE(A1634,""ko"",""en""),)"),"")</f>
        <v/>
      </c>
      <c r="C1634" s="4" t="str">
        <f ca="1">IFERROR(__xludf.DUMMYFUNCTION("IFERROR(GOOGLETRANSLATE(B1634,""en"",""ja""),)"),"")</f>
        <v/>
      </c>
      <c r="D1634" s="4" t="str">
        <f ca="1">IFERROR(__xludf.DUMMYFUNCTION("IFERROR(GOOGLETRANSLATE(B1634,""en"",""zh-TW""),)"),"")</f>
        <v/>
      </c>
      <c r="E1634" s="4" t="str">
        <f ca="1">IFERROR(__xludf.DUMMYFUNCTION("IFERROR(GOOGLETRANSLATE(B1634,""en"",""zh-CN""),)"),"")</f>
        <v/>
      </c>
    </row>
    <row r="1635" spans="1:5">
      <c r="A1635" s="3"/>
      <c r="B1635" s="4" t="str">
        <f ca="1">IFERROR(__xludf.DUMMYFUNCTION("IFERROR(GOOGLETRANSLATE(A1635,""ko"",""en""),)"),"")</f>
        <v/>
      </c>
      <c r="C1635" s="4" t="str">
        <f ca="1">IFERROR(__xludf.DUMMYFUNCTION("IFERROR(GOOGLETRANSLATE(B1635,""en"",""ja""),)"),"")</f>
        <v/>
      </c>
      <c r="D1635" s="4" t="str">
        <f ca="1">IFERROR(__xludf.DUMMYFUNCTION("IFERROR(GOOGLETRANSLATE(B1635,""en"",""zh-TW""),)"),"")</f>
        <v/>
      </c>
      <c r="E1635" s="4" t="str">
        <f ca="1">IFERROR(__xludf.DUMMYFUNCTION("IFERROR(GOOGLETRANSLATE(B1635,""en"",""zh-CN""),)"),"")</f>
        <v/>
      </c>
    </row>
    <row r="1636" spans="1:5">
      <c r="A1636" s="3"/>
      <c r="B1636" s="4" t="str">
        <f ca="1">IFERROR(__xludf.DUMMYFUNCTION("IFERROR(GOOGLETRANSLATE(A1636,""ko"",""en""),)"),"")</f>
        <v/>
      </c>
      <c r="C1636" s="4" t="str">
        <f ca="1">IFERROR(__xludf.DUMMYFUNCTION("IFERROR(GOOGLETRANSLATE(B1636,""en"",""ja""),)"),"")</f>
        <v/>
      </c>
      <c r="D1636" s="4" t="str">
        <f ca="1">IFERROR(__xludf.DUMMYFUNCTION("IFERROR(GOOGLETRANSLATE(B1636,""en"",""zh-TW""),)"),"")</f>
        <v/>
      </c>
      <c r="E1636" s="4" t="str">
        <f ca="1">IFERROR(__xludf.DUMMYFUNCTION("IFERROR(GOOGLETRANSLATE(B1636,""en"",""zh-CN""),)"),"")</f>
        <v/>
      </c>
    </row>
    <row r="1637" spans="1:5">
      <c r="A1637" s="3"/>
      <c r="B1637" s="4" t="str">
        <f ca="1">IFERROR(__xludf.DUMMYFUNCTION("IFERROR(GOOGLETRANSLATE(A1637,""ko"",""en""),)"),"")</f>
        <v/>
      </c>
      <c r="C1637" s="4" t="str">
        <f ca="1">IFERROR(__xludf.DUMMYFUNCTION("IFERROR(GOOGLETRANSLATE(B1637,""en"",""ja""),)"),"")</f>
        <v/>
      </c>
      <c r="D1637" s="4" t="str">
        <f ca="1">IFERROR(__xludf.DUMMYFUNCTION("IFERROR(GOOGLETRANSLATE(B1637,""en"",""zh-TW""),)"),"")</f>
        <v/>
      </c>
      <c r="E1637" s="4" t="str">
        <f ca="1">IFERROR(__xludf.DUMMYFUNCTION("IFERROR(GOOGLETRANSLATE(B1637,""en"",""zh-CN""),)"),"")</f>
        <v/>
      </c>
    </row>
    <row r="1638" spans="1:5">
      <c r="A1638" s="3"/>
      <c r="B1638" s="4" t="str">
        <f ca="1">IFERROR(__xludf.DUMMYFUNCTION("IFERROR(GOOGLETRANSLATE(A1638,""ko"",""en""),)"),"")</f>
        <v/>
      </c>
      <c r="C1638" s="4" t="str">
        <f ca="1">IFERROR(__xludf.DUMMYFUNCTION("IFERROR(GOOGLETRANSLATE(B1638,""en"",""ja""),)"),"")</f>
        <v/>
      </c>
      <c r="D1638" s="4" t="str">
        <f ca="1">IFERROR(__xludf.DUMMYFUNCTION("IFERROR(GOOGLETRANSLATE(B1638,""en"",""zh-TW""),)"),"")</f>
        <v/>
      </c>
      <c r="E1638" s="4" t="str">
        <f ca="1">IFERROR(__xludf.DUMMYFUNCTION("IFERROR(GOOGLETRANSLATE(B1638,""en"",""zh-CN""),)"),"")</f>
        <v/>
      </c>
    </row>
    <row r="1639" spans="1:5">
      <c r="A1639" s="3"/>
      <c r="B1639" s="4" t="str">
        <f ca="1">IFERROR(__xludf.DUMMYFUNCTION("IFERROR(GOOGLETRANSLATE(A1639,""ko"",""en""),)"),"")</f>
        <v/>
      </c>
      <c r="C1639" s="4" t="str">
        <f ca="1">IFERROR(__xludf.DUMMYFUNCTION("IFERROR(GOOGLETRANSLATE(B1639,""en"",""ja""),)"),"")</f>
        <v/>
      </c>
      <c r="D1639" s="4" t="str">
        <f ca="1">IFERROR(__xludf.DUMMYFUNCTION("IFERROR(GOOGLETRANSLATE(B1639,""en"",""zh-TW""),)"),"")</f>
        <v/>
      </c>
      <c r="E1639" s="4" t="str">
        <f ca="1">IFERROR(__xludf.DUMMYFUNCTION("IFERROR(GOOGLETRANSLATE(B1639,""en"",""zh-CN""),)"),"")</f>
        <v/>
      </c>
    </row>
    <row r="1640" spans="1:5">
      <c r="A1640" s="3"/>
      <c r="B1640" s="4" t="str">
        <f ca="1">IFERROR(__xludf.DUMMYFUNCTION("IFERROR(GOOGLETRANSLATE(A1640,""ko"",""en""),)"),"")</f>
        <v/>
      </c>
      <c r="C1640" s="4" t="str">
        <f ca="1">IFERROR(__xludf.DUMMYFUNCTION("IFERROR(GOOGLETRANSLATE(B1640,""en"",""ja""),)"),"")</f>
        <v/>
      </c>
      <c r="D1640" s="4" t="str">
        <f ca="1">IFERROR(__xludf.DUMMYFUNCTION("IFERROR(GOOGLETRANSLATE(B1640,""en"",""zh-TW""),)"),"")</f>
        <v/>
      </c>
      <c r="E1640" s="4" t="str">
        <f ca="1">IFERROR(__xludf.DUMMYFUNCTION("IFERROR(GOOGLETRANSLATE(B1640,""en"",""zh-CN""),)"),"")</f>
        <v/>
      </c>
    </row>
    <row r="1641" spans="1:5">
      <c r="A1641" s="3"/>
      <c r="B1641" s="4" t="str">
        <f ca="1">IFERROR(__xludf.DUMMYFUNCTION("IFERROR(GOOGLETRANSLATE(A1641,""ko"",""en""),)"),"")</f>
        <v/>
      </c>
      <c r="C1641" s="4" t="str">
        <f ca="1">IFERROR(__xludf.DUMMYFUNCTION("IFERROR(GOOGLETRANSLATE(B1641,""en"",""ja""),)"),"")</f>
        <v/>
      </c>
      <c r="D1641" s="4" t="str">
        <f ca="1">IFERROR(__xludf.DUMMYFUNCTION("IFERROR(GOOGLETRANSLATE(B1641,""en"",""zh-TW""),)"),"")</f>
        <v/>
      </c>
      <c r="E1641" s="4" t="str">
        <f ca="1">IFERROR(__xludf.DUMMYFUNCTION("IFERROR(GOOGLETRANSLATE(B1641,""en"",""zh-CN""),)"),"")</f>
        <v/>
      </c>
    </row>
    <row r="1642" spans="1:5">
      <c r="A1642" s="3"/>
      <c r="B1642" s="4" t="str">
        <f ca="1">IFERROR(__xludf.DUMMYFUNCTION("IFERROR(GOOGLETRANSLATE(A1642,""ko"",""en""),)"),"")</f>
        <v/>
      </c>
      <c r="C1642" s="4" t="str">
        <f ca="1">IFERROR(__xludf.DUMMYFUNCTION("IFERROR(GOOGLETRANSLATE(B1642,""en"",""ja""),)"),"")</f>
        <v/>
      </c>
      <c r="D1642" s="4" t="str">
        <f ca="1">IFERROR(__xludf.DUMMYFUNCTION("IFERROR(GOOGLETRANSLATE(B1642,""en"",""zh-TW""),)"),"")</f>
        <v/>
      </c>
      <c r="E1642" s="4" t="str">
        <f ca="1">IFERROR(__xludf.DUMMYFUNCTION("IFERROR(GOOGLETRANSLATE(B1642,""en"",""zh-CN""),)"),"")</f>
        <v/>
      </c>
    </row>
    <row r="1643" spans="1:5">
      <c r="A1643" s="3"/>
      <c r="B1643" s="4" t="str">
        <f ca="1">IFERROR(__xludf.DUMMYFUNCTION("IFERROR(GOOGLETRANSLATE(A1643,""ko"",""en""),)"),"")</f>
        <v/>
      </c>
      <c r="C1643" s="4" t="str">
        <f ca="1">IFERROR(__xludf.DUMMYFUNCTION("IFERROR(GOOGLETRANSLATE(B1643,""en"",""ja""),)"),"")</f>
        <v/>
      </c>
      <c r="D1643" s="4" t="str">
        <f ca="1">IFERROR(__xludf.DUMMYFUNCTION("IFERROR(GOOGLETRANSLATE(B1643,""en"",""zh-TW""),)"),"")</f>
        <v/>
      </c>
      <c r="E1643" s="4" t="str">
        <f ca="1">IFERROR(__xludf.DUMMYFUNCTION("IFERROR(GOOGLETRANSLATE(B1643,""en"",""zh-CN""),)"),"")</f>
        <v/>
      </c>
    </row>
    <row r="1644" spans="1:5">
      <c r="A1644" s="3"/>
      <c r="B1644" s="4" t="str">
        <f ca="1">IFERROR(__xludf.DUMMYFUNCTION("IFERROR(GOOGLETRANSLATE(A1644,""ko"",""en""),)"),"")</f>
        <v/>
      </c>
      <c r="C1644" s="4" t="str">
        <f ca="1">IFERROR(__xludf.DUMMYFUNCTION("IFERROR(GOOGLETRANSLATE(B1644,""en"",""ja""),)"),"")</f>
        <v/>
      </c>
      <c r="D1644" s="4" t="str">
        <f ca="1">IFERROR(__xludf.DUMMYFUNCTION("IFERROR(GOOGLETRANSLATE(B1644,""en"",""zh-TW""),)"),"")</f>
        <v/>
      </c>
      <c r="E1644" s="4" t="str">
        <f ca="1">IFERROR(__xludf.DUMMYFUNCTION("IFERROR(GOOGLETRANSLATE(B1644,""en"",""zh-CN""),)"),"")</f>
        <v/>
      </c>
    </row>
    <row r="1645" spans="1:5">
      <c r="A1645" s="3"/>
      <c r="B1645" s="4" t="str">
        <f ca="1">IFERROR(__xludf.DUMMYFUNCTION("IFERROR(GOOGLETRANSLATE(A1645,""ko"",""en""),)"),"")</f>
        <v/>
      </c>
      <c r="C1645" s="4" t="str">
        <f ca="1">IFERROR(__xludf.DUMMYFUNCTION("IFERROR(GOOGLETRANSLATE(B1645,""en"",""ja""),)"),"")</f>
        <v/>
      </c>
      <c r="D1645" s="4" t="str">
        <f ca="1">IFERROR(__xludf.DUMMYFUNCTION("IFERROR(GOOGLETRANSLATE(B1645,""en"",""zh-TW""),)"),"")</f>
        <v/>
      </c>
      <c r="E1645" s="4" t="str">
        <f ca="1">IFERROR(__xludf.DUMMYFUNCTION("IFERROR(GOOGLETRANSLATE(B1645,""en"",""zh-CN""),)"),"")</f>
        <v/>
      </c>
    </row>
    <row r="1646" spans="1:5">
      <c r="A1646" s="3"/>
      <c r="B1646" s="4" t="str">
        <f ca="1">IFERROR(__xludf.DUMMYFUNCTION("IFERROR(GOOGLETRANSLATE(A1646,""ko"",""en""),)"),"")</f>
        <v/>
      </c>
      <c r="C1646" s="4" t="str">
        <f ca="1">IFERROR(__xludf.DUMMYFUNCTION("IFERROR(GOOGLETRANSLATE(B1646,""en"",""ja""),)"),"")</f>
        <v/>
      </c>
      <c r="D1646" s="4" t="str">
        <f ca="1">IFERROR(__xludf.DUMMYFUNCTION("IFERROR(GOOGLETRANSLATE(B1646,""en"",""zh-TW""),)"),"")</f>
        <v/>
      </c>
      <c r="E1646" s="4" t="str">
        <f ca="1">IFERROR(__xludf.DUMMYFUNCTION("IFERROR(GOOGLETRANSLATE(B1646,""en"",""zh-CN""),)"),"")</f>
        <v/>
      </c>
    </row>
    <row r="1647" spans="1:5">
      <c r="A1647" s="3"/>
      <c r="B1647" s="4" t="str">
        <f ca="1">IFERROR(__xludf.DUMMYFUNCTION("IFERROR(GOOGLETRANSLATE(A1647,""ko"",""en""),)"),"")</f>
        <v/>
      </c>
      <c r="C1647" s="4" t="str">
        <f ca="1">IFERROR(__xludf.DUMMYFUNCTION("IFERROR(GOOGLETRANSLATE(B1647,""en"",""ja""),)"),"")</f>
        <v/>
      </c>
      <c r="D1647" s="4" t="str">
        <f ca="1">IFERROR(__xludf.DUMMYFUNCTION("IFERROR(GOOGLETRANSLATE(B1647,""en"",""zh-TW""),)"),"")</f>
        <v/>
      </c>
      <c r="E1647" s="4" t="str">
        <f ca="1">IFERROR(__xludf.DUMMYFUNCTION("IFERROR(GOOGLETRANSLATE(B1647,""en"",""zh-CN""),)"),"")</f>
        <v/>
      </c>
    </row>
    <row r="1648" spans="1:5">
      <c r="A1648" s="3"/>
      <c r="B1648" s="4" t="str">
        <f ca="1">IFERROR(__xludf.DUMMYFUNCTION("IFERROR(GOOGLETRANSLATE(A1648,""ko"",""en""),)"),"")</f>
        <v/>
      </c>
      <c r="C1648" s="4" t="str">
        <f ca="1">IFERROR(__xludf.DUMMYFUNCTION("IFERROR(GOOGLETRANSLATE(B1648,""en"",""ja""),)"),"")</f>
        <v/>
      </c>
      <c r="D1648" s="4" t="str">
        <f ca="1">IFERROR(__xludf.DUMMYFUNCTION("IFERROR(GOOGLETRANSLATE(B1648,""en"",""zh-TW""),)"),"")</f>
        <v/>
      </c>
      <c r="E1648" s="4" t="str">
        <f ca="1">IFERROR(__xludf.DUMMYFUNCTION("IFERROR(GOOGLETRANSLATE(B1648,""en"",""zh-CN""),)"),"")</f>
        <v/>
      </c>
    </row>
    <row r="1649" spans="1:5">
      <c r="A1649" s="3"/>
      <c r="B1649" s="4" t="str">
        <f ca="1">IFERROR(__xludf.DUMMYFUNCTION("IFERROR(GOOGLETRANSLATE(A1649,""ko"",""en""),)"),"")</f>
        <v/>
      </c>
      <c r="C1649" s="4" t="str">
        <f ca="1">IFERROR(__xludf.DUMMYFUNCTION("IFERROR(GOOGLETRANSLATE(B1649,""en"",""ja""),)"),"")</f>
        <v/>
      </c>
      <c r="D1649" s="4" t="str">
        <f ca="1">IFERROR(__xludf.DUMMYFUNCTION("IFERROR(GOOGLETRANSLATE(B1649,""en"",""zh-TW""),)"),"")</f>
        <v/>
      </c>
      <c r="E1649" s="4" t="str">
        <f ca="1">IFERROR(__xludf.DUMMYFUNCTION("IFERROR(GOOGLETRANSLATE(B1649,""en"",""zh-CN""),)"),"")</f>
        <v/>
      </c>
    </row>
    <row r="1650" spans="1:5">
      <c r="A1650" s="3"/>
      <c r="B1650" s="4" t="str">
        <f ca="1">IFERROR(__xludf.DUMMYFUNCTION("IFERROR(GOOGLETRANSLATE(A1650,""ko"",""en""),)"),"")</f>
        <v/>
      </c>
      <c r="C1650" s="4" t="str">
        <f ca="1">IFERROR(__xludf.DUMMYFUNCTION("IFERROR(GOOGLETRANSLATE(B1650,""en"",""ja""),)"),"")</f>
        <v/>
      </c>
      <c r="D1650" s="4" t="str">
        <f ca="1">IFERROR(__xludf.DUMMYFUNCTION("IFERROR(GOOGLETRANSLATE(B1650,""en"",""zh-TW""),)"),"")</f>
        <v/>
      </c>
      <c r="E1650" s="4" t="str">
        <f ca="1">IFERROR(__xludf.DUMMYFUNCTION("IFERROR(GOOGLETRANSLATE(B1650,""en"",""zh-CN""),)"),"")</f>
        <v/>
      </c>
    </row>
    <row r="1651" spans="1:5">
      <c r="A1651" s="3"/>
      <c r="B1651" s="4" t="str">
        <f ca="1">IFERROR(__xludf.DUMMYFUNCTION("IFERROR(GOOGLETRANSLATE(A1651,""ko"",""en""),)"),"")</f>
        <v/>
      </c>
      <c r="C1651" s="4" t="str">
        <f ca="1">IFERROR(__xludf.DUMMYFUNCTION("IFERROR(GOOGLETRANSLATE(B1651,""en"",""ja""),)"),"")</f>
        <v/>
      </c>
      <c r="D1651" s="4" t="str">
        <f ca="1">IFERROR(__xludf.DUMMYFUNCTION("IFERROR(GOOGLETRANSLATE(B1651,""en"",""zh-TW""),)"),"")</f>
        <v/>
      </c>
      <c r="E1651" s="4" t="str">
        <f ca="1">IFERROR(__xludf.DUMMYFUNCTION("IFERROR(GOOGLETRANSLATE(B1651,""en"",""zh-CN""),)"),"")</f>
        <v/>
      </c>
    </row>
    <row r="1652" spans="1:5">
      <c r="A1652" s="3"/>
      <c r="B1652" s="4" t="str">
        <f ca="1">IFERROR(__xludf.DUMMYFUNCTION("IFERROR(GOOGLETRANSLATE(A1652,""ko"",""en""),)"),"")</f>
        <v/>
      </c>
      <c r="C1652" s="4" t="str">
        <f ca="1">IFERROR(__xludf.DUMMYFUNCTION("IFERROR(GOOGLETRANSLATE(B1652,""en"",""ja""),)"),"")</f>
        <v/>
      </c>
      <c r="D1652" s="4" t="str">
        <f ca="1">IFERROR(__xludf.DUMMYFUNCTION("IFERROR(GOOGLETRANSLATE(B1652,""en"",""zh-TW""),)"),"")</f>
        <v/>
      </c>
      <c r="E1652" s="4" t="str">
        <f ca="1">IFERROR(__xludf.DUMMYFUNCTION("IFERROR(GOOGLETRANSLATE(B1652,""en"",""zh-CN""),)"),"")</f>
        <v/>
      </c>
    </row>
    <row r="1653" spans="1:5">
      <c r="A1653" s="3"/>
      <c r="B1653" s="4" t="str">
        <f ca="1">IFERROR(__xludf.DUMMYFUNCTION("IFERROR(GOOGLETRANSLATE(A1653,""ko"",""en""),)"),"")</f>
        <v/>
      </c>
      <c r="C1653" s="4" t="str">
        <f ca="1">IFERROR(__xludf.DUMMYFUNCTION("IFERROR(GOOGLETRANSLATE(B1653,""en"",""ja""),)"),"")</f>
        <v/>
      </c>
      <c r="D1653" s="4" t="str">
        <f ca="1">IFERROR(__xludf.DUMMYFUNCTION("IFERROR(GOOGLETRANSLATE(B1653,""en"",""zh-TW""),)"),"")</f>
        <v/>
      </c>
      <c r="E1653" s="4" t="str">
        <f ca="1">IFERROR(__xludf.DUMMYFUNCTION("IFERROR(GOOGLETRANSLATE(B1653,""en"",""zh-CN""),)"),"")</f>
        <v/>
      </c>
    </row>
    <row r="1654" spans="1:5">
      <c r="A1654" s="3"/>
      <c r="B1654" s="4" t="str">
        <f ca="1">IFERROR(__xludf.DUMMYFUNCTION("IFERROR(GOOGLETRANSLATE(A1654,""ko"",""en""),)"),"")</f>
        <v/>
      </c>
      <c r="C1654" s="4" t="str">
        <f ca="1">IFERROR(__xludf.DUMMYFUNCTION("IFERROR(GOOGLETRANSLATE(B1654,""en"",""ja""),)"),"")</f>
        <v/>
      </c>
      <c r="D1654" s="4" t="str">
        <f ca="1">IFERROR(__xludf.DUMMYFUNCTION("IFERROR(GOOGLETRANSLATE(B1654,""en"",""zh-TW""),)"),"")</f>
        <v/>
      </c>
      <c r="E1654" s="4" t="str">
        <f ca="1">IFERROR(__xludf.DUMMYFUNCTION("IFERROR(GOOGLETRANSLATE(B1654,""en"",""zh-CN""),)"),"")</f>
        <v/>
      </c>
    </row>
    <row r="1655" spans="1:5">
      <c r="A1655" s="3"/>
      <c r="B1655" s="4" t="str">
        <f ca="1">IFERROR(__xludf.DUMMYFUNCTION("IFERROR(GOOGLETRANSLATE(A1655,""ko"",""en""),)"),"")</f>
        <v/>
      </c>
      <c r="C1655" s="4" t="str">
        <f ca="1">IFERROR(__xludf.DUMMYFUNCTION("IFERROR(GOOGLETRANSLATE(B1655,""en"",""ja""),)"),"")</f>
        <v/>
      </c>
      <c r="D1655" s="4" t="str">
        <f ca="1">IFERROR(__xludf.DUMMYFUNCTION("IFERROR(GOOGLETRANSLATE(B1655,""en"",""zh-TW""),)"),"")</f>
        <v/>
      </c>
      <c r="E1655" s="4" t="str">
        <f ca="1">IFERROR(__xludf.DUMMYFUNCTION("IFERROR(GOOGLETRANSLATE(B1655,""en"",""zh-CN""),)"),"")</f>
        <v/>
      </c>
    </row>
    <row r="1656" spans="1:5">
      <c r="A1656" s="3"/>
      <c r="B1656" s="4" t="str">
        <f ca="1">IFERROR(__xludf.DUMMYFUNCTION("IFERROR(GOOGLETRANSLATE(A1656,""ko"",""en""),)"),"")</f>
        <v/>
      </c>
      <c r="C1656" s="4" t="str">
        <f ca="1">IFERROR(__xludf.DUMMYFUNCTION("IFERROR(GOOGLETRANSLATE(B1656,""en"",""ja""),)"),"")</f>
        <v/>
      </c>
      <c r="D1656" s="4" t="str">
        <f ca="1">IFERROR(__xludf.DUMMYFUNCTION("IFERROR(GOOGLETRANSLATE(B1656,""en"",""zh-TW""),)"),"")</f>
        <v/>
      </c>
      <c r="E1656" s="4" t="str">
        <f ca="1">IFERROR(__xludf.DUMMYFUNCTION("IFERROR(GOOGLETRANSLATE(B1656,""en"",""zh-CN""),)"),"")</f>
        <v/>
      </c>
    </row>
    <row r="1657" spans="1:5">
      <c r="A1657" s="3"/>
      <c r="B1657" s="4" t="str">
        <f ca="1">IFERROR(__xludf.DUMMYFUNCTION("IFERROR(GOOGLETRANSLATE(A1657,""ko"",""en""),)"),"")</f>
        <v/>
      </c>
      <c r="C1657" s="4" t="str">
        <f ca="1">IFERROR(__xludf.DUMMYFUNCTION("IFERROR(GOOGLETRANSLATE(B1657,""en"",""ja""),)"),"")</f>
        <v/>
      </c>
      <c r="D1657" s="4" t="str">
        <f ca="1">IFERROR(__xludf.DUMMYFUNCTION("IFERROR(GOOGLETRANSLATE(B1657,""en"",""zh-TW""),)"),"")</f>
        <v/>
      </c>
      <c r="E1657" s="4" t="str">
        <f ca="1">IFERROR(__xludf.DUMMYFUNCTION("IFERROR(GOOGLETRANSLATE(B1657,""en"",""zh-CN""),)"),"")</f>
        <v/>
      </c>
    </row>
    <row r="1658" spans="1:5">
      <c r="A1658" s="3"/>
      <c r="B1658" s="4" t="str">
        <f ca="1">IFERROR(__xludf.DUMMYFUNCTION("IFERROR(GOOGLETRANSLATE(A1658,""ko"",""en""),)"),"")</f>
        <v/>
      </c>
      <c r="C1658" s="4" t="str">
        <f ca="1">IFERROR(__xludf.DUMMYFUNCTION("IFERROR(GOOGLETRANSLATE(B1658,""en"",""ja""),)"),"")</f>
        <v/>
      </c>
      <c r="D1658" s="4" t="str">
        <f ca="1">IFERROR(__xludf.DUMMYFUNCTION("IFERROR(GOOGLETRANSLATE(B1658,""en"",""zh-TW""),)"),"")</f>
        <v/>
      </c>
      <c r="E1658" s="4" t="str">
        <f ca="1">IFERROR(__xludf.DUMMYFUNCTION("IFERROR(GOOGLETRANSLATE(B1658,""en"",""zh-CN""),)"),"")</f>
        <v/>
      </c>
    </row>
    <row r="1659" spans="1:5">
      <c r="A1659" s="3"/>
      <c r="B1659" s="4" t="str">
        <f ca="1">IFERROR(__xludf.DUMMYFUNCTION("IFERROR(GOOGLETRANSLATE(A1659,""ko"",""en""),)"),"")</f>
        <v/>
      </c>
      <c r="C1659" s="4" t="str">
        <f ca="1">IFERROR(__xludf.DUMMYFUNCTION("IFERROR(GOOGLETRANSLATE(B1659,""en"",""ja""),)"),"")</f>
        <v/>
      </c>
      <c r="D1659" s="4" t="str">
        <f ca="1">IFERROR(__xludf.DUMMYFUNCTION("IFERROR(GOOGLETRANSLATE(B1659,""en"",""zh-TW""),)"),"")</f>
        <v/>
      </c>
      <c r="E1659" s="4" t="str">
        <f ca="1">IFERROR(__xludf.DUMMYFUNCTION("IFERROR(GOOGLETRANSLATE(B1659,""en"",""zh-CN""),)"),"")</f>
        <v/>
      </c>
    </row>
    <row r="1660" spans="1:5">
      <c r="A1660" s="3"/>
      <c r="B1660" s="4" t="str">
        <f ca="1">IFERROR(__xludf.DUMMYFUNCTION("IFERROR(GOOGLETRANSLATE(A1660,""ko"",""en""),)"),"")</f>
        <v/>
      </c>
      <c r="C1660" s="4" t="str">
        <f ca="1">IFERROR(__xludf.DUMMYFUNCTION("IFERROR(GOOGLETRANSLATE(B1660,""en"",""ja""),)"),"")</f>
        <v/>
      </c>
      <c r="D1660" s="4" t="str">
        <f ca="1">IFERROR(__xludf.DUMMYFUNCTION("IFERROR(GOOGLETRANSLATE(B1660,""en"",""zh-TW""),)"),"")</f>
        <v/>
      </c>
      <c r="E1660" s="4" t="str">
        <f ca="1">IFERROR(__xludf.DUMMYFUNCTION("IFERROR(GOOGLETRANSLATE(B1660,""en"",""zh-CN""),)"),"")</f>
        <v/>
      </c>
    </row>
    <row r="1661" spans="1:5">
      <c r="A1661" s="3"/>
      <c r="B1661" s="4" t="str">
        <f ca="1">IFERROR(__xludf.DUMMYFUNCTION("IFERROR(GOOGLETRANSLATE(A1661,""ko"",""en""),)"),"")</f>
        <v/>
      </c>
      <c r="C1661" s="4" t="str">
        <f ca="1">IFERROR(__xludf.DUMMYFUNCTION("IFERROR(GOOGLETRANSLATE(B1661,""en"",""ja""),)"),"")</f>
        <v/>
      </c>
      <c r="D1661" s="4" t="str">
        <f ca="1">IFERROR(__xludf.DUMMYFUNCTION("IFERROR(GOOGLETRANSLATE(B1661,""en"",""zh-TW""),)"),"")</f>
        <v/>
      </c>
      <c r="E1661" s="4" t="str">
        <f ca="1">IFERROR(__xludf.DUMMYFUNCTION("IFERROR(GOOGLETRANSLATE(B1661,""en"",""zh-CN""),)"),"")</f>
        <v/>
      </c>
    </row>
    <row r="1662" spans="1:5">
      <c r="A1662" s="3"/>
      <c r="B1662" s="4" t="str">
        <f ca="1">IFERROR(__xludf.DUMMYFUNCTION("IFERROR(GOOGLETRANSLATE(A1662,""ko"",""en""),)"),"")</f>
        <v/>
      </c>
      <c r="C1662" s="4" t="str">
        <f ca="1">IFERROR(__xludf.DUMMYFUNCTION("IFERROR(GOOGLETRANSLATE(B1662,""en"",""ja""),)"),"")</f>
        <v/>
      </c>
      <c r="D1662" s="4" t="str">
        <f ca="1">IFERROR(__xludf.DUMMYFUNCTION("IFERROR(GOOGLETRANSLATE(B1662,""en"",""zh-TW""),)"),"")</f>
        <v/>
      </c>
      <c r="E1662" s="4" t="str">
        <f ca="1">IFERROR(__xludf.DUMMYFUNCTION("IFERROR(GOOGLETRANSLATE(B1662,""en"",""zh-CN""),)"),"")</f>
        <v/>
      </c>
    </row>
    <row r="1663" spans="1:5">
      <c r="A1663" s="3"/>
      <c r="B1663" s="4" t="str">
        <f ca="1">IFERROR(__xludf.DUMMYFUNCTION("IFERROR(GOOGLETRANSLATE(A1663,""ko"",""en""),)"),"")</f>
        <v/>
      </c>
      <c r="C1663" s="4" t="str">
        <f ca="1">IFERROR(__xludf.DUMMYFUNCTION("IFERROR(GOOGLETRANSLATE(B1663,""en"",""ja""),)"),"")</f>
        <v/>
      </c>
      <c r="D1663" s="4" t="str">
        <f ca="1">IFERROR(__xludf.DUMMYFUNCTION("IFERROR(GOOGLETRANSLATE(B1663,""en"",""zh-TW""),)"),"")</f>
        <v/>
      </c>
      <c r="E1663" s="4" t="str">
        <f ca="1">IFERROR(__xludf.DUMMYFUNCTION("IFERROR(GOOGLETRANSLATE(B1663,""en"",""zh-CN""),)"),"")</f>
        <v/>
      </c>
    </row>
    <row r="1664" spans="1:5">
      <c r="A1664" s="3"/>
      <c r="B1664" s="4" t="str">
        <f ca="1">IFERROR(__xludf.DUMMYFUNCTION("IFERROR(GOOGLETRANSLATE(A1664,""ko"",""en""),)"),"")</f>
        <v/>
      </c>
      <c r="C1664" s="4" t="str">
        <f ca="1">IFERROR(__xludf.DUMMYFUNCTION("IFERROR(GOOGLETRANSLATE(B1664,""en"",""ja""),)"),"")</f>
        <v/>
      </c>
      <c r="D1664" s="4" t="str">
        <f ca="1">IFERROR(__xludf.DUMMYFUNCTION("IFERROR(GOOGLETRANSLATE(B1664,""en"",""zh-TW""),)"),"")</f>
        <v/>
      </c>
      <c r="E1664" s="4" t="str">
        <f ca="1">IFERROR(__xludf.DUMMYFUNCTION("IFERROR(GOOGLETRANSLATE(B1664,""en"",""zh-CN""),)"),"")</f>
        <v/>
      </c>
    </row>
    <row r="1665" spans="1:5">
      <c r="A1665" s="3"/>
      <c r="B1665" s="4" t="str">
        <f ca="1">IFERROR(__xludf.DUMMYFUNCTION("IFERROR(GOOGLETRANSLATE(A1665,""ko"",""en""),)"),"")</f>
        <v/>
      </c>
      <c r="C1665" s="4" t="str">
        <f ca="1">IFERROR(__xludf.DUMMYFUNCTION("IFERROR(GOOGLETRANSLATE(B1665,""en"",""ja""),)"),"")</f>
        <v/>
      </c>
      <c r="D1665" s="4" t="str">
        <f ca="1">IFERROR(__xludf.DUMMYFUNCTION("IFERROR(GOOGLETRANSLATE(B1665,""en"",""zh-TW""),)"),"")</f>
        <v/>
      </c>
      <c r="E1665" s="4" t="str">
        <f ca="1">IFERROR(__xludf.DUMMYFUNCTION("IFERROR(GOOGLETRANSLATE(B1665,""en"",""zh-CN""),)"),"")</f>
        <v/>
      </c>
    </row>
    <row r="1666" spans="1:5">
      <c r="A1666" s="3"/>
      <c r="B1666" s="4" t="str">
        <f ca="1">IFERROR(__xludf.DUMMYFUNCTION("IFERROR(GOOGLETRANSLATE(A1666,""ko"",""en""),)"),"")</f>
        <v/>
      </c>
      <c r="C1666" s="4" t="str">
        <f ca="1">IFERROR(__xludf.DUMMYFUNCTION("IFERROR(GOOGLETRANSLATE(B1666,""en"",""ja""),)"),"")</f>
        <v/>
      </c>
      <c r="D1666" s="4" t="str">
        <f ca="1">IFERROR(__xludf.DUMMYFUNCTION("IFERROR(GOOGLETRANSLATE(B1666,""en"",""zh-TW""),)"),"")</f>
        <v/>
      </c>
      <c r="E1666" s="4" t="str">
        <f ca="1">IFERROR(__xludf.DUMMYFUNCTION("IFERROR(GOOGLETRANSLATE(B1666,""en"",""zh-CN""),)"),"")</f>
        <v/>
      </c>
    </row>
    <row r="1667" spans="1:5">
      <c r="A1667" s="3"/>
      <c r="B1667" s="4" t="str">
        <f ca="1">IFERROR(__xludf.DUMMYFUNCTION("IFERROR(GOOGLETRANSLATE(A1667,""ko"",""en""),)"),"")</f>
        <v/>
      </c>
      <c r="C1667" s="4" t="str">
        <f ca="1">IFERROR(__xludf.DUMMYFUNCTION("IFERROR(GOOGLETRANSLATE(B1667,""en"",""ja""),)"),"")</f>
        <v/>
      </c>
      <c r="D1667" s="4" t="str">
        <f ca="1">IFERROR(__xludf.DUMMYFUNCTION("IFERROR(GOOGLETRANSLATE(B1667,""en"",""zh-TW""),)"),"")</f>
        <v/>
      </c>
      <c r="E1667" s="4" t="str">
        <f ca="1">IFERROR(__xludf.DUMMYFUNCTION("IFERROR(GOOGLETRANSLATE(B1667,""en"",""zh-CN""),)"),"")</f>
        <v/>
      </c>
    </row>
    <row r="1668" spans="1:5">
      <c r="A1668" s="3"/>
      <c r="B1668" s="4" t="str">
        <f ca="1">IFERROR(__xludf.DUMMYFUNCTION("IFERROR(GOOGLETRANSLATE(A1668,""ko"",""en""),)"),"")</f>
        <v/>
      </c>
      <c r="C1668" s="4" t="str">
        <f ca="1">IFERROR(__xludf.DUMMYFUNCTION("IFERROR(GOOGLETRANSLATE(B1668,""en"",""ja""),)"),"")</f>
        <v/>
      </c>
      <c r="D1668" s="4" t="str">
        <f ca="1">IFERROR(__xludf.DUMMYFUNCTION("IFERROR(GOOGLETRANSLATE(B1668,""en"",""zh-TW""),)"),"")</f>
        <v/>
      </c>
      <c r="E1668" s="4" t="str">
        <f ca="1">IFERROR(__xludf.DUMMYFUNCTION("IFERROR(GOOGLETRANSLATE(B1668,""en"",""zh-CN""),)"),"")</f>
        <v/>
      </c>
    </row>
    <row r="1669" spans="1:5">
      <c r="A1669" s="3"/>
      <c r="B1669" s="4" t="str">
        <f ca="1">IFERROR(__xludf.DUMMYFUNCTION("IFERROR(GOOGLETRANSLATE(A1669,""ko"",""en""),)"),"")</f>
        <v/>
      </c>
      <c r="C1669" s="4" t="str">
        <f ca="1">IFERROR(__xludf.DUMMYFUNCTION("IFERROR(GOOGLETRANSLATE(B1669,""en"",""ja""),)"),"")</f>
        <v/>
      </c>
      <c r="D1669" s="4" t="str">
        <f ca="1">IFERROR(__xludf.DUMMYFUNCTION("IFERROR(GOOGLETRANSLATE(B1669,""en"",""zh-TW""),)"),"")</f>
        <v/>
      </c>
      <c r="E1669" s="4" t="str">
        <f ca="1">IFERROR(__xludf.DUMMYFUNCTION("IFERROR(GOOGLETRANSLATE(B1669,""en"",""zh-CN""),)"),"")</f>
        <v/>
      </c>
    </row>
    <row r="1670" spans="1:5">
      <c r="A1670" s="3"/>
      <c r="B1670" s="4" t="str">
        <f ca="1">IFERROR(__xludf.DUMMYFUNCTION("IFERROR(GOOGLETRANSLATE(A1670,""ko"",""en""),)"),"")</f>
        <v/>
      </c>
      <c r="C1670" s="4" t="str">
        <f ca="1">IFERROR(__xludf.DUMMYFUNCTION("IFERROR(GOOGLETRANSLATE(B1670,""en"",""ja""),)"),"")</f>
        <v/>
      </c>
      <c r="D1670" s="4" t="str">
        <f ca="1">IFERROR(__xludf.DUMMYFUNCTION("IFERROR(GOOGLETRANSLATE(B1670,""en"",""zh-TW""),)"),"")</f>
        <v/>
      </c>
      <c r="E1670" s="4" t="str">
        <f ca="1">IFERROR(__xludf.DUMMYFUNCTION("IFERROR(GOOGLETRANSLATE(B1670,""en"",""zh-CN""),)"),"")</f>
        <v/>
      </c>
    </row>
    <row r="1671" spans="1:5">
      <c r="A1671" s="3"/>
      <c r="B1671" s="4" t="str">
        <f ca="1">IFERROR(__xludf.DUMMYFUNCTION("IFERROR(GOOGLETRANSLATE(A1671,""ko"",""en""),)"),"")</f>
        <v/>
      </c>
      <c r="C1671" s="4" t="str">
        <f ca="1">IFERROR(__xludf.DUMMYFUNCTION("IFERROR(GOOGLETRANSLATE(B1671,""en"",""ja""),)"),"")</f>
        <v/>
      </c>
      <c r="D1671" s="4" t="str">
        <f ca="1">IFERROR(__xludf.DUMMYFUNCTION("IFERROR(GOOGLETRANSLATE(B1671,""en"",""zh-TW""),)"),"")</f>
        <v/>
      </c>
      <c r="E1671" s="4" t="str">
        <f ca="1">IFERROR(__xludf.DUMMYFUNCTION("IFERROR(GOOGLETRANSLATE(B1671,""en"",""zh-CN""),)"),"")</f>
        <v/>
      </c>
    </row>
    <row r="1672" spans="1:5">
      <c r="A1672" s="3"/>
      <c r="B1672" s="4" t="str">
        <f ca="1">IFERROR(__xludf.DUMMYFUNCTION("IFERROR(GOOGLETRANSLATE(A1672,""ko"",""en""),)"),"")</f>
        <v/>
      </c>
      <c r="C1672" s="4" t="str">
        <f ca="1">IFERROR(__xludf.DUMMYFUNCTION("IFERROR(GOOGLETRANSLATE(B1672,""en"",""ja""),)"),"")</f>
        <v/>
      </c>
      <c r="D1672" s="4" t="str">
        <f ca="1">IFERROR(__xludf.DUMMYFUNCTION("IFERROR(GOOGLETRANSLATE(B1672,""en"",""zh-TW""),)"),"")</f>
        <v/>
      </c>
      <c r="E1672" s="4" t="str">
        <f ca="1">IFERROR(__xludf.DUMMYFUNCTION("IFERROR(GOOGLETRANSLATE(B1672,""en"",""zh-CN""),)"),"")</f>
        <v/>
      </c>
    </row>
    <row r="1673" spans="1:5">
      <c r="A1673" s="3"/>
      <c r="B1673" s="4" t="str">
        <f ca="1">IFERROR(__xludf.DUMMYFUNCTION("IFERROR(GOOGLETRANSLATE(A1673,""ko"",""en""),)"),"")</f>
        <v/>
      </c>
      <c r="C1673" s="4" t="str">
        <f ca="1">IFERROR(__xludf.DUMMYFUNCTION("IFERROR(GOOGLETRANSLATE(B1673,""en"",""ja""),)"),"")</f>
        <v/>
      </c>
      <c r="D1673" s="4" t="str">
        <f ca="1">IFERROR(__xludf.DUMMYFUNCTION("IFERROR(GOOGLETRANSLATE(B1673,""en"",""zh-TW""),)"),"")</f>
        <v/>
      </c>
      <c r="E1673" s="4" t="str">
        <f ca="1">IFERROR(__xludf.DUMMYFUNCTION("IFERROR(GOOGLETRANSLATE(B1673,""en"",""zh-CN""),)"),"")</f>
        <v/>
      </c>
    </row>
    <row r="1674" spans="1:5">
      <c r="A1674" s="3"/>
      <c r="B1674" s="4" t="str">
        <f ca="1">IFERROR(__xludf.DUMMYFUNCTION("IFERROR(GOOGLETRANSLATE(A1674,""ko"",""en""),)"),"")</f>
        <v/>
      </c>
      <c r="C1674" s="4" t="str">
        <f ca="1">IFERROR(__xludf.DUMMYFUNCTION("IFERROR(GOOGLETRANSLATE(B1674,""en"",""ja""),)"),"")</f>
        <v/>
      </c>
      <c r="D1674" s="4" t="str">
        <f ca="1">IFERROR(__xludf.DUMMYFUNCTION("IFERROR(GOOGLETRANSLATE(B1674,""en"",""zh-TW""),)"),"")</f>
        <v/>
      </c>
      <c r="E1674" s="4" t="str">
        <f ca="1">IFERROR(__xludf.DUMMYFUNCTION("IFERROR(GOOGLETRANSLATE(B1674,""en"",""zh-CN""),)"),"")</f>
        <v/>
      </c>
    </row>
    <row r="1675" spans="1:5">
      <c r="A1675" s="3"/>
      <c r="B1675" s="4" t="str">
        <f ca="1">IFERROR(__xludf.DUMMYFUNCTION("IFERROR(GOOGLETRANSLATE(A1675,""ko"",""en""),)"),"")</f>
        <v/>
      </c>
      <c r="C1675" s="4" t="str">
        <f ca="1">IFERROR(__xludf.DUMMYFUNCTION("IFERROR(GOOGLETRANSLATE(B1675,""en"",""ja""),)"),"")</f>
        <v/>
      </c>
      <c r="D1675" s="4" t="str">
        <f ca="1">IFERROR(__xludf.DUMMYFUNCTION("IFERROR(GOOGLETRANSLATE(B1675,""en"",""zh-TW""),)"),"")</f>
        <v/>
      </c>
      <c r="E1675" s="4" t="str">
        <f ca="1">IFERROR(__xludf.DUMMYFUNCTION("IFERROR(GOOGLETRANSLATE(B1675,""en"",""zh-CN""),)"),"")</f>
        <v/>
      </c>
    </row>
    <row r="1676" spans="1:5">
      <c r="A1676" s="3"/>
      <c r="B1676" s="4" t="str">
        <f ca="1">IFERROR(__xludf.DUMMYFUNCTION("IFERROR(GOOGLETRANSLATE(A1676,""ko"",""en""),)"),"")</f>
        <v/>
      </c>
      <c r="C1676" s="4" t="str">
        <f ca="1">IFERROR(__xludf.DUMMYFUNCTION("IFERROR(GOOGLETRANSLATE(B1676,""en"",""ja""),)"),"")</f>
        <v/>
      </c>
      <c r="D1676" s="4" t="str">
        <f ca="1">IFERROR(__xludf.DUMMYFUNCTION("IFERROR(GOOGLETRANSLATE(B1676,""en"",""zh-TW""),)"),"")</f>
        <v/>
      </c>
      <c r="E1676" s="4" t="str">
        <f ca="1">IFERROR(__xludf.DUMMYFUNCTION("IFERROR(GOOGLETRANSLATE(B1676,""en"",""zh-CN""),)"),"")</f>
        <v/>
      </c>
    </row>
    <row r="1677" spans="1:5">
      <c r="A1677" s="3"/>
      <c r="B1677" s="4" t="str">
        <f ca="1">IFERROR(__xludf.DUMMYFUNCTION("IFERROR(GOOGLETRANSLATE(A1677,""ko"",""en""),)"),"")</f>
        <v/>
      </c>
      <c r="C1677" s="4" t="str">
        <f ca="1">IFERROR(__xludf.DUMMYFUNCTION("IFERROR(GOOGLETRANSLATE(B1677,""en"",""ja""),)"),"")</f>
        <v/>
      </c>
      <c r="D1677" s="4" t="str">
        <f ca="1">IFERROR(__xludf.DUMMYFUNCTION("IFERROR(GOOGLETRANSLATE(B1677,""en"",""zh-TW""),)"),"")</f>
        <v/>
      </c>
      <c r="E1677" s="4" t="str">
        <f ca="1">IFERROR(__xludf.DUMMYFUNCTION("IFERROR(GOOGLETRANSLATE(B1677,""en"",""zh-CN""),)"),"")</f>
        <v/>
      </c>
    </row>
    <row r="1678" spans="1:5">
      <c r="A1678" s="3"/>
      <c r="B1678" s="4" t="str">
        <f ca="1">IFERROR(__xludf.DUMMYFUNCTION("IFERROR(GOOGLETRANSLATE(A1678,""ko"",""en""),)"),"")</f>
        <v/>
      </c>
      <c r="C1678" s="4" t="str">
        <f ca="1">IFERROR(__xludf.DUMMYFUNCTION("IFERROR(GOOGLETRANSLATE(B1678,""en"",""ja""),)"),"")</f>
        <v/>
      </c>
      <c r="D1678" s="4" t="str">
        <f ca="1">IFERROR(__xludf.DUMMYFUNCTION("IFERROR(GOOGLETRANSLATE(B1678,""en"",""zh-TW""),)"),"")</f>
        <v/>
      </c>
      <c r="E1678" s="4" t="str">
        <f ca="1">IFERROR(__xludf.DUMMYFUNCTION("IFERROR(GOOGLETRANSLATE(B1678,""en"",""zh-CN""),)"),"")</f>
        <v/>
      </c>
    </row>
    <row r="1679" spans="1:5">
      <c r="A1679" s="3"/>
      <c r="B1679" s="4" t="str">
        <f ca="1">IFERROR(__xludf.DUMMYFUNCTION("IFERROR(GOOGLETRANSLATE(A1679,""ko"",""en""),)"),"")</f>
        <v/>
      </c>
      <c r="C1679" s="4" t="str">
        <f ca="1">IFERROR(__xludf.DUMMYFUNCTION("IFERROR(GOOGLETRANSLATE(B1679,""en"",""ja""),)"),"")</f>
        <v/>
      </c>
      <c r="D1679" s="4" t="str">
        <f ca="1">IFERROR(__xludf.DUMMYFUNCTION("IFERROR(GOOGLETRANSLATE(B1679,""en"",""zh-TW""),)"),"")</f>
        <v/>
      </c>
      <c r="E1679" s="4" t="str">
        <f ca="1">IFERROR(__xludf.DUMMYFUNCTION("IFERROR(GOOGLETRANSLATE(B1679,""en"",""zh-CN""),)"),"")</f>
        <v/>
      </c>
    </row>
    <row r="1680" spans="1:5">
      <c r="A1680" s="3"/>
      <c r="B1680" s="4" t="str">
        <f ca="1">IFERROR(__xludf.DUMMYFUNCTION("IFERROR(GOOGLETRANSLATE(A1680,""ko"",""en""),)"),"")</f>
        <v/>
      </c>
      <c r="C1680" s="4" t="str">
        <f ca="1">IFERROR(__xludf.DUMMYFUNCTION("IFERROR(GOOGLETRANSLATE(B1680,""en"",""ja""),)"),"")</f>
        <v/>
      </c>
      <c r="D1680" s="4" t="str">
        <f ca="1">IFERROR(__xludf.DUMMYFUNCTION("IFERROR(GOOGLETRANSLATE(B1680,""en"",""zh-TW""),)"),"")</f>
        <v/>
      </c>
      <c r="E1680" s="4" t="str">
        <f ca="1">IFERROR(__xludf.DUMMYFUNCTION("IFERROR(GOOGLETRANSLATE(B1680,""en"",""zh-CN""),)"),"")</f>
        <v/>
      </c>
    </row>
    <row r="1681" spans="1:5">
      <c r="A1681" s="3"/>
      <c r="B1681" s="4" t="str">
        <f ca="1">IFERROR(__xludf.DUMMYFUNCTION("IFERROR(GOOGLETRANSLATE(A1681,""ko"",""en""),)"),"")</f>
        <v/>
      </c>
      <c r="C1681" s="4" t="str">
        <f ca="1">IFERROR(__xludf.DUMMYFUNCTION("IFERROR(GOOGLETRANSLATE(B1681,""en"",""ja""),)"),"")</f>
        <v/>
      </c>
      <c r="D1681" s="4" t="str">
        <f ca="1">IFERROR(__xludf.DUMMYFUNCTION("IFERROR(GOOGLETRANSLATE(B1681,""en"",""zh-TW""),)"),"")</f>
        <v/>
      </c>
      <c r="E1681" s="4" t="str">
        <f ca="1">IFERROR(__xludf.DUMMYFUNCTION("IFERROR(GOOGLETRANSLATE(B1681,""en"",""zh-CN""),)"),"")</f>
        <v/>
      </c>
    </row>
    <row r="1682" spans="1:5">
      <c r="A1682" s="3"/>
      <c r="B1682" s="4" t="str">
        <f ca="1">IFERROR(__xludf.DUMMYFUNCTION("IFERROR(GOOGLETRANSLATE(A1682,""ko"",""en""),)"),"")</f>
        <v/>
      </c>
      <c r="C1682" s="4" t="str">
        <f ca="1">IFERROR(__xludf.DUMMYFUNCTION("IFERROR(GOOGLETRANSLATE(B1682,""en"",""ja""),)"),"")</f>
        <v/>
      </c>
      <c r="D1682" s="4" t="str">
        <f ca="1">IFERROR(__xludf.DUMMYFUNCTION("IFERROR(GOOGLETRANSLATE(B1682,""en"",""zh-TW""),)"),"")</f>
        <v/>
      </c>
      <c r="E1682" s="4" t="str">
        <f ca="1">IFERROR(__xludf.DUMMYFUNCTION("IFERROR(GOOGLETRANSLATE(B1682,""en"",""zh-CN""),)"),"")</f>
        <v/>
      </c>
    </row>
    <row r="1683" spans="1:5">
      <c r="A1683" s="3"/>
      <c r="B1683" s="4" t="str">
        <f ca="1">IFERROR(__xludf.DUMMYFUNCTION("IFERROR(GOOGLETRANSLATE(A1683,""ko"",""en""),)"),"")</f>
        <v/>
      </c>
      <c r="C1683" s="4" t="str">
        <f ca="1">IFERROR(__xludf.DUMMYFUNCTION("IFERROR(GOOGLETRANSLATE(B1683,""en"",""ja""),)"),"")</f>
        <v/>
      </c>
      <c r="D1683" s="4" t="str">
        <f ca="1">IFERROR(__xludf.DUMMYFUNCTION("IFERROR(GOOGLETRANSLATE(B1683,""en"",""zh-TW""),)"),"")</f>
        <v/>
      </c>
      <c r="E1683" s="4" t="str">
        <f ca="1">IFERROR(__xludf.DUMMYFUNCTION("IFERROR(GOOGLETRANSLATE(B1683,""en"",""zh-CN""),)"),"")</f>
        <v/>
      </c>
    </row>
    <row r="1684" spans="1:5">
      <c r="A1684" s="3"/>
      <c r="B1684" s="4" t="str">
        <f ca="1">IFERROR(__xludf.DUMMYFUNCTION("IFERROR(GOOGLETRANSLATE(A1684,""ko"",""en""),)"),"")</f>
        <v/>
      </c>
      <c r="C1684" s="4" t="str">
        <f ca="1">IFERROR(__xludf.DUMMYFUNCTION("IFERROR(GOOGLETRANSLATE(B1684,""en"",""ja""),)"),"")</f>
        <v/>
      </c>
      <c r="D1684" s="4" t="str">
        <f ca="1">IFERROR(__xludf.DUMMYFUNCTION("IFERROR(GOOGLETRANSLATE(B1684,""en"",""zh-TW""),)"),"")</f>
        <v/>
      </c>
      <c r="E1684" s="4" t="str">
        <f ca="1">IFERROR(__xludf.DUMMYFUNCTION("IFERROR(GOOGLETRANSLATE(B1684,""en"",""zh-CN""),)"),"")</f>
        <v/>
      </c>
    </row>
    <row r="1685" spans="1:5">
      <c r="A1685" s="3"/>
      <c r="B1685" s="4" t="str">
        <f ca="1">IFERROR(__xludf.DUMMYFUNCTION("IFERROR(GOOGLETRANSLATE(A1685,""ko"",""en""),)"),"")</f>
        <v/>
      </c>
      <c r="C1685" s="4" t="str">
        <f ca="1">IFERROR(__xludf.DUMMYFUNCTION("IFERROR(GOOGLETRANSLATE(B1685,""en"",""ja""),)"),"")</f>
        <v/>
      </c>
      <c r="D1685" s="4" t="str">
        <f ca="1">IFERROR(__xludf.DUMMYFUNCTION("IFERROR(GOOGLETRANSLATE(B1685,""en"",""zh-TW""),)"),"")</f>
        <v/>
      </c>
      <c r="E1685" s="4" t="str">
        <f ca="1">IFERROR(__xludf.DUMMYFUNCTION("IFERROR(GOOGLETRANSLATE(B1685,""en"",""zh-CN""),)"),"")</f>
        <v/>
      </c>
    </row>
    <row r="1686" spans="1:5">
      <c r="A1686" s="3"/>
      <c r="B1686" s="4" t="str">
        <f ca="1">IFERROR(__xludf.DUMMYFUNCTION("IFERROR(GOOGLETRANSLATE(A1686,""ko"",""en""),)"),"")</f>
        <v/>
      </c>
      <c r="C1686" s="4" t="str">
        <f ca="1">IFERROR(__xludf.DUMMYFUNCTION("IFERROR(GOOGLETRANSLATE(B1686,""en"",""ja""),)"),"")</f>
        <v/>
      </c>
      <c r="D1686" s="4" t="str">
        <f ca="1">IFERROR(__xludf.DUMMYFUNCTION("IFERROR(GOOGLETRANSLATE(B1686,""en"",""zh-TW""),)"),"")</f>
        <v/>
      </c>
      <c r="E1686" s="4" t="str">
        <f ca="1">IFERROR(__xludf.DUMMYFUNCTION("IFERROR(GOOGLETRANSLATE(B1686,""en"",""zh-CN""),)"),"")</f>
        <v/>
      </c>
    </row>
    <row r="1687" spans="1:5">
      <c r="A1687" s="3"/>
      <c r="B1687" s="4" t="str">
        <f ca="1">IFERROR(__xludf.DUMMYFUNCTION("IFERROR(GOOGLETRANSLATE(A1687,""ko"",""en""),)"),"")</f>
        <v/>
      </c>
      <c r="C1687" s="4" t="str">
        <f ca="1">IFERROR(__xludf.DUMMYFUNCTION("IFERROR(GOOGLETRANSLATE(B1687,""en"",""ja""),)"),"")</f>
        <v/>
      </c>
      <c r="D1687" s="4" t="str">
        <f ca="1">IFERROR(__xludf.DUMMYFUNCTION("IFERROR(GOOGLETRANSLATE(B1687,""en"",""zh-TW""),)"),"")</f>
        <v/>
      </c>
      <c r="E1687" s="4" t="str">
        <f ca="1">IFERROR(__xludf.DUMMYFUNCTION("IFERROR(GOOGLETRANSLATE(B1687,""en"",""zh-CN""),)"),"")</f>
        <v/>
      </c>
    </row>
    <row r="1688" spans="1:5">
      <c r="A1688" s="3"/>
      <c r="B1688" s="4" t="str">
        <f ca="1">IFERROR(__xludf.DUMMYFUNCTION("IFERROR(GOOGLETRANSLATE(A1688,""ko"",""en""),)"),"")</f>
        <v/>
      </c>
      <c r="C1688" s="4" t="str">
        <f ca="1">IFERROR(__xludf.DUMMYFUNCTION("IFERROR(GOOGLETRANSLATE(B1688,""en"",""ja""),)"),"")</f>
        <v/>
      </c>
      <c r="D1688" s="4" t="str">
        <f ca="1">IFERROR(__xludf.DUMMYFUNCTION("IFERROR(GOOGLETRANSLATE(B1688,""en"",""zh-TW""),)"),"")</f>
        <v/>
      </c>
      <c r="E1688" s="4" t="str">
        <f ca="1">IFERROR(__xludf.DUMMYFUNCTION("IFERROR(GOOGLETRANSLATE(B1688,""en"",""zh-CN""),)"),"")</f>
        <v/>
      </c>
    </row>
    <row r="1689" spans="1:5">
      <c r="A1689" s="3"/>
      <c r="B1689" s="4" t="str">
        <f ca="1">IFERROR(__xludf.DUMMYFUNCTION("IFERROR(GOOGLETRANSLATE(A1689,""ko"",""en""),)"),"")</f>
        <v/>
      </c>
      <c r="C1689" s="4" t="str">
        <f ca="1">IFERROR(__xludf.DUMMYFUNCTION("IFERROR(GOOGLETRANSLATE(B1689,""en"",""ja""),)"),"")</f>
        <v/>
      </c>
      <c r="D1689" s="4" t="str">
        <f ca="1">IFERROR(__xludf.DUMMYFUNCTION("IFERROR(GOOGLETRANSLATE(B1689,""en"",""zh-TW""),)"),"")</f>
        <v/>
      </c>
      <c r="E1689" s="4" t="str">
        <f ca="1">IFERROR(__xludf.DUMMYFUNCTION("IFERROR(GOOGLETRANSLATE(B1689,""en"",""zh-CN""),)"),"")</f>
        <v/>
      </c>
    </row>
    <row r="1690" spans="1:5">
      <c r="A1690" s="3"/>
      <c r="B1690" s="4" t="str">
        <f ca="1">IFERROR(__xludf.DUMMYFUNCTION("IFERROR(GOOGLETRANSLATE(A1690,""ko"",""en""),)"),"")</f>
        <v/>
      </c>
      <c r="C1690" s="4" t="str">
        <f ca="1">IFERROR(__xludf.DUMMYFUNCTION("IFERROR(GOOGLETRANSLATE(B1690,""en"",""ja""),)"),"")</f>
        <v/>
      </c>
      <c r="D1690" s="4" t="str">
        <f ca="1">IFERROR(__xludf.DUMMYFUNCTION("IFERROR(GOOGLETRANSLATE(B1690,""en"",""zh-TW""),)"),"")</f>
        <v/>
      </c>
      <c r="E1690" s="4" t="str">
        <f ca="1">IFERROR(__xludf.DUMMYFUNCTION("IFERROR(GOOGLETRANSLATE(B1690,""en"",""zh-CN""),)"),"")</f>
        <v/>
      </c>
    </row>
    <row r="1691" spans="1:5">
      <c r="A1691" s="3"/>
      <c r="B1691" s="4" t="str">
        <f ca="1">IFERROR(__xludf.DUMMYFUNCTION("IFERROR(GOOGLETRANSLATE(A1691,""ko"",""en""),)"),"")</f>
        <v/>
      </c>
      <c r="C1691" s="4" t="str">
        <f ca="1">IFERROR(__xludf.DUMMYFUNCTION("IFERROR(GOOGLETRANSLATE(B1691,""en"",""ja""),)"),"")</f>
        <v/>
      </c>
      <c r="D1691" s="4" t="str">
        <f ca="1">IFERROR(__xludf.DUMMYFUNCTION("IFERROR(GOOGLETRANSLATE(B1691,""en"",""zh-TW""),)"),"")</f>
        <v/>
      </c>
      <c r="E1691" s="4" t="str">
        <f ca="1">IFERROR(__xludf.DUMMYFUNCTION("IFERROR(GOOGLETRANSLATE(B1691,""en"",""zh-CN""),)"),"")</f>
        <v/>
      </c>
    </row>
    <row r="1692" spans="1:5">
      <c r="A1692" s="3"/>
      <c r="B1692" s="4" t="str">
        <f ca="1">IFERROR(__xludf.DUMMYFUNCTION("IFERROR(GOOGLETRANSLATE(A1692,""ko"",""en""),)"),"")</f>
        <v/>
      </c>
      <c r="C1692" s="4" t="str">
        <f ca="1">IFERROR(__xludf.DUMMYFUNCTION("IFERROR(GOOGLETRANSLATE(B1692,""en"",""ja""),)"),"")</f>
        <v/>
      </c>
      <c r="D1692" s="4" t="str">
        <f ca="1">IFERROR(__xludf.DUMMYFUNCTION("IFERROR(GOOGLETRANSLATE(B1692,""en"",""zh-TW""),)"),"")</f>
        <v/>
      </c>
      <c r="E1692" s="4" t="str">
        <f ca="1">IFERROR(__xludf.DUMMYFUNCTION("IFERROR(GOOGLETRANSLATE(B1692,""en"",""zh-CN""),)"),"")</f>
        <v/>
      </c>
    </row>
    <row r="1693" spans="1:5">
      <c r="A1693" s="3"/>
      <c r="B1693" s="4" t="str">
        <f ca="1">IFERROR(__xludf.DUMMYFUNCTION("IFERROR(GOOGLETRANSLATE(A1693,""ko"",""en""),)"),"")</f>
        <v/>
      </c>
      <c r="C1693" s="4" t="str">
        <f ca="1">IFERROR(__xludf.DUMMYFUNCTION("IFERROR(GOOGLETRANSLATE(B1693,""en"",""ja""),)"),"")</f>
        <v/>
      </c>
      <c r="D1693" s="4" t="str">
        <f ca="1">IFERROR(__xludf.DUMMYFUNCTION("IFERROR(GOOGLETRANSLATE(B1693,""en"",""zh-TW""),)"),"")</f>
        <v/>
      </c>
      <c r="E1693" s="4" t="str">
        <f ca="1">IFERROR(__xludf.DUMMYFUNCTION("IFERROR(GOOGLETRANSLATE(B1693,""en"",""zh-CN""),)"),"")</f>
        <v/>
      </c>
    </row>
    <row r="1694" spans="1:5">
      <c r="A1694" s="3"/>
      <c r="B1694" s="4" t="str">
        <f ca="1">IFERROR(__xludf.DUMMYFUNCTION("IFERROR(GOOGLETRANSLATE(A1694,""ko"",""en""),)"),"")</f>
        <v/>
      </c>
      <c r="C1694" s="4" t="str">
        <f ca="1">IFERROR(__xludf.DUMMYFUNCTION("IFERROR(GOOGLETRANSLATE(B1694,""en"",""ja""),)"),"")</f>
        <v/>
      </c>
      <c r="D1694" s="4" t="str">
        <f ca="1">IFERROR(__xludf.DUMMYFUNCTION("IFERROR(GOOGLETRANSLATE(B1694,""en"",""zh-TW""),)"),"")</f>
        <v/>
      </c>
      <c r="E1694" s="4" t="str">
        <f ca="1">IFERROR(__xludf.DUMMYFUNCTION("IFERROR(GOOGLETRANSLATE(B1694,""en"",""zh-CN""),)"),"")</f>
        <v/>
      </c>
    </row>
    <row r="1695" spans="1:5">
      <c r="A1695" s="3"/>
      <c r="B1695" s="4" t="str">
        <f ca="1">IFERROR(__xludf.DUMMYFUNCTION("IFERROR(GOOGLETRANSLATE(A1695,""ko"",""en""),)"),"")</f>
        <v/>
      </c>
      <c r="C1695" s="4" t="str">
        <f ca="1">IFERROR(__xludf.DUMMYFUNCTION("IFERROR(GOOGLETRANSLATE(B1695,""en"",""ja""),)"),"")</f>
        <v/>
      </c>
      <c r="D1695" s="4" t="str">
        <f ca="1">IFERROR(__xludf.DUMMYFUNCTION("IFERROR(GOOGLETRANSLATE(B1695,""en"",""zh-TW""),)"),"")</f>
        <v/>
      </c>
      <c r="E1695" s="4" t="str">
        <f ca="1">IFERROR(__xludf.DUMMYFUNCTION("IFERROR(GOOGLETRANSLATE(B1695,""en"",""zh-CN""),)"),"")</f>
        <v/>
      </c>
    </row>
    <row r="1696" spans="1:5">
      <c r="A1696" s="3"/>
      <c r="B1696" s="4" t="str">
        <f ca="1">IFERROR(__xludf.DUMMYFUNCTION("IFERROR(GOOGLETRANSLATE(A1696,""ko"",""en""),)"),"")</f>
        <v/>
      </c>
      <c r="C1696" s="4" t="str">
        <f ca="1">IFERROR(__xludf.DUMMYFUNCTION("IFERROR(GOOGLETRANSLATE(B1696,""en"",""ja""),)"),"")</f>
        <v/>
      </c>
      <c r="D1696" s="4" t="str">
        <f ca="1">IFERROR(__xludf.DUMMYFUNCTION("IFERROR(GOOGLETRANSLATE(B1696,""en"",""zh-TW""),)"),"")</f>
        <v/>
      </c>
      <c r="E1696" s="4" t="str">
        <f ca="1">IFERROR(__xludf.DUMMYFUNCTION("IFERROR(GOOGLETRANSLATE(B1696,""en"",""zh-CN""),)"),"")</f>
        <v/>
      </c>
    </row>
    <row r="1697" spans="1:5">
      <c r="A1697" s="3"/>
      <c r="B1697" s="4" t="str">
        <f ca="1">IFERROR(__xludf.DUMMYFUNCTION("IFERROR(GOOGLETRANSLATE(A1697,""ko"",""en""),)"),"")</f>
        <v/>
      </c>
      <c r="C1697" s="4" t="str">
        <f ca="1">IFERROR(__xludf.DUMMYFUNCTION("IFERROR(GOOGLETRANSLATE(B1697,""en"",""ja""),)"),"")</f>
        <v/>
      </c>
      <c r="D1697" s="4" t="str">
        <f ca="1">IFERROR(__xludf.DUMMYFUNCTION("IFERROR(GOOGLETRANSLATE(B1697,""en"",""zh-TW""),)"),"")</f>
        <v/>
      </c>
      <c r="E1697" s="4" t="str">
        <f ca="1">IFERROR(__xludf.DUMMYFUNCTION("IFERROR(GOOGLETRANSLATE(B1697,""en"",""zh-CN""),)"),"")</f>
        <v/>
      </c>
    </row>
    <row r="1698" spans="1:5">
      <c r="A1698" s="3"/>
      <c r="B1698" s="4" t="str">
        <f ca="1">IFERROR(__xludf.DUMMYFUNCTION("IFERROR(GOOGLETRANSLATE(A1698,""ko"",""en""),)"),"")</f>
        <v/>
      </c>
      <c r="C1698" s="4" t="str">
        <f ca="1">IFERROR(__xludf.DUMMYFUNCTION("IFERROR(GOOGLETRANSLATE(B1698,""en"",""ja""),)"),"")</f>
        <v/>
      </c>
      <c r="D1698" s="4" t="str">
        <f ca="1">IFERROR(__xludf.DUMMYFUNCTION("IFERROR(GOOGLETRANSLATE(B1698,""en"",""zh-TW""),)"),"")</f>
        <v/>
      </c>
      <c r="E1698" s="4" t="str">
        <f ca="1">IFERROR(__xludf.DUMMYFUNCTION("IFERROR(GOOGLETRANSLATE(B1698,""en"",""zh-CN""),)"),"")</f>
        <v/>
      </c>
    </row>
    <row r="1699" spans="1:5">
      <c r="A1699" s="3"/>
      <c r="B1699" s="4" t="str">
        <f ca="1">IFERROR(__xludf.DUMMYFUNCTION("IFERROR(GOOGLETRANSLATE(A1699,""ko"",""en""),)"),"")</f>
        <v/>
      </c>
      <c r="C1699" s="4" t="str">
        <f ca="1">IFERROR(__xludf.DUMMYFUNCTION("IFERROR(GOOGLETRANSLATE(B1699,""en"",""ja""),)"),"")</f>
        <v/>
      </c>
      <c r="D1699" s="4" t="str">
        <f ca="1">IFERROR(__xludf.DUMMYFUNCTION("IFERROR(GOOGLETRANSLATE(B1699,""en"",""zh-TW""),)"),"")</f>
        <v/>
      </c>
      <c r="E1699" s="4" t="str">
        <f ca="1">IFERROR(__xludf.DUMMYFUNCTION("IFERROR(GOOGLETRANSLATE(B1699,""en"",""zh-CN""),)"),"")</f>
        <v/>
      </c>
    </row>
    <row r="1700" spans="1:5">
      <c r="A1700" s="3"/>
      <c r="B1700" s="4" t="str">
        <f ca="1">IFERROR(__xludf.DUMMYFUNCTION("IFERROR(GOOGLETRANSLATE(A1700,""ko"",""en""),)"),"")</f>
        <v/>
      </c>
      <c r="C1700" s="4" t="str">
        <f ca="1">IFERROR(__xludf.DUMMYFUNCTION("IFERROR(GOOGLETRANSLATE(B1700,""en"",""ja""),)"),"")</f>
        <v/>
      </c>
      <c r="D1700" s="4" t="str">
        <f ca="1">IFERROR(__xludf.DUMMYFUNCTION("IFERROR(GOOGLETRANSLATE(B1700,""en"",""zh-TW""),)"),"")</f>
        <v/>
      </c>
      <c r="E1700" s="4" t="str">
        <f ca="1">IFERROR(__xludf.DUMMYFUNCTION("IFERROR(GOOGLETRANSLATE(B1700,""en"",""zh-CN""),)"),"")</f>
        <v/>
      </c>
    </row>
    <row r="1701" spans="1:5">
      <c r="A1701" s="3"/>
      <c r="B1701" s="4" t="str">
        <f ca="1">IFERROR(__xludf.DUMMYFUNCTION("IFERROR(GOOGLETRANSLATE(A1701,""ko"",""en""),)"),"")</f>
        <v/>
      </c>
      <c r="C1701" s="4" t="str">
        <f ca="1">IFERROR(__xludf.DUMMYFUNCTION("IFERROR(GOOGLETRANSLATE(B1701,""en"",""ja""),)"),"")</f>
        <v/>
      </c>
      <c r="D1701" s="4" t="str">
        <f ca="1">IFERROR(__xludf.DUMMYFUNCTION("IFERROR(GOOGLETRANSLATE(B1701,""en"",""zh-TW""),)"),"")</f>
        <v/>
      </c>
      <c r="E1701" s="4" t="str">
        <f ca="1">IFERROR(__xludf.DUMMYFUNCTION("IFERROR(GOOGLETRANSLATE(B1701,""en"",""zh-CN""),)"),"")</f>
        <v/>
      </c>
    </row>
    <row r="1702" spans="1:5">
      <c r="A1702" s="3"/>
      <c r="B1702" s="4" t="str">
        <f ca="1">IFERROR(__xludf.DUMMYFUNCTION("IFERROR(GOOGLETRANSLATE(A1702,""ko"",""en""),)"),"")</f>
        <v/>
      </c>
      <c r="C1702" s="4" t="str">
        <f ca="1">IFERROR(__xludf.DUMMYFUNCTION("IFERROR(GOOGLETRANSLATE(B1702,""en"",""ja""),)"),"")</f>
        <v/>
      </c>
      <c r="D1702" s="4" t="str">
        <f ca="1">IFERROR(__xludf.DUMMYFUNCTION("IFERROR(GOOGLETRANSLATE(B1702,""en"",""zh-TW""),)"),"")</f>
        <v/>
      </c>
      <c r="E1702" s="4" t="str">
        <f ca="1">IFERROR(__xludf.DUMMYFUNCTION("IFERROR(GOOGLETRANSLATE(B1702,""en"",""zh-CN""),)"),"")</f>
        <v/>
      </c>
    </row>
    <row r="1703" spans="1:5">
      <c r="A1703" s="3"/>
      <c r="B1703" s="4" t="str">
        <f ca="1">IFERROR(__xludf.DUMMYFUNCTION("IFERROR(GOOGLETRANSLATE(A1703,""ko"",""en""),)"),"")</f>
        <v/>
      </c>
      <c r="C1703" s="4" t="str">
        <f ca="1">IFERROR(__xludf.DUMMYFUNCTION("IFERROR(GOOGLETRANSLATE(B1703,""en"",""ja""),)"),"")</f>
        <v/>
      </c>
      <c r="D1703" s="4" t="str">
        <f ca="1">IFERROR(__xludf.DUMMYFUNCTION("IFERROR(GOOGLETRANSLATE(B1703,""en"",""zh-TW""),)"),"")</f>
        <v/>
      </c>
      <c r="E1703" s="4" t="str">
        <f ca="1">IFERROR(__xludf.DUMMYFUNCTION("IFERROR(GOOGLETRANSLATE(B1703,""en"",""zh-CN""),)"),"")</f>
        <v/>
      </c>
    </row>
    <row r="1704" spans="1:5">
      <c r="A1704" s="3"/>
      <c r="B1704" s="4" t="str">
        <f ca="1">IFERROR(__xludf.DUMMYFUNCTION("IFERROR(GOOGLETRANSLATE(A1704,""ko"",""en""),)"),"")</f>
        <v/>
      </c>
      <c r="C1704" s="4" t="str">
        <f ca="1">IFERROR(__xludf.DUMMYFUNCTION("IFERROR(GOOGLETRANSLATE(B1704,""en"",""ja""),)"),"")</f>
        <v/>
      </c>
      <c r="D1704" s="4" t="str">
        <f ca="1">IFERROR(__xludf.DUMMYFUNCTION("IFERROR(GOOGLETRANSLATE(B1704,""en"",""zh-TW""),)"),"")</f>
        <v/>
      </c>
      <c r="E1704" s="4" t="str">
        <f ca="1">IFERROR(__xludf.DUMMYFUNCTION("IFERROR(GOOGLETRANSLATE(B1704,""en"",""zh-CN""),)"),"")</f>
        <v/>
      </c>
    </row>
    <row r="1705" spans="1:5">
      <c r="A1705" s="3"/>
      <c r="B1705" s="4" t="str">
        <f ca="1">IFERROR(__xludf.DUMMYFUNCTION("IFERROR(GOOGLETRANSLATE(A1705,""ko"",""en""),)"),"")</f>
        <v/>
      </c>
      <c r="C1705" s="4" t="str">
        <f ca="1">IFERROR(__xludf.DUMMYFUNCTION("IFERROR(GOOGLETRANSLATE(B1705,""en"",""ja""),)"),"")</f>
        <v/>
      </c>
      <c r="D1705" s="4" t="str">
        <f ca="1">IFERROR(__xludf.DUMMYFUNCTION("IFERROR(GOOGLETRANSLATE(B1705,""en"",""zh-TW""),)"),"")</f>
        <v/>
      </c>
      <c r="E1705" s="4" t="str">
        <f ca="1">IFERROR(__xludf.DUMMYFUNCTION("IFERROR(GOOGLETRANSLATE(B1705,""en"",""zh-CN""),)"),"")</f>
        <v/>
      </c>
    </row>
    <row r="1706" spans="1:5">
      <c r="A1706" s="3"/>
      <c r="B1706" s="4" t="str">
        <f ca="1">IFERROR(__xludf.DUMMYFUNCTION("IFERROR(GOOGLETRANSLATE(A1706,""ko"",""en""),)"),"")</f>
        <v/>
      </c>
      <c r="C1706" s="4" t="str">
        <f ca="1">IFERROR(__xludf.DUMMYFUNCTION("IFERROR(GOOGLETRANSLATE(B1706,""en"",""ja""),)"),"")</f>
        <v/>
      </c>
      <c r="D1706" s="4" t="str">
        <f ca="1">IFERROR(__xludf.DUMMYFUNCTION("IFERROR(GOOGLETRANSLATE(B1706,""en"",""zh-TW""),)"),"")</f>
        <v/>
      </c>
      <c r="E1706" s="4" t="str">
        <f ca="1">IFERROR(__xludf.DUMMYFUNCTION("IFERROR(GOOGLETRANSLATE(B1706,""en"",""zh-CN""),)"),"")</f>
        <v/>
      </c>
    </row>
    <row r="1707" spans="1:5">
      <c r="A1707" s="3"/>
      <c r="B1707" s="4" t="str">
        <f ca="1">IFERROR(__xludf.DUMMYFUNCTION("IFERROR(GOOGLETRANSLATE(A1707,""ko"",""en""),)"),"")</f>
        <v/>
      </c>
      <c r="C1707" s="4" t="str">
        <f ca="1">IFERROR(__xludf.DUMMYFUNCTION("IFERROR(GOOGLETRANSLATE(B1707,""en"",""ja""),)"),"")</f>
        <v/>
      </c>
      <c r="D1707" s="4" t="str">
        <f ca="1">IFERROR(__xludf.DUMMYFUNCTION("IFERROR(GOOGLETRANSLATE(B1707,""en"",""zh-TW""),)"),"")</f>
        <v/>
      </c>
      <c r="E1707" s="4" t="str">
        <f ca="1">IFERROR(__xludf.DUMMYFUNCTION("IFERROR(GOOGLETRANSLATE(B1707,""en"",""zh-CN""),)"),"")</f>
        <v/>
      </c>
    </row>
    <row r="1708" spans="1:5">
      <c r="A1708" s="3"/>
      <c r="B1708" s="4" t="str">
        <f ca="1">IFERROR(__xludf.DUMMYFUNCTION("IFERROR(GOOGLETRANSLATE(A1708,""ko"",""en""),)"),"")</f>
        <v/>
      </c>
      <c r="C1708" s="4" t="str">
        <f ca="1">IFERROR(__xludf.DUMMYFUNCTION("IFERROR(GOOGLETRANSLATE(B1708,""en"",""ja""),)"),"")</f>
        <v/>
      </c>
      <c r="D1708" s="4" t="str">
        <f ca="1">IFERROR(__xludf.DUMMYFUNCTION("IFERROR(GOOGLETRANSLATE(B1708,""en"",""zh-TW""),)"),"")</f>
        <v/>
      </c>
      <c r="E1708" s="4" t="str">
        <f ca="1">IFERROR(__xludf.DUMMYFUNCTION("IFERROR(GOOGLETRANSLATE(B1708,""en"",""zh-CN""),)"),"")</f>
        <v/>
      </c>
    </row>
    <row r="1709" spans="1:5">
      <c r="A1709" s="3"/>
      <c r="B1709" s="4" t="str">
        <f ca="1">IFERROR(__xludf.DUMMYFUNCTION("IFERROR(GOOGLETRANSLATE(A1709,""ko"",""en""),)"),"")</f>
        <v/>
      </c>
      <c r="C1709" s="4" t="str">
        <f ca="1">IFERROR(__xludf.DUMMYFUNCTION("IFERROR(GOOGLETRANSLATE(B1709,""en"",""ja""),)"),"")</f>
        <v/>
      </c>
      <c r="D1709" s="4" t="str">
        <f ca="1">IFERROR(__xludf.DUMMYFUNCTION("IFERROR(GOOGLETRANSLATE(B1709,""en"",""zh-TW""),)"),"")</f>
        <v/>
      </c>
      <c r="E1709" s="4" t="str">
        <f ca="1">IFERROR(__xludf.DUMMYFUNCTION("IFERROR(GOOGLETRANSLATE(B1709,""en"",""zh-CN""),)"),"")</f>
        <v/>
      </c>
    </row>
    <row r="1710" spans="1:5">
      <c r="A1710" s="3"/>
      <c r="B1710" s="4" t="str">
        <f ca="1">IFERROR(__xludf.DUMMYFUNCTION("IFERROR(GOOGLETRANSLATE(A1710,""ko"",""en""),)"),"")</f>
        <v/>
      </c>
      <c r="C1710" s="4" t="str">
        <f ca="1">IFERROR(__xludf.DUMMYFUNCTION("IFERROR(GOOGLETRANSLATE(B1710,""en"",""ja""),)"),"")</f>
        <v/>
      </c>
      <c r="D1710" s="4" t="str">
        <f ca="1">IFERROR(__xludf.DUMMYFUNCTION("IFERROR(GOOGLETRANSLATE(B1710,""en"",""zh-TW""),)"),"")</f>
        <v/>
      </c>
      <c r="E1710" s="4" t="str">
        <f ca="1">IFERROR(__xludf.DUMMYFUNCTION("IFERROR(GOOGLETRANSLATE(B1710,""en"",""zh-CN""),)"),"")</f>
        <v/>
      </c>
    </row>
    <row r="1711" spans="1:5">
      <c r="A1711" s="3"/>
      <c r="B1711" s="4" t="str">
        <f ca="1">IFERROR(__xludf.DUMMYFUNCTION("IFERROR(GOOGLETRANSLATE(A1711,""ko"",""en""),)"),"")</f>
        <v/>
      </c>
      <c r="C1711" s="4" t="str">
        <f ca="1">IFERROR(__xludf.DUMMYFUNCTION("IFERROR(GOOGLETRANSLATE(B1711,""en"",""ja""),)"),"")</f>
        <v/>
      </c>
      <c r="D1711" s="4" t="str">
        <f ca="1">IFERROR(__xludf.DUMMYFUNCTION("IFERROR(GOOGLETRANSLATE(B1711,""en"",""zh-TW""),)"),"")</f>
        <v/>
      </c>
      <c r="E1711" s="4" t="str">
        <f ca="1">IFERROR(__xludf.DUMMYFUNCTION("IFERROR(GOOGLETRANSLATE(B1711,""en"",""zh-CN""),)"),"")</f>
        <v/>
      </c>
    </row>
    <row r="1712" spans="1:5">
      <c r="A1712" s="3"/>
      <c r="B1712" s="4" t="str">
        <f ca="1">IFERROR(__xludf.DUMMYFUNCTION("IFERROR(GOOGLETRANSLATE(A1712,""ko"",""en""),)"),"")</f>
        <v/>
      </c>
      <c r="C1712" s="4" t="str">
        <f ca="1">IFERROR(__xludf.DUMMYFUNCTION("IFERROR(GOOGLETRANSLATE(B1712,""en"",""ja""),)"),"")</f>
        <v/>
      </c>
      <c r="D1712" s="4" t="str">
        <f ca="1">IFERROR(__xludf.DUMMYFUNCTION("IFERROR(GOOGLETRANSLATE(B1712,""en"",""zh-TW""),)"),"")</f>
        <v/>
      </c>
      <c r="E1712" s="4" t="str">
        <f ca="1">IFERROR(__xludf.DUMMYFUNCTION("IFERROR(GOOGLETRANSLATE(B1712,""en"",""zh-CN""),)"),"")</f>
        <v/>
      </c>
    </row>
    <row r="1713" spans="1:5">
      <c r="A1713" s="3"/>
      <c r="B1713" s="4" t="str">
        <f ca="1">IFERROR(__xludf.DUMMYFUNCTION("IFERROR(GOOGLETRANSLATE(A1713,""ko"",""en""),)"),"")</f>
        <v/>
      </c>
      <c r="C1713" s="4" t="str">
        <f ca="1">IFERROR(__xludf.DUMMYFUNCTION("IFERROR(GOOGLETRANSLATE(B1713,""en"",""ja""),)"),"")</f>
        <v/>
      </c>
      <c r="D1713" s="4" t="str">
        <f ca="1">IFERROR(__xludf.DUMMYFUNCTION("IFERROR(GOOGLETRANSLATE(B1713,""en"",""zh-TW""),)"),"")</f>
        <v/>
      </c>
      <c r="E1713" s="4" t="str">
        <f ca="1">IFERROR(__xludf.DUMMYFUNCTION("IFERROR(GOOGLETRANSLATE(B1713,""en"",""zh-CN""),)"),"")</f>
        <v/>
      </c>
    </row>
    <row r="1714" spans="1:5">
      <c r="A1714" s="3"/>
      <c r="B1714" s="4" t="str">
        <f ca="1">IFERROR(__xludf.DUMMYFUNCTION("IFERROR(GOOGLETRANSLATE(A1714,""ko"",""en""),)"),"")</f>
        <v/>
      </c>
      <c r="C1714" s="4" t="str">
        <f ca="1">IFERROR(__xludf.DUMMYFUNCTION("IFERROR(GOOGLETRANSLATE(B1714,""en"",""ja""),)"),"")</f>
        <v/>
      </c>
      <c r="D1714" s="4" t="str">
        <f ca="1">IFERROR(__xludf.DUMMYFUNCTION("IFERROR(GOOGLETRANSLATE(B1714,""en"",""zh-TW""),)"),"")</f>
        <v/>
      </c>
      <c r="E1714" s="4" t="str">
        <f ca="1">IFERROR(__xludf.DUMMYFUNCTION("IFERROR(GOOGLETRANSLATE(B1714,""en"",""zh-CN""),)"),"")</f>
        <v/>
      </c>
    </row>
    <row r="1715" spans="1:5">
      <c r="A1715" s="3"/>
      <c r="B1715" s="4" t="str">
        <f ca="1">IFERROR(__xludf.DUMMYFUNCTION("IFERROR(GOOGLETRANSLATE(A1715,""ko"",""en""),)"),"")</f>
        <v/>
      </c>
      <c r="C1715" s="4" t="str">
        <f ca="1">IFERROR(__xludf.DUMMYFUNCTION("IFERROR(GOOGLETRANSLATE(B1715,""en"",""ja""),)"),"")</f>
        <v/>
      </c>
      <c r="D1715" s="4" t="str">
        <f ca="1">IFERROR(__xludf.DUMMYFUNCTION("IFERROR(GOOGLETRANSLATE(B1715,""en"",""zh-TW""),)"),"")</f>
        <v/>
      </c>
      <c r="E1715" s="4" t="str">
        <f ca="1">IFERROR(__xludf.DUMMYFUNCTION("IFERROR(GOOGLETRANSLATE(B1715,""en"",""zh-CN""),)"),"")</f>
        <v/>
      </c>
    </row>
    <row r="1716" spans="1:5">
      <c r="A1716" s="3"/>
      <c r="B1716" s="4" t="str">
        <f ca="1">IFERROR(__xludf.DUMMYFUNCTION("IFERROR(GOOGLETRANSLATE(A1716,""ko"",""en""),)"),"")</f>
        <v/>
      </c>
      <c r="C1716" s="4" t="str">
        <f ca="1">IFERROR(__xludf.DUMMYFUNCTION("IFERROR(GOOGLETRANSLATE(B1716,""en"",""ja""),)"),"")</f>
        <v/>
      </c>
      <c r="D1716" s="4" t="str">
        <f ca="1">IFERROR(__xludf.DUMMYFUNCTION("IFERROR(GOOGLETRANSLATE(B1716,""en"",""zh-TW""),)"),"")</f>
        <v/>
      </c>
      <c r="E1716" s="4" t="str">
        <f ca="1">IFERROR(__xludf.DUMMYFUNCTION("IFERROR(GOOGLETRANSLATE(B1716,""en"",""zh-CN""),)"),"")</f>
        <v/>
      </c>
    </row>
    <row r="1717" spans="1:5">
      <c r="A1717" s="3"/>
      <c r="B1717" s="4" t="str">
        <f ca="1">IFERROR(__xludf.DUMMYFUNCTION("IFERROR(GOOGLETRANSLATE(A1717,""ko"",""en""),)"),"")</f>
        <v/>
      </c>
      <c r="C1717" s="4" t="str">
        <f ca="1">IFERROR(__xludf.DUMMYFUNCTION("IFERROR(GOOGLETRANSLATE(B1717,""en"",""ja""),)"),"")</f>
        <v/>
      </c>
      <c r="D1717" s="4" t="str">
        <f ca="1">IFERROR(__xludf.DUMMYFUNCTION("IFERROR(GOOGLETRANSLATE(B1717,""en"",""zh-TW""),)"),"")</f>
        <v/>
      </c>
      <c r="E1717" s="4" t="str">
        <f ca="1">IFERROR(__xludf.DUMMYFUNCTION("IFERROR(GOOGLETRANSLATE(B1717,""en"",""zh-CN""),)"),"")</f>
        <v/>
      </c>
    </row>
    <row r="1718" spans="1:5">
      <c r="A1718" s="3"/>
      <c r="B1718" s="4" t="str">
        <f ca="1">IFERROR(__xludf.DUMMYFUNCTION("IFERROR(GOOGLETRANSLATE(A1718,""ko"",""en""),)"),"")</f>
        <v/>
      </c>
      <c r="C1718" s="4" t="str">
        <f ca="1">IFERROR(__xludf.DUMMYFUNCTION("IFERROR(GOOGLETRANSLATE(B1718,""en"",""ja""),)"),"")</f>
        <v/>
      </c>
      <c r="D1718" s="4" t="str">
        <f ca="1">IFERROR(__xludf.DUMMYFUNCTION("IFERROR(GOOGLETRANSLATE(B1718,""en"",""zh-TW""),)"),"")</f>
        <v/>
      </c>
      <c r="E1718" s="4" t="str">
        <f ca="1">IFERROR(__xludf.DUMMYFUNCTION("IFERROR(GOOGLETRANSLATE(B1718,""en"",""zh-CN""),)"),"")</f>
        <v/>
      </c>
    </row>
    <row r="1719" spans="1:5">
      <c r="A1719" s="3"/>
      <c r="B1719" s="4" t="str">
        <f ca="1">IFERROR(__xludf.DUMMYFUNCTION("IFERROR(GOOGLETRANSLATE(A1719,""ko"",""en""),)"),"")</f>
        <v/>
      </c>
      <c r="C1719" s="4" t="str">
        <f ca="1">IFERROR(__xludf.DUMMYFUNCTION("IFERROR(GOOGLETRANSLATE(B1719,""en"",""ja""),)"),"")</f>
        <v/>
      </c>
      <c r="D1719" s="4" t="str">
        <f ca="1">IFERROR(__xludf.DUMMYFUNCTION("IFERROR(GOOGLETRANSLATE(B1719,""en"",""zh-TW""),)"),"")</f>
        <v/>
      </c>
      <c r="E1719" s="4" t="str">
        <f ca="1">IFERROR(__xludf.DUMMYFUNCTION("IFERROR(GOOGLETRANSLATE(B1719,""en"",""zh-CN""),)"),"")</f>
        <v/>
      </c>
    </row>
    <row r="1720" spans="1:5">
      <c r="A1720" s="3"/>
      <c r="B1720" s="4" t="str">
        <f ca="1">IFERROR(__xludf.DUMMYFUNCTION("IFERROR(GOOGLETRANSLATE(A1720,""ko"",""en""),)"),"")</f>
        <v/>
      </c>
      <c r="C1720" s="4" t="str">
        <f ca="1">IFERROR(__xludf.DUMMYFUNCTION("IFERROR(GOOGLETRANSLATE(B1720,""en"",""ja""),)"),"")</f>
        <v/>
      </c>
      <c r="D1720" s="4" t="str">
        <f ca="1">IFERROR(__xludf.DUMMYFUNCTION("IFERROR(GOOGLETRANSLATE(B1720,""en"",""zh-TW""),)"),"")</f>
        <v/>
      </c>
      <c r="E1720" s="4" t="str">
        <f ca="1">IFERROR(__xludf.DUMMYFUNCTION("IFERROR(GOOGLETRANSLATE(B1720,""en"",""zh-CN""),)"),"")</f>
        <v/>
      </c>
    </row>
    <row r="1721" spans="1:5">
      <c r="A1721" s="3"/>
      <c r="B1721" s="4" t="str">
        <f ca="1">IFERROR(__xludf.DUMMYFUNCTION("IFERROR(GOOGLETRANSLATE(A1721,""ko"",""en""),)"),"")</f>
        <v/>
      </c>
      <c r="C1721" s="4" t="str">
        <f ca="1">IFERROR(__xludf.DUMMYFUNCTION("IFERROR(GOOGLETRANSLATE(B1721,""en"",""ja""),)"),"")</f>
        <v/>
      </c>
      <c r="D1721" s="4" t="str">
        <f ca="1">IFERROR(__xludf.DUMMYFUNCTION("IFERROR(GOOGLETRANSLATE(B1721,""en"",""zh-TW""),)"),"")</f>
        <v/>
      </c>
      <c r="E1721" s="4" t="str">
        <f ca="1">IFERROR(__xludf.DUMMYFUNCTION("IFERROR(GOOGLETRANSLATE(B1721,""en"",""zh-CN""),)"),"")</f>
        <v/>
      </c>
    </row>
    <row r="1722" spans="1:5">
      <c r="A1722" s="3"/>
      <c r="B1722" s="4" t="str">
        <f ca="1">IFERROR(__xludf.DUMMYFUNCTION("IFERROR(GOOGLETRANSLATE(A1722,""ko"",""en""),)"),"")</f>
        <v/>
      </c>
      <c r="C1722" s="4" t="str">
        <f ca="1">IFERROR(__xludf.DUMMYFUNCTION("IFERROR(GOOGLETRANSLATE(B1722,""en"",""ja""),)"),"")</f>
        <v/>
      </c>
      <c r="D1722" s="4" t="str">
        <f ca="1">IFERROR(__xludf.DUMMYFUNCTION("IFERROR(GOOGLETRANSLATE(B1722,""en"",""zh-TW""),)"),"")</f>
        <v/>
      </c>
      <c r="E1722" s="4" t="str">
        <f ca="1">IFERROR(__xludf.DUMMYFUNCTION("IFERROR(GOOGLETRANSLATE(B1722,""en"",""zh-CN""),)"),"")</f>
        <v/>
      </c>
    </row>
    <row r="1723" spans="1:5">
      <c r="A1723" s="3"/>
      <c r="B1723" s="4" t="str">
        <f ca="1">IFERROR(__xludf.DUMMYFUNCTION("IFERROR(GOOGLETRANSLATE(A1723,""ko"",""en""),)"),"")</f>
        <v/>
      </c>
      <c r="C1723" s="4" t="str">
        <f ca="1">IFERROR(__xludf.DUMMYFUNCTION("IFERROR(GOOGLETRANSLATE(B1723,""en"",""ja""),)"),"")</f>
        <v/>
      </c>
      <c r="D1723" s="4" t="str">
        <f ca="1">IFERROR(__xludf.DUMMYFUNCTION("IFERROR(GOOGLETRANSLATE(B1723,""en"",""zh-TW""),)"),"")</f>
        <v/>
      </c>
      <c r="E1723" s="4" t="str">
        <f ca="1">IFERROR(__xludf.DUMMYFUNCTION("IFERROR(GOOGLETRANSLATE(B1723,""en"",""zh-CN""),)"),"")</f>
        <v/>
      </c>
    </row>
    <row r="1724" spans="1:5">
      <c r="A1724" s="3"/>
      <c r="B1724" s="4" t="str">
        <f ca="1">IFERROR(__xludf.DUMMYFUNCTION("IFERROR(GOOGLETRANSLATE(A1724,""ko"",""en""),)"),"")</f>
        <v/>
      </c>
      <c r="C1724" s="4" t="str">
        <f ca="1">IFERROR(__xludf.DUMMYFUNCTION("IFERROR(GOOGLETRANSLATE(B1724,""en"",""ja""),)"),"")</f>
        <v/>
      </c>
      <c r="D1724" s="4" t="str">
        <f ca="1">IFERROR(__xludf.DUMMYFUNCTION("IFERROR(GOOGLETRANSLATE(B1724,""en"",""zh-TW""),)"),"")</f>
        <v/>
      </c>
      <c r="E1724" s="4" t="str">
        <f ca="1">IFERROR(__xludf.DUMMYFUNCTION("IFERROR(GOOGLETRANSLATE(B1724,""en"",""zh-CN""),)"),"")</f>
        <v/>
      </c>
    </row>
    <row r="1725" spans="1:5">
      <c r="A1725" s="3"/>
      <c r="B1725" s="4" t="str">
        <f ca="1">IFERROR(__xludf.DUMMYFUNCTION("IFERROR(GOOGLETRANSLATE(A1725,""ko"",""en""),)"),"")</f>
        <v/>
      </c>
      <c r="C1725" s="4" t="str">
        <f ca="1">IFERROR(__xludf.DUMMYFUNCTION("IFERROR(GOOGLETRANSLATE(B1725,""en"",""ja""),)"),"")</f>
        <v/>
      </c>
      <c r="D1725" s="4" t="str">
        <f ca="1">IFERROR(__xludf.DUMMYFUNCTION("IFERROR(GOOGLETRANSLATE(B1725,""en"",""zh-TW""),)"),"")</f>
        <v/>
      </c>
      <c r="E1725" s="4" t="str">
        <f ca="1">IFERROR(__xludf.DUMMYFUNCTION("IFERROR(GOOGLETRANSLATE(B1725,""en"",""zh-CN""),)"),"")</f>
        <v/>
      </c>
    </row>
    <row r="1726" spans="1:5">
      <c r="A1726" s="3"/>
      <c r="B1726" s="4" t="str">
        <f ca="1">IFERROR(__xludf.DUMMYFUNCTION("IFERROR(GOOGLETRANSLATE(A1726,""ko"",""en""),)"),"")</f>
        <v/>
      </c>
      <c r="C1726" s="4" t="str">
        <f ca="1">IFERROR(__xludf.DUMMYFUNCTION("IFERROR(GOOGLETRANSLATE(B1726,""en"",""ja""),)"),"")</f>
        <v/>
      </c>
      <c r="D1726" s="4" t="str">
        <f ca="1">IFERROR(__xludf.DUMMYFUNCTION("IFERROR(GOOGLETRANSLATE(B1726,""en"",""zh-TW""),)"),"")</f>
        <v/>
      </c>
      <c r="E1726" s="4" t="str">
        <f ca="1">IFERROR(__xludf.DUMMYFUNCTION("IFERROR(GOOGLETRANSLATE(B1726,""en"",""zh-CN""),)"),"")</f>
        <v/>
      </c>
    </row>
    <row r="1727" spans="1:5">
      <c r="A1727" s="3"/>
      <c r="B1727" s="4" t="str">
        <f ca="1">IFERROR(__xludf.DUMMYFUNCTION("IFERROR(GOOGLETRANSLATE(A1727,""ko"",""en""),)"),"")</f>
        <v/>
      </c>
      <c r="C1727" s="4" t="str">
        <f ca="1">IFERROR(__xludf.DUMMYFUNCTION("IFERROR(GOOGLETRANSLATE(B1727,""en"",""ja""),)"),"")</f>
        <v/>
      </c>
      <c r="D1727" s="4" t="str">
        <f ca="1">IFERROR(__xludf.DUMMYFUNCTION("IFERROR(GOOGLETRANSLATE(B1727,""en"",""zh-TW""),)"),"")</f>
        <v/>
      </c>
      <c r="E1727" s="4" t="str">
        <f ca="1">IFERROR(__xludf.DUMMYFUNCTION("IFERROR(GOOGLETRANSLATE(B1727,""en"",""zh-CN""),)"),"")</f>
        <v/>
      </c>
    </row>
    <row r="1728" spans="1:5">
      <c r="A1728" s="3"/>
      <c r="B1728" s="4" t="str">
        <f ca="1">IFERROR(__xludf.DUMMYFUNCTION("IFERROR(GOOGLETRANSLATE(A1728,""ko"",""en""),)"),"")</f>
        <v/>
      </c>
      <c r="C1728" s="4" t="str">
        <f ca="1">IFERROR(__xludf.DUMMYFUNCTION("IFERROR(GOOGLETRANSLATE(B1728,""en"",""ja""),)"),"")</f>
        <v/>
      </c>
      <c r="D1728" s="4" t="str">
        <f ca="1">IFERROR(__xludf.DUMMYFUNCTION("IFERROR(GOOGLETRANSLATE(B1728,""en"",""zh-TW""),)"),"")</f>
        <v/>
      </c>
      <c r="E1728" s="4" t="str">
        <f ca="1">IFERROR(__xludf.DUMMYFUNCTION("IFERROR(GOOGLETRANSLATE(B1728,""en"",""zh-CN""),)"),"")</f>
        <v/>
      </c>
    </row>
    <row r="1729" spans="1:5">
      <c r="A1729" s="3"/>
      <c r="B1729" s="4" t="str">
        <f ca="1">IFERROR(__xludf.DUMMYFUNCTION("IFERROR(GOOGLETRANSLATE(A1729,""ko"",""en""),)"),"")</f>
        <v/>
      </c>
      <c r="C1729" s="4" t="str">
        <f ca="1">IFERROR(__xludf.DUMMYFUNCTION("IFERROR(GOOGLETRANSLATE(B1729,""en"",""ja""),)"),"")</f>
        <v/>
      </c>
      <c r="D1729" s="4" t="str">
        <f ca="1">IFERROR(__xludf.DUMMYFUNCTION("IFERROR(GOOGLETRANSLATE(B1729,""en"",""zh-TW""),)"),"")</f>
        <v/>
      </c>
      <c r="E1729" s="4" t="str">
        <f ca="1">IFERROR(__xludf.DUMMYFUNCTION("IFERROR(GOOGLETRANSLATE(B1729,""en"",""zh-CN""),)"),"")</f>
        <v/>
      </c>
    </row>
    <row r="1730" spans="1:5">
      <c r="A1730" s="3"/>
      <c r="B1730" s="4" t="str">
        <f ca="1">IFERROR(__xludf.DUMMYFUNCTION("IFERROR(GOOGLETRANSLATE(A1730,""ko"",""en""),)"),"")</f>
        <v/>
      </c>
      <c r="C1730" s="4" t="str">
        <f ca="1">IFERROR(__xludf.DUMMYFUNCTION("IFERROR(GOOGLETRANSLATE(B1730,""en"",""ja""),)"),"")</f>
        <v/>
      </c>
      <c r="D1730" s="4" t="str">
        <f ca="1">IFERROR(__xludf.DUMMYFUNCTION("IFERROR(GOOGLETRANSLATE(B1730,""en"",""zh-TW""),)"),"")</f>
        <v/>
      </c>
      <c r="E1730" s="4" t="str">
        <f ca="1">IFERROR(__xludf.DUMMYFUNCTION("IFERROR(GOOGLETRANSLATE(B1730,""en"",""zh-CN""),)"),"")</f>
        <v/>
      </c>
    </row>
    <row r="1731" spans="1:5">
      <c r="A1731" s="3"/>
      <c r="B1731" s="4" t="str">
        <f ca="1">IFERROR(__xludf.DUMMYFUNCTION("IFERROR(GOOGLETRANSLATE(A1731,""ko"",""en""),)"),"")</f>
        <v/>
      </c>
      <c r="C1731" s="4" t="str">
        <f ca="1">IFERROR(__xludf.DUMMYFUNCTION("IFERROR(GOOGLETRANSLATE(B1731,""en"",""ja""),)"),"")</f>
        <v/>
      </c>
      <c r="D1731" s="4" t="str">
        <f ca="1">IFERROR(__xludf.DUMMYFUNCTION("IFERROR(GOOGLETRANSLATE(B1731,""en"",""zh-TW""),)"),"")</f>
        <v/>
      </c>
      <c r="E1731" s="4" t="str">
        <f ca="1">IFERROR(__xludf.DUMMYFUNCTION("IFERROR(GOOGLETRANSLATE(B1731,""en"",""zh-CN""),)"),"")</f>
        <v/>
      </c>
    </row>
    <row r="1732" spans="1:5">
      <c r="A1732" s="3"/>
      <c r="B1732" s="4" t="str">
        <f ca="1">IFERROR(__xludf.DUMMYFUNCTION("IFERROR(GOOGLETRANSLATE(A1732,""ko"",""en""),)"),"")</f>
        <v/>
      </c>
      <c r="C1732" s="4" t="str">
        <f ca="1">IFERROR(__xludf.DUMMYFUNCTION("IFERROR(GOOGLETRANSLATE(B1732,""en"",""ja""),)"),"")</f>
        <v/>
      </c>
      <c r="D1732" s="4" t="str">
        <f ca="1">IFERROR(__xludf.DUMMYFUNCTION("IFERROR(GOOGLETRANSLATE(B1732,""en"",""zh-TW""),)"),"")</f>
        <v/>
      </c>
      <c r="E1732" s="4" t="str">
        <f ca="1">IFERROR(__xludf.DUMMYFUNCTION("IFERROR(GOOGLETRANSLATE(B1732,""en"",""zh-CN""),)"),"")</f>
        <v/>
      </c>
    </row>
    <row r="1733" spans="1:5">
      <c r="A1733" s="3"/>
      <c r="B1733" s="4" t="str">
        <f ca="1">IFERROR(__xludf.DUMMYFUNCTION("IFERROR(GOOGLETRANSLATE(A1733,""ko"",""en""),)"),"")</f>
        <v/>
      </c>
      <c r="C1733" s="4" t="str">
        <f ca="1">IFERROR(__xludf.DUMMYFUNCTION("IFERROR(GOOGLETRANSLATE(B1733,""en"",""ja""),)"),"")</f>
        <v/>
      </c>
      <c r="D1733" s="4" t="str">
        <f ca="1">IFERROR(__xludf.DUMMYFUNCTION("IFERROR(GOOGLETRANSLATE(B1733,""en"",""zh-TW""),)"),"")</f>
        <v/>
      </c>
      <c r="E1733" s="4" t="str">
        <f ca="1">IFERROR(__xludf.DUMMYFUNCTION("IFERROR(GOOGLETRANSLATE(B1733,""en"",""zh-CN""),)"),"")</f>
        <v/>
      </c>
    </row>
    <row r="1734" spans="1:5">
      <c r="A1734" s="3"/>
      <c r="B1734" s="4" t="str">
        <f ca="1">IFERROR(__xludf.DUMMYFUNCTION("IFERROR(GOOGLETRANSLATE(A1734,""ko"",""en""),)"),"")</f>
        <v/>
      </c>
      <c r="C1734" s="4" t="str">
        <f ca="1">IFERROR(__xludf.DUMMYFUNCTION("IFERROR(GOOGLETRANSLATE(B1734,""en"",""ja""),)"),"")</f>
        <v/>
      </c>
      <c r="D1734" s="4" t="str">
        <f ca="1">IFERROR(__xludf.DUMMYFUNCTION("IFERROR(GOOGLETRANSLATE(B1734,""en"",""zh-TW""),)"),"")</f>
        <v/>
      </c>
      <c r="E1734" s="4" t="str">
        <f ca="1">IFERROR(__xludf.DUMMYFUNCTION("IFERROR(GOOGLETRANSLATE(B1734,""en"",""zh-CN""),)"),"")</f>
        <v/>
      </c>
    </row>
    <row r="1735" spans="1:5">
      <c r="A1735" s="3"/>
      <c r="B1735" s="4" t="str">
        <f ca="1">IFERROR(__xludf.DUMMYFUNCTION("IFERROR(GOOGLETRANSLATE(A1735,""ko"",""en""),)"),"")</f>
        <v/>
      </c>
      <c r="C1735" s="4" t="str">
        <f ca="1">IFERROR(__xludf.DUMMYFUNCTION("IFERROR(GOOGLETRANSLATE(B1735,""en"",""ja""),)"),"")</f>
        <v/>
      </c>
      <c r="D1735" s="4" t="str">
        <f ca="1">IFERROR(__xludf.DUMMYFUNCTION("IFERROR(GOOGLETRANSLATE(B1735,""en"",""zh-TW""),)"),"")</f>
        <v/>
      </c>
      <c r="E1735" s="4" t="str">
        <f ca="1">IFERROR(__xludf.DUMMYFUNCTION("IFERROR(GOOGLETRANSLATE(B1735,""en"",""zh-CN""),)"),"")</f>
        <v/>
      </c>
    </row>
    <row r="1736" spans="1:5">
      <c r="A1736" s="3"/>
      <c r="B1736" s="4" t="str">
        <f ca="1">IFERROR(__xludf.DUMMYFUNCTION("IFERROR(GOOGLETRANSLATE(A1736,""ko"",""en""),)"),"")</f>
        <v/>
      </c>
      <c r="C1736" s="4" t="str">
        <f ca="1">IFERROR(__xludf.DUMMYFUNCTION("IFERROR(GOOGLETRANSLATE(B1736,""en"",""ja""),)"),"")</f>
        <v/>
      </c>
      <c r="D1736" s="4" t="str">
        <f ca="1">IFERROR(__xludf.DUMMYFUNCTION("IFERROR(GOOGLETRANSLATE(B1736,""en"",""zh-TW""),)"),"")</f>
        <v/>
      </c>
      <c r="E1736" s="4" t="str">
        <f ca="1">IFERROR(__xludf.DUMMYFUNCTION("IFERROR(GOOGLETRANSLATE(B1736,""en"",""zh-CN""),)"),"")</f>
        <v/>
      </c>
    </row>
    <row r="1737" spans="1:5">
      <c r="A1737" s="3"/>
      <c r="B1737" s="4" t="str">
        <f ca="1">IFERROR(__xludf.DUMMYFUNCTION("IFERROR(GOOGLETRANSLATE(A1737,""ko"",""en""),)"),"")</f>
        <v/>
      </c>
      <c r="C1737" s="4" t="str">
        <f ca="1">IFERROR(__xludf.DUMMYFUNCTION("IFERROR(GOOGLETRANSLATE(B1737,""en"",""ja""),)"),"")</f>
        <v/>
      </c>
      <c r="D1737" s="4" t="str">
        <f ca="1">IFERROR(__xludf.DUMMYFUNCTION("IFERROR(GOOGLETRANSLATE(B1737,""en"",""zh-TW""),)"),"")</f>
        <v/>
      </c>
      <c r="E1737" s="4" t="str">
        <f ca="1">IFERROR(__xludf.DUMMYFUNCTION("IFERROR(GOOGLETRANSLATE(B1737,""en"",""zh-CN""),)"),"")</f>
        <v/>
      </c>
    </row>
    <row r="1738" spans="1:5">
      <c r="A1738" s="3"/>
      <c r="B1738" s="4" t="str">
        <f ca="1">IFERROR(__xludf.DUMMYFUNCTION("IFERROR(GOOGLETRANSLATE(A1738,""ko"",""en""),)"),"")</f>
        <v/>
      </c>
      <c r="C1738" s="4" t="str">
        <f ca="1">IFERROR(__xludf.DUMMYFUNCTION("IFERROR(GOOGLETRANSLATE(B1738,""en"",""ja""),)"),"")</f>
        <v/>
      </c>
      <c r="D1738" s="4" t="str">
        <f ca="1">IFERROR(__xludf.DUMMYFUNCTION("IFERROR(GOOGLETRANSLATE(B1738,""en"",""zh-TW""),)"),"")</f>
        <v/>
      </c>
      <c r="E1738" s="4" t="str">
        <f ca="1">IFERROR(__xludf.DUMMYFUNCTION("IFERROR(GOOGLETRANSLATE(B1738,""en"",""zh-CN""),)"),"")</f>
        <v/>
      </c>
    </row>
    <row r="1739" spans="1:5">
      <c r="A1739" s="3"/>
      <c r="B1739" s="4" t="str">
        <f ca="1">IFERROR(__xludf.DUMMYFUNCTION("IFERROR(GOOGLETRANSLATE(A1739,""ko"",""en""),)"),"")</f>
        <v/>
      </c>
      <c r="C1739" s="4" t="str">
        <f ca="1">IFERROR(__xludf.DUMMYFUNCTION("IFERROR(GOOGLETRANSLATE(B1739,""en"",""ja""),)"),"")</f>
        <v/>
      </c>
      <c r="D1739" s="4" t="str">
        <f ca="1">IFERROR(__xludf.DUMMYFUNCTION("IFERROR(GOOGLETRANSLATE(B1739,""en"",""zh-TW""),)"),"")</f>
        <v/>
      </c>
      <c r="E1739" s="4" t="str">
        <f ca="1">IFERROR(__xludf.DUMMYFUNCTION("IFERROR(GOOGLETRANSLATE(B1739,""en"",""zh-CN""),)"),"")</f>
        <v/>
      </c>
    </row>
    <row r="1740" spans="1:5">
      <c r="A1740" s="3"/>
      <c r="B1740" s="4" t="str">
        <f ca="1">IFERROR(__xludf.DUMMYFUNCTION("IFERROR(GOOGLETRANSLATE(A1740,""ko"",""en""),)"),"")</f>
        <v/>
      </c>
      <c r="C1740" s="4" t="str">
        <f ca="1">IFERROR(__xludf.DUMMYFUNCTION("IFERROR(GOOGLETRANSLATE(B1740,""en"",""ja""),)"),"")</f>
        <v/>
      </c>
      <c r="D1740" s="4" t="str">
        <f ca="1">IFERROR(__xludf.DUMMYFUNCTION("IFERROR(GOOGLETRANSLATE(B1740,""en"",""zh-TW""),)"),"")</f>
        <v/>
      </c>
      <c r="E1740" s="4" t="str">
        <f ca="1">IFERROR(__xludf.DUMMYFUNCTION("IFERROR(GOOGLETRANSLATE(B1740,""en"",""zh-CN""),)"),"")</f>
        <v/>
      </c>
    </row>
    <row r="1741" spans="1:5">
      <c r="A1741" s="3"/>
      <c r="B1741" s="4" t="str">
        <f ca="1">IFERROR(__xludf.DUMMYFUNCTION("IFERROR(GOOGLETRANSLATE(A1741,""ko"",""en""),)"),"")</f>
        <v/>
      </c>
      <c r="C1741" s="4" t="str">
        <f ca="1">IFERROR(__xludf.DUMMYFUNCTION("IFERROR(GOOGLETRANSLATE(B1741,""en"",""ja""),)"),"")</f>
        <v/>
      </c>
      <c r="D1741" s="4" t="str">
        <f ca="1">IFERROR(__xludf.DUMMYFUNCTION("IFERROR(GOOGLETRANSLATE(B1741,""en"",""zh-TW""),)"),"")</f>
        <v/>
      </c>
      <c r="E1741" s="4" t="str">
        <f ca="1">IFERROR(__xludf.DUMMYFUNCTION("IFERROR(GOOGLETRANSLATE(B1741,""en"",""zh-CN""),)"),"")</f>
        <v/>
      </c>
    </row>
    <row r="1742" spans="1:5">
      <c r="A1742" s="3"/>
      <c r="B1742" s="4" t="str">
        <f ca="1">IFERROR(__xludf.DUMMYFUNCTION("IFERROR(GOOGLETRANSLATE(A1742,""ko"",""en""),)"),"")</f>
        <v/>
      </c>
      <c r="C1742" s="4" t="str">
        <f ca="1">IFERROR(__xludf.DUMMYFUNCTION("IFERROR(GOOGLETRANSLATE(B1742,""en"",""ja""),)"),"")</f>
        <v/>
      </c>
      <c r="D1742" s="4" t="str">
        <f ca="1">IFERROR(__xludf.DUMMYFUNCTION("IFERROR(GOOGLETRANSLATE(B1742,""en"",""zh-TW""),)"),"")</f>
        <v/>
      </c>
      <c r="E1742" s="4" t="str">
        <f ca="1">IFERROR(__xludf.DUMMYFUNCTION("IFERROR(GOOGLETRANSLATE(B1742,""en"",""zh-CN""),)"),"")</f>
        <v/>
      </c>
    </row>
    <row r="1743" spans="1:5">
      <c r="A1743" s="3"/>
      <c r="B1743" s="4" t="str">
        <f ca="1">IFERROR(__xludf.DUMMYFUNCTION("IFERROR(GOOGLETRANSLATE(A1743,""ko"",""en""),)"),"")</f>
        <v/>
      </c>
      <c r="C1743" s="4" t="str">
        <f ca="1">IFERROR(__xludf.DUMMYFUNCTION("IFERROR(GOOGLETRANSLATE(B1743,""en"",""ja""),)"),"")</f>
        <v/>
      </c>
      <c r="D1743" s="4" t="str">
        <f ca="1">IFERROR(__xludf.DUMMYFUNCTION("IFERROR(GOOGLETRANSLATE(B1743,""en"",""zh-TW""),)"),"")</f>
        <v/>
      </c>
      <c r="E1743" s="4" t="str">
        <f ca="1">IFERROR(__xludf.DUMMYFUNCTION("IFERROR(GOOGLETRANSLATE(B1743,""en"",""zh-CN""),)"),"")</f>
        <v/>
      </c>
    </row>
    <row r="1744" spans="1:5">
      <c r="A1744" s="3"/>
      <c r="B1744" s="4" t="str">
        <f ca="1">IFERROR(__xludf.DUMMYFUNCTION("IFERROR(GOOGLETRANSLATE(A1744,""ko"",""en""),)"),"")</f>
        <v/>
      </c>
      <c r="C1744" s="4" t="str">
        <f ca="1">IFERROR(__xludf.DUMMYFUNCTION("IFERROR(GOOGLETRANSLATE(B1744,""en"",""ja""),)"),"")</f>
        <v/>
      </c>
      <c r="D1744" s="4" t="str">
        <f ca="1">IFERROR(__xludf.DUMMYFUNCTION("IFERROR(GOOGLETRANSLATE(B1744,""en"",""zh-TW""),)"),"")</f>
        <v/>
      </c>
      <c r="E1744" s="4" t="str">
        <f ca="1">IFERROR(__xludf.DUMMYFUNCTION("IFERROR(GOOGLETRANSLATE(B1744,""en"",""zh-CN""),)"),"")</f>
        <v/>
      </c>
    </row>
    <row r="1745" spans="1:5">
      <c r="A1745" s="3"/>
      <c r="B1745" s="4" t="str">
        <f ca="1">IFERROR(__xludf.DUMMYFUNCTION("IFERROR(GOOGLETRANSLATE(A1745,""ko"",""en""),)"),"")</f>
        <v/>
      </c>
      <c r="C1745" s="4" t="str">
        <f ca="1">IFERROR(__xludf.DUMMYFUNCTION("IFERROR(GOOGLETRANSLATE(B1745,""en"",""ja""),)"),"")</f>
        <v/>
      </c>
      <c r="D1745" s="4" t="str">
        <f ca="1">IFERROR(__xludf.DUMMYFUNCTION("IFERROR(GOOGLETRANSLATE(B1745,""en"",""zh-TW""),)"),"")</f>
        <v/>
      </c>
      <c r="E1745" s="4" t="str">
        <f ca="1">IFERROR(__xludf.DUMMYFUNCTION("IFERROR(GOOGLETRANSLATE(B1745,""en"",""zh-CN""),)"),"")</f>
        <v/>
      </c>
    </row>
    <row r="1746" spans="1:5">
      <c r="A1746" s="3"/>
      <c r="B1746" s="4" t="str">
        <f ca="1">IFERROR(__xludf.DUMMYFUNCTION("IFERROR(GOOGLETRANSLATE(A1746,""ko"",""en""),)"),"")</f>
        <v/>
      </c>
      <c r="C1746" s="4" t="str">
        <f ca="1">IFERROR(__xludf.DUMMYFUNCTION("IFERROR(GOOGLETRANSLATE(B1746,""en"",""ja""),)"),"")</f>
        <v/>
      </c>
      <c r="D1746" s="4" t="str">
        <f ca="1">IFERROR(__xludf.DUMMYFUNCTION("IFERROR(GOOGLETRANSLATE(B1746,""en"",""zh-TW""),)"),"")</f>
        <v/>
      </c>
      <c r="E1746" s="4" t="str">
        <f ca="1">IFERROR(__xludf.DUMMYFUNCTION("IFERROR(GOOGLETRANSLATE(B1746,""en"",""zh-CN""),)"),"")</f>
        <v/>
      </c>
    </row>
    <row r="1747" spans="1:5">
      <c r="A1747" s="3"/>
      <c r="B1747" s="4" t="str">
        <f ca="1">IFERROR(__xludf.DUMMYFUNCTION("IFERROR(GOOGLETRANSLATE(A1747,""ko"",""en""),)"),"")</f>
        <v/>
      </c>
      <c r="C1747" s="4" t="str">
        <f ca="1">IFERROR(__xludf.DUMMYFUNCTION("IFERROR(GOOGLETRANSLATE(B1747,""en"",""ja""),)"),"")</f>
        <v/>
      </c>
      <c r="D1747" s="4" t="str">
        <f ca="1">IFERROR(__xludf.DUMMYFUNCTION("IFERROR(GOOGLETRANSLATE(B1747,""en"",""zh-TW""),)"),"")</f>
        <v/>
      </c>
      <c r="E1747" s="4" t="str">
        <f ca="1">IFERROR(__xludf.DUMMYFUNCTION("IFERROR(GOOGLETRANSLATE(B1747,""en"",""zh-CN""),)"),"")</f>
        <v/>
      </c>
    </row>
    <row r="1748" spans="1:5">
      <c r="A1748" s="3"/>
      <c r="B1748" s="4" t="str">
        <f ca="1">IFERROR(__xludf.DUMMYFUNCTION("IFERROR(GOOGLETRANSLATE(A1748,""ko"",""en""),)"),"")</f>
        <v/>
      </c>
      <c r="C1748" s="4" t="str">
        <f ca="1">IFERROR(__xludf.DUMMYFUNCTION("IFERROR(GOOGLETRANSLATE(B1748,""en"",""ja""),)"),"")</f>
        <v/>
      </c>
      <c r="D1748" s="4" t="str">
        <f ca="1">IFERROR(__xludf.DUMMYFUNCTION("IFERROR(GOOGLETRANSLATE(B1748,""en"",""zh-TW""),)"),"")</f>
        <v/>
      </c>
      <c r="E1748" s="4" t="str">
        <f ca="1">IFERROR(__xludf.DUMMYFUNCTION("IFERROR(GOOGLETRANSLATE(B1748,""en"",""zh-CN""),)"),"")</f>
        <v/>
      </c>
    </row>
    <row r="1749" spans="1:5">
      <c r="A1749" s="3"/>
      <c r="B1749" s="4" t="str">
        <f ca="1">IFERROR(__xludf.DUMMYFUNCTION("IFERROR(GOOGLETRANSLATE(A1749,""ko"",""en""),)"),"")</f>
        <v/>
      </c>
      <c r="C1749" s="4" t="str">
        <f ca="1">IFERROR(__xludf.DUMMYFUNCTION("IFERROR(GOOGLETRANSLATE(B1749,""en"",""ja""),)"),"")</f>
        <v/>
      </c>
      <c r="D1749" s="4" t="str">
        <f ca="1">IFERROR(__xludf.DUMMYFUNCTION("IFERROR(GOOGLETRANSLATE(B1749,""en"",""zh-TW""),)"),"")</f>
        <v/>
      </c>
      <c r="E1749" s="4" t="str">
        <f ca="1">IFERROR(__xludf.DUMMYFUNCTION("IFERROR(GOOGLETRANSLATE(B1749,""en"",""zh-CN""),)"),"")</f>
        <v/>
      </c>
    </row>
    <row r="1750" spans="1:5">
      <c r="A1750" s="3"/>
      <c r="B1750" s="4" t="str">
        <f ca="1">IFERROR(__xludf.DUMMYFUNCTION("IFERROR(GOOGLETRANSLATE(A1750,""ko"",""en""),)"),"")</f>
        <v/>
      </c>
      <c r="C1750" s="4" t="str">
        <f ca="1">IFERROR(__xludf.DUMMYFUNCTION("IFERROR(GOOGLETRANSLATE(B1750,""en"",""ja""),)"),"")</f>
        <v/>
      </c>
      <c r="D1750" s="4" t="str">
        <f ca="1">IFERROR(__xludf.DUMMYFUNCTION("IFERROR(GOOGLETRANSLATE(B1750,""en"",""zh-TW""),)"),"")</f>
        <v/>
      </c>
      <c r="E1750" s="4" t="str">
        <f ca="1">IFERROR(__xludf.DUMMYFUNCTION("IFERROR(GOOGLETRANSLATE(B1750,""en"",""zh-CN""),)"),"")</f>
        <v/>
      </c>
    </row>
    <row r="1751" spans="1:5">
      <c r="A1751" s="3"/>
      <c r="B1751" s="4" t="str">
        <f ca="1">IFERROR(__xludf.DUMMYFUNCTION("IFERROR(GOOGLETRANSLATE(A1751,""ko"",""en""),)"),"")</f>
        <v/>
      </c>
      <c r="C1751" s="4" t="str">
        <f ca="1">IFERROR(__xludf.DUMMYFUNCTION("IFERROR(GOOGLETRANSLATE(B1751,""en"",""ja""),)"),"")</f>
        <v/>
      </c>
      <c r="D1751" s="4" t="str">
        <f ca="1">IFERROR(__xludf.DUMMYFUNCTION("IFERROR(GOOGLETRANSLATE(B1751,""en"",""zh-TW""),)"),"")</f>
        <v/>
      </c>
      <c r="E1751" s="4" t="str">
        <f ca="1">IFERROR(__xludf.DUMMYFUNCTION("IFERROR(GOOGLETRANSLATE(B1751,""en"",""zh-CN""),)"),"")</f>
        <v/>
      </c>
    </row>
    <row r="1752" spans="1:5">
      <c r="A1752" s="3"/>
      <c r="B1752" s="4" t="str">
        <f ca="1">IFERROR(__xludf.DUMMYFUNCTION("IFERROR(GOOGLETRANSLATE(A1752,""ko"",""en""),)"),"")</f>
        <v/>
      </c>
      <c r="C1752" s="4" t="str">
        <f ca="1">IFERROR(__xludf.DUMMYFUNCTION("IFERROR(GOOGLETRANSLATE(B1752,""en"",""ja""),)"),"")</f>
        <v/>
      </c>
      <c r="D1752" s="4" t="str">
        <f ca="1">IFERROR(__xludf.DUMMYFUNCTION("IFERROR(GOOGLETRANSLATE(B1752,""en"",""zh-TW""),)"),"")</f>
        <v/>
      </c>
      <c r="E1752" s="4" t="str">
        <f ca="1">IFERROR(__xludf.DUMMYFUNCTION("IFERROR(GOOGLETRANSLATE(B1752,""en"",""zh-CN""),)"),"")</f>
        <v/>
      </c>
    </row>
    <row r="1753" spans="1:5">
      <c r="A1753" s="3"/>
      <c r="B1753" s="4" t="str">
        <f ca="1">IFERROR(__xludf.DUMMYFUNCTION("IFERROR(GOOGLETRANSLATE(A1753,""ko"",""en""),)"),"")</f>
        <v/>
      </c>
      <c r="C1753" s="4" t="str">
        <f ca="1">IFERROR(__xludf.DUMMYFUNCTION("IFERROR(GOOGLETRANSLATE(B1753,""en"",""ja""),)"),"")</f>
        <v/>
      </c>
      <c r="D1753" s="4" t="str">
        <f ca="1">IFERROR(__xludf.DUMMYFUNCTION("IFERROR(GOOGLETRANSLATE(B1753,""en"",""zh-TW""),)"),"")</f>
        <v/>
      </c>
      <c r="E1753" s="4" t="str">
        <f ca="1">IFERROR(__xludf.DUMMYFUNCTION("IFERROR(GOOGLETRANSLATE(B1753,""en"",""zh-CN""),)"),"")</f>
        <v/>
      </c>
    </row>
    <row r="1754" spans="1:5">
      <c r="A1754" s="3"/>
      <c r="B1754" s="4" t="str">
        <f ca="1">IFERROR(__xludf.DUMMYFUNCTION("IFERROR(GOOGLETRANSLATE(A1754,""ko"",""en""),)"),"")</f>
        <v/>
      </c>
      <c r="C1754" s="4" t="str">
        <f ca="1">IFERROR(__xludf.DUMMYFUNCTION("IFERROR(GOOGLETRANSLATE(B1754,""en"",""ja""),)"),"")</f>
        <v/>
      </c>
      <c r="D1754" s="4" t="str">
        <f ca="1">IFERROR(__xludf.DUMMYFUNCTION("IFERROR(GOOGLETRANSLATE(B1754,""en"",""zh-TW""),)"),"")</f>
        <v/>
      </c>
      <c r="E1754" s="4" t="str">
        <f ca="1">IFERROR(__xludf.DUMMYFUNCTION("IFERROR(GOOGLETRANSLATE(B1754,""en"",""zh-CN""),)"),"")</f>
        <v/>
      </c>
    </row>
    <row r="1755" spans="1:5">
      <c r="A1755" s="3"/>
      <c r="B1755" s="4" t="str">
        <f ca="1">IFERROR(__xludf.DUMMYFUNCTION("IFERROR(GOOGLETRANSLATE(A1755,""ko"",""en""),)"),"")</f>
        <v/>
      </c>
      <c r="C1755" s="4" t="str">
        <f ca="1">IFERROR(__xludf.DUMMYFUNCTION("IFERROR(GOOGLETRANSLATE(B1755,""en"",""ja""),)"),"")</f>
        <v/>
      </c>
      <c r="D1755" s="4" t="str">
        <f ca="1">IFERROR(__xludf.DUMMYFUNCTION("IFERROR(GOOGLETRANSLATE(B1755,""en"",""zh-TW""),)"),"")</f>
        <v/>
      </c>
      <c r="E1755" s="4" t="str">
        <f ca="1">IFERROR(__xludf.DUMMYFUNCTION("IFERROR(GOOGLETRANSLATE(B1755,""en"",""zh-CN""),)"),"")</f>
        <v/>
      </c>
    </row>
    <row r="1756" spans="1:5">
      <c r="A1756" s="3"/>
      <c r="B1756" s="4" t="str">
        <f ca="1">IFERROR(__xludf.DUMMYFUNCTION("IFERROR(GOOGLETRANSLATE(A1756,""ko"",""en""),)"),"")</f>
        <v/>
      </c>
      <c r="C1756" s="4" t="str">
        <f ca="1">IFERROR(__xludf.DUMMYFUNCTION("IFERROR(GOOGLETRANSLATE(B1756,""en"",""ja""),)"),"")</f>
        <v/>
      </c>
      <c r="D1756" s="4" t="str">
        <f ca="1">IFERROR(__xludf.DUMMYFUNCTION("IFERROR(GOOGLETRANSLATE(B1756,""en"",""zh-TW""),)"),"")</f>
        <v/>
      </c>
      <c r="E1756" s="4" t="str">
        <f ca="1">IFERROR(__xludf.DUMMYFUNCTION("IFERROR(GOOGLETRANSLATE(B1756,""en"",""zh-CN""),)"),"")</f>
        <v/>
      </c>
    </row>
    <row r="1757" spans="1:5">
      <c r="A1757" s="3"/>
      <c r="B1757" s="4" t="str">
        <f ca="1">IFERROR(__xludf.DUMMYFUNCTION("IFERROR(GOOGLETRANSLATE(A1757,""ko"",""en""),)"),"")</f>
        <v/>
      </c>
      <c r="C1757" s="4" t="str">
        <f ca="1">IFERROR(__xludf.DUMMYFUNCTION("IFERROR(GOOGLETRANSLATE(B1757,""en"",""ja""),)"),"")</f>
        <v/>
      </c>
      <c r="D1757" s="4" t="str">
        <f ca="1">IFERROR(__xludf.DUMMYFUNCTION("IFERROR(GOOGLETRANSLATE(B1757,""en"",""zh-TW""),)"),"")</f>
        <v/>
      </c>
      <c r="E1757" s="4" t="str">
        <f ca="1">IFERROR(__xludf.DUMMYFUNCTION("IFERROR(GOOGLETRANSLATE(B1757,""en"",""zh-CN""),)"),"")</f>
        <v/>
      </c>
    </row>
    <row r="1758" spans="1:5">
      <c r="A1758" s="3"/>
      <c r="B1758" s="4" t="str">
        <f ca="1">IFERROR(__xludf.DUMMYFUNCTION("IFERROR(GOOGLETRANSLATE(A1758,""ko"",""en""),)"),"")</f>
        <v/>
      </c>
      <c r="C1758" s="4" t="str">
        <f ca="1">IFERROR(__xludf.DUMMYFUNCTION("IFERROR(GOOGLETRANSLATE(B1758,""en"",""ja""),)"),"")</f>
        <v/>
      </c>
      <c r="D1758" s="4" t="str">
        <f ca="1">IFERROR(__xludf.DUMMYFUNCTION("IFERROR(GOOGLETRANSLATE(B1758,""en"",""zh-TW""),)"),"")</f>
        <v/>
      </c>
      <c r="E1758" s="4" t="str">
        <f ca="1">IFERROR(__xludf.DUMMYFUNCTION("IFERROR(GOOGLETRANSLATE(B1758,""en"",""zh-CN""),)"),"")</f>
        <v/>
      </c>
    </row>
    <row r="1759" spans="1:5">
      <c r="A1759" s="3"/>
      <c r="B1759" s="4" t="str">
        <f ca="1">IFERROR(__xludf.DUMMYFUNCTION("IFERROR(GOOGLETRANSLATE(A1759,""ko"",""en""),)"),"")</f>
        <v/>
      </c>
      <c r="C1759" s="4" t="str">
        <f ca="1">IFERROR(__xludf.DUMMYFUNCTION("IFERROR(GOOGLETRANSLATE(B1759,""en"",""ja""),)"),"")</f>
        <v/>
      </c>
      <c r="D1759" s="4" t="str">
        <f ca="1">IFERROR(__xludf.DUMMYFUNCTION("IFERROR(GOOGLETRANSLATE(B1759,""en"",""zh-TW""),)"),"")</f>
        <v/>
      </c>
      <c r="E1759" s="4" t="str">
        <f ca="1">IFERROR(__xludf.DUMMYFUNCTION("IFERROR(GOOGLETRANSLATE(B1759,""en"",""zh-CN""),)"),"")</f>
        <v/>
      </c>
    </row>
    <row r="1760" spans="1:5">
      <c r="A1760" s="3"/>
      <c r="B1760" s="4" t="str">
        <f ca="1">IFERROR(__xludf.DUMMYFUNCTION("IFERROR(GOOGLETRANSLATE(A1760,""ko"",""en""),)"),"")</f>
        <v/>
      </c>
      <c r="C1760" s="4" t="str">
        <f ca="1">IFERROR(__xludf.DUMMYFUNCTION("IFERROR(GOOGLETRANSLATE(B1760,""en"",""ja""),)"),"")</f>
        <v/>
      </c>
      <c r="D1760" s="4" t="str">
        <f ca="1">IFERROR(__xludf.DUMMYFUNCTION("IFERROR(GOOGLETRANSLATE(B1760,""en"",""zh-TW""),)"),"")</f>
        <v/>
      </c>
      <c r="E1760" s="4" t="str">
        <f ca="1">IFERROR(__xludf.DUMMYFUNCTION("IFERROR(GOOGLETRANSLATE(B1760,""en"",""zh-CN""),)"),"")</f>
        <v/>
      </c>
    </row>
    <row r="1761" spans="1:5">
      <c r="A1761" s="3"/>
      <c r="B1761" s="4" t="str">
        <f ca="1">IFERROR(__xludf.DUMMYFUNCTION("IFERROR(GOOGLETRANSLATE(A1761,""ko"",""en""),)"),"")</f>
        <v/>
      </c>
      <c r="C1761" s="4" t="str">
        <f ca="1">IFERROR(__xludf.DUMMYFUNCTION("IFERROR(GOOGLETRANSLATE(B1761,""en"",""ja""),)"),"")</f>
        <v/>
      </c>
      <c r="D1761" s="4" t="str">
        <f ca="1">IFERROR(__xludf.DUMMYFUNCTION("IFERROR(GOOGLETRANSLATE(B1761,""en"",""zh-TW""),)"),"")</f>
        <v/>
      </c>
      <c r="E1761" s="4" t="str">
        <f ca="1">IFERROR(__xludf.DUMMYFUNCTION("IFERROR(GOOGLETRANSLATE(B1761,""en"",""zh-CN""),)"),"")</f>
        <v/>
      </c>
    </row>
    <row r="1762" spans="1:5">
      <c r="A1762" s="3"/>
      <c r="B1762" s="4" t="str">
        <f ca="1">IFERROR(__xludf.DUMMYFUNCTION("IFERROR(GOOGLETRANSLATE(A1762,""ko"",""en""),)"),"")</f>
        <v/>
      </c>
      <c r="C1762" s="4" t="str">
        <f ca="1">IFERROR(__xludf.DUMMYFUNCTION("IFERROR(GOOGLETRANSLATE(B1762,""en"",""ja""),)"),"")</f>
        <v/>
      </c>
      <c r="D1762" s="4" t="str">
        <f ca="1">IFERROR(__xludf.DUMMYFUNCTION("IFERROR(GOOGLETRANSLATE(B1762,""en"",""zh-TW""),)"),"")</f>
        <v/>
      </c>
      <c r="E1762" s="4" t="str">
        <f ca="1">IFERROR(__xludf.DUMMYFUNCTION("IFERROR(GOOGLETRANSLATE(B1762,""en"",""zh-CN""),)"),"")</f>
        <v/>
      </c>
    </row>
    <row r="1763" spans="1:5">
      <c r="A1763" s="3"/>
      <c r="B1763" s="4" t="str">
        <f ca="1">IFERROR(__xludf.DUMMYFUNCTION("IFERROR(GOOGLETRANSLATE(A1763,""ko"",""en""),)"),"")</f>
        <v/>
      </c>
      <c r="C1763" s="4" t="str">
        <f ca="1">IFERROR(__xludf.DUMMYFUNCTION("IFERROR(GOOGLETRANSLATE(B1763,""en"",""ja""),)"),"")</f>
        <v/>
      </c>
      <c r="D1763" s="4" t="str">
        <f ca="1">IFERROR(__xludf.DUMMYFUNCTION("IFERROR(GOOGLETRANSLATE(B1763,""en"",""zh-TW""),)"),"")</f>
        <v/>
      </c>
      <c r="E1763" s="4" t="str">
        <f ca="1">IFERROR(__xludf.DUMMYFUNCTION("IFERROR(GOOGLETRANSLATE(B1763,""en"",""zh-CN""),)"),"")</f>
        <v/>
      </c>
    </row>
    <row r="1764" spans="1:5">
      <c r="A1764" s="3"/>
      <c r="B1764" s="4" t="str">
        <f ca="1">IFERROR(__xludf.DUMMYFUNCTION("IFERROR(GOOGLETRANSLATE(A1764,""ko"",""en""),)"),"")</f>
        <v/>
      </c>
      <c r="C1764" s="4" t="str">
        <f ca="1">IFERROR(__xludf.DUMMYFUNCTION("IFERROR(GOOGLETRANSLATE(B1764,""en"",""ja""),)"),"")</f>
        <v/>
      </c>
      <c r="D1764" s="4" t="str">
        <f ca="1">IFERROR(__xludf.DUMMYFUNCTION("IFERROR(GOOGLETRANSLATE(B1764,""en"",""zh-TW""),)"),"")</f>
        <v/>
      </c>
      <c r="E1764" s="4" t="str">
        <f ca="1">IFERROR(__xludf.DUMMYFUNCTION("IFERROR(GOOGLETRANSLATE(B1764,""en"",""zh-CN""),)"),"")</f>
        <v/>
      </c>
    </row>
    <row r="1765" spans="1:5">
      <c r="A1765" s="3"/>
      <c r="B1765" s="4" t="str">
        <f ca="1">IFERROR(__xludf.DUMMYFUNCTION("IFERROR(GOOGLETRANSLATE(A1765,""ko"",""en""),)"),"")</f>
        <v/>
      </c>
      <c r="C1765" s="4" t="str">
        <f ca="1">IFERROR(__xludf.DUMMYFUNCTION("IFERROR(GOOGLETRANSLATE(B1765,""en"",""ja""),)"),"")</f>
        <v/>
      </c>
      <c r="D1765" s="4" t="str">
        <f ca="1">IFERROR(__xludf.DUMMYFUNCTION("IFERROR(GOOGLETRANSLATE(B1765,""en"",""zh-TW""),)"),"")</f>
        <v/>
      </c>
      <c r="E1765" s="4" t="str">
        <f ca="1">IFERROR(__xludf.DUMMYFUNCTION("IFERROR(GOOGLETRANSLATE(B1765,""en"",""zh-CN""),)"),"")</f>
        <v/>
      </c>
    </row>
    <row r="1766" spans="1:5">
      <c r="A1766" s="3"/>
      <c r="B1766" s="4" t="str">
        <f ca="1">IFERROR(__xludf.DUMMYFUNCTION("IFERROR(GOOGLETRANSLATE(A1766,""ko"",""en""),)"),"")</f>
        <v/>
      </c>
      <c r="C1766" s="4" t="str">
        <f ca="1">IFERROR(__xludf.DUMMYFUNCTION("IFERROR(GOOGLETRANSLATE(B1766,""en"",""ja""),)"),"")</f>
        <v/>
      </c>
      <c r="D1766" s="4" t="str">
        <f ca="1">IFERROR(__xludf.DUMMYFUNCTION("IFERROR(GOOGLETRANSLATE(B1766,""en"",""zh-TW""),)"),"")</f>
        <v/>
      </c>
      <c r="E1766" s="4" t="str">
        <f ca="1">IFERROR(__xludf.DUMMYFUNCTION("IFERROR(GOOGLETRANSLATE(B1766,""en"",""zh-CN""),)"),"")</f>
        <v/>
      </c>
    </row>
    <row r="1767" spans="1:5">
      <c r="A1767" s="3"/>
      <c r="B1767" s="4" t="str">
        <f ca="1">IFERROR(__xludf.DUMMYFUNCTION("IFERROR(GOOGLETRANSLATE(A1767,""ko"",""en""),)"),"")</f>
        <v/>
      </c>
      <c r="C1767" s="4" t="str">
        <f ca="1">IFERROR(__xludf.DUMMYFUNCTION("IFERROR(GOOGLETRANSLATE(B1767,""en"",""ja""),)"),"")</f>
        <v/>
      </c>
      <c r="D1767" s="4" t="str">
        <f ca="1">IFERROR(__xludf.DUMMYFUNCTION("IFERROR(GOOGLETRANSLATE(B1767,""en"",""zh-TW""),)"),"")</f>
        <v/>
      </c>
      <c r="E1767" s="4" t="str">
        <f ca="1">IFERROR(__xludf.DUMMYFUNCTION("IFERROR(GOOGLETRANSLATE(B1767,""en"",""zh-CN""),)"),"")</f>
        <v/>
      </c>
    </row>
    <row r="1768" spans="1:5">
      <c r="A1768" s="3"/>
      <c r="B1768" s="4" t="str">
        <f ca="1">IFERROR(__xludf.DUMMYFUNCTION("IFERROR(GOOGLETRANSLATE(A1768,""ko"",""en""),)"),"")</f>
        <v/>
      </c>
      <c r="C1768" s="4" t="str">
        <f ca="1">IFERROR(__xludf.DUMMYFUNCTION("IFERROR(GOOGLETRANSLATE(B1768,""en"",""ja""),)"),"")</f>
        <v/>
      </c>
      <c r="D1768" s="4" t="str">
        <f ca="1">IFERROR(__xludf.DUMMYFUNCTION("IFERROR(GOOGLETRANSLATE(B1768,""en"",""zh-TW""),)"),"")</f>
        <v/>
      </c>
      <c r="E1768" s="4" t="str">
        <f ca="1">IFERROR(__xludf.DUMMYFUNCTION("IFERROR(GOOGLETRANSLATE(B1768,""en"",""zh-CN""),)"),"")</f>
        <v/>
      </c>
    </row>
    <row r="1769" spans="1:5">
      <c r="A1769" s="3"/>
      <c r="B1769" s="4" t="str">
        <f ca="1">IFERROR(__xludf.DUMMYFUNCTION("IFERROR(GOOGLETRANSLATE(A1769,""ko"",""en""),)"),"")</f>
        <v/>
      </c>
      <c r="C1769" s="4" t="str">
        <f ca="1">IFERROR(__xludf.DUMMYFUNCTION("IFERROR(GOOGLETRANSLATE(B1769,""en"",""ja""),)"),"")</f>
        <v/>
      </c>
      <c r="D1769" s="4" t="str">
        <f ca="1">IFERROR(__xludf.DUMMYFUNCTION("IFERROR(GOOGLETRANSLATE(B1769,""en"",""zh-TW""),)"),"")</f>
        <v/>
      </c>
      <c r="E1769" s="4" t="str">
        <f ca="1">IFERROR(__xludf.DUMMYFUNCTION("IFERROR(GOOGLETRANSLATE(B1769,""en"",""zh-CN""),)"),"")</f>
        <v/>
      </c>
    </row>
    <row r="1770" spans="1:5">
      <c r="A1770" s="3"/>
      <c r="B1770" s="4" t="str">
        <f ca="1">IFERROR(__xludf.DUMMYFUNCTION("IFERROR(GOOGLETRANSLATE(A1770,""ko"",""en""),)"),"")</f>
        <v/>
      </c>
      <c r="C1770" s="4" t="str">
        <f ca="1">IFERROR(__xludf.DUMMYFUNCTION("IFERROR(GOOGLETRANSLATE(B1770,""en"",""ja""),)"),"")</f>
        <v/>
      </c>
      <c r="D1770" s="4" t="str">
        <f ca="1">IFERROR(__xludf.DUMMYFUNCTION("IFERROR(GOOGLETRANSLATE(B1770,""en"",""zh-TW""),)"),"")</f>
        <v/>
      </c>
      <c r="E1770" s="4" t="str">
        <f ca="1">IFERROR(__xludf.DUMMYFUNCTION("IFERROR(GOOGLETRANSLATE(B1770,""en"",""zh-CN""),)"),"")</f>
        <v/>
      </c>
    </row>
    <row r="1771" spans="1:5">
      <c r="A1771" s="3"/>
      <c r="B1771" s="4" t="str">
        <f ca="1">IFERROR(__xludf.DUMMYFUNCTION("IFERROR(GOOGLETRANSLATE(A1771,""ko"",""en""),)"),"")</f>
        <v/>
      </c>
      <c r="C1771" s="4" t="str">
        <f ca="1">IFERROR(__xludf.DUMMYFUNCTION("IFERROR(GOOGLETRANSLATE(B1771,""en"",""ja""),)"),"")</f>
        <v/>
      </c>
      <c r="D1771" s="4" t="str">
        <f ca="1">IFERROR(__xludf.DUMMYFUNCTION("IFERROR(GOOGLETRANSLATE(B1771,""en"",""zh-TW""),)"),"")</f>
        <v/>
      </c>
      <c r="E1771" s="4" t="str">
        <f ca="1">IFERROR(__xludf.DUMMYFUNCTION("IFERROR(GOOGLETRANSLATE(B1771,""en"",""zh-CN""),)"),"")</f>
        <v/>
      </c>
    </row>
    <row r="1772" spans="1:5">
      <c r="A1772" s="3"/>
      <c r="B1772" s="4" t="str">
        <f ca="1">IFERROR(__xludf.DUMMYFUNCTION("IFERROR(GOOGLETRANSLATE(A1772,""ko"",""en""),)"),"")</f>
        <v/>
      </c>
      <c r="C1772" s="4" t="str">
        <f ca="1">IFERROR(__xludf.DUMMYFUNCTION("IFERROR(GOOGLETRANSLATE(B1772,""en"",""ja""),)"),"")</f>
        <v/>
      </c>
      <c r="D1772" s="4" t="str">
        <f ca="1">IFERROR(__xludf.DUMMYFUNCTION("IFERROR(GOOGLETRANSLATE(B1772,""en"",""zh-TW""),)"),"")</f>
        <v/>
      </c>
      <c r="E1772" s="4" t="str">
        <f ca="1">IFERROR(__xludf.DUMMYFUNCTION("IFERROR(GOOGLETRANSLATE(B1772,""en"",""zh-CN""),)"),"")</f>
        <v/>
      </c>
    </row>
    <row r="1773" spans="1:5">
      <c r="A1773" s="3"/>
      <c r="B1773" s="4" t="str">
        <f ca="1">IFERROR(__xludf.DUMMYFUNCTION("IFERROR(GOOGLETRANSLATE(A1773,""ko"",""en""),)"),"")</f>
        <v/>
      </c>
      <c r="C1773" s="4" t="str">
        <f ca="1">IFERROR(__xludf.DUMMYFUNCTION("IFERROR(GOOGLETRANSLATE(B1773,""en"",""ja""),)"),"")</f>
        <v/>
      </c>
      <c r="D1773" s="4" t="str">
        <f ca="1">IFERROR(__xludf.DUMMYFUNCTION("IFERROR(GOOGLETRANSLATE(B1773,""en"",""zh-TW""),)"),"")</f>
        <v/>
      </c>
      <c r="E1773" s="4" t="str">
        <f ca="1">IFERROR(__xludf.DUMMYFUNCTION("IFERROR(GOOGLETRANSLATE(B1773,""en"",""zh-CN""),)"),"")</f>
        <v/>
      </c>
    </row>
    <row r="1774" spans="1:5">
      <c r="A1774" s="3"/>
      <c r="B1774" s="4" t="str">
        <f ca="1">IFERROR(__xludf.DUMMYFUNCTION("IFERROR(GOOGLETRANSLATE(A1774,""ko"",""en""),)"),"")</f>
        <v/>
      </c>
      <c r="C1774" s="4" t="str">
        <f ca="1">IFERROR(__xludf.DUMMYFUNCTION("IFERROR(GOOGLETRANSLATE(B1774,""en"",""ja""),)"),"")</f>
        <v/>
      </c>
      <c r="D1774" s="4" t="str">
        <f ca="1">IFERROR(__xludf.DUMMYFUNCTION("IFERROR(GOOGLETRANSLATE(B1774,""en"",""zh-TW""),)"),"")</f>
        <v/>
      </c>
      <c r="E1774" s="4" t="str">
        <f ca="1">IFERROR(__xludf.DUMMYFUNCTION("IFERROR(GOOGLETRANSLATE(B1774,""en"",""zh-CN""),)"),"")</f>
        <v/>
      </c>
    </row>
    <row r="1775" spans="1:5">
      <c r="A1775" s="3"/>
      <c r="B1775" s="4" t="str">
        <f ca="1">IFERROR(__xludf.DUMMYFUNCTION("IFERROR(GOOGLETRANSLATE(A1775,""ko"",""en""),)"),"")</f>
        <v/>
      </c>
      <c r="C1775" s="4" t="str">
        <f ca="1">IFERROR(__xludf.DUMMYFUNCTION("IFERROR(GOOGLETRANSLATE(B1775,""en"",""ja""),)"),"")</f>
        <v/>
      </c>
      <c r="D1775" s="4" t="str">
        <f ca="1">IFERROR(__xludf.DUMMYFUNCTION("IFERROR(GOOGLETRANSLATE(B1775,""en"",""zh-TW""),)"),"")</f>
        <v/>
      </c>
      <c r="E1775" s="4" t="str">
        <f ca="1">IFERROR(__xludf.DUMMYFUNCTION("IFERROR(GOOGLETRANSLATE(B1775,""en"",""zh-CN""),)"),"")</f>
        <v/>
      </c>
    </row>
    <row r="1776" spans="1:5">
      <c r="A1776" s="3"/>
      <c r="B1776" s="4" t="str">
        <f ca="1">IFERROR(__xludf.DUMMYFUNCTION("IFERROR(GOOGLETRANSLATE(A1776,""ko"",""en""),)"),"")</f>
        <v/>
      </c>
      <c r="C1776" s="4" t="str">
        <f ca="1">IFERROR(__xludf.DUMMYFUNCTION("IFERROR(GOOGLETRANSLATE(B1776,""en"",""ja""),)"),"")</f>
        <v/>
      </c>
      <c r="D1776" s="4" t="str">
        <f ca="1">IFERROR(__xludf.DUMMYFUNCTION("IFERROR(GOOGLETRANSLATE(B1776,""en"",""zh-TW""),)"),"")</f>
        <v/>
      </c>
      <c r="E1776" s="4" t="str">
        <f ca="1">IFERROR(__xludf.DUMMYFUNCTION("IFERROR(GOOGLETRANSLATE(B1776,""en"",""zh-CN""),)"),"")</f>
        <v/>
      </c>
    </row>
    <row r="1777" spans="1:5">
      <c r="A1777" s="3"/>
      <c r="B1777" s="4" t="str">
        <f ca="1">IFERROR(__xludf.DUMMYFUNCTION("IFERROR(GOOGLETRANSLATE(A1777,""ko"",""en""),)"),"")</f>
        <v/>
      </c>
      <c r="C1777" s="4" t="str">
        <f ca="1">IFERROR(__xludf.DUMMYFUNCTION("IFERROR(GOOGLETRANSLATE(B1777,""en"",""ja""),)"),"")</f>
        <v/>
      </c>
      <c r="D1777" s="4" t="str">
        <f ca="1">IFERROR(__xludf.DUMMYFUNCTION("IFERROR(GOOGLETRANSLATE(B1777,""en"",""zh-TW""),)"),"")</f>
        <v/>
      </c>
      <c r="E1777" s="4" t="str">
        <f ca="1">IFERROR(__xludf.DUMMYFUNCTION("IFERROR(GOOGLETRANSLATE(B1777,""en"",""zh-CN""),)"),"")</f>
        <v/>
      </c>
    </row>
    <row r="1778" spans="1:5">
      <c r="A1778" s="3"/>
      <c r="B1778" s="4" t="str">
        <f ca="1">IFERROR(__xludf.DUMMYFUNCTION("IFERROR(GOOGLETRANSLATE(A1778,""ko"",""en""),)"),"")</f>
        <v/>
      </c>
      <c r="C1778" s="4" t="str">
        <f ca="1">IFERROR(__xludf.DUMMYFUNCTION("IFERROR(GOOGLETRANSLATE(B1778,""en"",""ja""),)"),"")</f>
        <v/>
      </c>
      <c r="D1778" s="4" t="str">
        <f ca="1">IFERROR(__xludf.DUMMYFUNCTION("IFERROR(GOOGLETRANSLATE(B1778,""en"",""zh-TW""),)"),"")</f>
        <v/>
      </c>
      <c r="E1778" s="4" t="str">
        <f ca="1">IFERROR(__xludf.DUMMYFUNCTION("IFERROR(GOOGLETRANSLATE(B1778,""en"",""zh-CN""),)"),"")</f>
        <v/>
      </c>
    </row>
    <row r="1779" spans="1:5">
      <c r="A1779" s="3"/>
      <c r="B1779" s="4" t="str">
        <f ca="1">IFERROR(__xludf.DUMMYFUNCTION("IFERROR(GOOGLETRANSLATE(A1779,""ko"",""en""),)"),"")</f>
        <v/>
      </c>
      <c r="C1779" s="4" t="str">
        <f ca="1">IFERROR(__xludf.DUMMYFUNCTION("IFERROR(GOOGLETRANSLATE(B1779,""en"",""ja""),)"),"")</f>
        <v/>
      </c>
      <c r="D1779" s="4" t="str">
        <f ca="1">IFERROR(__xludf.DUMMYFUNCTION("IFERROR(GOOGLETRANSLATE(B1779,""en"",""zh-TW""),)"),"")</f>
        <v/>
      </c>
      <c r="E1779" s="4" t="str">
        <f ca="1">IFERROR(__xludf.DUMMYFUNCTION("IFERROR(GOOGLETRANSLATE(B1779,""en"",""zh-CN""),)"),"")</f>
        <v/>
      </c>
    </row>
    <row r="1780" spans="1:5">
      <c r="A1780" s="3"/>
      <c r="B1780" s="4" t="str">
        <f ca="1">IFERROR(__xludf.DUMMYFUNCTION("IFERROR(GOOGLETRANSLATE(A1780,""ko"",""en""),)"),"")</f>
        <v/>
      </c>
      <c r="C1780" s="4" t="str">
        <f ca="1">IFERROR(__xludf.DUMMYFUNCTION("IFERROR(GOOGLETRANSLATE(B1780,""en"",""ja""),)"),"")</f>
        <v/>
      </c>
      <c r="D1780" s="4" t="str">
        <f ca="1">IFERROR(__xludf.DUMMYFUNCTION("IFERROR(GOOGLETRANSLATE(B1780,""en"",""zh-TW""),)"),"")</f>
        <v/>
      </c>
      <c r="E1780" s="4" t="str">
        <f ca="1">IFERROR(__xludf.DUMMYFUNCTION("IFERROR(GOOGLETRANSLATE(B1780,""en"",""zh-CN""),)"),"")</f>
        <v/>
      </c>
    </row>
    <row r="1781" spans="1:5">
      <c r="A1781" s="3"/>
      <c r="B1781" s="4" t="str">
        <f ca="1">IFERROR(__xludf.DUMMYFUNCTION("IFERROR(GOOGLETRANSLATE(A1781,""ko"",""en""),)"),"")</f>
        <v/>
      </c>
      <c r="C1781" s="4" t="str">
        <f ca="1">IFERROR(__xludf.DUMMYFUNCTION("IFERROR(GOOGLETRANSLATE(B1781,""en"",""ja""),)"),"")</f>
        <v/>
      </c>
      <c r="D1781" s="4" t="str">
        <f ca="1">IFERROR(__xludf.DUMMYFUNCTION("IFERROR(GOOGLETRANSLATE(B1781,""en"",""zh-TW""),)"),"")</f>
        <v/>
      </c>
      <c r="E1781" s="4" t="str">
        <f ca="1">IFERROR(__xludf.DUMMYFUNCTION("IFERROR(GOOGLETRANSLATE(B1781,""en"",""zh-CN""),)"),"")</f>
        <v/>
      </c>
    </row>
    <row r="1782" spans="1:5">
      <c r="A1782" s="3"/>
      <c r="B1782" s="4" t="str">
        <f ca="1">IFERROR(__xludf.DUMMYFUNCTION("IFERROR(GOOGLETRANSLATE(A1782,""ko"",""en""),)"),"")</f>
        <v/>
      </c>
      <c r="C1782" s="4" t="str">
        <f ca="1">IFERROR(__xludf.DUMMYFUNCTION("IFERROR(GOOGLETRANSLATE(B1782,""en"",""ja""),)"),"")</f>
        <v/>
      </c>
      <c r="D1782" s="4" t="str">
        <f ca="1">IFERROR(__xludf.DUMMYFUNCTION("IFERROR(GOOGLETRANSLATE(B1782,""en"",""zh-TW""),)"),"")</f>
        <v/>
      </c>
      <c r="E1782" s="4" t="str">
        <f ca="1">IFERROR(__xludf.DUMMYFUNCTION("IFERROR(GOOGLETRANSLATE(B1782,""en"",""zh-CN""),)"),"")</f>
        <v/>
      </c>
    </row>
    <row r="1783" spans="1:5">
      <c r="A1783" s="3"/>
      <c r="B1783" s="4" t="str">
        <f ca="1">IFERROR(__xludf.DUMMYFUNCTION("IFERROR(GOOGLETRANSLATE(A1783,""ko"",""en""),)"),"")</f>
        <v/>
      </c>
      <c r="C1783" s="4" t="str">
        <f ca="1">IFERROR(__xludf.DUMMYFUNCTION("IFERROR(GOOGLETRANSLATE(B1783,""en"",""ja""),)"),"")</f>
        <v/>
      </c>
      <c r="D1783" s="4" t="str">
        <f ca="1">IFERROR(__xludf.DUMMYFUNCTION("IFERROR(GOOGLETRANSLATE(B1783,""en"",""zh-TW""),)"),"")</f>
        <v/>
      </c>
      <c r="E1783" s="4" t="str">
        <f ca="1">IFERROR(__xludf.DUMMYFUNCTION("IFERROR(GOOGLETRANSLATE(B1783,""en"",""zh-CN""),)"),"")</f>
        <v/>
      </c>
    </row>
    <row r="1784" spans="1:5">
      <c r="A1784" s="3"/>
      <c r="B1784" s="4" t="str">
        <f ca="1">IFERROR(__xludf.DUMMYFUNCTION("IFERROR(GOOGLETRANSLATE(A1784,""ko"",""en""),)"),"")</f>
        <v/>
      </c>
      <c r="C1784" s="4" t="str">
        <f ca="1">IFERROR(__xludf.DUMMYFUNCTION("IFERROR(GOOGLETRANSLATE(B1784,""en"",""ja""),)"),"")</f>
        <v/>
      </c>
      <c r="D1784" s="4" t="str">
        <f ca="1">IFERROR(__xludf.DUMMYFUNCTION("IFERROR(GOOGLETRANSLATE(B1784,""en"",""zh-TW""),)"),"")</f>
        <v/>
      </c>
      <c r="E1784" s="4" t="str">
        <f ca="1">IFERROR(__xludf.DUMMYFUNCTION("IFERROR(GOOGLETRANSLATE(B1784,""en"",""zh-CN""),)"),"")</f>
        <v/>
      </c>
    </row>
    <row r="1785" spans="1:5">
      <c r="A1785" s="3"/>
      <c r="B1785" s="4" t="str">
        <f ca="1">IFERROR(__xludf.DUMMYFUNCTION("IFERROR(GOOGLETRANSLATE(A1785,""ko"",""en""),)"),"")</f>
        <v/>
      </c>
      <c r="C1785" s="4" t="str">
        <f ca="1">IFERROR(__xludf.DUMMYFUNCTION("IFERROR(GOOGLETRANSLATE(B1785,""en"",""ja""),)"),"")</f>
        <v/>
      </c>
      <c r="D1785" s="4" t="str">
        <f ca="1">IFERROR(__xludf.DUMMYFUNCTION("IFERROR(GOOGLETRANSLATE(B1785,""en"",""zh-TW""),)"),"")</f>
        <v/>
      </c>
      <c r="E1785" s="4" t="str">
        <f ca="1">IFERROR(__xludf.DUMMYFUNCTION("IFERROR(GOOGLETRANSLATE(B1785,""en"",""zh-CN""),)"),"")</f>
        <v/>
      </c>
    </row>
    <row r="1786" spans="1:5">
      <c r="A1786" s="3"/>
      <c r="B1786" s="4" t="str">
        <f ca="1">IFERROR(__xludf.DUMMYFUNCTION("IFERROR(GOOGLETRANSLATE(A1786,""ko"",""en""),)"),"")</f>
        <v/>
      </c>
      <c r="C1786" s="4" t="str">
        <f ca="1">IFERROR(__xludf.DUMMYFUNCTION("IFERROR(GOOGLETRANSLATE(B1786,""en"",""ja""),)"),"")</f>
        <v/>
      </c>
      <c r="D1786" s="4" t="str">
        <f ca="1">IFERROR(__xludf.DUMMYFUNCTION("IFERROR(GOOGLETRANSLATE(B1786,""en"",""zh-TW""),)"),"")</f>
        <v/>
      </c>
      <c r="E1786" s="4" t="str">
        <f ca="1">IFERROR(__xludf.DUMMYFUNCTION("IFERROR(GOOGLETRANSLATE(B1786,""en"",""zh-CN""),)"),"")</f>
        <v/>
      </c>
    </row>
    <row r="1787" spans="1:5">
      <c r="A1787" s="3"/>
      <c r="B1787" s="4" t="str">
        <f ca="1">IFERROR(__xludf.DUMMYFUNCTION("IFERROR(GOOGLETRANSLATE(A1787,""ko"",""en""),)"),"")</f>
        <v/>
      </c>
      <c r="C1787" s="4" t="str">
        <f ca="1">IFERROR(__xludf.DUMMYFUNCTION("IFERROR(GOOGLETRANSLATE(B1787,""en"",""ja""),)"),"")</f>
        <v/>
      </c>
      <c r="D1787" s="4" t="str">
        <f ca="1">IFERROR(__xludf.DUMMYFUNCTION("IFERROR(GOOGLETRANSLATE(B1787,""en"",""zh-TW""),)"),"")</f>
        <v/>
      </c>
      <c r="E1787" s="4" t="str">
        <f ca="1">IFERROR(__xludf.DUMMYFUNCTION("IFERROR(GOOGLETRANSLATE(B1787,""en"",""zh-CN""),)"),"")</f>
        <v/>
      </c>
    </row>
    <row r="1788" spans="1:5">
      <c r="A1788" s="3"/>
      <c r="B1788" s="4" t="str">
        <f ca="1">IFERROR(__xludf.DUMMYFUNCTION("IFERROR(GOOGLETRANSLATE(A1788,""ko"",""en""),)"),"")</f>
        <v/>
      </c>
      <c r="C1788" s="4" t="str">
        <f ca="1">IFERROR(__xludf.DUMMYFUNCTION("IFERROR(GOOGLETRANSLATE(B1788,""en"",""ja""),)"),"")</f>
        <v/>
      </c>
      <c r="D1788" s="4" t="str">
        <f ca="1">IFERROR(__xludf.DUMMYFUNCTION("IFERROR(GOOGLETRANSLATE(B1788,""en"",""zh-TW""),)"),"")</f>
        <v/>
      </c>
      <c r="E1788" s="4" t="str">
        <f ca="1">IFERROR(__xludf.DUMMYFUNCTION("IFERROR(GOOGLETRANSLATE(B1788,""en"",""zh-CN""),)"),"")</f>
        <v/>
      </c>
    </row>
    <row r="1789" spans="1:5">
      <c r="A1789" s="3"/>
      <c r="B1789" s="4" t="str">
        <f ca="1">IFERROR(__xludf.DUMMYFUNCTION("IFERROR(GOOGLETRANSLATE(A1789,""ko"",""en""),)"),"")</f>
        <v/>
      </c>
      <c r="C1789" s="4" t="str">
        <f ca="1">IFERROR(__xludf.DUMMYFUNCTION("IFERROR(GOOGLETRANSLATE(B1789,""en"",""ja""),)"),"")</f>
        <v/>
      </c>
      <c r="D1789" s="4" t="str">
        <f ca="1">IFERROR(__xludf.DUMMYFUNCTION("IFERROR(GOOGLETRANSLATE(B1789,""en"",""zh-TW""),)"),"")</f>
        <v/>
      </c>
      <c r="E1789" s="4" t="str">
        <f ca="1">IFERROR(__xludf.DUMMYFUNCTION("IFERROR(GOOGLETRANSLATE(B1789,""en"",""zh-CN""),)"),"")</f>
        <v/>
      </c>
    </row>
    <row r="1790" spans="1:5">
      <c r="A1790" s="3"/>
      <c r="B1790" s="4" t="str">
        <f ca="1">IFERROR(__xludf.DUMMYFUNCTION("IFERROR(GOOGLETRANSLATE(A1790,""ko"",""en""),)"),"")</f>
        <v/>
      </c>
      <c r="C1790" s="4" t="str">
        <f ca="1">IFERROR(__xludf.DUMMYFUNCTION("IFERROR(GOOGLETRANSLATE(B1790,""en"",""ja""),)"),"")</f>
        <v/>
      </c>
      <c r="D1790" s="4" t="str">
        <f ca="1">IFERROR(__xludf.DUMMYFUNCTION("IFERROR(GOOGLETRANSLATE(B1790,""en"",""zh-TW""),)"),"")</f>
        <v/>
      </c>
      <c r="E1790" s="4" t="str">
        <f ca="1">IFERROR(__xludf.DUMMYFUNCTION("IFERROR(GOOGLETRANSLATE(B1790,""en"",""zh-CN""),)"),"")</f>
        <v/>
      </c>
    </row>
    <row r="1791" spans="1:5">
      <c r="A1791" s="3"/>
      <c r="B1791" s="4" t="str">
        <f ca="1">IFERROR(__xludf.DUMMYFUNCTION("IFERROR(GOOGLETRANSLATE(A1791,""ko"",""en""),)"),"")</f>
        <v/>
      </c>
      <c r="C1791" s="4" t="str">
        <f ca="1">IFERROR(__xludf.DUMMYFUNCTION("IFERROR(GOOGLETRANSLATE(B1791,""en"",""ja""),)"),"")</f>
        <v/>
      </c>
      <c r="D1791" s="4" t="str">
        <f ca="1">IFERROR(__xludf.DUMMYFUNCTION("IFERROR(GOOGLETRANSLATE(B1791,""en"",""zh-TW""),)"),"")</f>
        <v/>
      </c>
      <c r="E1791" s="4" t="str">
        <f ca="1">IFERROR(__xludf.DUMMYFUNCTION("IFERROR(GOOGLETRANSLATE(B1791,""en"",""zh-CN""),)"),"")</f>
        <v/>
      </c>
    </row>
    <row r="1792" spans="1:5">
      <c r="A1792" s="3"/>
      <c r="B1792" s="4" t="str">
        <f ca="1">IFERROR(__xludf.DUMMYFUNCTION("IFERROR(GOOGLETRANSLATE(A1792,""ko"",""en""),)"),"")</f>
        <v/>
      </c>
      <c r="C1792" s="4" t="str">
        <f ca="1">IFERROR(__xludf.DUMMYFUNCTION("IFERROR(GOOGLETRANSLATE(B1792,""en"",""ja""),)"),"")</f>
        <v/>
      </c>
      <c r="D1792" s="4" t="str">
        <f ca="1">IFERROR(__xludf.DUMMYFUNCTION("IFERROR(GOOGLETRANSLATE(B1792,""en"",""zh-TW""),)"),"")</f>
        <v/>
      </c>
      <c r="E1792" s="4" t="str">
        <f ca="1">IFERROR(__xludf.DUMMYFUNCTION("IFERROR(GOOGLETRANSLATE(B1792,""en"",""zh-CN""),)"),"")</f>
        <v/>
      </c>
    </row>
    <row r="1793" spans="1:5">
      <c r="A1793" s="3"/>
      <c r="B1793" s="4" t="str">
        <f ca="1">IFERROR(__xludf.DUMMYFUNCTION("IFERROR(GOOGLETRANSLATE(A1793,""ko"",""en""),)"),"")</f>
        <v/>
      </c>
      <c r="C1793" s="4" t="str">
        <f ca="1">IFERROR(__xludf.DUMMYFUNCTION("IFERROR(GOOGLETRANSLATE(B1793,""en"",""ja""),)"),"")</f>
        <v/>
      </c>
      <c r="D1793" s="4" t="str">
        <f ca="1">IFERROR(__xludf.DUMMYFUNCTION("IFERROR(GOOGLETRANSLATE(B1793,""en"",""zh-TW""),)"),"")</f>
        <v/>
      </c>
      <c r="E1793" s="4" t="str">
        <f ca="1">IFERROR(__xludf.DUMMYFUNCTION("IFERROR(GOOGLETRANSLATE(B1793,""en"",""zh-CN""),)"),"")</f>
        <v/>
      </c>
    </row>
    <row r="1794" spans="1:5">
      <c r="A1794" s="3"/>
      <c r="B1794" s="4" t="str">
        <f ca="1">IFERROR(__xludf.DUMMYFUNCTION("IFERROR(GOOGLETRANSLATE(A1794,""ko"",""en""),)"),"")</f>
        <v/>
      </c>
      <c r="C1794" s="4" t="str">
        <f ca="1">IFERROR(__xludf.DUMMYFUNCTION("IFERROR(GOOGLETRANSLATE(B1794,""en"",""ja""),)"),"")</f>
        <v/>
      </c>
      <c r="D1794" s="4" t="str">
        <f ca="1">IFERROR(__xludf.DUMMYFUNCTION("IFERROR(GOOGLETRANSLATE(B1794,""en"",""zh-TW""),)"),"")</f>
        <v/>
      </c>
      <c r="E1794" s="4" t="str">
        <f ca="1">IFERROR(__xludf.DUMMYFUNCTION("IFERROR(GOOGLETRANSLATE(B1794,""en"",""zh-CN""),)"),"")</f>
        <v/>
      </c>
    </row>
    <row r="1795" spans="1:5">
      <c r="A1795" s="3"/>
      <c r="B1795" s="4" t="str">
        <f ca="1">IFERROR(__xludf.DUMMYFUNCTION("IFERROR(GOOGLETRANSLATE(A1795,""ko"",""en""),)"),"")</f>
        <v/>
      </c>
      <c r="C1795" s="4" t="str">
        <f ca="1">IFERROR(__xludf.DUMMYFUNCTION("IFERROR(GOOGLETRANSLATE(B1795,""en"",""ja""),)"),"")</f>
        <v/>
      </c>
      <c r="D1795" s="4" t="str">
        <f ca="1">IFERROR(__xludf.DUMMYFUNCTION("IFERROR(GOOGLETRANSLATE(B1795,""en"",""zh-TW""),)"),"")</f>
        <v/>
      </c>
      <c r="E1795" s="4" t="str">
        <f ca="1">IFERROR(__xludf.DUMMYFUNCTION("IFERROR(GOOGLETRANSLATE(B1795,""en"",""zh-CN""),)"),"")</f>
        <v/>
      </c>
    </row>
    <row r="1796" spans="1:5">
      <c r="A1796" s="3"/>
      <c r="B1796" s="4" t="str">
        <f ca="1">IFERROR(__xludf.DUMMYFUNCTION("IFERROR(GOOGLETRANSLATE(A1796,""ko"",""en""),)"),"")</f>
        <v/>
      </c>
      <c r="C1796" s="4" t="str">
        <f ca="1">IFERROR(__xludf.DUMMYFUNCTION("IFERROR(GOOGLETRANSLATE(B1796,""en"",""ja""),)"),"")</f>
        <v/>
      </c>
      <c r="D1796" s="4" t="str">
        <f ca="1">IFERROR(__xludf.DUMMYFUNCTION("IFERROR(GOOGLETRANSLATE(B1796,""en"",""zh-TW""),)"),"")</f>
        <v/>
      </c>
      <c r="E1796" s="4" t="str">
        <f ca="1">IFERROR(__xludf.DUMMYFUNCTION("IFERROR(GOOGLETRANSLATE(B1796,""en"",""zh-CN""),)"),"")</f>
        <v/>
      </c>
    </row>
    <row r="1797" spans="1:5">
      <c r="A1797" s="3"/>
      <c r="B1797" s="4" t="str">
        <f ca="1">IFERROR(__xludf.DUMMYFUNCTION("IFERROR(GOOGLETRANSLATE(A1797,""ko"",""en""),)"),"")</f>
        <v/>
      </c>
      <c r="C1797" s="4" t="str">
        <f ca="1">IFERROR(__xludf.DUMMYFUNCTION("IFERROR(GOOGLETRANSLATE(B1797,""en"",""ja""),)"),"")</f>
        <v/>
      </c>
      <c r="D1797" s="4" t="str">
        <f ca="1">IFERROR(__xludf.DUMMYFUNCTION("IFERROR(GOOGLETRANSLATE(B1797,""en"",""zh-TW""),)"),"")</f>
        <v/>
      </c>
      <c r="E1797" s="4" t="str">
        <f ca="1">IFERROR(__xludf.DUMMYFUNCTION("IFERROR(GOOGLETRANSLATE(B1797,""en"",""zh-CN""),)"),"")</f>
        <v/>
      </c>
    </row>
    <row r="1798" spans="1:5">
      <c r="A1798" s="3"/>
      <c r="B1798" s="4" t="str">
        <f ca="1">IFERROR(__xludf.DUMMYFUNCTION("IFERROR(GOOGLETRANSLATE(A1798,""ko"",""en""),)"),"")</f>
        <v/>
      </c>
      <c r="C1798" s="4" t="str">
        <f ca="1">IFERROR(__xludf.DUMMYFUNCTION("IFERROR(GOOGLETRANSLATE(B1798,""en"",""ja""),)"),"")</f>
        <v/>
      </c>
      <c r="D1798" s="4" t="str">
        <f ca="1">IFERROR(__xludf.DUMMYFUNCTION("IFERROR(GOOGLETRANSLATE(B1798,""en"",""zh-TW""),)"),"")</f>
        <v/>
      </c>
      <c r="E1798" s="4" t="str">
        <f ca="1">IFERROR(__xludf.DUMMYFUNCTION("IFERROR(GOOGLETRANSLATE(B1798,""en"",""zh-CN""),)"),"")</f>
        <v/>
      </c>
    </row>
    <row r="1799" spans="1:5">
      <c r="A1799" s="3"/>
      <c r="B1799" s="4" t="str">
        <f ca="1">IFERROR(__xludf.DUMMYFUNCTION("IFERROR(GOOGLETRANSLATE(A1799,""ko"",""en""),)"),"")</f>
        <v/>
      </c>
      <c r="C1799" s="4" t="str">
        <f ca="1">IFERROR(__xludf.DUMMYFUNCTION("IFERROR(GOOGLETRANSLATE(B1799,""en"",""ja""),)"),"")</f>
        <v/>
      </c>
      <c r="D1799" s="4" t="str">
        <f ca="1">IFERROR(__xludf.DUMMYFUNCTION("IFERROR(GOOGLETRANSLATE(B1799,""en"",""zh-TW""),)"),"")</f>
        <v/>
      </c>
      <c r="E1799" s="4" t="str">
        <f ca="1">IFERROR(__xludf.DUMMYFUNCTION("IFERROR(GOOGLETRANSLATE(B1799,""en"",""zh-CN""),)"),"")</f>
        <v/>
      </c>
    </row>
    <row r="1800" spans="1:5">
      <c r="A1800" s="3"/>
      <c r="B1800" s="4" t="str">
        <f ca="1">IFERROR(__xludf.DUMMYFUNCTION("IFERROR(GOOGLETRANSLATE(A1800,""ko"",""en""),)"),"")</f>
        <v/>
      </c>
      <c r="C1800" s="4" t="str">
        <f ca="1">IFERROR(__xludf.DUMMYFUNCTION("IFERROR(GOOGLETRANSLATE(B1800,""en"",""ja""),)"),"")</f>
        <v/>
      </c>
      <c r="D1800" s="4" t="str">
        <f ca="1">IFERROR(__xludf.DUMMYFUNCTION("IFERROR(GOOGLETRANSLATE(B1800,""en"",""zh-TW""),)"),"")</f>
        <v/>
      </c>
      <c r="E1800" s="4" t="str">
        <f ca="1">IFERROR(__xludf.DUMMYFUNCTION("IFERROR(GOOGLETRANSLATE(B1800,""en"",""zh-CN""),)"),"")</f>
        <v/>
      </c>
    </row>
    <row r="1801" spans="1:5">
      <c r="A1801" s="3"/>
      <c r="B1801" s="4" t="str">
        <f ca="1">IFERROR(__xludf.DUMMYFUNCTION("IFERROR(GOOGLETRANSLATE(A1801,""ko"",""en""),)"),"")</f>
        <v/>
      </c>
      <c r="C1801" s="4" t="str">
        <f ca="1">IFERROR(__xludf.DUMMYFUNCTION("IFERROR(GOOGLETRANSLATE(B1801,""en"",""ja""),)"),"")</f>
        <v/>
      </c>
      <c r="D1801" s="4" t="str">
        <f ca="1">IFERROR(__xludf.DUMMYFUNCTION("IFERROR(GOOGLETRANSLATE(B1801,""en"",""zh-TW""),)"),"")</f>
        <v/>
      </c>
      <c r="E1801" s="4" t="str">
        <f ca="1">IFERROR(__xludf.DUMMYFUNCTION("IFERROR(GOOGLETRANSLATE(B1801,""en"",""zh-CN""),)"),"")</f>
        <v/>
      </c>
    </row>
    <row r="1802" spans="1:5">
      <c r="A1802" s="3"/>
      <c r="B1802" s="4" t="str">
        <f ca="1">IFERROR(__xludf.DUMMYFUNCTION("IFERROR(GOOGLETRANSLATE(A1802,""ko"",""en""),)"),"")</f>
        <v/>
      </c>
      <c r="C1802" s="4" t="str">
        <f ca="1">IFERROR(__xludf.DUMMYFUNCTION("IFERROR(GOOGLETRANSLATE(B1802,""en"",""ja""),)"),"")</f>
        <v/>
      </c>
      <c r="D1802" s="4" t="str">
        <f ca="1">IFERROR(__xludf.DUMMYFUNCTION("IFERROR(GOOGLETRANSLATE(B1802,""en"",""zh-TW""),)"),"")</f>
        <v/>
      </c>
      <c r="E1802" s="4" t="str">
        <f ca="1">IFERROR(__xludf.DUMMYFUNCTION("IFERROR(GOOGLETRANSLATE(B1802,""en"",""zh-CN""),)"),"")</f>
        <v/>
      </c>
    </row>
    <row r="1803" spans="1:5">
      <c r="A1803" s="3"/>
      <c r="B1803" s="4" t="str">
        <f ca="1">IFERROR(__xludf.DUMMYFUNCTION("IFERROR(GOOGLETRANSLATE(A1803,""ko"",""en""),)"),"")</f>
        <v/>
      </c>
      <c r="C1803" s="4" t="str">
        <f ca="1">IFERROR(__xludf.DUMMYFUNCTION("IFERROR(GOOGLETRANSLATE(B1803,""en"",""ja""),)"),"")</f>
        <v/>
      </c>
      <c r="D1803" s="4" t="str">
        <f ca="1">IFERROR(__xludf.DUMMYFUNCTION("IFERROR(GOOGLETRANSLATE(B1803,""en"",""zh-TW""),)"),"")</f>
        <v/>
      </c>
      <c r="E1803" s="4" t="str">
        <f ca="1">IFERROR(__xludf.DUMMYFUNCTION("IFERROR(GOOGLETRANSLATE(B1803,""en"",""zh-CN""),)"),"")</f>
        <v/>
      </c>
    </row>
    <row r="1804" spans="1:5">
      <c r="A1804" s="3"/>
      <c r="B1804" s="4" t="str">
        <f ca="1">IFERROR(__xludf.DUMMYFUNCTION("IFERROR(GOOGLETRANSLATE(A1804,""ko"",""en""),)"),"")</f>
        <v/>
      </c>
      <c r="C1804" s="4" t="str">
        <f ca="1">IFERROR(__xludf.DUMMYFUNCTION("IFERROR(GOOGLETRANSLATE(B1804,""en"",""ja""),)"),"")</f>
        <v/>
      </c>
      <c r="D1804" s="4" t="str">
        <f ca="1">IFERROR(__xludf.DUMMYFUNCTION("IFERROR(GOOGLETRANSLATE(B1804,""en"",""zh-TW""),)"),"")</f>
        <v/>
      </c>
      <c r="E1804" s="4" t="str">
        <f ca="1">IFERROR(__xludf.DUMMYFUNCTION("IFERROR(GOOGLETRANSLATE(B1804,""en"",""zh-CN""),)"),"")</f>
        <v/>
      </c>
    </row>
    <row r="1805" spans="1:5">
      <c r="A1805" s="3"/>
      <c r="B1805" s="4" t="str">
        <f ca="1">IFERROR(__xludf.DUMMYFUNCTION("IFERROR(GOOGLETRANSLATE(A1805,""ko"",""en""),)"),"")</f>
        <v/>
      </c>
      <c r="C1805" s="4" t="str">
        <f ca="1">IFERROR(__xludf.DUMMYFUNCTION("IFERROR(GOOGLETRANSLATE(B1805,""en"",""ja""),)"),"")</f>
        <v/>
      </c>
      <c r="D1805" s="4" t="str">
        <f ca="1">IFERROR(__xludf.DUMMYFUNCTION("IFERROR(GOOGLETRANSLATE(B1805,""en"",""zh-TW""),)"),"")</f>
        <v/>
      </c>
      <c r="E1805" s="4" t="str">
        <f ca="1">IFERROR(__xludf.DUMMYFUNCTION("IFERROR(GOOGLETRANSLATE(B1805,""en"",""zh-CN""),)"),"")</f>
        <v/>
      </c>
    </row>
    <row r="1806" spans="1:5">
      <c r="A1806" s="3"/>
      <c r="B1806" s="4" t="str">
        <f ca="1">IFERROR(__xludf.DUMMYFUNCTION("IFERROR(GOOGLETRANSLATE(A1806,""ko"",""en""),)"),"")</f>
        <v/>
      </c>
      <c r="C1806" s="4" t="str">
        <f ca="1">IFERROR(__xludf.DUMMYFUNCTION("IFERROR(GOOGLETRANSLATE(B1806,""en"",""ja""),)"),"")</f>
        <v/>
      </c>
      <c r="D1806" s="4" t="str">
        <f ca="1">IFERROR(__xludf.DUMMYFUNCTION("IFERROR(GOOGLETRANSLATE(B1806,""en"",""zh-TW""),)"),"")</f>
        <v/>
      </c>
      <c r="E1806" s="4" t="str">
        <f ca="1">IFERROR(__xludf.DUMMYFUNCTION("IFERROR(GOOGLETRANSLATE(B1806,""en"",""zh-CN""),)"),"")</f>
        <v/>
      </c>
    </row>
    <row r="1807" spans="1:5">
      <c r="A1807" s="3"/>
      <c r="B1807" s="4" t="str">
        <f ca="1">IFERROR(__xludf.DUMMYFUNCTION("IFERROR(GOOGLETRANSLATE(A1807,""ko"",""en""),)"),"")</f>
        <v/>
      </c>
      <c r="C1807" s="4" t="str">
        <f ca="1">IFERROR(__xludf.DUMMYFUNCTION("IFERROR(GOOGLETRANSLATE(B1807,""en"",""ja""),)"),"")</f>
        <v/>
      </c>
      <c r="D1807" s="4" t="str">
        <f ca="1">IFERROR(__xludf.DUMMYFUNCTION("IFERROR(GOOGLETRANSLATE(B1807,""en"",""zh-TW""),)"),"")</f>
        <v/>
      </c>
      <c r="E1807" s="4" t="str">
        <f ca="1">IFERROR(__xludf.DUMMYFUNCTION("IFERROR(GOOGLETRANSLATE(B1807,""en"",""zh-CN""),)"),"")</f>
        <v/>
      </c>
    </row>
    <row r="1808" spans="1:5">
      <c r="A1808" s="3"/>
      <c r="B1808" s="4" t="str">
        <f ca="1">IFERROR(__xludf.DUMMYFUNCTION("IFERROR(GOOGLETRANSLATE(A1808,""ko"",""en""),)"),"")</f>
        <v/>
      </c>
      <c r="C1808" s="4" t="str">
        <f ca="1">IFERROR(__xludf.DUMMYFUNCTION("IFERROR(GOOGLETRANSLATE(B1808,""en"",""ja""),)"),"")</f>
        <v/>
      </c>
      <c r="D1808" s="4" t="str">
        <f ca="1">IFERROR(__xludf.DUMMYFUNCTION("IFERROR(GOOGLETRANSLATE(B1808,""en"",""zh-TW""),)"),"")</f>
        <v/>
      </c>
      <c r="E1808" s="4" t="str">
        <f ca="1">IFERROR(__xludf.DUMMYFUNCTION("IFERROR(GOOGLETRANSLATE(B1808,""en"",""zh-CN""),)"),"")</f>
        <v/>
      </c>
    </row>
    <row r="1809" spans="1:5">
      <c r="A1809" s="3"/>
      <c r="B1809" s="4" t="str">
        <f ca="1">IFERROR(__xludf.DUMMYFUNCTION("IFERROR(GOOGLETRANSLATE(A1809,""ko"",""en""),)"),"")</f>
        <v/>
      </c>
      <c r="C1809" s="4" t="str">
        <f ca="1">IFERROR(__xludf.DUMMYFUNCTION("IFERROR(GOOGLETRANSLATE(B1809,""en"",""ja""),)"),"")</f>
        <v/>
      </c>
      <c r="D1809" s="4" t="str">
        <f ca="1">IFERROR(__xludf.DUMMYFUNCTION("IFERROR(GOOGLETRANSLATE(B1809,""en"",""zh-TW""),)"),"")</f>
        <v/>
      </c>
      <c r="E1809" s="4" t="str">
        <f ca="1">IFERROR(__xludf.DUMMYFUNCTION("IFERROR(GOOGLETRANSLATE(B1809,""en"",""zh-CN""),)"),"")</f>
        <v/>
      </c>
    </row>
    <row r="1810" spans="1:5">
      <c r="A1810" s="3"/>
      <c r="B1810" s="4" t="str">
        <f ca="1">IFERROR(__xludf.DUMMYFUNCTION("IFERROR(GOOGLETRANSLATE(A1810,""ko"",""en""),)"),"")</f>
        <v/>
      </c>
      <c r="C1810" s="4" t="str">
        <f ca="1">IFERROR(__xludf.DUMMYFUNCTION("IFERROR(GOOGLETRANSLATE(B1810,""en"",""ja""),)"),"")</f>
        <v/>
      </c>
      <c r="D1810" s="4" t="str">
        <f ca="1">IFERROR(__xludf.DUMMYFUNCTION("IFERROR(GOOGLETRANSLATE(B1810,""en"",""zh-TW""),)"),"")</f>
        <v/>
      </c>
      <c r="E1810" s="4" t="str">
        <f ca="1">IFERROR(__xludf.DUMMYFUNCTION("IFERROR(GOOGLETRANSLATE(B1810,""en"",""zh-CN""),)"),"")</f>
        <v/>
      </c>
    </row>
    <row r="1811" spans="1:5">
      <c r="A1811" s="3"/>
      <c r="B1811" s="4" t="str">
        <f ca="1">IFERROR(__xludf.DUMMYFUNCTION("IFERROR(GOOGLETRANSLATE(A1811,""ko"",""en""),)"),"")</f>
        <v/>
      </c>
      <c r="C1811" s="4" t="str">
        <f ca="1">IFERROR(__xludf.DUMMYFUNCTION("IFERROR(GOOGLETRANSLATE(B1811,""en"",""ja""),)"),"")</f>
        <v/>
      </c>
      <c r="D1811" s="4" t="str">
        <f ca="1">IFERROR(__xludf.DUMMYFUNCTION("IFERROR(GOOGLETRANSLATE(B1811,""en"",""zh-TW""),)"),"")</f>
        <v/>
      </c>
      <c r="E1811" s="4" t="str">
        <f ca="1">IFERROR(__xludf.DUMMYFUNCTION("IFERROR(GOOGLETRANSLATE(B1811,""en"",""zh-CN""),)"),"")</f>
        <v/>
      </c>
    </row>
    <row r="1812" spans="1:5">
      <c r="A1812" s="3"/>
      <c r="B1812" s="4" t="str">
        <f ca="1">IFERROR(__xludf.DUMMYFUNCTION("IFERROR(GOOGLETRANSLATE(A1812,""ko"",""en""),)"),"")</f>
        <v/>
      </c>
      <c r="C1812" s="4" t="str">
        <f ca="1">IFERROR(__xludf.DUMMYFUNCTION("IFERROR(GOOGLETRANSLATE(B1812,""en"",""ja""),)"),"")</f>
        <v/>
      </c>
      <c r="D1812" s="4" t="str">
        <f ca="1">IFERROR(__xludf.DUMMYFUNCTION("IFERROR(GOOGLETRANSLATE(B1812,""en"",""zh-TW""),)"),"")</f>
        <v/>
      </c>
      <c r="E1812" s="4" t="str">
        <f ca="1">IFERROR(__xludf.DUMMYFUNCTION("IFERROR(GOOGLETRANSLATE(B1812,""en"",""zh-CN""),)"),"")</f>
        <v/>
      </c>
    </row>
    <row r="1813" spans="1:5">
      <c r="A1813" s="3"/>
      <c r="B1813" s="4" t="str">
        <f ca="1">IFERROR(__xludf.DUMMYFUNCTION("IFERROR(GOOGLETRANSLATE(A1813,""ko"",""en""),)"),"")</f>
        <v/>
      </c>
      <c r="C1813" s="4" t="str">
        <f ca="1">IFERROR(__xludf.DUMMYFUNCTION("IFERROR(GOOGLETRANSLATE(B1813,""en"",""ja""),)"),"")</f>
        <v/>
      </c>
      <c r="D1813" s="4" t="str">
        <f ca="1">IFERROR(__xludf.DUMMYFUNCTION("IFERROR(GOOGLETRANSLATE(B1813,""en"",""zh-TW""),)"),"")</f>
        <v/>
      </c>
      <c r="E1813" s="4" t="str">
        <f ca="1">IFERROR(__xludf.DUMMYFUNCTION("IFERROR(GOOGLETRANSLATE(B1813,""en"",""zh-CN""),)"),"")</f>
        <v/>
      </c>
    </row>
    <row r="1814" spans="1:5">
      <c r="A1814" s="3"/>
      <c r="B1814" s="4" t="str">
        <f ca="1">IFERROR(__xludf.DUMMYFUNCTION("IFERROR(GOOGLETRANSLATE(A1814,""ko"",""en""),)"),"")</f>
        <v/>
      </c>
      <c r="C1814" s="4" t="str">
        <f ca="1">IFERROR(__xludf.DUMMYFUNCTION("IFERROR(GOOGLETRANSLATE(B1814,""en"",""ja""),)"),"")</f>
        <v/>
      </c>
      <c r="D1814" s="4" t="str">
        <f ca="1">IFERROR(__xludf.DUMMYFUNCTION("IFERROR(GOOGLETRANSLATE(B1814,""en"",""zh-TW""),)"),"")</f>
        <v/>
      </c>
      <c r="E1814" s="4" t="str">
        <f ca="1">IFERROR(__xludf.DUMMYFUNCTION("IFERROR(GOOGLETRANSLATE(B1814,""en"",""zh-CN""),)"),"")</f>
        <v/>
      </c>
    </row>
    <row r="1815" spans="1:5">
      <c r="A1815" s="3"/>
      <c r="B1815" s="4" t="str">
        <f ca="1">IFERROR(__xludf.DUMMYFUNCTION("IFERROR(GOOGLETRANSLATE(A1815,""ko"",""en""),)"),"")</f>
        <v/>
      </c>
      <c r="C1815" s="4" t="str">
        <f ca="1">IFERROR(__xludf.DUMMYFUNCTION("IFERROR(GOOGLETRANSLATE(B1815,""en"",""ja""),)"),"")</f>
        <v/>
      </c>
      <c r="D1815" s="4" t="str">
        <f ca="1">IFERROR(__xludf.DUMMYFUNCTION("IFERROR(GOOGLETRANSLATE(B1815,""en"",""zh-TW""),)"),"")</f>
        <v/>
      </c>
      <c r="E1815" s="4" t="str">
        <f ca="1">IFERROR(__xludf.DUMMYFUNCTION("IFERROR(GOOGLETRANSLATE(B1815,""en"",""zh-CN""),)"),"")</f>
        <v/>
      </c>
    </row>
    <row r="1816" spans="1:5">
      <c r="A1816" s="3"/>
      <c r="B1816" s="4" t="str">
        <f ca="1">IFERROR(__xludf.DUMMYFUNCTION("IFERROR(GOOGLETRANSLATE(A1816,""ko"",""en""),)"),"")</f>
        <v/>
      </c>
      <c r="C1816" s="4" t="str">
        <f ca="1">IFERROR(__xludf.DUMMYFUNCTION("IFERROR(GOOGLETRANSLATE(B1816,""en"",""ja""),)"),"")</f>
        <v/>
      </c>
      <c r="D1816" s="4" t="str">
        <f ca="1">IFERROR(__xludf.DUMMYFUNCTION("IFERROR(GOOGLETRANSLATE(B1816,""en"",""zh-TW""),)"),"")</f>
        <v/>
      </c>
      <c r="E1816" s="4" t="str">
        <f ca="1">IFERROR(__xludf.DUMMYFUNCTION("IFERROR(GOOGLETRANSLATE(B1816,""en"",""zh-CN""),)"),"")</f>
        <v/>
      </c>
    </row>
    <row r="1817" spans="1:5">
      <c r="A1817" s="3"/>
      <c r="B1817" s="4" t="str">
        <f ca="1">IFERROR(__xludf.DUMMYFUNCTION("IFERROR(GOOGLETRANSLATE(A1817,""ko"",""en""),)"),"")</f>
        <v/>
      </c>
      <c r="C1817" s="4" t="str">
        <f ca="1">IFERROR(__xludf.DUMMYFUNCTION("IFERROR(GOOGLETRANSLATE(B1817,""en"",""ja""),)"),"")</f>
        <v/>
      </c>
      <c r="D1817" s="4" t="str">
        <f ca="1">IFERROR(__xludf.DUMMYFUNCTION("IFERROR(GOOGLETRANSLATE(B1817,""en"",""zh-TW""),)"),"")</f>
        <v/>
      </c>
      <c r="E1817" s="4" t="str">
        <f ca="1">IFERROR(__xludf.DUMMYFUNCTION("IFERROR(GOOGLETRANSLATE(B1817,""en"",""zh-CN""),)"),"")</f>
        <v/>
      </c>
    </row>
    <row r="1818" spans="1:5">
      <c r="A1818" s="3"/>
      <c r="B1818" s="4" t="str">
        <f ca="1">IFERROR(__xludf.DUMMYFUNCTION("IFERROR(GOOGLETRANSLATE(A1818,""ko"",""en""),)"),"")</f>
        <v/>
      </c>
      <c r="C1818" s="4" t="str">
        <f ca="1">IFERROR(__xludf.DUMMYFUNCTION("IFERROR(GOOGLETRANSLATE(B1818,""en"",""ja""),)"),"")</f>
        <v/>
      </c>
      <c r="D1818" s="4" t="str">
        <f ca="1">IFERROR(__xludf.DUMMYFUNCTION("IFERROR(GOOGLETRANSLATE(B1818,""en"",""zh-TW""),)"),"")</f>
        <v/>
      </c>
      <c r="E1818" s="4" t="str">
        <f ca="1">IFERROR(__xludf.DUMMYFUNCTION("IFERROR(GOOGLETRANSLATE(B1818,""en"",""zh-CN""),)"),"")</f>
        <v/>
      </c>
    </row>
    <row r="1819" spans="1:5">
      <c r="A1819" s="3"/>
      <c r="B1819" s="4" t="str">
        <f ca="1">IFERROR(__xludf.DUMMYFUNCTION("IFERROR(GOOGLETRANSLATE(A1819,""ko"",""en""),)"),"")</f>
        <v/>
      </c>
      <c r="C1819" s="4" t="str">
        <f ca="1">IFERROR(__xludf.DUMMYFUNCTION("IFERROR(GOOGLETRANSLATE(B1819,""en"",""ja""),)"),"")</f>
        <v/>
      </c>
      <c r="D1819" s="4" t="str">
        <f ca="1">IFERROR(__xludf.DUMMYFUNCTION("IFERROR(GOOGLETRANSLATE(B1819,""en"",""zh-TW""),)"),"")</f>
        <v/>
      </c>
      <c r="E1819" s="4" t="str">
        <f ca="1">IFERROR(__xludf.DUMMYFUNCTION("IFERROR(GOOGLETRANSLATE(B1819,""en"",""zh-CN""),)"),"")</f>
        <v/>
      </c>
    </row>
    <row r="1820" spans="1:5">
      <c r="A1820" s="3"/>
      <c r="B1820" s="4" t="str">
        <f ca="1">IFERROR(__xludf.DUMMYFUNCTION("IFERROR(GOOGLETRANSLATE(A1820,""ko"",""en""),)"),"")</f>
        <v/>
      </c>
      <c r="C1820" s="4" t="str">
        <f ca="1">IFERROR(__xludf.DUMMYFUNCTION("IFERROR(GOOGLETRANSLATE(B1820,""en"",""ja""),)"),"")</f>
        <v/>
      </c>
      <c r="D1820" s="4" t="str">
        <f ca="1">IFERROR(__xludf.DUMMYFUNCTION("IFERROR(GOOGLETRANSLATE(B1820,""en"",""zh-TW""),)"),"")</f>
        <v/>
      </c>
      <c r="E1820" s="4" t="str">
        <f ca="1">IFERROR(__xludf.DUMMYFUNCTION("IFERROR(GOOGLETRANSLATE(B1820,""en"",""zh-CN""),)"),"")</f>
        <v/>
      </c>
    </row>
    <row r="1821" spans="1:5">
      <c r="A1821" s="3"/>
      <c r="B1821" s="4" t="str">
        <f ca="1">IFERROR(__xludf.DUMMYFUNCTION("IFERROR(GOOGLETRANSLATE(A1821,""ko"",""en""),)"),"")</f>
        <v/>
      </c>
      <c r="C1821" s="4" t="str">
        <f ca="1">IFERROR(__xludf.DUMMYFUNCTION("IFERROR(GOOGLETRANSLATE(B1821,""en"",""ja""),)"),"")</f>
        <v/>
      </c>
      <c r="D1821" s="4" t="str">
        <f ca="1">IFERROR(__xludf.DUMMYFUNCTION("IFERROR(GOOGLETRANSLATE(B1821,""en"",""zh-TW""),)"),"")</f>
        <v/>
      </c>
      <c r="E1821" s="4" t="str">
        <f ca="1">IFERROR(__xludf.DUMMYFUNCTION("IFERROR(GOOGLETRANSLATE(B1821,""en"",""zh-CN""),)"),"")</f>
        <v/>
      </c>
    </row>
    <row r="1822" spans="1:5">
      <c r="A1822" s="3"/>
      <c r="B1822" s="4" t="str">
        <f ca="1">IFERROR(__xludf.DUMMYFUNCTION("IFERROR(GOOGLETRANSLATE(A1822,""ko"",""en""),)"),"")</f>
        <v/>
      </c>
      <c r="C1822" s="4" t="str">
        <f ca="1">IFERROR(__xludf.DUMMYFUNCTION("IFERROR(GOOGLETRANSLATE(B1822,""en"",""ja""),)"),"")</f>
        <v/>
      </c>
      <c r="D1822" s="4" t="str">
        <f ca="1">IFERROR(__xludf.DUMMYFUNCTION("IFERROR(GOOGLETRANSLATE(B1822,""en"",""zh-TW""),)"),"")</f>
        <v/>
      </c>
      <c r="E1822" s="4" t="str">
        <f ca="1">IFERROR(__xludf.DUMMYFUNCTION("IFERROR(GOOGLETRANSLATE(B1822,""en"",""zh-CN""),)"),"")</f>
        <v/>
      </c>
    </row>
    <row r="1823" spans="1:5">
      <c r="A1823" s="3"/>
      <c r="B1823" s="4" t="str">
        <f ca="1">IFERROR(__xludf.DUMMYFUNCTION("IFERROR(GOOGLETRANSLATE(A1823,""ko"",""en""),)"),"")</f>
        <v/>
      </c>
      <c r="C1823" s="4" t="str">
        <f ca="1">IFERROR(__xludf.DUMMYFUNCTION("IFERROR(GOOGLETRANSLATE(B1823,""en"",""ja""),)"),"")</f>
        <v/>
      </c>
      <c r="D1823" s="4" t="str">
        <f ca="1">IFERROR(__xludf.DUMMYFUNCTION("IFERROR(GOOGLETRANSLATE(B1823,""en"",""zh-TW""),)"),"")</f>
        <v/>
      </c>
      <c r="E1823" s="4" t="str">
        <f ca="1">IFERROR(__xludf.DUMMYFUNCTION("IFERROR(GOOGLETRANSLATE(B1823,""en"",""zh-CN""),)"),"")</f>
        <v/>
      </c>
    </row>
    <row r="1824" spans="1:5">
      <c r="A1824" s="3"/>
      <c r="B1824" s="4" t="str">
        <f ca="1">IFERROR(__xludf.DUMMYFUNCTION("IFERROR(GOOGLETRANSLATE(A1824,""ko"",""en""),)"),"")</f>
        <v/>
      </c>
      <c r="C1824" s="4" t="str">
        <f ca="1">IFERROR(__xludf.DUMMYFUNCTION("IFERROR(GOOGLETRANSLATE(B1824,""en"",""ja""),)"),"")</f>
        <v/>
      </c>
      <c r="D1824" s="4" t="str">
        <f ca="1">IFERROR(__xludf.DUMMYFUNCTION("IFERROR(GOOGLETRANSLATE(B1824,""en"",""zh-TW""),)"),"")</f>
        <v/>
      </c>
      <c r="E1824" s="4" t="str">
        <f ca="1">IFERROR(__xludf.DUMMYFUNCTION("IFERROR(GOOGLETRANSLATE(B1824,""en"",""zh-CN""),)"),"")</f>
        <v/>
      </c>
    </row>
    <row r="1825" spans="1:5">
      <c r="A1825" s="3"/>
      <c r="B1825" s="4" t="str">
        <f ca="1">IFERROR(__xludf.DUMMYFUNCTION("IFERROR(GOOGLETRANSLATE(A1825,""ko"",""en""),)"),"")</f>
        <v/>
      </c>
      <c r="C1825" s="4" t="str">
        <f ca="1">IFERROR(__xludf.DUMMYFUNCTION("IFERROR(GOOGLETRANSLATE(B1825,""en"",""ja""),)"),"")</f>
        <v/>
      </c>
      <c r="D1825" s="4" t="str">
        <f ca="1">IFERROR(__xludf.DUMMYFUNCTION("IFERROR(GOOGLETRANSLATE(B1825,""en"",""zh-TW""),)"),"")</f>
        <v/>
      </c>
      <c r="E1825" s="4" t="str">
        <f ca="1">IFERROR(__xludf.DUMMYFUNCTION("IFERROR(GOOGLETRANSLATE(B1825,""en"",""zh-CN""),)"),"")</f>
        <v/>
      </c>
    </row>
    <row r="1826" spans="1:5">
      <c r="A1826" s="3"/>
      <c r="B1826" s="4" t="str">
        <f ca="1">IFERROR(__xludf.DUMMYFUNCTION("IFERROR(GOOGLETRANSLATE(A1826,""ko"",""en""),)"),"")</f>
        <v/>
      </c>
      <c r="C1826" s="4" t="str">
        <f ca="1">IFERROR(__xludf.DUMMYFUNCTION("IFERROR(GOOGLETRANSLATE(B1826,""en"",""ja""),)"),"")</f>
        <v/>
      </c>
      <c r="D1826" s="4" t="str">
        <f ca="1">IFERROR(__xludf.DUMMYFUNCTION("IFERROR(GOOGLETRANSLATE(B1826,""en"",""zh-TW""),)"),"")</f>
        <v/>
      </c>
      <c r="E1826" s="4" t="str">
        <f ca="1">IFERROR(__xludf.DUMMYFUNCTION("IFERROR(GOOGLETRANSLATE(B1826,""en"",""zh-CN""),)"),"")</f>
        <v/>
      </c>
    </row>
    <row r="1827" spans="1:5">
      <c r="A1827" s="3"/>
      <c r="B1827" s="4" t="str">
        <f ca="1">IFERROR(__xludf.DUMMYFUNCTION("IFERROR(GOOGLETRANSLATE(A1827,""ko"",""en""),)"),"")</f>
        <v/>
      </c>
      <c r="C1827" s="4" t="str">
        <f ca="1">IFERROR(__xludf.DUMMYFUNCTION("IFERROR(GOOGLETRANSLATE(B1827,""en"",""ja""),)"),"")</f>
        <v/>
      </c>
      <c r="D1827" s="4" t="str">
        <f ca="1">IFERROR(__xludf.DUMMYFUNCTION("IFERROR(GOOGLETRANSLATE(B1827,""en"",""zh-TW""),)"),"")</f>
        <v/>
      </c>
      <c r="E1827" s="4" t="str">
        <f ca="1">IFERROR(__xludf.DUMMYFUNCTION("IFERROR(GOOGLETRANSLATE(B1827,""en"",""zh-CN""),)"),"")</f>
        <v/>
      </c>
    </row>
    <row r="1828" spans="1:5">
      <c r="A1828" s="3"/>
      <c r="B1828" s="4" t="str">
        <f ca="1">IFERROR(__xludf.DUMMYFUNCTION("IFERROR(GOOGLETRANSLATE(A1828,""ko"",""en""),)"),"")</f>
        <v/>
      </c>
      <c r="C1828" s="4" t="str">
        <f ca="1">IFERROR(__xludf.DUMMYFUNCTION("IFERROR(GOOGLETRANSLATE(B1828,""en"",""ja""),)"),"")</f>
        <v/>
      </c>
      <c r="D1828" s="4" t="str">
        <f ca="1">IFERROR(__xludf.DUMMYFUNCTION("IFERROR(GOOGLETRANSLATE(B1828,""en"",""zh-TW""),)"),"")</f>
        <v/>
      </c>
      <c r="E1828" s="4" t="str">
        <f ca="1">IFERROR(__xludf.DUMMYFUNCTION("IFERROR(GOOGLETRANSLATE(B1828,""en"",""zh-CN""),)"),"")</f>
        <v/>
      </c>
    </row>
    <row r="1829" spans="1:5">
      <c r="A1829" s="3"/>
      <c r="B1829" s="4" t="str">
        <f ca="1">IFERROR(__xludf.DUMMYFUNCTION("IFERROR(GOOGLETRANSLATE(A1829,""ko"",""en""),)"),"")</f>
        <v/>
      </c>
      <c r="C1829" s="4" t="str">
        <f ca="1">IFERROR(__xludf.DUMMYFUNCTION("IFERROR(GOOGLETRANSLATE(B1829,""en"",""ja""),)"),"")</f>
        <v/>
      </c>
      <c r="D1829" s="4" t="str">
        <f ca="1">IFERROR(__xludf.DUMMYFUNCTION("IFERROR(GOOGLETRANSLATE(B1829,""en"",""zh-TW""),)"),"")</f>
        <v/>
      </c>
      <c r="E1829" s="4" t="str">
        <f ca="1">IFERROR(__xludf.DUMMYFUNCTION("IFERROR(GOOGLETRANSLATE(B1829,""en"",""zh-CN""),)"),"")</f>
        <v/>
      </c>
    </row>
    <row r="1830" spans="1:5">
      <c r="A1830" s="3"/>
      <c r="B1830" s="4" t="str">
        <f ca="1">IFERROR(__xludf.DUMMYFUNCTION("IFERROR(GOOGLETRANSLATE(A1830,""ko"",""en""),)"),"")</f>
        <v/>
      </c>
      <c r="C1830" s="4" t="str">
        <f ca="1">IFERROR(__xludf.DUMMYFUNCTION("IFERROR(GOOGLETRANSLATE(B1830,""en"",""ja""),)"),"")</f>
        <v/>
      </c>
      <c r="D1830" s="4" t="str">
        <f ca="1">IFERROR(__xludf.DUMMYFUNCTION("IFERROR(GOOGLETRANSLATE(B1830,""en"",""zh-TW""),)"),"")</f>
        <v/>
      </c>
      <c r="E1830" s="4" t="str">
        <f ca="1">IFERROR(__xludf.DUMMYFUNCTION("IFERROR(GOOGLETRANSLATE(B1830,""en"",""zh-CN""),)"),"")</f>
        <v/>
      </c>
    </row>
    <row r="1831" spans="1:5">
      <c r="A1831" s="3"/>
      <c r="B1831" s="4" t="str">
        <f ca="1">IFERROR(__xludf.DUMMYFUNCTION("IFERROR(GOOGLETRANSLATE(A1831,""ko"",""en""),)"),"")</f>
        <v/>
      </c>
      <c r="C1831" s="4" t="str">
        <f ca="1">IFERROR(__xludf.DUMMYFUNCTION("IFERROR(GOOGLETRANSLATE(B1831,""en"",""ja""),)"),"")</f>
        <v/>
      </c>
      <c r="D1831" s="4" t="str">
        <f ca="1">IFERROR(__xludf.DUMMYFUNCTION("IFERROR(GOOGLETRANSLATE(B1831,""en"",""zh-TW""),)"),"")</f>
        <v/>
      </c>
      <c r="E1831" s="4" t="str">
        <f ca="1">IFERROR(__xludf.DUMMYFUNCTION("IFERROR(GOOGLETRANSLATE(B1831,""en"",""zh-CN""),)"),"")</f>
        <v/>
      </c>
    </row>
    <row r="1832" spans="1:5">
      <c r="A1832" s="3"/>
      <c r="B1832" s="4" t="str">
        <f ca="1">IFERROR(__xludf.DUMMYFUNCTION("IFERROR(GOOGLETRANSLATE(A1832,""ko"",""en""),)"),"")</f>
        <v/>
      </c>
      <c r="C1832" s="4" t="str">
        <f ca="1">IFERROR(__xludf.DUMMYFUNCTION("IFERROR(GOOGLETRANSLATE(B1832,""en"",""ja""),)"),"")</f>
        <v/>
      </c>
      <c r="D1832" s="4" t="str">
        <f ca="1">IFERROR(__xludf.DUMMYFUNCTION("IFERROR(GOOGLETRANSLATE(B1832,""en"",""zh-TW""),)"),"")</f>
        <v/>
      </c>
      <c r="E1832" s="4" t="str">
        <f ca="1">IFERROR(__xludf.DUMMYFUNCTION("IFERROR(GOOGLETRANSLATE(B1832,""en"",""zh-CN""),)"),"")</f>
        <v/>
      </c>
    </row>
    <row r="1833" spans="1:5">
      <c r="A1833" s="3"/>
      <c r="B1833" s="4" t="str">
        <f ca="1">IFERROR(__xludf.DUMMYFUNCTION("IFERROR(GOOGLETRANSLATE(A1833,""ko"",""en""),)"),"")</f>
        <v/>
      </c>
      <c r="C1833" s="4" t="str">
        <f ca="1">IFERROR(__xludf.DUMMYFUNCTION("IFERROR(GOOGLETRANSLATE(B1833,""en"",""ja""),)"),"")</f>
        <v/>
      </c>
      <c r="D1833" s="4" t="str">
        <f ca="1">IFERROR(__xludf.DUMMYFUNCTION("IFERROR(GOOGLETRANSLATE(B1833,""en"",""zh-TW""),)"),"")</f>
        <v/>
      </c>
      <c r="E1833" s="4" t="str">
        <f ca="1">IFERROR(__xludf.DUMMYFUNCTION("IFERROR(GOOGLETRANSLATE(B1833,""en"",""zh-CN""),)"),"")</f>
        <v/>
      </c>
    </row>
    <row r="1834" spans="1:5">
      <c r="A1834" s="3"/>
      <c r="B1834" s="4" t="str">
        <f ca="1">IFERROR(__xludf.DUMMYFUNCTION("IFERROR(GOOGLETRANSLATE(A1834,""ko"",""en""),)"),"")</f>
        <v/>
      </c>
      <c r="C1834" s="4" t="str">
        <f ca="1">IFERROR(__xludf.DUMMYFUNCTION("IFERROR(GOOGLETRANSLATE(B1834,""en"",""ja""),)"),"")</f>
        <v/>
      </c>
      <c r="D1834" s="4" t="str">
        <f ca="1">IFERROR(__xludf.DUMMYFUNCTION("IFERROR(GOOGLETRANSLATE(B1834,""en"",""zh-TW""),)"),"")</f>
        <v/>
      </c>
      <c r="E1834" s="4" t="str">
        <f ca="1">IFERROR(__xludf.DUMMYFUNCTION("IFERROR(GOOGLETRANSLATE(B1834,""en"",""zh-CN""),)"),"")</f>
        <v/>
      </c>
    </row>
    <row r="1835" spans="1:5">
      <c r="A1835" s="3"/>
      <c r="B1835" s="4" t="str">
        <f ca="1">IFERROR(__xludf.DUMMYFUNCTION("IFERROR(GOOGLETRANSLATE(A1835,""ko"",""en""),)"),"")</f>
        <v/>
      </c>
      <c r="C1835" s="4" t="str">
        <f ca="1">IFERROR(__xludf.DUMMYFUNCTION("IFERROR(GOOGLETRANSLATE(B1835,""en"",""ja""),)"),"")</f>
        <v/>
      </c>
      <c r="D1835" s="4" t="str">
        <f ca="1">IFERROR(__xludf.DUMMYFUNCTION("IFERROR(GOOGLETRANSLATE(B1835,""en"",""zh-TW""),)"),"")</f>
        <v/>
      </c>
      <c r="E1835" s="4" t="str">
        <f ca="1">IFERROR(__xludf.DUMMYFUNCTION("IFERROR(GOOGLETRANSLATE(B1835,""en"",""zh-CN""),)"),"")</f>
        <v/>
      </c>
    </row>
    <row r="1836" spans="1:5">
      <c r="A1836" s="3"/>
      <c r="B1836" s="4" t="str">
        <f ca="1">IFERROR(__xludf.DUMMYFUNCTION("IFERROR(GOOGLETRANSLATE(A1836,""ko"",""en""),)"),"")</f>
        <v/>
      </c>
      <c r="C1836" s="4" t="str">
        <f ca="1">IFERROR(__xludf.DUMMYFUNCTION("IFERROR(GOOGLETRANSLATE(B1836,""en"",""ja""),)"),"")</f>
        <v/>
      </c>
      <c r="D1836" s="4" t="str">
        <f ca="1">IFERROR(__xludf.DUMMYFUNCTION("IFERROR(GOOGLETRANSLATE(B1836,""en"",""zh-TW""),)"),"")</f>
        <v/>
      </c>
      <c r="E1836" s="4" t="str">
        <f ca="1">IFERROR(__xludf.DUMMYFUNCTION("IFERROR(GOOGLETRANSLATE(B1836,""en"",""zh-CN""),)"),"")</f>
        <v/>
      </c>
    </row>
    <row r="1837" spans="1:5">
      <c r="A1837" s="3"/>
      <c r="B1837" s="4" t="str">
        <f ca="1">IFERROR(__xludf.DUMMYFUNCTION("IFERROR(GOOGLETRANSLATE(A1837,""ko"",""en""),)"),"")</f>
        <v/>
      </c>
      <c r="C1837" s="4" t="str">
        <f ca="1">IFERROR(__xludf.DUMMYFUNCTION("IFERROR(GOOGLETRANSLATE(B1837,""en"",""ja""),)"),"")</f>
        <v/>
      </c>
      <c r="D1837" s="4" t="str">
        <f ca="1">IFERROR(__xludf.DUMMYFUNCTION("IFERROR(GOOGLETRANSLATE(B1837,""en"",""zh-TW""),)"),"")</f>
        <v/>
      </c>
      <c r="E1837" s="4" t="str">
        <f ca="1">IFERROR(__xludf.DUMMYFUNCTION("IFERROR(GOOGLETRANSLATE(B1837,""en"",""zh-CN""),)"),"")</f>
        <v/>
      </c>
    </row>
    <row r="1838" spans="1:5">
      <c r="A1838" s="3"/>
      <c r="B1838" s="4" t="str">
        <f ca="1">IFERROR(__xludf.DUMMYFUNCTION("IFERROR(GOOGLETRANSLATE(A1838,""ko"",""en""),)"),"")</f>
        <v/>
      </c>
      <c r="C1838" s="4" t="str">
        <f ca="1">IFERROR(__xludf.DUMMYFUNCTION("IFERROR(GOOGLETRANSLATE(B1838,""en"",""ja""),)"),"")</f>
        <v/>
      </c>
      <c r="D1838" s="4" t="str">
        <f ca="1">IFERROR(__xludf.DUMMYFUNCTION("IFERROR(GOOGLETRANSLATE(B1838,""en"",""zh-TW""),)"),"")</f>
        <v/>
      </c>
      <c r="E1838" s="4" t="str">
        <f ca="1">IFERROR(__xludf.DUMMYFUNCTION("IFERROR(GOOGLETRANSLATE(B1838,""en"",""zh-CN""),)"),"")</f>
        <v/>
      </c>
    </row>
    <row r="1839" spans="1:5">
      <c r="A1839" s="3"/>
      <c r="B1839" s="4" t="str">
        <f ca="1">IFERROR(__xludf.DUMMYFUNCTION("IFERROR(GOOGLETRANSLATE(A1839,""ko"",""en""),)"),"")</f>
        <v/>
      </c>
      <c r="C1839" s="4" t="str">
        <f ca="1">IFERROR(__xludf.DUMMYFUNCTION("IFERROR(GOOGLETRANSLATE(B1839,""en"",""ja""),)"),"")</f>
        <v/>
      </c>
      <c r="D1839" s="4" t="str">
        <f ca="1">IFERROR(__xludf.DUMMYFUNCTION("IFERROR(GOOGLETRANSLATE(B1839,""en"",""zh-TW""),)"),"")</f>
        <v/>
      </c>
      <c r="E1839" s="4" t="str">
        <f ca="1">IFERROR(__xludf.DUMMYFUNCTION("IFERROR(GOOGLETRANSLATE(B1839,""en"",""zh-CN""),)"),"")</f>
        <v/>
      </c>
    </row>
    <row r="1840" spans="1:5">
      <c r="A1840" s="3"/>
      <c r="B1840" s="4" t="str">
        <f ca="1">IFERROR(__xludf.DUMMYFUNCTION("IFERROR(GOOGLETRANSLATE(A1840,""ko"",""en""),)"),"")</f>
        <v/>
      </c>
      <c r="C1840" s="4" t="str">
        <f ca="1">IFERROR(__xludf.DUMMYFUNCTION("IFERROR(GOOGLETRANSLATE(B1840,""en"",""ja""),)"),"")</f>
        <v/>
      </c>
      <c r="D1840" s="4" t="str">
        <f ca="1">IFERROR(__xludf.DUMMYFUNCTION("IFERROR(GOOGLETRANSLATE(B1840,""en"",""zh-TW""),)"),"")</f>
        <v/>
      </c>
      <c r="E1840" s="4" t="str">
        <f ca="1">IFERROR(__xludf.DUMMYFUNCTION("IFERROR(GOOGLETRANSLATE(B1840,""en"",""zh-CN""),)"),"")</f>
        <v/>
      </c>
    </row>
    <row r="1841" spans="1:5">
      <c r="A1841" s="3"/>
      <c r="B1841" s="4" t="str">
        <f ca="1">IFERROR(__xludf.DUMMYFUNCTION("IFERROR(GOOGLETRANSLATE(A1841,""ko"",""en""),)"),"")</f>
        <v/>
      </c>
      <c r="C1841" s="4" t="str">
        <f ca="1">IFERROR(__xludf.DUMMYFUNCTION("IFERROR(GOOGLETRANSLATE(B1841,""en"",""ja""),)"),"")</f>
        <v/>
      </c>
      <c r="D1841" s="4" t="str">
        <f ca="1">IFERROR(__xludf.DUMMYFUNCTION("IFERROR(GOOGLETRANSLATE(B1841,""en"",""zh-TW""),)"),"")</f>
        <v/>
      </c>
      <c r="E1841" s="4" t="str">
        <f ca="1">IFERROR(__xludf.DUMMYFUNCTION("IFERROR(GOOGLETRANSLATE(B1841,""en"",""zh-CN""),)"),"")</f>
        <v/>
      </c>
    </row>
    <row r="1842" spans="1:5">
      <c r="A1842" s="3"/>
      <c r="B1842" s="4" t="str">
        <f ca="1">IFERROR(__xludf.DUMMYFUNCTION("IFERROR(GOOGLETRANSLATE(A1842,""ko"",""en""),)"),"")</f>
        <v/>
      </c>
      <c r="C1842" s="4" t="str">
        <f ca="1">IFERROR(__xludf.DUMMYFUNCTION("IFERROR(GOOGLETRANSLATE(B1842,""en"",""ja""),)"),"")</f>
        <v/>
      </c>
      <c r="D1842" s="4" t="str">
        <f ca="1">IFERROR(__xludf.DUMMYFUNCTION("IFERROR(GOOGLETRANSLATE(B1842,""en"",""zh-TW""),)"),"")</f>
        <v/>
      </c>
      <c r="E1842" s="4" t="str">
        <f ca="1">IFERROR(__xludf.DUMMYFUNCTION("IFERROR(GOOGLETRANSLATE(B1842,""en"",""zh-CN""),)"),"")</f>
        <v/>
      </c>
    </row>
    <row r="1843" spans="1:5">
      <c r="A1843" s="3"/>
      <c r="B1843" s="4" t="str">
        <f ca="1">IFERROR(__xludf.DUMMYFUNCTION("IFERROR(GOOGLETRANSLATE(A1843,""ko"",""en""),)"),"")</f>
        <v/>
      </c>
      <c r="C1843" s="4" t="str">
        <f ca="1">IFERROR(__xludf.DUMMYFUNCTION("IFERROR(GOOGLETRANSLATE(B1843,""en"",""ja""),)"),"")</f>
        <v/>
      </c>
      <c r="D1843" s="4" t="str">
        <f ca="1">IFERROR(__xludf.DUMMYFUNCTION("IFERROR(GOOGLETRANSLATE(B1843,""en"",""zh-TW""),)"),"")</f>
        <v/>
      </c>
      <c r="E1843" s="4" t="str">
        <f ca="1">IFERROR(__xludf.DUMMYFUNCTION("IFERROR(GOOGLETRANSLATE(B1843,""en"",""zh-CN""),)"),"")</f>
        <v/>
      </c>
    </row>
    <row r="1844" spans="1:5">
      <c r="A1844" s="3"/>
      <c r="B1844" s="4" t="str">
        <f ca="1">IFERROR(__xludf.DUMMYFUNCTION("IFERROR(GOOGLETRANSLATE(A1844,""ko"",""en""),)"),"")</f>
        <v/>
      </c>
      <c r="C1844" s="4" t="str">
        <f ca="1">IFERROR(__xludf.DUMMYFUNCTION("IFERROR(GOOGLETRANSLATE(B1844,""en"",""ja""),)"),"")</f>
        <v/>
      </c>
      <c r="D1844" s="4" t="str">
        <f ca="1">IFERROR(__xludf.DUMMYFUNCTION("IFERROR(GOOGLETRANSLATE(B1844,""en"",""zh-TW""),)"),"")</f>
        <v/>
      </c>
      <c r="E1844" s="4" t="str">
        <f ca="1">IFERROR(__xludf.DUMMYFUNCTION("IFERROR(GOOGLETRANSLATE(B1844,""en"",""zh-CN""),)"),"")</f>
        <v/>
      </c>
    </row>
    <row r="1845" spans="1:5">
      <c r="A1845" s="3"/>
      <c r="B1845" s="4" t="str">
        <f ca="1">IFERROR(__xludf.DUMMYFUNCTION("IFERROR(GOOGLETRANSLATE(A1845,""ko"",""en""),)"),"")</f>
        <v/>
      </c>
      <c r="C1845" s="4" t="str">
        <f ca="1">IFERROR(__xludf.DUMMYFUNCTION("IFERROR(GOOGLETRANSLATE(B1845,""en"",""ja""),)"),"")</f>
        <v/>
      </c>
      <c r="D1845" s="4" t="str">
        <f ca="1">IFERROR(__xludf.DUMMYFUNCTION("IFERROR(GOOGLETRANSLATE(B1845,""en"",""zh-TW""),)"),"")</f>
        <v/>
      </c>
      <c r="E1845" s="4" t="str">
        <f ca="1">IFERROR(__xludf.DUMMYFUNCTION("IFERROR(GOOGLETRANSLATE(B1845,""en"",""zh-CN""),)"),"")</f>
        <v/>
      </c>
    </row>
    <row r="1846" spans="1:5">
      <c r="A1846" s="3"/>
      <c r="B1846" s="4" t="str">
        <f ca="1">IFERROR(__xludf.DUMMYFUNCTION("IFERROR(GOOGLETRANSLATE(A1846,""ko"",""en""),)"),"")</f>
        <v/>
      </c>
      <c r="C1846" s="4" t="str">
        <f ca="1">IFERROR(__xludf.DUMMYFUNCTION("IFERROR(GOOGLETRANSLATE(B1846,""en"",""ja""),)"),"")</f>
        <v/>
      </c>
      <c r="D1846" s="4" t="str">
        <f ca="1">IFERROR(__xludf.DUMMYFUNCTION("IFERROR(GOOGLETRANSLATE(B1846,""en"",""zh-TW""),)"),"")</f>
        <v/>
      </c>
      <c r="E1846" s="4" t="str">
        <f ca="1">IFERROR(__xludf.DUMMYFUNCTION("IFERROR(GOOGLETRANSLATE(B1846,""en"",""zh-CN""),)"),"")</f>
        <v/>
      </c>
    </row>
    <row r="1847" spans="1:5">
      <c r="A1847" s="3"/>
      <c r="B1847" s="4" t="str">
        <f ca="1">IFERROR(__xludf.DUMMYFUNCTION("IFERROR(GOOGLETRANSLATE(A1847,""ko"",""en""),)"),"")</f>
        <v/>
      </c>
      <c r="C1847" s="4" t="str">
        <f ca="1">IFERROR(__xludf.DUMMYFUNCTION("IFERROR(GOOGLETRANSLATE(B1847,""en"",""ja""),)"),"")</f>
        <v/>
      </c>
      <c r="D1847" s="4" t="str">
        <f ca="1">IFERROR(__xludf.DUMMYFUNCTION("IFERROR(GOOGLETRANSLATE(B1847,""en"",""zh-TW""),)"),"")</f>
        <v/>
      </c>
      <c r="E1847" s="4" t="str">
        <f ca="1">IFERROR(__xludf.DUMMYFUNCTION("IFERROR(GOOGLETRANSLATE(B1847,""en"",""zh-CN""),)"),"")</f>
        <v/>
      </c>
    </row>
    <row r="1848" spans="1:5">
      <c r="A1848" s="3"/>
      <c r="B1848" s="4" t="str">
        <f ca="1">IFERROR(__xludf.DUMMYFUNCTION("IFERROR(GOOGLETRANSLATE(A1848,""ko"",""en""),)"),"")</f>
        <v/>
      </c>
      <c r="C1848" s="4" t="str">
        <f ca="1">IFERROR(__xludf.DUMMYFUNCTION("IFERROR(GOOGLETRANSLATE(B1848,""en"",""ja""),)"),"")</f>
        <v/>
      </c>
      <c r="D1848" s="4" t="str">
        <f ca="1">IFERROR(__xludf.DUMMYFUNCTION("IFERROR(GOOGLETRANSLATE(B1848,""en"",""zh-TW""),)"),"")</f>
        <v/>
      </c>
      <c r="E1848" s="4" t="str">
        <f ca="1">IFERROR(__xludf.DUMMYFUNCTION("IFERROR(GOOGLETRANSLATE(B1848,""en"",""zh-CN""),)"),"")</f>
        <v/>
      </c>
    </row>
    <row r="1849" spans="1:5">
      <c r="A1849" s="3"/>
      <c r="B1849" s="4" t="str">
        <f ca="1">IFERROR(__xludf.DUMMYFUNCTION("IFERROR(GOOGLETRANSLATE(A1849,""ko"",""en""),)"),"")</f>
        <v/>
      </c>
      <c r="C1849" s="4" t="str">
        <f ca="1">IFERROR(__xludf.DUMMYFUNCTION("IFERROR(GOOGLETRANSLATE(B1849,""en"",""ja""),)"),"")</f>
        <v/>
      </c>
      <c r="D1849" s="4" t="str">
        <f ca="1">IFERROR(__xludf.DUMMYFUNCTION("IFERROR(GOOGLETRANSLATE(B1849,""en"",""zh-TW""),)"),"")</f>
        <v/>
      </c>
      <c r="E1849" s="4" t="str">
        <f ca="1">IFERROR(__xludf.DUMMYFUNCTION("IFERROR(GOOGLETRANSLATE(B1849,""en"",""zh-CN""),)"),"")</f>
        <v/>
      </c>
    </row>
    <row r="1850" spans="1:5">
      <c r="A1850" s="3"/>
      <c r="B1850" s="4" t="str">
        <f ca="1">IFERROR(__xludf.DUMMYFUNCTION("IFERROR(GOOGLETRANSLATE(A1850,""ko"",""en""),)"),"")</f>
        <v/>
      </c>
      <c r="C1850" s="4" t="str">
        <f ca="1">IFERROR(__xludf.DUMMYFUNCTION("IFERROR(GOOGLETRANSLATE(B1850,""en"",""ja""),)"),"")</f>
        <v/>
      </c>
      <c r="D1850" s="4" t="str">
        <f ca="1">IFERROR(__xludf.DUMMYFUNCTION("IFERROR(GOOGLETRANSLATE(B1850,""en"",""zh-TW""),)"),"")</f>
        <v/>
      </c>
      <c r="E1850" s="4" t="str">
        <f ca="1">IFERROR(__xludf.DUMMYFUNCTION("IFERROR(GOOGLETRANSLATE(B1850,""en"",""zh-CN""),)"),"")</f>
        <v/>
      </c>
    </row>
    <row r="1851" spans="1:5">
      <c r="A1851" s="3"/>
      <c r="B1851" s="4" t="str">
        <f ca="1">IFERROR(__xludf.DUMMYFUNCTION("IFERROR(GOOGLETRANSLATE(A1851,""ko"",""en""),)"),"")</f>
        <v/>
      </c>
      <c r="C1851" s="4" t="str">
        <f ca="1">IFERROR(__xludf.DUMMYFUNCTION("IFERROR(GOOGLETRANSLATE(B1851,""en"",""ja""),)"),"")</f>
        <v/>
      </c>
      <c r="D1851" s="4" t="str">
        <f ca="1">IFERROR(__xludf.DUMMYFUNCTION("IFERROR(GOOGLETRANSLATE(B1851,""en"",""zh-TW""),)"),"")</f>
        <v/>
      </c>
      <c r="E1851" s="4" t="str">
        <f ca="1">IFERROR(__xludf.DUMMYFUNCTION("IFERROR(GOOGLETRANSLATE(B1851,""en"",""zh-CN""),)"),"")</f>
        <v/>
      </c>
    </row>
    <row r="1852" spans="1:5">
      <c r="A1852" s="3"/>
      <c r="B1852" s="4" t="str">
        <f ca="1">IFERROR(__xludf.DUMMYFUNCTION("IFERROR(GOOGLETRANSLATE(A1852,""ko"",""en""),)"),"")</f>
        <v/>
      </c>
      <c r="C1852" s="4" t="str">
        <f ca="1">IFERROR(__xludf.DUMMYFUNCTION("IFERROR(GOOGLETRANSLATE(B1852,""en"",""ja""),)"),"")</f>
        <v/>
      </c>
      <c r="D1852" s="4" t="str">
        <f ca="1">IFERROR(__xludf.DUMMYFUNCTION("IFERROR(GOOGLETRANSLATE(B1852,""en"",""zh-TW""),)"),"")</f>
        <v/>
      </c>
      <c r="E1852" s="4" t="str">
        <f ca="1">IFERROR(__xludf.DUMMYFUNCTION("IFERROR(GOOGLETRANSLATE(B1852,""en"",""zh-CN""),)"),"")</f>
        <v/>
      </c>
    </row>
    <row r="1853" spans="1:5">
      <c r="A1853" s="3"/>
      <c r="B1853" s="4" t="str">
        <f ca="1">IFERROR(__xludf.DUMMYFUNCTION("IFERROR(GOOGLETRANSLATE(A1853,""ko"",""en""),)"),"")</f>
        <v/>
      </c>
      <c r="C1853" s="4" t="str">
        <f ca="1">IFERROR(__xludf.DUMMYFUNCTION("IFERROR(GOOGLETRANSLATE(B1853,""en"",""ja""),)"),"")</f>
        <v/>
      </c>
      <c r="D1853" s="4" t="str">
        <f ca="1">IFERROR(__xludf.DUMMYFUNCTION("IFERROR(GOOGLETRANSLATE(B1853,""en"",""zh-TW""),)"),"")</f>
        <v/>
      </c>
      <c r="E1853" s="4" t="str">
        <f ca="1">IFERROR(__xludf.DUMMYFUNCTION("IFERROR(GOOGLETRANSLATE(B1853,""en"",""zh-CN""),)"),"")</f>
        <v/>
      </c>
    </row>
    <row r="1854" spans="1:5">
      <c r="A1854" s="3"/>
      <c r="B1854" s="4" t="str">
        <f ca="1">IFERROR(__xludf.DUMMYFUNCTION("IFERROR(GOOGLETRANSLATE(A1854,""ko"",""en""),)"),"")</f>
        <v/>
      </c>
      <c r="C1854" s="4" t="str">
        <f ca="1">IFERROR(__xludf.DUMMYFUNCTION("IFERROR(GOOGLETRANSLATE(B1854,""en"",""ja""),)"),"")</f>
        <v/>
      </c>
      <c r="D1854" s="4" t="str">
        <f ca="1">IFERROR(__xludf.DUMMYFUNCTION("IFERROR(GOOGLETRANSLATE(B1854,""en"",""zh-TW""),)"),"")</f>
        <v/>
      </c>
      <c r="E1854" s="4" t="str">
        <f ca="1">IFERROR(__xludf.DUMMYFUNCTION("IFERROR(GOOGLETRANSLATE(B1854,""en"",""zh-CN""),)"),"")</f>
        <v/>
      </c>
    </row>
    <row r="1855" spans="1:5">
      <c r="A1855" s="3"/>
      <c r="B1855" s="4" t="str">
        <f ca="1">IFERROR(__xludf.DUMMYFUNCTION("IFERROR(GOOGLETRANSLATE(A1855,""ko"",""en""),)"),"")</f>
        <v/>
      </c>
      <c r="C1855" s="4" t="str">
        <f ca="1">IFERROR(__xludf.DUMMYFUNCTION("IFERROR(GOOGLETRANSLATE(B1855,""en"",""ja""),)"),"")</f>
        <v/>
      </c>
      <c r="D1855" s="4" t="str">
        <f ca="1">IFERROR(__xludf.DUMMYFUNCTION("IFERROR(GOOGLETRANSLATE(B1855,""en"",""zh-TW""),)"),"")</f>
        <v/>
      </c>
      <c r="E1855" s="4" t="str">
        <f ca="1">IFERROR(__xludf.DUMMYFUNCTION("IFERROR(GOOGLETRANSLATE(B1855,""en"",""zh-CN""),)"),"")</f>
        <v/>
      </c>
    </row>
    <row r="1856" spans="1:5">
      <c r="A1856" s="3"/>
      <c r="B1856" s="4" t="str">
        <f ca="1">IFERROR(__xludf.DUMMYFUNCTION("IFERROR(GOOGLETRANSLATE(A1856,""ko"",""en""),)"),"")</f>
        <v/>
      </c>
      <c r="C1856" s="4" t="str">
        <f ca="1">IFERROR(__xludf.DUMMYFUNCTION("IFERROR(GOOGLETRANSLATE(B1856,""en"",""ja""),)"),"")</f>
        <v/>
      </c>
      <c r="D1856" s="4" t="str">
        <f ca="1">IFERROR(__xludf.DUMMYFUNCTION("IFERROR(GOOGLETRANSLATE(B1856,""en"",""zh-TW""),)"),"")</f>
        <v/>
      </c>
      <c r="E1856" s="4" t="str">
        <f ca="1">IFERROR(__xludf.DUMMYFUNCTION("IFERROR(GOOGLETRANSLATE(B1856,""en"",""zh-CN""),)"),"")</f>
        <v/>
      </c>
    </row>
    <row r="1857" spans="1:5">
      <c r="A1857" s="3"/>
      <c r="B1857" s="4" t="str">
        <f ca="1">IFERROR(__xludf.DUMMYFUNCTION("IFERROR(GOOGLETRANSLATE(A1857,""ko"",""en""),)"),"")</f>
        <v/>
      </c>
      <c r="C1857" s="4" t="str">
        <f ca="1">IFERROR(__xludf.DUMMYFUNCTION("IFERROR(GOOGLETRANSLATE(B1857,""en"",""ja""),)"),"")</f>
        <v/>
      </c>
      <c r="D1857" s="4" t="str">
        <f ca="1">IFERROR(__xludf.DUMMYFUNCTION("IFERROR(GOOGLETRANSLATE(B1857,""en"",""zh-TW""),)"),"")</f>
        <v/>
      </c>
      <c r="E1857" s="4" t="str">
        <f ca="1">IFERROR(__xludf.DUMMYFUNCTION("IFERROR(GOOGLETRANSLATE(B1857,""en"",""zh-CN""),)"),"")</f>
        <v/>
      </c>
    </row>
    <row r="1858" spans="1:5">
      <c r="A1858" s="3"/>
      <c r="B1858" s="4" t="str">
        <f ca="1">IFERROR(__xludf.DUMMYFUNCTION("IFERROR(GOOGLETRANSLATE(A1858,""ko"",""en""),)"),"")</f>
        <v/>
      </c>
      <c r="C1858" s="4" t="str">
        <f ca="1">IFERROR(__xludf.DUMMYFUNCTION("IFERROR(GOOGLETRANSLATE(B1858,""en"",""ja""),)"),"")</f>
        <v/>
      </c>
      <c r="D1858" s="4" t="str">
        <f ca="1">IFERROR(__xludf.DUMMYFUNCTION("IFERROR(GOOGLETRANSLATE(B1858,""en"",""zh-TW""),)"),"")</f>
        <v/>
      </c>
      <c r="E1858" s="4" t="str">
        <f ca="1">IFERROR(__xludf.DUMMYFUNCTION("IFERROR(GOOGLETRANSLATE(B1858,""en"",""zh-CN""),)"),"")</f>
        <v/>
      </c>
    </row>
    <row r="1859" spans="1:5">
      <c r="A1859" s="3"/>
      <c r="B1859" s="4" t="str">
        <f ca="1">IFERROR(__xludf.DUMMYFUNCTION("IFERROR(GOOGLETRANSLATE(A1859,""ko"",""en""),)"),"")</f>
        <v/>
      </c>
      <c r="C1859" s="4" t="str">
        <f ca="1">IFERROR(__xludf.DUMMYFUNCTION("IFERROR(GOOGLETRANSLATE(B1859,""en"",""ja""),)"),"")</f>
        <v/>
      </c>
      <c r="D1859" s="4" t="str">
        <f ca="1">IFERROR(__xludf.DUMMYFUNCTION("IFERROR(GOOGLETRANSLATE(B1859,""en"",""zh-TW""),)"),"")</f>
        <v/>
      </c>
      <c r="E1859" s="4" t="str">
        <f ca="1">IFERROR(__xludf.DUMMYFUNCTION("IFERROR(GOOGLETRANSLATE(B1859,""en"",""zh-CN""),)"),"")</f>
        <v/>
      </c>
    </row>
    <row r="1860" spans="1:5">
      <c r="A1860" s="3"/>
      <c r="B1860" s="4" t="str">
        <f ca="1">IFERROR(__xludf.DUMMYFUNCTION("IFERROR(GOOGLETRANSLATE(A1860,""ko"",""en""),)"),"")</f>
        <v/>
      </c>
      <c r="C1860" s="4" t="str">
        <f ca="1">IFERROR(__xludf.DUMMYFUNCTION("IFERROR(GOOGLETRANSLATE(B1860,""en"",""ja""),)"),"")</f>
        <v/>
      </c>
      <c r="D1860" s="4" t="str">
        <f ca="1">IFERROR(__xludf.DUMMYFUNCTION("IFERROR(GOOGLETRANSLATE(B1860,""en"",""zh-TW""),)"),"")</f>
        <v/>
      </c>
      <c r="E1860" s="4" t="str">
        <f ca="1">IFERROR(__xludf.DUMMYFUNCTION("IFERROR(GOOGLETRANSLATE(B1860,""en"",""zh-CN""),)"),"")</f>
        <v/>
      </c>
    </row>
    <row r="1861" spans="1:5">
      <c r="A1861" s="3"/>
      <c r="B1861" s="4" t="str">
        <f ca="1">IFERROR(__xludf.DUMMYFUNCTION("IFERROR(GOOGLETRANSLATE(A1861,""ko"",""en""),)"),"")</f>
        <v/>
      </c>
      <c r="C1861" s="4" t="str">
        <f ca="1">IFERROR(__xludf.DUMMYFUNCTION("IFERROR(GOOGLETRANSLATE(B1861,""en"",""ja""),)"),"")</f>
        <v/>
      </c>
      <c r="D1861" s="4" t="str">
        <f ca="1">IFERROR(__xludf.DUMMYFUNCTION("IFERROR(GOOGLETRANSLATE(B1861,""en"",""zh-TW""),)"),"")</f>
        <v/>
      </c>
      <c r="E1861" s="4" t="str">
        <f ca="1">IFERROR(__xludf.DUMMYFUNCTION("IFERROR(GOOGLETRANSLATE(B1861,""en"",""zh-CN""),)"),"")</f>
        <v/>
      </c>
    </row>
    <row r="1862" spans="1:5">
      <c r="A1862" s="3"/>
      <c r="B1862" s="4" t="str">
        <f ca="1">IFERROR(__xludf.DUMMYFUNCTION("IFERROR(GOOGLETRANSLATE(A1862,""ko"",""en""),)"),"")</f>
        <v/>
      </c>
      <c r="C1862" s="4" t="str">
        <f ca="1">IFERROR(__xludf.DUMMYFUNCTION("IFERROR(GOOGLETRANSLATE(B1862,""en"",""ja""),)"),"")</f>
        <v/>
      </c>
      <c r="D1862" s="4" t="str">
        <f ca="1">IFERROR(__xludf.DUMMYFUNCTION("IFERROR(GOOGLETRANSLATE(B1862,""en"",""zh-TW""),)"),"")</f>
        <v/>
      </c>
      <c r="E1862" s="4" t="str">
        <f ca="1">IFERROR(__xludf.DUMMYFUNCTION("IFERROR(GOOGLETRANSLATE(B1862,""en"",""zh-CN""),)"),"")</f>
        <v/>
      </c>
    </row>
    <row r="1863" spans="1:5">
      <c r="A1863" s="3"/>
      <c r="B1863" s="4" t="str">
        <f ca="1">IFERROR(__xludf.DUMMYFUNCTION("IFERROR(GOOGLETRANSLATE(A1863,""ko"",""en""),)"),"")</f>
        <v/>
      </c>
      <c r="C1863" s="4" t="str">
        <f ca="1">IFERROR(__xludf.DUMMYFUNCTION("IFERROR(GOOGLETRANSLATE(B1863,""en"",""ja""),)"),"")</f>
        <v/>
      </c>
      <c r="D1863" s="4" t="str">
        <f ca="1">IFERROR(__xludf.DUMMYFUNCTION("IFERROR(GOOGLETRANSLATE(B1863,""en"",""zh-TW""),)"),"")</f>
        <v/>
      </c>
      <c r="E1863" s="4" t="str">
        <f ca="1">IFERROR(__xludf.DUMMYFUNCTION("IFERROR(GOOGLETRANSLATE(B1863,""en"",""zh-CN""),)"),"")</f>
        <v/>
      </c>
    </row>
    <row r="1864" spans="1:5">
      <c r="A1864" s="3"/>
      <c r="B1864" s="4" t="str">
        <f ca="1">IFERROR(__xludf.DUMMYFUNCTION("IFERROR(GOOGLETRANSLATE(A1864,""ko"",""en""),)"),"")</f>
        <v/>
      </c>
      <c r="C1864" s="4" t="str">
        <f ca="1">IFERROR(__xludf.DUMMYFUNCTION("IFERROR(GOOGLETRANSLATE(B1864,""en"",""ja""),)"),"")</f>
        <v/>
      </c>
      <c r="D1864" s="4" t="str">
        <f ca="1">IFERROR(__xludf.DUMMYFUNCTION("IFERROR(GOOGLETRANSLATE(B1864,""en"",""zh-TW""),)"),"")</f>
        <v/>
      </c>
      <c r="E1864" s="4" t="str">
        <f ca="1">IFERROR(__xludf.DUMMYFUNCTION("IFERROR(GOOGLETRANSLATE(B1864,""en"",""zh-CN""),)"),"")</f>
        <v/>
      </c>
    </row>
    <row r="1865" spans="1:5">
      <c r="A1865" s="3"/>
      <c r="B1865" s="4" t="str">
        <f ca="1">IFERROR(__xludf.DUMMYFUNCTION("IFERROR(GOOGLETRANSLATE(A1865,""ko"",""en""),)"),"")</f>
        <v/>
      </c>
      <c r="C1865" s="4" t="str">
        <f ca="1">IFERROR(__xludf.DUMMYFUNCTION("IFERROR(GOOGLETRANSLATE(B1865,""en"",""ja""),)"),"")</f>
        <v/>
      </c>
      <c r="D1865" s="4" t="str">
        <f ca="1">IFERROR(__xludf.DUMMYFUNCTION("IFERROR(GOOGLETRANSLATE(B1865,""en"",""zh-TW""),)"),"")</f>
        <v/>
      </c>
      <c r="E1865" s="4" t="str">
        <f ca="1">IFERROR(__xludf.DUMMYFUNCTION("IFERROR(GOOGLETRANSLATE(B1865,""en"",""zh-CN""),)"),"")</f>
        <v/>
      </c>
    </row>
    <row r="1866" spans="1:5">
      <c r="A1866" s="3"/>
      <c r="B1866" s="4" t="str">
        <f ca="1">IFERROR(__xludf.DUMMYFUNCTION("IFERROR(GOOGLETRANSLATE(A1866,""ko"",""en""),)"),"")</f>
        <v/>
      </c>
      <c r="C1866" s="4" t="str">
        <f ca="1">IFERROR(__xludf.DUMMYFUNCTION("IFERROR(GOOGLETRANSLATE(B1866,""en"",""ja""),)"),"")</f>
        <v/>
      </c>
      <c r="D1866" s="4" t="str">
        <f ca="1">IFERROR(__xludf.DUMMYFUNCTION("IFERROR(GOOGLETRANSLATE(B1866,""en"",""zh-TW""),)"),"")</f>
        <v/>
      </c>
      <c r="E1866" s="4" t="str">
        <f ca="1">IFERROR(__xludf.DUMMYFUNCTION("IFERROR(GOOGLETRANSLATE(B1866,""en"",""zh-CN""),)"),"")</f>
        <v/>
      </c>
    </row>
    <row r="1867" spans="1:5">
      <c r="A1867" s="3"/>
      <c r="B1867" s="4" t="str">
        <f ca="1">IFERROR(__xludf.DUMMYFUNCTION("IFERROR(GOOGLETRANSLATE(A1867,""ko"",""en""),)"),"")</f>
        <v/>
      </c>
      <c r="C1867" s="4" t="str">
        <f ca="1">IFERROR(__xludf.DUMMYFUNCTION("IFERROR(GOOGLETRANSLATE(B1867,""en"",""ja""),)"),"")</f>
        <v/>
      </c>
      <c r="D1867" s="4" t="str">
        <f ca="1">IFERROR(__xludf.DUMMYFUNCTION("IFERROR(GOOGLETRANSLATE(B1867,""en"",""zh-TW""),)"),"")</f>
        <v/>
      </c>
      <c r="E1867" s="4" t="str">
        <f ca="1">IFERROR(__xludf.DUMMYFUNCTION("IFERROR(GOOGLETRANSLATE(B1867,""en"",""zh-CN""),)"),"")</f>
        <v/>
      </c>
    </row>
    <row r="1868" spans="1:5">
      <c r="A1868" s="3"/>
      <c r="B1868" s="4" t="str">
        <f ca="1">IFERROR(__xludf.DUMMYFUNCTION("IFERROR(GOOGLETRANSLATE(A1868,""ko"",""en""),)"),"")</f>
        <v/>
      </c>
      <c r="C1868" s="4" t="str">
        <f ca="1">IFERROR(__xludf.DUMMYFUNCTION("IFERROR(GOOGLETRANSLATE(B1868,""en"",""ja""),)"),"")</f>
        <v/>
      </c>
      <c r="D1868" s="4" t="str">
        <f ca="1">IFERROR(__xludf.DUMMYFUNCTION("IFERROR(GOOGLETRANSLATE(B1868,""en"",""zh-TW""),)"),"")</f>
        <v/>
      </c>
      <c r="E1868" s="4" t="str">
        <f ca="1">IFERROR(__xludf.DUMMYFUNCTION("IFERROR(GOOGLETRANSLATE(B1868,""en"",""zh-CN""),)"),"")</f>
        <v/>
      </c>
    </row>
    <row r="1869" spans="1:5">
      <c r="A1869" s="3"/>
      <c r="B1869" s="4" t="str">
        <f ca="1">IFERROR(__xludf.DUMMYFUNCTION("IFERROR(GOOGLETRANSLATE(A1869,""ko"",""en""),)"),"")</f>
        <v/>
      </c>
      <c r="C1869" s="4" t="str">
        <f ca="1">IFERROR(__xludf.DUMMYFUNCTION("IFERROR(GOOGLETRANSLATE(B1869,""en"",""ja""),)"),"")</f>
        <v/>
      </c>
      <c r="D1869" s="4" t="str">
        <f ca="1">IFERROR(__xludf.DUMMYFUNCTION("IFERROR(GOOGLETRANSLATE(B1869,""en"",""zh-TW""),)"),"")</f>
        <v/>
      </c>
      <c r="E1869" s="4" t="str">
        <f ca="1">IFERROR(__xludf.DUMMYFUNCTION("IFERROR(GOOGLETRANSLATE(B1869,""en"",""zh-CN""),)"),"")</f>
        <v/>
      </c>
    </row>
    <row r="1870" spans="1:5">
      <c r="A1870" s="3"/>
      <c r="B1870" s="4" t="str">
        <f ca="1">IFERROR(__xludf.DUMMYFUNCTION("IFERROR(GOOGLETRANSLATE(A1870,""ko"",""en""),)"),"")</f>
        <v/>
      </c>
      <c r="C1870" s="4" t="str">
        <f ca="1">IFERROR(__xludf.DUMMYFUNCTION("IFERROR(GOOGLETRANSLATE(B1870,""en"",""ja""),)"),"")</f>
        <v/>
      </c>
      <c r="D1870" s="4" t="str">
        <f ca="1">IFERROR(__xludf.DUMMYFUNCTION("IFERROR(GOOGLETRANSLATE(B1870,""en"",""zh-TW""),)"),"")</f>
        <v/>
      </c>
      <c r="E1870" s="4" t="str">
        <f ca="1">IFERROR(__xludf.DUMMYFUNCTION("IFERROR(GOOGLETRANSLATE(B1870,""en"",""zh-CN""),)"),"")</f>
        <v/>
      </c>
    </row>
    <row r="1871" spans="1:5">
      <c r="A1871" s="3"/>
      <c r="B1871" s="4" t="str">
        <f ca="1">IFERROR(__xludf.DUMMYFUNCTION("IFERROR(GOOGLETRANSLATE(A1871,""ko"",""en""),)"),"")</f>
        <v/>
      </c>
      <c r="C1871" s="4" t="str">
        <f ca="1">IFERROR(__xludf.DUMMYFUNCTION("IFERROR(GOOGLETRANSLATE(B1871,""en"",""ja""),)"),"")</f>
        <v/>
      </c>
      <c r="D1871" s="4" t="str">
        <f ca="1">IFERROR(__xludf.DUMMYFUNCTION("IFERROR(GOOGLETRANSLATE(B1871,""en"",""zh-TW""),)"),"")</f>
        <v/>
      </c>
      <c r="E1871" s="4" t="str">
        <f ca="1">IFERROR(__xludf.DUMMYFUNCTION("IFERROR(GOOGLETRANSLATE(B1871,""en"",""zh-CN""),)"),"")</f>
        <v/>
      </c>
    </row>
    <row r="1872" spans="1:5">
      <c r="A1872" s="3"/>
      <c r="B1872" s="4" t="str">
        <f ca="1">IFERROR(__xludf.DUMMYFUNCTION("IFERROR(GOOGLETRANSLATE(A1872,""ko"",""en""),)"),"")</f>
        <v/>
      </c>
      <c r="C1872" s="4" t="str">
        <f ca="1">IFERROR(__xludf.DUMMYFUNCTION("IFERROR(GOOGLETRANSLATE(B1872,""en"",""ja""),)"),"")</f>
        <v/>
      </c>
      <c r="D1872" s="4" t="str">
        <f ca="1">IFERROR(__xludf.DUMMYFUNCTION("IFERROR(GOOGLETRANSLATE(B1872,""en"",""zh-TW""),)"),"")</f>
        <v/>
      </c>
      <c r="E1872" s="4" t="str">
        <f ca="1">IFERROR(__xludf.DUMMYFUNCTION("IFERROR(GOOGLETRANSLATE(B1872,""en"",""zh-CN""),)"),"")</f>
        <v/>
      </c>
    </row>
    <row r="1873" spans="1:5">
      <c r="A1873" s="3"/>
      <c r="B1873" s="4" t="str">
        <f ca="1">IFERROR(__xludf.DUMMYFUNCTION("IFERROR(GOOGLETRANSLATE(A1873,""ko"",""en""),)"),"")</f>
        <v/>
      </c>
      <c r="C1873" s="4" t="str">
        <f ca="1">IFERROR(__xludf.DUMMYFUNCTION("IFERROR(GOOGLETRANSLATE(B1873,""en"",""ja""),)"),"")</f>
        <v/>
      </c>
      <c r="D1873" s="4" t="str">
        <f ca="1">IFERROR(__xludf.DUMMYFUNCTION("IFERROR(GOOGLETRANSLATE(B1873,""en"",""zh-TW""),)"),"")</f>
        <v/>
      </c>
      <c r="E1873" s="4" t="str">
        <f ca="1">IFERROR(__xludf.DUMMYFUNCTION("IFERROR(GOOGLETRANSLATE(B1873,""en"",""zh-CN""),)"),"")</f>
        <v/>
      </c>
    </row>
    <row r="1874" spans="1:5">
      <c r="A1874" s="3"/>
      <c r="B1874" s="4" t="str">
        <f ca="1">IFERROR(__xludf.DUMMYFUNCTION("IFERROR(GOOGLETRANSLATE(A1874,""ko"",""en""),)"),"")</f>
        <v/>
      </c>
      <c r="C1874" s="4" t="str">
        <f ca="1">IFERROR(__xludf.DUMMYFUNCTION("IFERROR(GOOGLETRANSLATE(B1874,""en"",""ja""),)"),"")</f>
        <v/>
      </c>
      <c r="D1874" s="4" t="str">
        <f ca="1">IFERROR(__xludf.DUMMYFUNCTION("IFERROR(GOOGLETRANSLATE(B1874,""en"",""zh-TW""),)"),"")</f>
        <v/>
      </c>
      <c r="E1874" s="4" t="str">
        <f ca="1">IFERROR(__xludf.DUMMYFUNCTION("IFERROR(GOOGLETRANSLATE(B1874,""en"",""zh-CN""),)"),"")</f>
        <v/>
      </c>
    </row>
    <row r="1875" spans="1:5">
      <c r="A1875" s="3"/>
      <c r="B1875" s="4" t="str">
        <f ca="1">IFERROR(__xludf.DUMMYFUNCTION("IFERROR(GOOGLETRANSLATE(A1875,""ko"",""en""),)"),"")</f>
        <v/>
      </c>
      <c r="C1875" s="4" t="str">
        <f ca="1">IFERROR(__xludf.DUMMYFUNCTION("IFERROR(GOOGLETRANSLATE(B1875,""en"",""ja""),)"),"")</f>
        <v/>
      </c>
      <c r="D1875" s="4" t="str">
        <f ca="1">IFERROR(__xludf.DUMMYFUNCTION("IFERROR(GOOGLETRANSLATE(B1875,""en"",""zh-TW""),)"),"")</f>
        <v/>
      </c>
      <c r="E1875" s="4" t="str">
        <f ca="1">IFERROR(__xludf.DUMMYFUNCTION("IFERROR(GOOGLETRANSLATE(B1875,""en"",""zh-CN""),)"),"")</f>
        <v/>
      </c>
    </row>
    <row r="1876" spans="1:5">
      <c r="A1876" s="3"/>
      <c r="B1876" s="4" t="str">
        <f ca="1">IFERROR(__xludf.DUMMYFUNCTION("IFERROR(GOOGLETRANSLATE(A1876,""ko"",""en""),)"),"")</f>
        <v/>
      </c>
      <c r="C1876" s="4" t="str">
        <f ca="1">IFERROR(__xludf.DUMMYFUNCTION("IFERROR(GOOGLETRANSLATE(B1876,""en"",""ja""),)"),"")</f>
        <v/>
      </c>
      <c r="D1876" s="4" t="str">
        <f ca="1">IFERROR(__xludf.DUMMYFUNCTION("IFERROR(GOOGLETRANSLATE(B1876,""en"",""zh-TW""),)"),"")</f>
        <v/>
      </c>
      <c r="E1876" s="4" t="str">
        <f ca="1">IFERROR(__xludf.DUMMYFUNCTION("IFERROR(GOOGLETRANSLATE(B1876,""en"",""zh-CN""),)"),"")</f>
        <v/>
      </c>
    </row>
    <row r="1877" spans="1:5">
      <c r="A1877" s="3"/>
      <c r="B1877" s="4" t="str">
        <f ca="1">IFERROR(__xludf.DUMMYFUNCTION("IFERROR(GOOGLETRANSLATE(A1877,""ko"",""en""),)"),"")</f>
        <v/>
      </c>
      <c r="C1877" s="4" t="str">
        <f ca="1">IFERROR(__xludf.DUMMYFUNCTION("IFERROR(GOOGLETRANSLATE(B1877,""en"",""ja""),)"),"")</f>
        <v/>
      </c>
      <c r="D1877" s="4" t="str">
        <f ca="1">IFERROR(__xludf.DUMMYFUNCTION("IFERROR(GOOGLETRANSLATE(B1877,""en"",""zh-TW""),)"),"")</f>
        <v/>
      </c>
      <c r="E1877" s="4" t="str">
        <f ca="1">IFERROR(__xludf.DUMMYFUNCTION("IFERROR(GOOGLETRANSLATE(B1877,""en"",""zh-CN""),)"),"")</f>
        <v/>
      </c>
    </row>
    <row r="1878" spans="1:5">
      <c r="A1878" s="3"/>
      <c r="B1878" s="4" t="str">
        <f ca="1">IFERROR(__xludf.DUMMYFUNCTION("IFERROR(GOOGLETRANSLATE(A1878,""ko"",""en""),)"),"")</f>
        <v/>
      </c>
      <c r="C1878" s="4" t="str">
        <f ca="1">IFERROR(__xludf.DUMMYFUNCTION("IFERROR(GOOGLETRANSLATE(B1878,""en"",""ja""),)"),"")</f>
        <v/>
      </c>
      <c r="D1878" s="4" t="str">
        <f ca="1">IFERROR(__xludf.DUMMYFUNCTION("IFERROR(GOOGLETRANSLATE(B1878,""en"",""zh-TW""),)"),"")</f>
        <v/>
      </c>
      <c r="E1878" s="4" t="str">
        <f ca="1">IFERROR(__xludf.DUMMYFUNCTION("IFERROR(GOOGLETRANSLATE(B1878,""en"",""zh-CN""),)"),"")</f>
        <v/>
      </c>
    </row>
    <row r="1879" spans="1:5">
      <c r="A1879" s="3"/>
      <c r="B1879" s="4" t="str">
        <f ca="1">IFERROR(__xludf.DUMMYFUNCTION("IFERROR(GOOGLETRANSLATE(A1879,""ko"",""en""),)"),"")</f>
        <v/>
      </c>
      <c r="C1879" s="4" t="str">
        <f ca="1">IFERROR(__xludf.DUMMYFUNCTION("IFERROR(GOOGLETRANSLATE(B1879,""en"",""ja""),)"),"")</f>
        <v/>
      </c>
      <c r="D1879" s="4" t="str">
        <f ca="1">IFERROR(__xludf.DUMMYFUNCTION("IFERROR(GOOGLETRANSLATE(B1879,""en"",""zh-TW""),)"),"")</f>
        <v/>
      </c>
      <c r="E1879" s="4" t="str">
        <f ca="1">IFERROR(__xludf.DUMMYFUNCTION("IFERROR(GOOGLETRANSLATE(B1879,""en"",""zh-CN""),)"),"")</f>
        <v/>
      </c>
    </row>
    <row r="1880" spans="1:5">
      <c r="A1880" s="3"/>
      <c r="B1880" s="4" t="str">
        <f ca="1">IFERROR(__xludf.DUMMYFUNCTION("IFERROR(GOOGLETRANSLATE(A1880,""ko"",""en""),)"),"")</f>
        <v/>
      </c>
      <c r="C1880" s="4" t="str">
        <f ca="1">IFERROR(__xludf.DUMMYFUNCTION("IFERROR(GOOGLETRANSLATE(B1880,""en"",""ja""),)"),"")</f>
        <v/>
      </c>
      <c r="D1880" s="4" t="str">
        <f ca="1">IFERROR(__xludf.DUMMYFUNCTION("IFERROR(GOOGLETRANSLATE(B1880,""en"",""zh-TW""),)"),"")</f>
        <v/>
      </c>
      <c r="E1880" s="4" t="str">
        <f ca="1">IFERROR(__xludf.DUMMYFUNCTION("IFERROR(GOOGLETRANSLATE(B1880,""en"",""zh-CN""),)"),"")</f>
        <v/>
      </c>
    </row>
    <row r="1881" spans="1:5">
      <c r="A1881" s="3"/>
      <c r="B1881" s="4" t="str">
        <f ca="1">IFERROR(__xludf.DUMMYFUNCTION("IFERROR(GOOGLETRANSLATE(A1881,""ko"",""en""),)"),"")</f>
        <v/>
      </c>
      <c r="C1881" s="4" t="str">
        <f ca="1">IFERROR(__xludf.DUMMYFUNCTION("IFERROR(GOOGLETRANSLATE(B1881,""en"",""ja""),)"),"")</f>
        <v/>
      </c>
      <c r="D1881" s="4" t="str">
        <f ca="1">IFERROR(__xludf.DUMMYFUNCTION("IFERROR(GOOGLETRANSLATE(B1881,""en"",""zh-TW""),)"),"")</f>
        <v/>
      </c>
      <c r="E1881" s="4" t="str">
        <f ca="1">IFERROR(__xludf.DUMMYFUNCTION("IFERROR(GOOGLETRANSLATE(B1881,""en"",""zh-CN""),)"),"")</f>
        <v/>
      </c>
    </row>
    <row r="1882" spans="1:5">
      <c r="A1882" s="3"/>
      <c r="B1882" s="4" t="str">
        <f ca="1">IFERROR(__xludf.DUMMYFUNCTION("IFERROR(GOOGLETRANSLATE(A1882,""ko"",""en""),)"),"")</f>
        <v/>
      </c>
      <c r="C1882" s="4" t="str">
        <f ca="1">IFERROR(__xludf.DUMMYFUNCTION("IFERROR(GOOGLETRANSLATE(B1882,""en"",""ja""),)"),"")</f>
        <v/>
      </c>
      <c r="D1882" s="4" t="str">
        <f ca="1">IFERROR(__xludf.DUMMYFUNCTION("IFERROR(GOOGLETRANSLATE(B1882,""en"",""zh-TW""),)"),"")</f>
        <v/>
      </c>
      <c r="E1882" s="4" t="str">
        <f ca="1">IFERROR(__xludf.DUMMYFUNCTION("IFERROR(GOOGLETRANSLATE(B1882,""en"",""zh-CN""),)"),"")</f>
        <v/>
      </c>
    </row>
    <row r="1883" spans="1:5">
      <c r="A1883" s="3"/>
      <c r="B1883" s="4" t="str">
        <f ca="1">IFERROR(__xludf.DUMMYFUNCTION("IFERROR(GOOGLETRANSLATE(A1883,""ko"",""en""),)"),"")</f>
        <v/>
      </c>
      <c r="C1883" s="4" t="str">
        <f ca="1">IFERROR(__xludf.DUMMYFUNCTION("IFERROR(GOOGLETRANSLATE(B1883,""en"",""ja""),)"),"")</f>
        <v/>
      </c>
      <c r="D1883" s="4" t="str">
        <f ca="1">IFERROR(__xludf.DUMMYFUNCTION("IFERROR(GOOGLETRANSLATE(B1883,""en"",""zh-TW""),)"),"")</f>
        <v/>
      </c>
      <c r="E1883" s="4" t="str">
        <f ca="1">IFERROR(__xludf.DUMMYFUNCTION("IFERROR(GOOGLETRANSLATE(B1883,""en"",""zh-CN""),)"),"")</f>
        <v/>
      </c>
    </row>
    <row r="1884" spans="1:5">
      <c r="A1884" s="3"/>
      <c r="B1884" s="4" t="str">
        <f ca="1">IFERROR(__xludf.DUMMYFUNCTION("IFERROR(GOOGLETRANSLATE(A1884,""ko"",""en""),)"),"")</f>
        <v/>
      </c>
      <c r="C1884" s="4" t="str">
        <f ca="1">IFERROR(__xludf.DUMMYFUNCTION("IFERROR(GOOGLETRANSLATE(B1884,""en"",""ja""),)"),"")</f>
        <v/>
      </c>
      <c r="D1884" s="4" t="str">
        <f ca="1">IFERROR(__xludf.DUMMYFUNCTION("IFERROR(GOOGLETRANSLATE(B1884,""en"",""zh-TW""),)"),"")</f>
        <v/>
      </c>
      <c r="E1884" s="4" t="str">
        <f ca="1">IFERROR(__xludf.DUMMYFUNCTION("IFERROR(GOOGLETRANSLATE(B1884,""en"",""zh-CN""),)"),"")</f>
        <v/>
      </c>
    </row>
    <row r="1885" spans="1:5">
      <c r="A1885" s="3"/>
      <c r="B1885" s="4" t="str">
        <f ca="1">IFERROR(__xludf.DUMMYFUNCTION("IFERROR(GOOGLETRANSLATE(A1885,""ko"",""en""),)"),"")</f>
        <v/>
      </c>
      <c r="C1885" s="4" t="str">
        <f ca="1">IFERROR(__xludf.DUMMYFUNCTION("IFERROR(GOOGLETRANSLATE(B1885,""en"",""ja""),)"),"")</f>
        <v/>
      </c>
      <c r="D1885" s="4" t="str">
        <f ca="1">IFERROR(__xludf.DUMMYFUNCTION("IFERROR(GOOGLETRANSLATE(B1885,""en"",""zh-TW""),)"),"")</f>
        <v/>
      </c>
      <c r="E1885" s="4" t="str">
        <f ca="1">IFERROR(__xludf.DUMMYFUNCTION("IFERROR(GOOGLETRANSLATE(B1885,""en"",""zh-CN""),)"),"")</f>
        <v/>
      </c>
    </row>
    <row r="1886" spans="1:5">
      <c r="A1886" s="3"/>
      <c r="B1886" s="4" t="str">
        <f ca="1">IFERROR(__xludf.DUMMYFUNCTION("IFERROR(GOOGLETRANSLATE(A1886,""ko"",""en""),)"),"")</f>
        <v/>
      </c>
      <c r="C1886" s="4" t="str">
        <f ca="1">IFERROR(__xludf.DUMMYFUNCTION("IFERROR(GOOGLETRANSLATE(B1886,""en"",""ja""),)"),"")</f>
        <v/>
      </c>
      <c r="D1886" s="4" t="str">
        <f ca="1">IFERROR(__xludf.DUMMYFUNCTION("IFERROR(GOOGLETRANSLATE(B1886,""en"",""zh-TW""),)"),"")</f>
        <v/>
      </c>
      <c r="E1886" s="4" t="str">
        <f ca="1">IFERROR(__xludf.DUMMYFUNCTION("IFERROR(GOOGLETRANSLATE(B1886,""en"",""zh-CN""),)"),"")</f>
        <v/>
      </c>
    </row>
    <row r="1887" spans="1:5">
      <c r="A1887" s="3"/>
      <c r="B1887" s="4" t="str">
        <f ca="1">IFERROR(__xludf.DUMMYFUNCTION("IFERROR(GOOGLETRANSLATE(A1887,""ko"",""en""),)"),"")</f>
        <v/>
      </c>
      <c r="C1887" s="4" t="str">
        <f ca="1">IFERROR(__xludf.DUMMYFUNCTION("IFERROR(GOOGLETRANSLATE(B1887,""en"",""ja""),)"),"")</f>
        <v/>
      </c>
      <c r="D1887" s="4" t="str">
        <f ca="1">IFERROR(__xludf.DUMMYFUNCTION("IFERROR(GOOGLETRANSLATE(B1887,""en"",""zh-TW""),)"),"")</f>
        <v/>
      </c>
      <c r="E1887" s="4" t="str">
        <f ca="1">IFERROR(__xludf.DUMMYFUNCTION("IFERROR(GOOGLETRANSLATE(B1887,""en"",""zh-CN""),)"),"")</f>
        <v/>
      </c>
    </row>
    <row r="1888" spans="1:5">
      <c r="A1888" s="3"/>
      <c r="B1888" s="4" t="str">
        <f ca="1">IFERROR(__xludf.DUMMYFUNCTION("IFERROR(GOOGLETRANSLATE(A1888,""ko"",""en""),)"),"")</f>
        <v/>
      </c>
      <c r="C1888" s="4" t="str">
        <f ca="1">IFERROR(__xludf.DUMMYFUNCTION("IFERROR(GOOGLETRANSLATE(B1888,""en"",""ja""),)"),"")</f>
        <v/>
      </c>
      <c r="D1888" s="4" t="str">
        <f ca="1">IFERROR(__xludf.DUMMYFUNCTION("IFERROR(GOOGLETRANSLATE(B1888,""en"",""zh-TW""),)"),"")</f>
        <v/>
      </c>
      <c r="E1888" s="4" t="str">
        <f ca="1">IFERROR(__xludf.DUMMYFUNCTION("IFERROR(GOOGLETRANSLATE(B1888,""en"",""zh-CN""),)"),"")</f>
        <v/>
      </c>
    </row>
    <row r="1889" spans="1:5">
      <c r="A1889" s="3"/>
      <c r="B1889" s="4" t="str">
        <f ca="1">IFERROR(__xludf.DUMMYFUNCTION("IFERROR(GOOGLETRANSLATE(A1889,""ko"",""en""),)"),"")</f>
        <v/>
      </c>
      <c r="C1889" s="4" t="str">
        <f ca="1">IFERROR(__xludf.DUMMYFUNCTION("IFERROR(GOOGLETRANSLATE(B1889,""en"",""ja""),)"),"")</f>
        <v/>
      </c>
      <c r="D1889" s="4" t="str">
        <f ca="1">IFERROR(__xludf.DUMMYFUNCTION("IFERROR(GOOGLETRANSLATE(B1889,""en"",""zh-TW""),)"),"")</f>
        <v/>
      </c>
      <c r="E1889" s="4" t="str">
        <f ca="1">IFERROR(__xludf.DUMMYFUNCTION("IFERROR(GOOGLETRANSLATE(B1889,""en"",""zh-CN""),)"),"")</f>
        <v/>
      </c>
    </row>
    <row r="1890" spans="1:5">
      <c r="A1890" s="3"/>
      <c r="B1890" s="4" t="str">
        <f ca="1">IFERROR(__xludf.DUMMYFUNCTION("IFERROR(GOOGLETRANSLATE(A1890,""ko"",""en""),)"),"")</f>
        <v/>
      </c>
      <c r="C1890" s="4" t="str">
        <f ca="1">IFERROR(__xludf.DUMMYFUNCTION("IFERROR(GOOGLETRANSLATE(B1890,""en"",""ja""),)"),"")</f>
        <v/>
      </c>
      <c r="D1890" s="4" t="str">
        <f ca="1">IFERROR(__xludf.DUMMYFUNCTION("IFERROR(GOOGLETRANSLATE(B1890,""en"",""zh-TW""),)"),"")</f>
        <v/>
      </c>
      <c r="E1890" s="4" t="str">
        <f ca="1">IFERROR(__xludf.DUMMYFUNCTION("IFERROR(GOOGLETRANSLATE(B1890,""en"",""zh-CN""),)"),"")</f>
        <v/>
      </c>
    </row>
    <row r="1891" spans="1:5">
      <c r="A1891" s="3"/>
      <c r="B1891" s="4" t="str">
        <f ca="1">IFERROR(__xludf.DUMMYFUNCTION("IFERROR(GOOGLETRANSLATE(A1891,""ko"",""en""),)"),"")</f>
        <v/>
      </c>
      <c r="C1891" s="4" t="str">
        <f ca="1">IFERROR(__xludf.DUMMYFUNCTION("IFERROR(GOOGLETRANSLATE(B1891,""en"",""ja""),)"),"")</f>
        <v/>
      </c>
      <c r="D1891" s="4" t="str">
        <f ca="1">IFERROR(__xludf.DUMMYFUNCTION("IFERROR(GOOGLETRANSLATE(B1891,""en"",""zh-TW""),)"),"")</f>
        <v/>
      </c>
      <c r="E1891" s="4" t="str">
        <f ca="1">IFERROR(__xludf.DUMMYFUNCTION("IFERROR(GOOGLETRANSLATE(B1891,""en"",""zh-CN""),)"),"")</f>
        <v/>
      </c>
    </row>
    <row r="1892" spans="1:5">
      <c r="A1892" s="3"/>
      <c r="B1892" s="4" t="str">
        <f ca="1">IFERROR(__xludf.DUMMYFUNCTION("IFERROR(GOOGLETRANSLATE(A1892,""ko"",""en""),)"),"")</f>
        <v/>
      </c>
      <c r="C1892" s="4" t="str">
        <f ca="1">IFERROR(__xludf.DUMMYFUNCTION("IFERROR(GOOGLETRANSLATE(B1892,""en"",""ja""),)"),"")</f>
        <v/>
      </c>
      <c r="D1892" s="4" t="str">
        <f ca="1">IFERROR(__xludf.DUMMYFUNCTION("IFERROR(GOOGLETRANSLATE(B1892,""en"",""zh-TW""),)"),"")</f>
        <v/>
      </c>
      <c r="E1892" s="4" t="str">
        <f ca="1">IFERROR(__xludf.DUMMYFUNCTION("IFERROR(GOOGLETRANSLATE(B1892,""en"",""zh-CN""),)"),"")</f>
        <v/>
      </c>
    </row>
    <row r="1893" spans="1:5">
      <c r="A1893" s="3"/>
      <c r="B1893" s="4" t="str">
        <f ca="1">IFERROR(__xludf.DUMMYFUNCTION("IFERROR(GOOGLETRANSLATE(A1893,""ko"",""en""),)"),"")</f>
        <v/>
      </c>
      <c r="C1893" s="4" t="str">
        <f ca="1">IFERROR(__xludf.DUMMYFUNCTION("IFERROR(GOOGLETRANSLATE(B1893,""en"",""ja""),)"),"")</f>
        <v/>
      </c>
      <c r="D1893" s="4" t="str">
        <f ca="1">IFERROR(__xludf.DUMMYFUNCTION("IFERROR(GOOGLETRANSLATE(B1893,""en"",""zh-TW""),)"),"")</f>
        <v/>
      </c>
      <c r="E1893" s="4" t="str">
        <f ca="1">IFERROR(__xludf.DUMMYFUNCTION("IFERROR(GOOGLETRANSLATE(B1893,""en"",""zh-CN""),)"),"")</f>
        <v/>
      </c>
    </row>
    <row r="1894" spans="1:5">
      <c r="A1894" s="3"/>
      <c r="B1894" s="4" t="str">
        <f ca="1">IFERROR(__xludf.DUMMYFUNCTION("IFERROR(GOOGLETRANSLATE(A1894,""ko"",""en""),)"),"")</f>
        <v/>
      </c>
      <c r="C1894" s="4" t="str">
        <f ca="1">IFERROR(__xludf.DUMMYFUNCTION("IFERROR(GOOGLETRANSLATE(B1894,""en"",""ja""),)"),"")</f>
        <v/>
      </c>
      <c r="D1894" s="4" t="str">
        <f ca="1">IFERROR(__xludf.DUMMYFUNCTION("IFERROR(GOOGLETRANSLATE(B1894,""en"",""zh-TW""),)"),"")</f>
        <v/>
      </c>
      <c r="E1894" s="4" t="str">
        <f ca="1">IFERROR(__xludf.DUMMYFUNCTION("IFERROR(GOOGLETRANSLATE(B1894,""en"",""zh-CN""),)"),"")</f>
        <v/>
      </c>
    </row>
    <row r="1895" spans="1:5">
      <c r="A1895" s="3"/>
      <c r="B1895" s="4" t="str">
        <f ca="1">IFERROR(__xludf.DUMMYFUNCTION("IFERROR(GOOGLETRANSLATE(A1895,""ko"",""en""),)"),"")</f>
        <v/>
      </c>
      <c r="C1895" s="4" t="str">
        <f ca="1">IFERROR(__xludf.DUMMYFUNCTION("IFERROR(GOOGLETRANSLATE(B1895,""en"",""ja""),)"),"")</f>
        <v/>
      </c>
      <c r="D1895" s="4" t="str">
        <f ca="1">IFERROR(__xludf.DUMMYFUNCTION("IFERROR(GOOGLETRANSLATE(B1895,""en"",""zh-TW""),)"),"")</f>
        <v/>
      </c>
      <c r="E1895" s="4" t="str">
        <f ca="1">IFERROR(__xludf.DUMMYFUNCTION("IFERROR(GOOGLETRANSLATE(B1895,""en"",""zh-CN""),)"),"")</f>
        <v/>
      </c>
    </row>
    <row r="1896" spans="1:5">
      <c r="A1896" s="3"/>
      <c r="B1896" s="4" t="str">
        <f ca="1">IFERROR(__xludf.DUMMYFUNCTION("IFERROR(GOOGLETRANSLATE(A1896,""ko"",""en""),)"),"")</f>
        <v/>
      </c>
      <c r="C1896" s="4" t="str">
        <f ca="1">IFERROR(__xludf.DUMMYFUNCTION("IFERROR(GOOGLETRANSLATE(B1896,""en"",""ja""),)"),"")</f>
        <v/>
      </c>
      <c r="D1896" s="4" t="str">
        <f ca="1">IFERROR(__xludf.DUMMYFUNCTION("IFERROR(GOOGLETRANSLATE(B1896,""en"",""zh-TW""),)"),"")</f>
        <v/>
      </c>
      <c r="E1896" s="4" t="str">
        <f ca="1">IFERROR(__xludf.DUMMYFUNCTION("IFERROR(GOOGLETRANSLATE(B1896,""en"",""zh-CN""),)"),"")</f>
        <v/>
      </c>
    </row>
    <row r="1897" spans="1:5">
      <c r="A1897" s="3"/>
      <c r="B1897" s="4" t="str">
        <f ca="1">IFERROR(__xludf.DUMMYFUNCTION("IFERROR(GOOGLETRANSLATE(A1897,""ko"",""en""),)"),"")</f>
        <v/>
      </c>
      <c r="C1897" s="4" t="str">
        <f ca="1">IFERROR(__xludf.DUMMYFUNCTION("IFERROR(GOOGLETRANSLATE(B1897,""en"",""ja""),)"),"")</f>
        <v/>
      </c>
      <c r="D1897" s="4" t="str">
        <f ca="1">IFERROR(__xludf.DUMMYFUNCTION("IFERROR(GOOGLETRANSLATE(B1897,""en"",""zh-TW""),)"),"")</f>
        <v/>
      </c>
      <c r="E1897" s="4" t="str">
        <f ca="1">IFERROR(__xludf.DUMMYFUNCTION("IFERROR(GOOGLETRANSLATE(B1897,""en"",""zh-CN""),)"),"")</f>
        <v/>
      </c>
    </row>
    <row r="1898" spans="1:5">
      <c r="A1898" s="3"/>
      <c r="B1898" s="4" t="str">
        <f ca="1">IFERROR(__xludf.DUMMYFUNCTION("IFERROR(GOOGLETRANSLATE(A1898,""ko"",""en""),)"),"")</f>
        <v/>
      </c>
      <c r="C1898" s="4" t="str">
        <f ca="1">IFERROR(__xludf.DUMMYFUNCTION("IFERROR(GOOGLETRANSLATE(B1898,""en"",""ja""),)"),"")</f>
        <v/>
      </c>
      <c r="D1898" s="4" t="str">
        <f ca="1">IFERROR(__xludf.DUMMYFUNCTION("IFERROR(GOOGLETRANSLATE(B1898,""en"",""zh-TW""),)"),"")</f>
        <v/>
      </c>
      <c r="E1898" s="4" t="str">
        <f ca="1">IFERROR(__xludf.DUMMYFUNCTION("IFERROR(GOOGLETRANSLATE(B1898,""en"",""zh-CN""),)"),"")</f>
        <v/>
      </c>
    </row>
    <row r="1899" spans="1:5">
      <c r="A1899" s="3"/>
      <c r="B1899" s="4" t="str">
        <f ca="1">IFERROR(__xludf.DUMMYFUNCTION("IFERROR(GOOGLETRANSLATE(A1899,""ko"",""en""),)"),"")</f>
        <v/>
      </c>
      <c r="C1899" s="4" t="str">
        <f ca="1">IFERROR(__xludf.DUMMYFUNCTION("IFERROR(GOOGLETRANSLATE(B1899,""en"",""ja""),)"),"")</f>
        <v/>
      </c>
      <c r="D1899" s="4" t="str">
        <f ca="1">IFERROR(__xludf.DUMMYFUNCTION("IFERROR(GOOGLETRANSLATE(B1899,""en"",""zh-TW""),)"),"")</f>
        <v/>
      </c>
      <c r="E1899" s="4" t="str">
        <f ca="1">IFERROR(__xludf.DUMMYFUNCTION("IFERROR(GOOGLETRANSLATE(B1899,""en"",""zh-CN""),)"),"")</f>
        <v/>
      </c>
    </row>
    <row r="1900" spans="1:5">
      <c r="A1900" s="3"/>
      <c r="B1900" s="4" t="str">
        <f ca="1">IFERROR(__xludf.DUMMYFUNCTION("IFERROR(GOOGLETRANSLATE(A1900,""ko"",""en""),)"),"")</f>
        <v/>
      </c>
      <c r="C1900" s="4" t="str">
        <f ca="1">IFERROR(__xludf.DUMMYFUNCTION("IFERROR(GOOGLETRANSLATE(B1900,""en"",""ja""),)"),"")</f>
        <v/>
      </c>
      <c r="D1900" s="4" t="str">
        <f ca="1">IFERROR(__xludf.DUMMYFUNCTION("IFERROR(GOOGLETRANSLATE(B1900,""en"",""zh-TW""),)"),"")</f>
        <v/>
      </c>
      <c r="E1900" s="4" t="str">
        <f ca="1">IFERROR(__xludf.DUMMYFUNCTION("IFERROR(GOOGLETRANSLATE(B1900,""en"",""zh-CN""),)"),"")</f>
        <v/>
      </c>
    </row>
    <row r="1901" spans="1:5">
      <c r="A1901" s="3"/>
      <c r="B1901" s="4" t="str">
        <f ca="1">IFERROR(__xludf.DUMMYFUNCTION("IFERROR(GOOGLETRANSLATE(A1901,""ko"",""en""),)"),"")</f>
        <v/>
      </c>
      <c r="C1901" s="4" t="str">
        <f ca="1">IFERROR(__xludf.DUMMYFUNCTION("IFERROR(GOOGLETRANSLATE(B1901,""en"",""ja""),)"),"")</f>
        <v/>
      </c>
      <c r="D1901" s="4" t="str">
        <f ca="1">IFERROR(__xludf.DUMMYFUNCTION("IFERROR(GOOGLETRANSLATE(B1901,""en"",""zh-TW""),)"),"")</f>
        <v/>
      </c>
      <c r="E1901" s="4" t="str">
        <f ca="1">IFERROR(__xludf.DUMMYFUNCTION("IFERROR(GOOGLETRANSLATE(B1901,""en"",""zh-CN""),)"),"")</f>
        <v/>
      </c>
    </row>
    <row r="1902" spans="1:5">
      <c r="A1902" s="3"/>
      <c r="B1902" s="4" t="str">
        <f ca="1">IFERROR(__xludf.DUMMYFUNCTION("IFERROR(GOOGLETRANSLATE(A1902,""ko"",""en""),)"),"")</f>
        <v/>
      </c>
      <c r="C1902" s="4" t="str">
        <f ca="1">IFERROR(__xludf.DUMMYFUNCTION("IFERROR(GOOGLETRANSLATE(B1902,""en"",""ja""),)"),"")</f>
        <v/>
      </c>
      <c r="D1902" s="4" t="str">
        <f ca="1">IFERROR(__xludf.DUMMYFUNCTION("IFERROR(GOOGLETRANSLATE(B1902,""en"",""zh-TW""),)"),"")</f>
        <v/>
      </c>
      <c r="E1902" s="4" t="str">
        <f ca="1">IFERROR(__xludf.DUMMYFUNCTION("IFERROR(GOOGLETRANSLATE(B1902,""en"",""zh-CN""),)"),"")</f>
        <v/>
      </c>
    </row>
    <row r="1903" spans="1:5">
      <c r="A1903" s="3"/>
      <c r="B1903" s="4" t="str">
        <f ca="1">IFERROR(__xludf.DUMMYFUNCTION("IFERROR(GOOGLETRANSLATE(A1903,""ko"",""en""),)"),"")</f>
        <v/>
      </c>
      <c r="C1903" s="4" t="str">
        <f ca="1">IFERROR(__xludf.DUMMYFUNCTION("IFERROR(GOOGLETRANSLATE(B1903,""en"",""ja""),)"),"")</f>
        <v/>
      </c>
      <c r="D1903" s="4" t="str">
        <f ca="1">IFERROR(__xludf.DUMMYFUNCTION("IFERROR(GOOGLETRANSLATE(B1903,""en"",""zh-TW""),)"),"")</f>
        <v/>
      </c>
      <c r="E1903" s="4" t="str">
        <f ca="1">IFERROR(__xludf.DUMMYFUNCTION("IFERROR(GOOGLETRANSLATE(B1903,""en"",""zh-CN""),)"),"")</f>
        <v/>
      </c>
    </row>
    <row r="1904" spans="1:5">
      <c r="A1904" s="3"/>
      <c r="B1904" s="4" t="str">
        <f ca="1">IFERROR(__xludf.DUMMYFUNCTION("IFERROR(GOOGLETRANSLATE(A1904,""ko"",""en""),)"),"")</f>
        <v/>
      </c>
      <c r="C1904" s="4" t="str">
        <f ca="1">IFERROR(__xludf.DUMMYFUNCTION("IFERROR(GOOGLETRANSLATE(B1904,""en"",""ja""),)"),"")</f>
        <v/>
      </c>
      <c r="D1904" s="4" t="str">
        <f ca="1">IFERROR(__xludf.DUMMYFUNCTION("IFERROR(GOOGLETRANSLATE(B1904,""en"",""zh-TW""),)"),"")</f>
        <v/>
      </c>
      <c r="E1904" s="4" t="str">
        <f ca="1">IFERROR(__xludf.DUMMYFUNCTION("IFERROR(GOOGLETRANSLATE(B1904,""en"",""zh-CN""),)"),"")</f>
        <v/>
      </c>
    </row>
    <row r="1905" spans="1:5">
      <c r="A1905" s="3"/>
      <c r="B1905" s="4" t="str">
        <f ca="1">IFERROR(__xludf.DUMMYFUNCTION("IFERROR(GOOGLETRANSLATE(A1905,""ko"",""en""),)"),"")</f>
        <v/>
      </c>
      <c r="C1905" s="4" t="str">
        <f ca="1">IFERROR(__xludf.DUMMYFUNCTION("IFERROR(GOOGLETRANSLATE(B1905,""en"",""ja""),)"),"")</f>
        <v/>
      </c>
      <c r="D1905" s="4" t="str">
        <f ca="1">IFERROR(__xludf.DUMMYFUNCTION("IFERROR(GOOGLETRANSLATE(B1905,""en"",""zh-TW""),)"),"")</f>
        <v/>
      </c>
      <c r="E1905" s="4" t="str">
        <f ca="1">IFERROR(__xludf.DUMMYFUNCTION("IFERROR(GOOGLETRANSLATE(B1905,""en"",""zh-CN""),)"),"")</f>
        <v/>
      </c>
    </row>
    <row r="1906" spans="1:5">
      <c r="A1906" s="3"/>
      <c r="B1906" s="4" t="str">
        <f ca="1">IFERROR(__xludf.DUMMYFUNCTION("IFERROR(GOOGLETRANSLATE(A1906,""ko"",""en""),)"),"")</f>
        <v/>
      </c>
      <c r="C1906" s="4" t="str">
        <f ca="1">IFERROR(__xludf.DUMMYFUNCTION("IFERROR(GOOGLETRANSLATE(B1906,""en"",""ja""),)"),"")</f>
        <v/>
      </c>
      <c r="D1906" s="4" t="str">
        <f ca="1">IFERROR(__xludf.DUMMYFUNCTION("IFERROR(GOOGLETRANSLATE(B1906,""en"",""zh-TW""),)"),"")</f>
        <v/>
      </c>
      <c r="E1906" s="4" t="str">
        <f ca="1">IFERROR(__xludf.DUMMYFUNCTION("IFERROR(GOOGLETRANSLATE(B1906,""en"",""zh-CN""),)"),"")</f>
        <v/>
      </c>
    </row>
    <row r="1907" spans="1:5">
      <c r="A1907" s="3"/>
      <c r="B1907" s="4" t="str">
        <f ca="1">IFERROR(__xludf.DUMMYFUNCTION("IFERROR(GOOGLETRANSLATE(A1907,""ko"",""en""),)"),"")</f>
        <v/>
      </c>
      <c r="C1907" s="4" t="str">
        <f ca="1">IFERROR(__xludf.DUMMYFUNCTION("IFERROR(GOOGLETRANSLATE(B1907,""en"",""ja""),)"),"")</f>
        <v/>
      </c>
      <c r="D1907" s="4" t="str">
        <f ca="1">IFERROR(__xludf.DUMMYFUNCTION("IFERROR(GOOGLETRANSLATE(B1907,""en"",""zh-TW""),)"),"")</f>
        <v/>
      </c>
      <c r="E1907" s="4" t="str">
        <f ca="1">IFERROR(__xludf.DUMMYFUNCTION("IFERROR(GOOGLETRANSLATE(B1907,""en"",""zh-CN""),)"),"")</f>
        <v/>
      </c>
    </row>
    <row r="1908" spans="1:5">
      <c r="A1908" s="3"/>
      <c r="B1908" s="4" t="str">
        <f ca="1">IFERROR(__xludf.DUMMYFUNCTION("IFERROR(GOOGLETRANSLATE(A1908,""ko"",""en""),)"),"")</f>
        <v/>
      </c>
      <c r="C1908" s="4" t="str">
        <f ca="1">IFERROR(__xludf.DUMMYFUNCTION("IFERROR(GOOGLETRANSLATE(B1908,""en"",""ja""),)"),"")</f>
        <v/>
      </c>
      <c r="D1908" s="4" t="str">
        <f ca="1">IFERROR(__xludf.DUMMYFUNCTION("IFERROR(GOOGLETRANSLATE(B1908,""en"",""zh-TW""),)"),"")</f>
        <v/>
      </c>
      <c r="E1908" s="4" t="str">
        <f ca="1">IFERROR(__xludf.DUMMYFUNCTION("IFERROR(GOOGLETRANSLATE(B1908,""en"",""zh-CN""),)"),"")</f>
        <v/>
      </c>
    </row>
    <row r="1909" spans="1:5">
      <c r="A1909" s="3"/>
      <c r="B1909" s="4" t="str">
        <f ca="1">IFERROR(__xludf.DUMMYFUNCTION("IFERROR(GOOGLETRANSLATE(A1909,""ko"",""en""),)"),"")</f>
        <v/>
      </c>
      <c r="C1909" s="4" t="str">
        <f ca="1">IFERROR(__xludf.DUMMYFUNCTION("IFERROR(GOOGLETRANSLATE(B1909,""en"",""ja""),)"),"")</f>
        <v/>
      </c>
      <c r="D1909" s="4" t="str">
        <f ca="1">IFERROR(__xludf.DUMMYFUNCTION("IFERROR(GOOGLETRANSLATE(B1909,""en"",""zh-TW""),)"),"")</f>
        <v/>
      </c>
      <c r="E1909" s="4" t="str">
        <f ca="1">IFERROR(__xludf.DUMMYFUNCTION("IFERROR(GOOGLETRANSLATE(B1909,""en"",""zh-CN""),)"),"")</f>
        <v/>
      </c>
    </row>
    <row r="1910" spans="1:5">
      <c r="A1910" s="3"/>
      <c r="B1910" s="4" t="str">
        <f ca="1">IFERROR(__xludf.DUMMYFUNCTION("IFERROR(GOOGLETRANSLATE(A1910,""ko"",""en""),)"),"")</f>
        <v/>
      </c>
      <c r="C1910" s="4" t="str">
        <f ca="1">IFERROR(__xludf.DUMMYFUNCTION("IFERROR(GOOGLETRANSLATE(B1910,""en"",""ja""),)"),"")</f>
        <v/>
      </c>
      <c r="D1910" s="4" t="str">
        <f ca="1">IFERROR(__xludf.DUMMYFUNCTION("IFERROR(GOOGLETRANSLATE(B1910,""en"",""zh-TW""),)"),"")</f>
        <v/>
      </c>
      <c r="E1910" s="4" t="str">
        <f ca="1">IFERROR(__xludf.DUMMYFUNCTION("IFERROR(GOOGLETRANSLATE(B1910,""en"",""zh-CN""),)"),"")</f>
        <v/>
      </c>
    </row>
    <row r="1911" spans="1:5">
      <c r="A1911" s="3"/>
      <c r="B1911" s="4" t="str">
        <f ca="1">IFERROR(__xludf.DUMMYFUNCTION("IFERROR(GOOGLETRANSLATE(A1911,""ko"",""en""),)"),"")</f>
        <v/>
      </c>
      <c r="C1911" s="4" t="str">
        <f ca="1">IFERROR(__xludf.DUMMYFUNCTION("IFERROR(GOOGLETRANSLATE(B1911,""en"",""ja""),)"),"")</f>
        <v/>
      </c>
      <c r="D1911" s="4" t="str">
        <f ca="1">IFERROR(__xludf.DUMMYFUNCTION("IFERROR(GOOGLETRANSLATE(B1911,""en"",""zh-TW""),)"),"")</f>
        <v/>
      </c>
      <c r="E1911" s="4" t="str">
        <f ca="1">IFERROR(__xludf.DUMMYFUNCTION("IFERROR(GOOGLETRANSLATE(B1911,""en"",""zh-CN""),)"),"")</f>
        <v/>
      </c>
    </row>
    <row r="1912" spans="1:5">
      <c r="A1912" s="3"/>
      <c r="B1912" s="4" t="str">
        <f ca="1">IFERROR(__xludf.DUMMYFUNCTION("IFERROR(GOOGLETRANSLATE(A1912,""ko"",""en""),)"),"")</f>
        <v/>
      </c>
      <c r="C1912" s="4" t="str">
        <f ca="1">IFERROR(__xludf.DUMMYFUNCTION("IFERROR(GOOGLETRANSLATE(B1912,""en"",""ja""),)"),"")</f>
        <v/>
      </c>
      <c r="D1912" s="4" t="str">
        <f ca="1">IFERROR(__xludf.DUMMYFUNCTION("IFERROR(GOOGLETRANSLATE(B1912,""en"",""zh-TW""),)"),"")</f>
        <v/>
      </c>
      <c r="E1912" s="4" t="str">
        <f ca="1">IFERROR(__xludf.DUMMYFUNCTION("IFERROR(GOOGLETRANSLATE(B1912,""en"",""zh-CN""),)"),"")</f>
        <v/>
      </c>
    </row>
    <row r="1913" spans="1:5">
      <c r="A1913" s="3"/>
      <c r="B1913" s="4" t="str">
        <f ca="1">IFERROR(__xludf.DUMMYFUNCTION("IFERROR(GOOGLETRANSLATE(A1913,""ko"",""en""),)"),"")</f>
        <v/>
      </c>
      <c r="C1913" s="4" t="str">
        <f ca="1">IFERROR(__xludf.DUMMYFUNCTION("IFERROR(GOOGLETRANSLATE(B1913,""en"",""ja""),)"),"")</f>
        <v/>
      </c>
      <c r="D1913" s="4" t="str">
        <f ca="1">IFERROR(__xludf.DUMMYFUNCTION("IFERROR(GOOGLETRANSLATE(B1913,""en"",""zh-TW""),)"),"")</f>
        <v/>
      </c>
      <c r="E1913" s="4" t="str">
        <f ca="1">IFERROR(__xludf.DUMMYFUNCTION("IFERROR(GOOGLETRANSLATE(B1913,""en"",""zh-CN""),)"),"")</f>
        <v/>
      </c>
    </row>
    <row r="1914" spans="1:5">
      <c r="A1914" s="3"/>
      <c r="B1914" s="4" t="str">
        <f ca="1">IFERROR(__xludf.DUMMYFUNCTION("IFERROR(GOOGLETRANSLATE(A1914,""ko"",""en""),)"),"")</f>
        <v/>
      </c>
      <c r="C1914" s="4" t="str">
        <f ca="1">IFERROR(__xludf.DUMMYFUNCTION("IFERROR(GOOGLETRANSLATE(B1914,""en"",""ja""),)"),"")</f>
        <v/>
      </c>
      <c r="D1914" s="4" t="str">
        <f ca="1">IFERROR(__xludf.DUMMYFUNCTION("IFERROR(GOOGLETRANSLATE(B1914,""en"",""zh-TW""),)"),"")</f>
        <v/>
      </c>
      <c r="E1914" s="4" t="str">
        <f ca="1">IFERROR(__xludf.DUMMYFUNCTION("IFERROR(GOOGLETRANSLATE(B1914,""en"",""zh-CN""),)"),"")</f>
        <v/>
      </c>
    </row>
    <row r="1915" spans="1:5">
      <c r="A1915" s="3"/>
      <c r="B1915" s="4" t="str">
        <f ca="1">IFERROR(__xludf.DUMMYFUNCTION("IFERROR(GOOGLETRANSLATE(A1915,""ko"",""en""),)"),"")</f>
        <v/>
      </c>
      <c r="C1915" s="4" t="str">
        <f ca="1">IFERROR(__xludf.DUMMYFUNCTION("IFERROR(GOOGLETRANSLATE(B1915,""en"",""ja""),)"),"")</f>
        <v/>
      </c>
      <c r="D1915" s="4" t="str">
        <f ca="1">IFERROR(__xludf.DUMMYFUNCTION("IFERROR(GOOGLETRANSLATE(B1915,""en"",""zh-TW""),)"),"")</f>
        <v/>
      </c>
      <c r="E1915" s="4" t="str">
        <f ca="1">IFERROR(__xludf.DUMMYFUNCTION("IFERROR(GOOGLETRANSLATE(B1915,""en"",""zh-CN""),)"),"")</f>
        <v/>
      </c>
    </row>
    <row r="1916" spans="1:5">
      <c r="A1916" s="3"/>
      <c r="B1916" s="4" t="str">
        <f ca="1">IFERROR(__xludf.DUMMYFUNCTION("IFERROR(GOOGLETRANSLATE(A1916,""ko"",""en""),)"),"")</f>
        <v/>
      </c>
      <c r="C1916" s="4" t="str">
        <f ca="1">IFERROR(__xludf.DUMMYFUNCTION("IFERROR(GOOGLETRANSLATE(B1916,""en"",""ja""),)"),"")</f>
        <v/>
      </c>
      <c r="D1916" s="4" t="str">
        <f ca="1">IFERROR(__xludf.DUMMYFUNCTION("IFERROR(GOOGLETRANSLATE(B1916,""en"",""zh-TW""),)"),"")</f>
        <v/>
      </c>
      <c r="E1916" s="4" t="str">
        <f ca="1">IFERROR(__xludf.DUMMYFUNCTION("IFERROR(GOOGLETRANSLATE(B1916,""en"",""zh-CN""),)"),"")</f>
        <v/>
      </c>
    </row>
    <row r="1917" spans="1:5">
      <c r="A1917" s="3"/>
      <c r="B1917" s="4" t="str">
        <f ca="1">IFERROR(__xludf.DUMMYFUNCTION("IFERROR(GOOGLETRANSLATE(A1917,""ko"",""en""),)"),"")</f>
        <v/>
      </c>
      <c r="C1917" s="4" t="str">
        <f ca="1">IFERROR(__xludf.DUMMYFUNCTION("IFERROR(GOOGLETRANSLATE(B1917,""en"",""ja""),)"),"")</f>
        <v/>
      </c>
      <c r="D1917" s="4" t="str">
        <f ca="1">IFERROR(__xludf.DUMMYFUNCTION("IFERROR(GOOGLETRANSLATE(B1917,""en"",""zh-TW""),)"),"")</f>
        <v/>
      </c>
      <c r="E1917" s="4" t="str">
        <f ca="1">IFERROR(__xludf.DUMMYFUNCTION("IFERROR(GOOGLETRANSLATE(B1917,""en"",""zh-CN""),)"),"")</f>
        <v/>
      </c>
    </row>
    <row r="1918" spans="1:5">
      <c r="A1918" s="3"/>
      <c r="B1918" s="4" t="str">
        <f ca="1">IFERROR(__xludf.DUMMYFUNCTION("IFERROR(GOOGLETRANSLATE(A1918,""ko"",""en""),)"),"")</f>
        <v/>
      </c>
      <c r="C1918" s="4" t="str">
        <f ca="1">IFERROR(__xludf.DUMMYFUNCTION("IFERROR(GOOGLETRANSLATE(B1918,""en"",""ja""),)"),"")</f>
        <v/>
      </c>
      <c r="D1918" s="4" t="str">
        <f ca="1">IFERROR(__xludf.DUMMYFUNCTION("IFERROR(GOOGLETRANSLATE(B1918,""en"",""zh-TW""),)"),"")</f>
        <v/>
      </c>
      <c r="E1918" s="4" t="str">
        <f ca="1">IFERROR(__xludf.DUMMYFUNCTION("IFERROR(GOOGLETRANSLATE(B1918,""en"",""zh-CN""),)"),"")</f>
        <v/>
      </c>
    </row>
    <row r="1919" spans="1:5">
      <c r="A1919" s="3"/>
      <c r="B1919" s="4" t="str">
        <f ca="1">IFERROR(__xludf.DUMMYFUNCTION("IFERROR(GOOGLETRANSLATE(A1919,""ko"",""en""),)"),"")</f>
        <v/>
      </c>
      <c r="C1919" s="4" t="str">
        <f ca="1">IFERROR(__xludf.DUMMYFUNCTION("IFERROR(GOOGLETRANSLATE(B1919,""en"",""ja""),)"),"")</f>
        <v/>
      </c>
      <c r="D1919" s="4" t="str">
        <f ca="1">IFERROR(__xludf.DUMMYFUNCTION("IFERROR(GOOGLETRANSLATE(B1919,""en"",""zh-TW""),)"),"")</f>
        <v/>
      </c>
      <c r="E1919" s="4" t="str">
        <f ca="1">IFERROR(__xludf.DUMMYFUNCTION("IFERROR(GOOGLETRANSLATE(B1919,""en"",""zh-CN""),)"),"")</f>
        <v/>
      </c>
    </row>
    <row r="1920" spans="1:5">
      <c r="A1920" s="3"/>
      <c r="B1920" s="4" t="str">
        <f ca="1">IFERROR(__xludf.DUMMYFUNCTION("IFERROR(GOOGLETRANSLATE(A1920,""ko"",""en""),)"),"")</f>
        <v/>
      </c>
      <c r="C1920" s="4" t="str">
        <f ca="1">IFERROR(__xludf.DUMMYFUNCTION("IFERROR(GOOGLETRANSLATE(B1920,""en"",""ja""),)"),"")</f>
        <v/>
      </c>
      <c r="D1920" s="4" t="str">
        <f ca="1">IFERROR(__xludf.DUMMYFUNCTION("IFERROR(GOOGLETRANSLATE(B1920,""en"",""zh-TW""),)"),"")</f>
        <v/>
      </c>
      <c r="E1920" s="4" t="str">
        <f ca="1">IFERROR(__xludf.DUMMYFUNCTION("IFERROR(GOOGLETRANSLATE(B1920,""en"",""zh-CN""),)"),"")</f>
        <v/>
      </c>
    </row>
    <row r="1921" spans="1:5">
      <c r="A1921" s="3"/>
      <c r="B1921" s="4" t="str">
        <f ca="1">IFERROR(__xludf.DUMMYFUNCTION("IFERROR(GOOGLETRANSLATE(A1921,""ko"",""en""),)"),"")</f>
        <v/>
      </c>
      <c r="C1921" s="4" t="str">
        <f ca="1">IFERROR(__xludf.DUMMYFUNCTION("IFERROR(GOOGLETRANSLATE(B1921,""en"",""ja""),)"),"")</f>
        <v/>
      </c>
      <c r="D1921" s="4" t="str">
        <f ca="1">IFERROR(__xludf.DUMMYFUNCTION("IFERROR(GOOGLETRANSLATE(B1921,""en"",""zh-TW""),)"),"")</f>
        <v/>
      </c>
      <c r="E1921" s="4" t="str">
        <f ca="1">IFERROR(__xludf.DUMMYFUNCTION("IFERROR(GOOGLETRANSLATE(B1921,""en"",""zh-CN""),)"),"")</f>
        <v/>
      </c>
    </row>
    <row r="1922" spans="1:5">
      <c r="A1922" s="3"/>
      <c r="B1922" s="4" t="str">
        <f ca="1">IFERROR(__xludf.DUMMYFUNCTION("IFERROR(GOOGLETRANSLATE(A1922,""ko"",""en""),)"),"")</f>
        <v/>
      </c>
      <c r="C1922" s="4" t="str">
        <f ca="1">IFERROR(__xludf.DUMMYFUNCTION("IFERROR(GOOGLETRANSLATE(B1922,""en"",""ja""),)"),"")</f>
        <v/>
      </c>
      <c r="D1922" s="4" t="str">
        <f ca="1">IFERROR(__xludf.DUMMYFUNCTION("IFERROR(GOOGLETRANSLATE(B1922,""en"",""zh-TW""),)"),"")</f>
        <v/>
      </c>
      <c r="E1922" s="4" t="str">
        <f ca="1">IFERROR(__xludf.DUMMYFUNCTION("IFERROR(GOOGLETRANSLATE(B1922,""en"",""zh-CN""),)"),"")</f>
        <v/>
      </c>
    </row>
    <row r="1923" spans="1:5">
      <c r="A1923" s="3"/>
      <c r="B1923" s="4" t="str">
        <f ca="1">IFERROR(__xludf.DUMMYFUNCTION("IFERROR(GOOGLETRANSLATE(A1923,""ko"",""en""),)"),"")</f>
        <v/>
      </c>
      <c r="C1923" s="4" t="str">
        <f ca="1">IFERROR(__xludf.DUMMYFUNCTION("IFERROR(GOOGLETRANSLATE(B1923,""en"",""ja""),)"),"")</f>
        <v/>
      </c>
      <c r="D1923" s="4" t="str">
        <f ca="1">IFERROR(__xludf.DUMMYFUNCTION("IFERROR(GOOGLETRANSLATE(B1923,""en"",""zh-TW""),)"),"")</f>
        <v/>
      </c>
      <c r="E1923" s="4" t="str">
        <f ca="1">IFERROR(__xludf.DUMMYFUNCTION("IFERROR(GOOGLETRANSLATE(B1923,""en"",""zh-CN""),)"),"")</f>
        <v/>
      </c>
    </row>
    <row r="1924" spans="1:5">
      <c r="A1924" s="3"/>
      <c r="B1924" s="4" t="str">
        <f ca="1">IFERROR(__xludf.DUMMYFUNCTION("IFERROR(GOOGLETRANSLATE(A1924,""ko"",""en""),)"),"")</f>
        <v/>
      </c>
      <c r="C1924" s="4" t="str">
        <f ca="1">IFERROR(__xludf.DUMMYFUNCTION("IFERROR(GOOGLETRANSLATE(B1924,""en"",""ja""),)"),"")</f>
        <v/>
      </c>
      <c r="D1924" s="4" t="str">
        <f ca="1">IFERROR(__xludf.DUMMYFUNCTION("IFERROR(GOOGLETRANSLATE(B1924,""en"",""zh-TW""),)"),"")</f>
        <v/>
      </c>
      <c r="E1924" s="4" t="str">
        <f ca="1">IFERROR(__xludf.DUMMYFUNCTION("IFERROR(GOOGLETRANSLATE(B1924,""en"",""zh-CN""),)"),"")</f>
        <v/>
      </c>
    </row>
    <row r="1925" spans="1:5">
      <c r="A1925" s="3"/>
      <c r="B1925" s="4" t="str">
        <f ca="1">IFERROR(__xludf.DUMMYFUNCTION("IFERROR(GOOGLETRANSLATE(A1925,""ko"",""en""),)"),"")</f>
        <v/>
      </c>
      <c r="C1925" s="4" t="str">
        <f ca="1">IFERROR(__xludf.DUMMYFUNCTION("IFERROR(GOOGLETRANSLATE(B1925,""en"",""ja""),)"),"")</f>
        <v/>
      </c>
      <c r="D1925" s="4" t="str">
        <f ca="1">IFERROR(__xludf.DUMMYFUNCTION("IFERROR(GOOGLETRANSLATE(B1925,""en"",""zh-TW""),)"),"")</f>
        <v/>
      </c>
      <c r="E1925" s="4" t="str">
        <f ca="1">IFERROR(__xludf.DUMMYFUNCTION("IFERROR(GOOGLETRANSLATE(B1925,""en"",""zh-CN""),)"),"")</f>
        <v/>
      </c>
    </row>
    <row r="1926" spans="1:5">
      <c r="A1926" s="3"/>
      <c r="B1926" s="4" t="str">
        <f ca="1">IFERROR(__xludf.DUMMYFUNCTION("IFERROR(GOOGLETRANSLATE(A1926,""ko"",""en""),)"),"")</f>
        <v/>
      </c>
      <c r="C1926" s="4" t="str">
        <f ca="1">IFERROR(__xludf.DUMMYFUNCTION("IFERROR(GOOGLETRANSLATE(B1926,""en"",""ja""),)"),"")</f>
        <v/>
      </c>
      <c r="D1926" s="4" t="str">
        <f ca="1">IFERROR(__xludf.DUMMYFUNCTION("IFERROR(GOOGLETRANSLATE(B1926,""en"",""zh-TW""),)"),"")</f>
        <v/>
      </c>
      <c r="E1926" s="4" t="str">
        <f ca="1">IFERROR(__xludf.DUMMYFUNCTION("IFERROR(GOOGLETRANSLATE(B1926,""en"",""zh-CN""),)"),"")</f>
        <v/>
      </c>
    </row>
    <row r="1927" spans="1:5">
      <c r="A1927" s="3"/>
      <c r="B1927" s="4" t="str">
        <f ca="1">IFERROR(__xludf.DUMMYFUNCTION("IFERROR(GOOGLETRANSLATE(A1927,""ko"",""en""),)"),"")</f>
        <v/>
      </c>
      <c r="C1927" s="4" t="str">
        <f ca="1">IFERROR(__xludf.DUMMYFUNCTION("IFERROR(GOOGLETRANSLATE(B1927,""en"",""ja""),)"),"")</f>
        <v/>
      </c>
      <c r="D1927" s="4" t="str">
        <f ca="1">IFERROR(__xludf.DUMMYFUNCTION("IFERROR(GOOGLETRANSLATE(B1927,""en"",""zh-TW""),)"),"")</f>
        <v/>
      </c>
      <c r="E1927" s="4" t="str">
        <f ca="1">IFERROR(__xludf.DUMMYFUNCTION("IFERROR(GOOGLETRANSLATE(B1927,""en"",""zh-CN""),)"),"")</f>
        <v/>
      </c>
    </row>
    <row r="1928" spans="1:5">
      <c r="A1928" s="3"/>
      <c r="B1928" s="4" t="str">
        <f ca="1">IFERROR(__xludf.DUMMYFUNCTION("IFERROR(GOOGLETRANSLATE(A1928,""ko"",""en""),)"),"")</f>
        <v/>
      </c>
      <c r="C1928" s="4" t="str">
        <f ca="1">IFERROR(__xludf.DUMMYFUNCTION("IFERROR(GOOGLETRANSLATE(B1928,""en"",""ja""),)"),"")</f>
        <v/>
      </c>
      <c r="D1928" s="4" t="str">
        <f ca="1">IFERROR(__xludf.DUMMYFUNCTION("IFERROR(GOOGLETRANSLATE(B1928,""en"",""zh-TW""),)"),"")</f>
        <v/>
      </c>
      <c r="E1928" s="4" t="str">
        <f ca="1">IFERROR(__xludf.DUMMYFUNCTION("IFERROR(GOOGLETRANSLATE(B1928,""en"",""zh-CN""),)"),"")</f>
        <v/>
      </c>
    </row>
    <row r="1929" spans="1:5">
      <c r="A1929" s="3"/>
      <c r="B1929" s="4" t="str">
        <f ca="1">IFERROR(__xludf.DUMMYFUNCTION("IFERROR(GOOGLETRANSLATE(A1929,""ko"",""en""),)"),"")</f>
        <v/>
      </c>
      <c r="C1929" s="4" t="str">
        <f ca="1">IFERROR(__xludf.DUMMYFUNCTION("IFERROR(GOOGLETRANSLATE(B1929,""en"",""ja""),)"),"")</f>
        <v/>
      </c>
      <c r="D1929" s="4" t="str">
        <f ca="1">IFERROR(__xludf.DUMMYFUNCTION("IFERROR(GOOGLETRANSLATE(B1929,""en"",""zh-TW""),)"),"")</f>
        <v/>
      </c>
      <c r="E1929" s="4" t="str">
        <f ca="1">IFERROR(__xludf.DUMMYFUNCTION("IFERROR(GOOGLETRANSLATE(B1929,""en"",""zh-CN""),)"),"")</f>
        <v/>
      </c>
    </row>
    <row r="1930" spans="1:5">
      <c r="A1930" s="3"/>
      <c r="B1930" s="4" t="str">
        <f ca="1">IFERROR(__xludf.DUMMYFUNCTION("IFERROR(GOOGLETRANSLATE(A1930,""ko"",""en""),)"),"")</f>
        <v/>
      </c>
      <c r="C1930" s="4" t="str">
        <f ca="1">IFERROR(__xludf.DUMMYFUNCTION("IFERROR(GOOGLETRANSLATE(B1930,""en"",""ja""),)"),"")</f>
        <v/>
      </c>
      <c r="D1930" s="4" t="str">
        <f ca="1">IFERROR(__xludf.DUMMYFUNCTION("IFERROR(GOOGLETRANSLATE(B1930,""en"",""zh-TW""),)"),"")</f>
        <v/>
      </c>
      <c r="E1930" s="4" t="str">
        <f ca="1">IFERROR(__xludf.DUMMYFUNCTION("IFERROR(GOOGLETRANSLATE(B1930,""en"",""zh-CN""),)"),"")</f>
        <v/>
      </c>
    </row>
    <row r="1931" spans="1:5">
      <c r="A1931" s="3"/>
      <c r="B1931" s="4" t="str">
        <f ca="1">IFERROR(__xludf.DUMMYFUNCTION("IFERROR(GOOGLETRANSLATE(A1931,""ko"",""en""),)"),"")</f>
        <v/>
      </c>
      <c r="C1931" s="4" t="str">
        <f ca="1">IFERROR(__xludf.DUMMYFUNCTION("IFERROR(GOOGLETRANSLATE(B1931,""en"",""ja""),)"),"")</f>
        <v/>
      </c>
      <c r="D1931" s="4" t="str">
        <f ca="1">IFERROR(__xludf.DUMMYFUNCTION("IFERROR(GOOGLETRANSLATE(B1931,""en"",""zh-TW""),)"),"")</f>
        <v/>
      </c>
      <c r="E1931" s="4" t="str">
        <f ca="1">IFERROR(__xludf.DUMMYFUNCTION("IFERROR(GOOGLETRANSLATE(B1931,""en"",""zh-CN""),)"),"")</f>
        <v/>
      </c>
    </row>
    <row r="1932" spans="1:5">
      <c r="A1932" s="3"/>
      <c r="B1932" s="4" t="str">
        <f ca="1">IFERROR(__xludf.DUMMYFUNCTION("IFERROR(GOOGLETRANSLATE(A1932,""ko"",""en""),)"),"")</f>
        <v/>
      </c>
      <c r="C1932" s="4" t="str">
        <f ca="1">IFERROR(__xludf.DUMMYFUNCTION("IFERROR(GOOGLETRANSLATE(B1932,""en"",""ja""),)"),"")</f>
        <v/>
      </c>
      <c r="D1932" s="4" t="str">
        <f ca="1">IFERROR(__xludf.DUMMYFUNCTION("IFERROR(GOOGLETRANSLATE(B1932,""en"",""zh-TW""),)"),"")</f>
        <v/>
      </c>
      <c r="E1932" s="4" t="str">
        <f ca="1">IFERROR(__xludf.DUMMYFUNCTION("IFERROR(GOOGLETRANSLATE(B1932,""en"",""zh-CN""),)"),"")</f>
        <v/>
      </c>
    </row>
    <row r="1933" spans="1:5">
      <c r="A1933" s="3"/>
      <c r="B1933" s="4" t="str">
        <f ca="1">IFERROR(__xludf.DUMMYFUNCTION("IFERROR(GOOGLETRANSLATE(A1933,""ko"",""en""),)"),"")</f>
        <v/>
      </c>
      <c r="C1933" s="4" t="str">
        <f ca="1">IFERROR(__xludf.DUMMYFUNCTION("IFERROR(GOOGLETRANSLATE(B1933,""en"",""ja""),)"),"")</f>
        <v/>
      </c>
      <c r="D1933" s="4" t="str">
        <f ca="1">IFERROR(__xludf.DUMMYFUNCTION("IFERROR(GOOGLETRANSLATE(B1933,""en"",""zh-TW""),)"),"")</f>
        <v/>
      </c>
      <c r="E1933" s="4" t="str">
        <f ca="1">IFERROR(__xludf.DUMMYFUNCTION("IFERROR(GOOGLETRANSLATE(B1933,""en"",""zh-CN""),)"),"")</f>
        <v/>
      </c>
    </row>
    <row r="1934" spans="1:5">
      <c r="A1934" s="3"/>
      <c r="B1934" s="4" t="str">
        <f ca="1">IFERROR(__xludf.DUMMYFUNCTION("IFERROR(GOOGLETRANSLATE(A1934,""ko"",""en""),)"),"")</f>
        <v/>
      </c>
      <c r="C1934" s="4" t="str">
        <f ca="1">IFERROR(__xludf.DUMMYFUNCTION("IFERROR(GOOGLETRANSLATE(B1934,""en"",""ja""),)"),"")</f>
        <v/>
      </c>
      <c r="D1934" s="4" t="str">
        <f ca="1">IFERROR(__xludf.DUMMYFUNCTION("IFERROR(GOOGLETRANSLATE(B1934,""en"",""zh-TW""),)"),"")</f>
        <v/>
      </c>
      <c r="E1934" s="4" t="str">
        <f ca="1">IFERROR(__xludf.DUMMYFUNCTION("IFERROR(GOOGLETRANSLATE(B1934,""en"",""zh-CN""),)"),"")</f>
        <v/>
      </c>
    </row>
    <row r="1935" spans="1:5">
      <c r="A1935" s="3"/>
      <c r="B1935" s="4" t="str">
        <f ca="1">IFERROR(__xludf.DUMMYFUNCTION("IFERROR(GOOGLETRANSLATE(A1935,""ko"",""en""),)"),"")</f>
        <v/>
      </c>
      <c r="C1935" s="4" t="str">
        <f ca="1">IFERROR(__xludf.DUMMYFUNCTION("IFERROR(GOOGLETRANSLATE(B1935,""en"",""ja""),)"),"")</f>
        <v/>
      </c>
      <c r="D1935" s="4" t="str">
        <f ca="1">IFERROR(__xludf.DUMMYFUNCTION("IFERROR(GOOGLETRANSLATE(B1935,""en"",""zh-TW""),)"),"")</f>
        <v/>
      </c>
      <c r="E1935" s="4" t="str">
        <f ca="1">IFERROR(__xludf.DUMMYFUNCTION("IFERROR(GOOGLETRANSLATE(B1935,""en"",""zh-CN""),)"),"")</f>
        <v/>
      </c>
    </row>
    <row r="1936" spans="1:5">
      <c r="A1936" s="3"/>
      <c r="B1936" s="4" t="str">
        <f ca="1">IFERROR(__xludf.DUMMYFUNCTION("IFERROR(GOOGLETRANSLATE(A1936,""ko"",""en""),)"),"")</f>
        <v/>
      </c>
      <c r="C1936" s="4" t="str">
        <f ca="1">IFERROR(__xludf.DUMMYFUNCTION("IFERROR(GOOGLETRANSLATE(B1936,""en"",""ja""),)"),"")</f>
        <v/>
      </c>
      <c r="D1936" s="4" t="str">
        <f ca="1">IFERROR(__xludf.DUMMYFUNCTION("IFERROR(GOOGLETRANSLATE(B1936,""en"",""zh-TW""),)"),"")</f>
        <v/>
      </c>
      <c r="E1936" s="4" t="str">
        <f ca="1">IFERROR(__xludf.DUMMYFUNCTION("IFERROR(GOOGLETRANSLATE(B1936,""en"",""zh-CN""),)"),"")</f>
        <v/>
      </c>
    </row>
    <row r="1937" spans="1:5">
      <c r="A1937" s="3"/>
      <c r="B1937" s="4" t="str">
        <f ca="1">IFERROR(__xludf.DUMMYFUNCTION("IFERROR(GOOGLETRANSLATE(A1937,""ko"",""en""),)"),"")</f>
        <v/>
      </c>
      <c r="C1937" s="4" t="str">
        <f ca="1">IFERROR(__xludf.DUMMYFUNCTION("IFERROR(GOOGLETRANSLATE(B1937,""en"",""ja""),)"),"")</f>
        <v/>
      </c>
      <c r="D1937" s="4" t="str">
        <f ca="1">IFERROR(__xludf.DUMMYFUNCTION("IFERROR(GOOGLETRANSLATE(B1937,""en"",""zh-TW""),)"),"")</f>
        <v/>
      </c>
      <c r="E1937" s="4" t="str">
        <f ca="1">IFERROR(__xludf.DUMMYFUNCTION("IFERROR(GOOGLETRANSLATE(B1937,""en"",""zh-CN""),)"),"")</f>
        <v/>
      </c>
    </row>
    <row r="1938" spans="1:5">
      <c r="A1938" s="3"/>
      <c r="B1938" s="4" t="str">
        <f ca="1">IFERROR(__xludf.DUMMYFUNCTION("IFERROR(GOOGLETRANSLATE(A1938,""ko"",""en""),)"),"")</f>
        <v/>
      </c>
      <c r="C1938" s="4" t="str">
        <f ca="1">IFERROR(__xludf.DUMMYFUNCTION("IFERROR(GOOGLETRANSLATE(B1938,""en"",""ja""),)"),"")</f>
        <v/>
      </c>
      <c r="D1938" s="4" t="str">
        <f ca="1">IFERROR(__xludf.DUMMYFUNCTION("IFERROR(GOOGLETRANSLATE(B1938,""en"",""zh-TW""),)"),"")</f>
        <v/>
      </c>
      <c r="E1938" s="4" t="str">
        <f ca="1">IFERROR(__xludf.DUMMYFUNCTION("IFERROR(GOOGLETRANSLATE(B1938,""en"",""zh-CN""),)"),"")</f>
        <v/>
      </c>
    </row>
    <row r="1939" spans="1:5">
      <c r="A1939" s="3"/>
      <c r="B1939" s="4" t="str">
        <f ca="1">IFERROR(__xludf.DUMMYFUNCTION("IFERROR(GOOGLETRANSLATE(A1939,""ko"",""en""),)"),"")</f>
        <v/>
      </c>
      <c r="C1939" s="4" t="str">
        <f ca="1">IFERROR(__xludf.DUMMYFUNCTION("IFERROR(GOOGLETRANSLATE(B1939,""en"",""ja""),)"),"")</f>
        <v/>
      </c>
      <c r="D1939" s="4" t="str">
        <f ca="1">IFERROR(__xludf.DUMMYFUNCTION("IFERROR(GOOGLETRANSLATE(B1939,""en"",""zh-TW""),)"),"")</f>
        <v/>
      </c>
      <c r="E1939" s="4" t="str">
        <f ca="1">IFERROR(__xludf.DUMMYFUNCTION("IFERROR(GOOGLETRANSLATE(B1939,""en"",""zh-CN""),)"),"")</f>
        <v/>
      </c>
    </row>
    <row r="1940" spans="1:5">
      <c r="A1940" s="3"/>
      <c r="B1940" s="4" t="str">
        <f ca="1">IFERROR(__xludf.DUMMYFUNCTION("IFERROR(GOOGLETRANSLATE(A1940,""ko"",""en""),)"),"")</f>
        <v/>
      </c>
      <c r="C1940" s="4" t="str">
        <f ca="1">IFERROR(__xludf.DUMMYFUNCTION("IFERROR(GOOGLETRANSLATE(B1940,""en"",""ja""),)"),"")</f>
        <v/>
      </c>
      <c r="D1940" s="4" t="str">
        <f ca="1">IFERROR(__xludf.DUMMYFUNCTION("IFERROR(GOOGLETRANSLATE(B1940,""en"",""zh-TW""),)"),"")</f>
        <v/>
      </c>
      <c r="E1940" s="4" t="str">
        <f ca="1">IFERROR(__xludf.DUMMYFUNCTION("IFERROR(GOOGLETRANSLATE(B1940,""en"",""zh-CN""),)"),"")</f>
        <v/>
      </c>
    </row>
    <row r="1941" spans="1:5">
      <c r="A1941" s="3"/>
      <c r="B1941" s="4" t="str">
        <f ca="1">IFERROR(__xludf.DUMMYFUNCTION("IFERROR(GOOGLETRANSLATE(A1941,""ko"",""en""),)"),"")</f>
        <v/>
      </c>
      <c r="C1941" s="4" t="str">
        <f ca="1">IFERROR(__xludf.DUMMYFUNCTION("IFERROR(GOOGLETRANSLATE(B1941,""en"",""ja""),)"),"")</f>
        <v/>
      </c>
      <c r="D1941" s="4" t="str">
        <f ca="1">IFERROR(__xludf.DUMMYFUNCTION("IFERROR(GOOGLETRANSLATE(B1941,""en"",""zh-TW""),)"),"")</f>
        <v/>
      </c>
      <c r="E1941" s="4" t="str">
        <f ca="1">IFERROR(__xludf.DUMMYFUNCTION("IFERROR(GOOGLETRANSLATE(B1941,""en"",""zh-CN""),)"),"")</f>
        <v/>
      </c>
    </row>
    <row r="1942" spans="1:5">
      <c r="A1942" s="3"/>
      <c r="B1942" s="4" t="str">
        <f ca="1">IFERROR(__xludf.DUMMYFUNCTION("IFERROR(GOOGLETRANSLATE(A1942,""ko"",""en""),)"),"")</f>
        <v/>
      </c>
      <c r="C1942" s="4" t="str">
        <f ca="1">IFERROR(__xludf.DUMMYFUNCTION("IFERROR(GOOGLETRANSLATE(B1942,""en"",""ja""),)"),"")</f>
        <v/>
      </c>
      <c r="D1942" s="4" t="str">
        <f ca="1">IFERROR(__xludf.DUMMYFUNCTION("IFERROR(GOOGLETRANSLATE(B1942,""en"",""zh-TW""),)"),"")</f>
        <v/>
      </c>
      <c r="E1942" s="4" t="str">
        <f ca="1">IFERROR(__xludf.DUMMYFUNCTION("IFERROR(GOOGLETRANSLATE(B1942,""en"",""zh-CN""),)"),"")</f>
        <v/>
      </c>
    </row>
    <row r="1943" spans="1:5">
      <c r="A1943" s="3"/>
      <c r="B1943" s="4" t="str">
        <f ca="1">IFERROR(__xludf.DUMMYFUNCTION("IFERROR(GOOGLETRANSLATE(A1943,""ko"",""en""),)"),"")</f>
        <v/>
      </c>
      <c r="C1943" s="4" t="str">
        <f ca="1">IFERROR(__xludf.DUMMYFUNCTION("IFERROR(GOOGLETRANSLATE(B1943,""en"",""ja""),)"),"")</f>
        <v/>
      </c>
      <c r="D1943" s="4" t="str">
        <f ca="1">IFERROR(__xludf.DUMMYFUNCTION("IFERROR(GOOGLETRANSLATE(B1943,""en"",""zh-TW""),)"),"")</f>
        <v/>
      </c>
      <c r="E1943" s="4" t="str">
        <f ca="1">IFERROR(__xludf.DUMMYFUNCTION("IFERROR(GOOGLETRANSLATE(B1943,""en"",""zh-CN""),)"),"")</f>
        <v/>
      </c>
    </row>
    <row r="1944" spans="1:5">
      <c r="A1944" s="3"/>
      <c r="B1944" s="4" t="str">
        <f ca="1">IFERROR(__xludf.DUMMYFUNCTION("IFERROR(GOOGLETRANSLATE(A1944,""ko"",""en""),)"),"")</f>
        <v/>
      </c>
      <c r="C1944" s="4" t="str">
        <f ca="1">IFERROR(__xludf.DUMMYFUNCTION("IFERROR(GOOGLETRANSLATE(B1944,""en"",""ja""),)"),"")</f>
        <v/>
      </c>
      <c r="D1944" s="4" t="str">
        <f ca="1">IFERROR(__xludf.DUMMYFUNCTION("IFERROR(GOOGLETRANSLATE(B1944,""en"",""zh-TW""),)"),"")</f>
        <v/>
      </c>
      <c r="E1944" s="4" t="str">
        <f ca="1">IFERROR(__xludf.DUMMYFUNCTION("IFERROR(GOOGLETRANSLATE(B1944,""en"",""zh-CN""),)"),"")</f>
        <v/>
      </c>
    </row>
    <row r="1945" spans="1:5">
      <c r="A1945" s="3"/>
      <c r="B1945" s="4" t="str">
        <f ca="1">IFERROR(__xludf.DUMMYFUNCTION("IFERROR(GOOGLETRANSLATE(A1945,""ko"",""en""),)"),"")</f>
        <v/>
      </c>
      <c r="C1945" s="4" t="str">
        <f ca="1">IFERROR(__xludf.DUMMYFUNCTION("IFERROR(GOOGLETRANSLATE(B1945,""en"",""ja""),)"),"")</f>
        <v/>
      </c>
      <c r="D1945" s="4" t="str">
        <f ca="1">IFERROR(__xludf.DUMMYFUNCTION("IFERROR(GOOGLETRANSLATE(B1945,""en"",""zh-TW""),)"),"")</f>
        <v/>
      </c>
      <c r="E1945" s="4" t="str">
        <f ca="1">IFERROR(__xludf.DUMMYFUNCTION("IFERROR(GOOGLETRANSLATE(B1945,""en"",""zh-CN""),)"),"")</f>
        <v/>
      </c>
    </row>
    <row r="1946" spans="1:5">
      <c r="A1946" s="3"/>
      <c r="B1946" s="4" t="str">
        <f ca="1">IFERROR(__xludf.DUMMYFUNCTION("IFERROR(GOOGLETRANSLATE(A1946,""ko"",""en""),)"),"")</f>
        <v/>
      </c>
      <c r="C1946" s="4" t="str">
        <f ca="1">IFERROR(__xludf.DUMMYFUNCTION("IFERROR(GOOGLETRANSLATE(B1946,""en"",""ja""),)"),"")</f>
        <v/>
      </c>
      <c r="D1946" s="4" t="str">
        <f ca="1">IFERROR(__xludf.DUMMYFUNCTION("IFERROR(GOOGLETRANSLATE(B1946,""en"",""zh-TW""),)"),"")</f>
        <v/>
      </c>
      <c r="E1946" s="4" t="str">
        <f ca="1">IFERROR(__xludf.DUMMYFUNCTION("IFERROR(GOOGLETRANSLATE(B1946,""en"",""zh-CN""),)"),"")</f>
        <v/>
      </c>
    </row>
    <row r="1947" spans="1:5">
      <c r="A1947" s="3"/>
      <c r="B1947" s="4" t="str">
        <f ca="1">IFERROR(__xludf.DUMMYFUNCTION("IFERROR(GOOGLETRANSLATE(A1947,""ko"",""en""),)"),"")</f>
        <v/>
      </c>
      <c r="C1947" s="4" t="str">
        <f ca="1">IFERROR(__xludf.DUMMYFUNCTION("IFERROR(GOOGLETRANSLATE(B1947,""en"",""ja""),)"),"")</f>
        <v/>
      </c>
      <c r="D1947" s="4" t="str">
        <f ca="1">IFERROR(__xludf.DUMMYFUNCTION("IFERROR(GOOGLETRANSLATE(B1947,""en"",""zh-TW""),)"),"")</f>
        <v/>
      </c>
      <c r="E1947" s="4" t="str">
        <f ca="1">IFERROR(__xludf.DUMMYFUNCTION("IFERROR(GOOGLETRANSLATE(B1947,""en"",""zh-CN""),)"),"")</f>
        <v/>
      </c>
    </row>
    <row r="1948" spans="1:5">
      <c r="A1948" s="3"/>
      <c r="B1948" s="4" t="str">
        <f ca="1">IFERROR(__xludf.DUMMYFUNCTION("IFERROR(GOOGLETRANSLATE(A1948,""ko"",""en""),)"),"")</f>
        <v/>
      </c>
      <c r="C1948" s="4" t="str">
        <f ca="1">IFERROR(__xludf.DUMMYFUNCTION("IFERROR(GOOGLETRANSLATE(B1948,""en"",""ja""),)"),"")</f>
        <v/>
      </c>
      <c r="D1948" s="4" t="str">
        <f ca="1">IFERROR(__xludf.DUMMYFUNCTION("IFERROR(GOOGLETRANSLATE(B1948,""en"",""zh-TW""),)"),"")</f>
        <v/>
      </c>
      <c r="E1948" s="4" t="str">
        <f ca="1">IFERROR(__xludf.DUMMYFUNCTION("IFERROR(GOOGLETRANSLATE(B1948,""en"",""zh-CN""),)"),"")</f>
        <v/>
      </c>
    </row>
    <row r="1949" spans="1:5">
      <c r="A1949" s="3"/>
      <c r="B1949" s="4" t="str">
        <f ca="1">IFERROR(__xludf.DUMMYFUNCTION("IFERROR(GOOGLETRANSLATE(A1949,""ko"",""en""),)"),"")</f>
        <v/>
      </c>
      <c r="C1949" s="4" t="str">
        <f ca="1">IFERROR(__xludf.DUMMYFUNCTION("IFERROR(GOOGLETRANSLATE(B1949,""en"",""ja""),)"),"")</f>
        <v/>
      </c>
      <c r="D1949" s="4" t="str">
        <f ca="1">IFERROR(__xludf.DUMMYFUNCTION("IFERROR(GOOGLETRANSLATE(B1949,""en"",""zh-TW""),)"),"")</f>
        <v/>
      </c>
      <c r="E1949" s="4" t="str">
        <f ca="1">IFERROR(__xludf.DUMMYFUNCTION("IFERROR(GOOGLETRANSLATE(B1949,""en"",""zh-CN""),)"),"")</f>
        <v/>
      </c>
    </row>
    <row r="1950" spans="1:5">
      <c r="A1950" s="3"/>
      <c r="B1950" s="4" t="str">
        <f ca="1">IFERROR(__xludf.DUMMYFUNCTION("IFERROR(GOOGLETRANSLATE(A1950,""ko"",""en""),)"),"")</f>
        <v/>
      </c>
      <c r="C1950" s="4" t="str">
        <f ca="1">IFERROR(__xludf.DUMMYFUNCTION("IFERROR(GOOGLETRANSLATE(B1950,""en"",""ja""),)"),"")</f>
        <v/>
      </c>
      <c r="D1950" s="4" t="str">
        <f ca="1">IFERROR(__xludf.DUMMYFUNCTION("IFERROR(GOOGLETRANSLATE(B1950,""en"",""zh-TW""),)"),"")</f>
        <v/>
      </c>
      <c r="E1950" s="4" t="str">
        <f ca="1">IFERROR(__xludf.DUMMYFUNCTION("IFERROR(GOOGLETRANSLATE(B1950,""en"",""zh-CN""),)"),"")</f>
        <v/>
      </c>
    </row>
    <row r="1951" spans="1:5">
      <c r="A1951" s="3"/>
      <c r="B1951" s="4" t="str">
        <f ca="1">IFERROR(__xludf.DUMMYFUNCTION("IFERROR(GOOGLETRANSLATE(A1951,""ko"",""en""),)"),"")</f>
        <v/>
      </c>
      <c r="C1951" s="4" t="str">
        <f ca="1">IFERROR(__xludf.DUMMYFUNCTION("IFERROR(GOOGLETRANSLATE(B1951,""en"",""ja""),)"),"")</f>
        <v/>
      </c>
      <c r="D1951" s="4" t="str">
        <f ca="1">IFERROR(__xludf.DUMMYFUNCTION("IFERROR(GOOGLETRANSLATE(B1951,""en"",""zh-TW""),)"),"")</f>
        <v/>
      </c>
      <c r="E1951" s="4" t="str">
        <f ca="1">IFERROR(__xludf.DUMMYFUNCTION("IFERROR(GOOGLETRANSLATE(B1951,""en"",""zh-CN""),)"),"")</f>
        <v/>
      </c>
    </row>
    <row r="1952" spans="1:5">
      <c r="A1952" s="3"/>
      <c r="B1952" s="4" t="str">
        <f ca="1">IFERROR(__xludf.DUMMYFUNCTION("IFERROR(GOOGLETRANSLATE(A1952,""ko"",""en""),)"),"")</f>
        <v/>
      </c>
      <c r="C1952" s="4" t="str">
        <f ca="1">IFERROR(__xludf.DUMMYFUNCTION("IFERROR(GOOGLETRANSLATE(B1952,""en"",""ja""),)"),"")</f>
        <v/>
      </c>
      <c r="D1952" s="4" t="str">
        <f ca="1">IFERROR(__xludf.DUMMYFUNCTION("IFERROR(GOOGLETRANSLATE(B1952,""en"",""zh-TW""),)"),"")</f>
        <v/>
      </c>
      <c r="E1952" s="4" t="str">
        <f ca="1">IFERROR(__xludf.DUMMYFUNCTION("IFERROR(GOOGLETRANSLATE(B1952,""en"",""zh-CN""),)"),"")</f>
        <v/>
      </c>
    </row>
    <row r="1953" spans="1:5">
      <c r="A1953" s="3"/>
      <c r="B1953" s="4" t="str">
        <f ca="1">IFERROR(__xludf.DUMMYFUNCTION("IFERROR(GOOGLETRANSLATE(A1953,""ko"",""en""),)"),"")</f>
        <v/>
      </c>
      <c r="C1953" s="4" t="str">
        <f ca="1">IFERROR(__xludf.DUMMYFUNCTION("IFERROR(GOOGLETRANSLATE(B1953,""en"",""ja""),)"),"")</f>
        <v/>
      </c>
      <c r="D1953" s="4" t="str">
        <f ca="1">IFERROR(__xludf.DUMMYFUNCTION("IFERROR(GOOGLETRANSLATE(B1953,""en"",""zh-TW""),)"),"")</f>
        <v/>
      </c>
      <c r="E1953" s="4" t="str">
        <f ca="1">IFERROR(__xludf.DUMMYFUNCTION("IFERROR(GOOGLETRANSLATE(B1953,""en"",""zh-CN""),)"),"")</f>
        <v/>
      </c>
    </row>
    <row r="1954" spans="1:5">
      <c r="A1954" s="3"/>
      <c r="B1954" s="4" t="str">
        <f ca="1">IFERROR(__xludf.DUMMYFUNCTION("IFERROR(GOOGLETRANSLATE(A1954,""ko"",""en""),)"),"")</f>
        <v/>
      </c>
      <c r="C1954" s="4" t="str">
        <f ca="1">IFERROR(__xludf.DUMMYFUNCTION("IFERROR(GOOGLETRANSLATE(B1954,""en"",""ja""),)"),"")</f>
        <v/>
      </c>
      <c r="D1954" s="4" t="str">
        <f ca="1">IFERROR(__xludf.DUMMYFUNCTION("IFERROR(GOOGLETRANSLATE(B1954,""en"",""zh-TW""),)"),"")</f>
        <v/>
      </c>
      <c r="E1954" s="4" t="str">
        <f ca="1">IFERROR(__xludf.DUMMYFUNCTION("IFERROR(GOOGLETRANSLATE(B1954,""en"",""zh-CN""),)"),"")</f>
        <v/>
      </c>
    </row>
    <row r="1955" spans="1:5">
      <c r="A1955" s="3"/>
      <c r="B1955" s="4" t="str">
        <f ca="1">IFERROR(__xludf.DUMMYFUNCTION("IFERROR(GOOGLETRANSLATE(A1955,""ko"",""en""),)"),"")</f>
        <v/>
      </c>
      <c r="C1955" s="4" t="str">
        <f ca="1">IFERROR(__xludf.DUMMYFUNCTION("IFERROR(GOOGLETRANSLATE(B1955,""en"",""ja""),)"),"")</f>
        <v/>
      </c>
      <c r="D1955" s="4" t="str">
        <f ca="1">IFERROR(__xludf.DUMMYFUNCTION("IFERROR(GOOGLETRANSLATE(B1955,""en"",""zh-TW""),)"),"")</f>
        <v/>
      </c>
      <c r="E1955" s="4" t="str">
        <f ca="1">IFERROR(__xludf.DUMMYFUNCTION("IFERROR(GOOGLETRANSLATE(B1955,""en"",""zh-CN""),)"),"")</f>
        <v/>
      </c>
    </row>
    <row r="1956" spans="1:5">
      <c r="A1956" s="3"/>
      <c r="B1956" s="4" t="str">
        <f ca="1">IFERROR(__xludf.DUMMYFUNCTION("IFERROR(GOOGLETRANSLATE(A1956,""ko"",""en""),)"),"")</f>
        <v/>
      </c>
      <c r="C1956" s="4" t="str">
        <f ca="1">IFERROR(__xludf.DUMMYFUNCTION("IFERROR(GOOGLETRANSLATE(B1956,""en"",""ja""),)"),"")</f>
        <v/>
      </c>
      <c r="D1956" s="4" t="str">
        <f ca="1">IFERROR(__xludf.DUMMYFUNCTION("IFERROR(GOOGLETRANSLATE(B1956,""en"",""zh-TW""),)"),"")</f>
        <v/>
      </c>
      <c r="E1956" s="4" t="str">
        <f ca="1">IFERROR(__xludf.DUMMYFUNCTION("IFERROR(GOOGLETRANSLATE(B1956,""en"",""zh-CN""),)"),"")</f>
        <v/>
      </c>
    </row>
    <row r="1957" spans="1:5">
      <c r="A1957" s="3"/>
      <c r="B1957" s="4" t="str">
        <f ca="1">IFERROR(__xludf.DUMMYFUNCTION("IFERROR(GOOGLETRANSLATE(A1957,""ko"",""en""),)"),"")</f>
        <v/>
      </c>
      <c r="C1957" s="4" t="str">
        <f ca="1">IFERROR(__xludf.DUMMYFUNCTION("IFERROR(GOOGLETRANSLATE(B1957,""en"",""ja""),)"),"")</f>
        <v/>
      </c>
      <c r="D1957" s="4" t="str">
        <f ca="1">IFERROR(__xludf.DUMMYFUNCTION("IFERROR(GOOGLETRANSLATE(B1957,""en"",""zh-TW""),)"),"")</f>
        <v/>
      </c>
      <c r="E1957" s="4" t="str">
        <f ca="1">IFERROR(__xludf.DUMMYFUNCTION("IFERROR(GOOGLETRANSLATE(B1957,""en"",""zh-CN""),)"),"")</f>
        <v/>
      </c>
    </row>
    <row r="1958" spans="1:5">
      <c r="A1958" s="3"/>
      <c r="B1958" s="4" t="str">
        <f ca="1">IFERROR(__xludf.DUMMYFUNCTION("IFERROR(GOOGLETRANSLATE(A1958,""ko"",""en""),)"),"")</f>
        <v/>
      </c>
      <c r="C1958" s="4" t="str">
        <f ca="1">IFERROR(__xludf.DUMMYFUNCTION("IFERROR(GOOGLETRANSLATE(B1958,""en"",""ja""),)"),"")</f>
        <v/>
      </c>
      <c r="D1958" s="4" t="str">
        <f ca="1">IFERROR(__xludf.DUMMYFUNCTION("IFERROR(GOOGLETRANSLATE(B1958,""en"",""zh-TW""),)"),"")</f>
        <v/>
      </c>
      <c r="E1958" s="4" t="str">
        <f ca="1">IFERROR(__xludf.DUMMYFUNCTION("IFERROR(GOOGLETRANSLATE(B1958,""en"",""zh-CN""),)"),"")</f>
        <v/>
      </c>
    </row>
    <row r="1959" spans="1:5">
      <c r="A1959" s="3"/>
      <c r="B1959" s="4" t="str">
        <f ca="1">IFERROR(__xludf.DUMMYFUNCTION("IFERROR(GOOGLETRANSLATE(A1959,""ko"",""en""),)"),"")</f>
        <v/>
      </c>
      <c r="C1959" s="4" t="str">
        <f ca="1">IFERROR(__xludf.DUMMYFUNCTION("IFERROR(GOOGLETRANSLATE(B1959,""en"",""ja""),)"),"")</f>
        <v/>
      </c>
      <c r="D1959" s="4" t="str">
        <f ca="1">IFERROR(__xludf.DUMMYFUNCTION("IFERROR(GOOGLETRANSLATE(B1959,""en"",""zh-TW""),)"),"")</f>
        <v/>
      </c>
      <c r="E1959" s="4" t="str">
        <f ca="1">IFERROR(__xludf.DUMMYFUNCTION("IFERROR(GOOGLETRANSLATE(B1959,""en"",""zh-CN""),)"),"")</f>
        <v/>
      </c>
    </row>
    <row r="1960" spans="1:5">
      <c r="A1960" s="3"/>
      <c r="B1960" s="4" t="str">
        <f ca="1">IFERROR(__xludf.DUMMYFUNCTION("IFERROR(GOOGLETRANSLATE(A1960,""ko"",""en""),)"),"")</f>
        <v/>
      </c>
      <c r="C1960" s="4" t="str">
        <f ca="1">IFERROR(__xludf.DUMMYFUNCTION("IFERROR(GOOGLETRANSLATE(B1960,""en"",""ja""),)"),"")</f>
        <v/>
      </c>
      <c r="D1960" s="4" t="str">
        <f ca="1">IFERROR(__xludf.DUMMYFUNCTION("IFERROR(GOOGLETRANSLATE(B1960,""en"",""zh-TW""),)"),"")</f>
        <v/>
      </c>
      <c r="E1960" s="4" t="str">
        <f ca="1">IFERROR(__xludf.DUMMYFUNCTION("IFERROR(GOOGLETRANSLATE(B1960,""en"",""zh-CN""),)"),"")</f>
        <v/>
      </c>
    </row>
    <row r="1961" spans="1:5">
      <c r="A1961" s="3"/>
      <c r="B1961" s="4" t="str">
        <f ca="1">IFERROR(__xludf.DUMMYFUNCTION("IFERROR(GOOGLETRANSLATE(A1961,""ko"",""en""),)"),"")</f>
        <v/>
      </c>
      <c r="C1961" s="4" t="str">
        <f ca="1">IFERROR(__xludf.DUMMYFUNCTION("IFERROR(GOOGLETRANSLATE(B1961,""en"",""ja""),)"),"")</f>
        <v/>
      </c>
      <c r="D1961" s="4" t="str">
        <f ca="1">IFERROR(__xludf.DUMMYFUNCTION("IFERROR(GOOGLETRANSLATE(B1961,""en"",""zh-TW""),)"),"")</f>
        <v/>
      </c>
      <c r="E1961" s="4" t="str">
        <f ca="1">IFERROR(__xludf.DUMMYFUNCTION("IFERROR(GOOGLETRANSLATE(B1961,""en"",""zh-CN""),)"),"")</f>
        <v/>
      </c>
    </row>
    <row r="1962" spans="1:5">
      <c r="A1962" s="3"/>
      <c r="B1962" s="4" t="str">
        <f ca="1">IFERROR(__xludf.DUMMYFUNCTION("IFERROR(GOOGLETRANSLATE(A1962,""ko"",""en""),)"),"")</f>
        <v/>
      </c>
      <c r="C1962" s="4" t="str">
        <f ca="1">IFERROR(__xludf.DUMMYFUNCTION("IFERROR(GOOGLETRANSLATE(B1962,""en"",""ja""),)"),"")</f>
        <v/>
      </c>
      <c r="D1962" s="4" t="str">
        <f ca="1">IFERROR(__xludf.DUMMYFUNCTION("IFERROR(GOOGLETRANSLATE(B1962,""en"",""zh-TW""),)"),"")</f>
        <v/>
      </c>
      <c r="E1962" s="4" t="str">
        <f ca="1">IFERROR(__xludf.DUMMYFUNCTION("IFERROR(GOOGLETRANSLATE(B1962,""en"",""zh-CN""),)"),"")</f>
        <v/>
      </c>
    </row>
    <row r="1963" spans="1:5">
      <c r="A1963" s="3"/>
      <c r="B1963" s="4" t="str">
        <f ca="1">IFERROR(__xludf.DUMMYFUNCTION("IFERROR(GOOGLETRANSLATE(A1963,""ko"",""en""),)"),"")</f>
        <v/>
      </c>
      <c r="C1963" s="4" t="str">
        <f ca="1">IFERROR(__xludf.DUMMYFUNCTION("IFERROR(GOOGLETRANSLATE(B1963,""en"",""ja""),)"),"")</f>
        <v/>
      </c>
      <c r="D1963" s="4" t="str">
        <f ca="1">IFERROR(__xludf.DUMMYFUNCTION("IFERROR(GOOGLETRANSLATE(B1963,""en"",""zh-TW""),)"),"")</f>
        <v/>
      </c>
      <c r="E1963" s="4" t="str">
        <f ca="1">IFERROR(__xludf.DUMMYFUNCTION("IFERROR(GOOGLETRANSLATE(B1963,""en"",""zh-CN""),)"),"")</f>
        <v/>
      </c>
    </row>
    <row r="1964" spans="1:5">
      <c r="A1964" s="3"/>
      <c r="B1964" s="4" t="str">
        <f ca="1">IFERROR(__xludf.DUMMYFUNCTION("IFERROR(GOOGLETRANSLATE(A1964,""ko"",""en""),)"),"")</f>
        <v/>
      </c>
      <c r="C1964" s="4" t="str">
        <f ca="1">IFERROR(__xludf.DUMMYFUNCTION("IFERROR(GOOGLETRANSLATE(B1964,""en"",""ja""),)"),"")</f>
        <v/>
      </c>
      <c r="D1964" s="4" t="str">
        <f ca="1">IFERROR(__xludf.DUMMYFUNCTION("IFERROR(GOOGLETRANSLATE(B1964,""en"",""zh-TW""),)"),"")</f>
        <v/>
      </c>
      <c r="E1964" s="4" t="str">
        <f ca="1">IFERROR(__xludf.DUMMYFUNCTION("IFERROR(GOOGLETRANSLATE(B1964,""en"",""zh-CN""),)"),"")</f>
        <v/>
      </c>
    </row>
    <row r="1965" spans="1:5">
      <c r="A1965" s="3"/>
      <c r="B1965" s="4" t="str">
        <f ca="1">IFERROR(__xludf.DUMMYFUNCTION("IFERROR(GOOGLETRANSLATE(A1965,""ko"",""en""),)"),"")</f>
        <v/>
      </c>
      <c r="C1965" s="4" t="str">
        <f ca="1">IFERROR(__xludf.DUMMYFUNCTION("IFERROR(GOOGLETRANSLATE(B1965,""en"",""ja""),)"),"")</f>
        <v/>
      </c>
      <c r="D1965" s="4" t="str">
        <f ca="1">IFERROR(__xludf.DUMMYFUNCTION("IFERROR(GOOGLETRANSLATE(B1965,""en"",""zh-TW""),)"),"")</f>
        <v/>
      </c>
      <c r="E1965" s="4" t="str">
        <f ca="1">IFERROR(__xludf.DUMMYFUNCTION("IFERROR(GOOGLETRANSLATE(B1965,""en"",""zh-CN""),)"),"")</f>
        <v/>
      </c>
    </row>
    <row r="1966" spans="1:5">
      <c r="A1966" s="3"/>
      <c r="B1966" s="4" t="str">
        <f ca="1">IFERROR(__xludf.DUMMYFUNCTION("IFERROR(GOOGLETRANSLATE(A1966,""ko"",""en""),)"),"")</f>
        <v/>
      </c>
      <c r="C1966" s="4" t="str">
        <f ca="1">IFERROR(__xludf.DUMMYFUNCTION("IFERROR(GOOGLETRANSLATE(B1966,""en"",""ja""),)"),"")</f>
        <v/>
      </c>
      <c r="D1966" s="4" t="str">
        <f ca="1">IFERROR(__xludf.DUMMYFUNCTION("IFERROR(GOOGLETRANSLATE(B1966,""en"",""zh-TW""),)"),"")</f>
        <v/>
      </c>
      <c r="E1966" s="4" t="str">
        <f ca="1">IFERROR(__xludf.DUMMYFUNCTION("IFERROR(GOOGLETRANSLATE(B1966,""en"",""zh-CN""),)"),"")</f>
        <v/>
      </c>
    </row>
    <row r="1967" spans="1:5">
      <c r="A1967" s="3"/>
      <c r="B1967" s="4" t="str">
        <f ca="1">IFERROR(__xludf.DUMMYFUNCTION("IFERROR(GOOGLETRANSLATE(A1967,""ko"",""en""),)"),"")</f>
        <v/>
      </c>
      <c r="C1967" s="4" t="str">
        <f ca="1">IFERROR(__xludf.DUMMYFUNCTION("IFERROR(GOOGLETRANSLATE(B1967,""en"",""ja""),)"),"")</f>
        <v/>
      </c>
      <c r="D1967" s="4" t="str">
        <f ca="1">IFERROR(__xludf.DUMMYFUNCTION("IFERROR(GOOGLETRANSLATE(B1967,""en"",""zh-TW""),)"),"")</f>
        <v/>
      </c>
      <c r="E1967" s="4" t="str">
        <f ca="1">IFERROR(__xludf.DUMMYFUNCTION("IFERROR(GOOGLETRANSLATE(B1967,""en"",""zh-CN""),)"),"")</f>
        <v/>
      </c>
    </row>
    <row r="1968" spans="1:5">
      <c r="A1968" s="3"/>
      <c r="B1968" s="4" t="str">
        <f ca="1">IFERROR(__xludf.DUMMYFUNCTION("IFERROR(GOOGLETRANSLATE(A1968,""ko"",""en""),)"),"")</f>
        <v/>
      </c>
      <c r="C1968" s="4" t="str">
        <f ca="1">IFERROR(__xludf.DUMMYFUNCTION("IFERROR(GOOGLETRANSLATE(B1968,""en"",""ja""),)"),"")</f>
        <v/>
      </c>
      <c r="D1968" s="4" t="str">
        <f ca="1">IFERROR(__xludf.DUMMYFUNCTION("IFERROR(GOOGLETRANSLATE(B1968,""en"",""zh-TW""),)"),"")</f>
        <v/>
      </c>
      <c r="E1968" s="4" t="str">
        <f ca="1">IFERROR(__xludf.DUMMYFUNCTION("IFERROR(GOOGLETRANSLATE(B1968,""en"",""zh-CN""),)"),"")</f>
        <v/>
      </c>
    </row>
    <row r="1969" spans="1:5">
      <c r="A1969" s="3"/>
      <c r="B1969" s="4" t="str">
        <f ca="1">IFERROR(__xludf.DUMMYFUNCTION("IFERROR(GOOGLETRANSLATE(A1969,""ko"",""en""),)"),"")</f>
        <v/>
      </c>
      <c r="C1969" s="4" t="str">
        <f ca="1">IFERROR(__xludf.DUMMYFUNCTION("IFERROR(GOOGLETRANSLATE(B1969,""en"",""ja""),)"),"")</f>
        <v/>
      </c>
      <c r="D1969" s="4" t="str">
        <f ca="1">IFERROR(__xludf.DUMMYFUNCTION("IFERROR(GOOGLETRANSLATE(B1969,""en"",""zh-TW""),)"),"")</f>
        <v/>
      </c>
      <c r="E1969" s="4" t="str">
        <f ca="1">IFERROR(__xludf.DUMMYFUNCTION("IFERROR(GOOGLETRANSLATE(B1969,""en"",""zh-CN""),)"),"")</f>
        <v/>
      </c>
    </row>
    <row r="1970" spans="1:5">
      <c r="A1970" s="3"/>
      <c r="B1970" s="4" t="str">
        <f ca="1">IFERROR(__xludf.DUMMYFUNCTION("IFERROR(GOOGLETRANSLATE(A1970,""ko"",""en""),)"),"")</f>
        <v/>
      </c>
      <c r="C1970" s="4" t="str">
        <f ca="1">IFERROR(__xludf.DUMMYFUNCTION("IFERROR(GOOGLETRANSLATE(B1970,""en"",""ja""),)"),"")</f>
        <v/>
      </c>
      <c r="D1970" s="4" t="str">
        <f ca="1">IFERROR(__xludf.DUMMYFUNCTION("IFERROR(GOOGLETRANSLATE(B1970,""en"",""zh-TW""),)"),"")</f>
        <v/>
      </c>
      <c r="E1970" s="4" t="str">
        <f ca="1">IFERROR(__xludf.DUMMYFUNCTION("IFERROR(GOOGLETRANSLATE(B1970,""en"",""zh-CN""),)"),"")</f>
        <v/>
      </c>
    </row>
    <row r="1971" spans="1:5">
      <c r="A1971" s="3"/>
      <c r="B1971" s="4" t="str">
        <f ca="1">IFERROR(__xludf.DUMMYFUNCTION("IFERROR(GOOGLETRANSLATE(A1971,""ko"",""en""),)"),"")</f>
        <v/>
      </c>
      <c r="C1971" s="4" t="str">
        <f ca="1">IFERROR(__xludf.DUMMYFUNCTION("IFERROR(GOOGLETRANSLATE(B1971,""en"",""ja""),)"),"")</f>
        <v/>
      </c>
      <c r="D1971" s="4" t="str">
        <f ca="1">IFERROR(__xludf.DUMMYFUNCTION("IFERROR(GOOGLETRANSLATE(B1971,""en"",""zh-TW""),)"),"")</f>
        <v/>
      </c>
      <c r="E1971" s="4" t="str">
        <f ca="1">IFERROR(__xludf.DUMMYFUNCTION("IFERROR(GOOGLETRANSLATE(B1971,""en"",""zh-CN""),)"),"")</f>
        <v/>
      </c>
    </row>
    <row r="1972" spans="1:5">
      <c r="A1972" s="3"/>
      <c r="B1972" s="4" t="str">
        <f ca="1">IFERROR(__xludf.DUMMYFUNCTION("IFERROR(GOOGLETRANSLATE(A1972,""ko"",""en""),)"),"")</f>
        <v/>
      </c>
      <c r="C1972" s="4" t="str">
        <f ca="1">IFERROR(__xludf.DUMMYFUNCTION("IFERROR(GOOGLETRANSLATE(B1972,""en"",""ja""),)"),"")</f>
        <v/>
      </c>
      <c r="D1972" s="4" t="str">
        <f ca="1">IFERROR(__xludf.DUMMYFUNCTION("IFERROR(GOOGLETRANSLATE(B1972,""en"",""zh-TW""),)"),"")</f>
        <v/>
      </c>
      <c r="E1972" s="4" t="str">
        <f ca="1">IFERROR(__xludf.DUMMYFUNCTION("IFERROR(GOOGLETRANSLATE(B1972,""en"",""zh-CN""),)"),"")</f>
        <v/>
      </c>
    </row>
    <row r="1973" spans="1:5">
      <c r="A1973" s="3"/>
      <c r="B1973" s="4" t="str">
        <f ca="1">IFERROR(__xludf.DUMMYFUNCTION("IFERROR(GOOGLETRANSLATE(A1973,""ko"",""en""),)"),"")</f>
        <v/>
      </c>
      <c r="C1973" s="4" t="str">
        <f ca="1">IFERROR(__xludf.DUMMYFUNCTION("IFERROR(GOOGLETRANSLATE(B1973,""en"",""ja""),)"),"")</f>
        <v/>
      </c>
      <c r="D1973" s="4" t="str">
        <f ca="1">IFERROR(__xludf.DUMMYFUNCTION("IFERROR(GOOGLETRANSLATE(B1973,""en"",""zh-TW""),)"),"")</f>
        <v/>
      </c>
      <c r="E1973" s="4" t="str">
        <f ca="1">IFERROR(__xludf.DUMMYFUNCTION("IFERROR(GOOGLETRANSLATE(B1973,""en"",""zh-CN""),)"),"")</f>
        <v/>
      </c>
    </row>
    <row r="1974" spans="1:5">
      <c r="A1974" s="3"/>
      <c r="B1974" s="4" t="str">
        <f ca="1">IFERROR(__xludf.DUMMYFUNCTION("IFERROR(GOOGLETRANSLATE(A1974,""ko"",""en""),)"),"")</f>
        <v/>
      </c>
      <c r="C1974" s="4" t="str">
        <f ca="1">IFERROR(__xludf.DUMMYFUNCTION("IFERROR(GOOGLETRANSLATE(B1974,""en"",""ja""),)"),"")</f>
        <v/>
      </c>
      <c r="D1974" s="4" t="str">
        <f ca="1">IFERROR(__xludf.DUMMYFUNCTION("IFERROR(GOOGLETRANSLATE(B1974,""en"",""zh-TW""),)"),"")</f>
        <v/>
      </c>
      <c r="E1974" s="4" t="str">
        <f ca="1">IFERROR(__xludf.DUMMYFUNCTION("IFERROR(GOOGLETRANSLATE(B1974,""en"",""zh-CN""),)"),"")</f>
        <v/>
      </c>
    </row>
    <row r="1975" spans="1:5">
      <c r="A1975" s="3"/>
      <c r="B1975" s="4" t="str">
        <f ca="1">IFERROR(__xludf.DUMMYFUNCTION("IFERROR(GOOGLETRANSLATE(A1975,""ko"",""en""),)"),"")</f>
        <v/>
      </c>
      <c r="C1975" s="4" t="str">
        <f ca="1">IFERROR(__xludf.DUMMYFUNCTION("IFERROR(GOOGLETRANSLATE(B1975,""en"",""ja""),)"),"")</f>
        <v/>
      </c>
      <c r="D1975" s="4" t="str">
        <f ca="1">IFERROR(__xludf.DUMMYFUNCTION("IFERROR(GOOGLETRANSLATE(B1975,""en"",""zh-TW""),)"),"")</f>
        <v/>
      </c>
      <c r="E1975" s="4" t="str">
        <f ca="1">IFERROR(__xludf.DUMMYFUNCTION("IFERROR(GOOGLETRANSLATE(B1975,""en"",""zh-CN""),)"),"")</f>
        <v/>
      </c>
    </row>
    <row r="1976" spans="1:5">
      <c r="A1976" s="3"/>
      <c r="B1976" s="4" t="str">
        <f ca="1">IFERROR(__xludf.DUMMYFUNCTION("IFERROR(GOOGLETRANSLATE(A1976,""ko"",""en""),)"),"")</f>
        <v/>
      </c>
      <c r="C1976" s="4" t="str">
        <f ca="1">IFERROR(__xludf.DUMMYFUNCTION("IFERROR(GOOGLETRANSLATE(B1976,""en"",""ja""),)"),"")</f>
        <v/>
      </c>
      <c r="D1976" s="4" t="str">
        <f ca="1">IFERROR(__xludf.DUMMYFUNCTION("IFERROR(GOOGLETRANSLATE(B1976,""en"",""zh-TW""),)"),"")</f>
        <v/>
      </c>
      <c r="E1976" s="4" t="str">
        <f ca="1">IFERROR(__xludf.DUMMYFUNCTION("IFERROR(GOOGLETRANSLATE(B1976,""en"",""zh-CN""),)"),"")</f>
        <v/>
      </c>
    </row>
    <row r="1977" spans="1:5">
      <c r="A1977" s="3"/>
      <c r="B1977" s="4" t="str">
        <f ca="1">IFERROR(__xludf.DUMMYFUNCTION("IFERROR(GOOGLETRANSLATE(A1977,""ko"",""en""),)"),"")</f>
        <v/>
      </c>
      <c r="C1977" s="4" t="str">
        <f ca="1">IFERROR(__xludf.DUMMYFUNCTION("IFERROR(GOOGLETRANSLATE(B1977,""en"",""ja""),)"),"")</f>
        <v/>
      </c>
      <c r="D1977" s="4" t="str">
        <f ca="1">IFERROR(__xludf.DUMMYFUNCTION("IFERROR(GOOGLETRANSLATE(B1977,""en"",""zh-TW""),)"),"")</f>
        <v/>
      </c>
      <c r="E1977" s="4" t="str">
        <f ca="1">IFERROR(__xludf.DUMMYFUNCTION("IFERROR(GOOGLETRANSLATE(B1977,""en"",""zh-CN""),)"),"")</f>
        <v/>
      </c>
    </row>
    <row r="1978" spans="1:5">
      <c r="A1978" s="3"/>
      <c r="B1978" s="4" t="str">
        <f ca="1">IFERROR(__xludf.DUMMYFUNCTION("IFERROR(GOOGLETRANSLATE(A1978,""ko"",""en""),)"),"")</f>
        <v/>
      </c>
      <c r="C1978" s="4" t="str">
        <f ca="1">IFERROR(__xludf.DUMMYFUNCTION("IFERROR(GOOGLETRANSLATE(B1978,""en"",""ja""),)"),"")</f>
        <v/>
      </c>
      <c r="D1978" s="4" t="str">
        <f ca="1">IFERROR(__xludf.DUMMYFUNCTION("IFERROR(GOOGLETRANSLATE(B1978,""en"",""zh-TW""),)"),"")</f>
        <v/>
      </c>
      <c r="E1978" s="4" t="str">
        <f ca="1">IFERROR(__xludf.DUMMYFUNCTION("IFERROR(GOOGLETRANSLATE(B1978,""en"",""zh-CN""),)"),"")</f>
        <v/>
      </c>
    </row>
    <row r="1979" spans="1:5">
      <c r="A1979" s="3"/>
      <c r="B1979" s="4" t="str">
        <f ca="1">IFERROR(__xludf.DUMMYFUNCTION("IFERROR(GOOGLETRANSLATE(A1979,""ko"",""en""),)"),"")</f>
        <v/>
      </c>
      <c r="C1979" s="4" t="str">
        <f ca="1">IFERROR(__xludf.DUMMYFUNCTION("IFERROR(GOOGLETRANSLATE(B1979,""en"",""ja""),)"),"")</f>
        <v/>
      </c>
      <c r="D1979" s="4" t="str">
        <f ca="1">IFERROR(__xludf.DUMMYFUNCTION("IFERROR(GOOGLETRANSLATE(B1979,""en"",""zh-TW""),)"),"")</f>
        <v/>
      </c>
      <c r="E1979" s="4" t="str">
        <f ca="1">IFERROR(__xludf.DUMMYFUNCTION("IFERROR(GOOGLETRANSLATE(B1979,""en"",""zh-CN""),)"),"")</f>
        <v/>
      </c>
    </row>
    <row r="1980" spans="1:5">
      <c r="A1980" s="3"/>
      <c r="B1980" s="4" t="str">
        <f ca="1">IFERROR(__xludf.DUMMYFUNCTION("IFERROR(GOOGLETRANSLATE(A1980,""ko"",""en""),)"),"")</f>
        <v/>
      </c>
      <c r="C1980" s="4" t="str">
        <f ca="1">IFERROR(__xludf.DUMMYFUNCTION("IFERROR(GOOGLETRANSLATE(B1980,""en"",""ja""),)"),"")</f>
        <v/>
      </c>
      <c r="D1980" s="4" t="str">
        <f ca="1">IFERROR(__xludf.DUMMYFUNCTION("IFERROR(GOOGLETRANSLATE(B1980,""en"",""zh-TW""),)"),"")</f>
        <v/>
      </c>
      <c r="E1980" s="4" t="str">
        <f ca="1">IFERROR(__xludf.DUMMYFUNCTION("IFERROR(GOOGLETRANSLATE(B1980,""en"",""zh-CN""),)"),"")</f>
        <v/>
      </c>
    </row>
    <row r="1981" spans="1:5">
      <c r="A1981" s="3"/>
      <c r="B1981" s="4" t="str">
        <f ca="1">IFERROR(__xludf.DUMMYFUNCTION("IFERROR(GOOGLETRANSLATE(A1981,""ko"",""en""),)"),"")</f>
        <v/>
      </c>
      <c r="C1981" s="4" t="str">
        <f ca="1">IFERROR(__xludf.DUMMYFUNCTION("IFERROR(GOOGLETRANSLATE(B1981,""en"",""ja""),)"),"")</f>
        <v/>
      </c>
      <c r="D1981" s="4" t="str">
        <f ca="1">IFERROR(__xludf.DUMMYFUNCTION("IFERROR(GOOGLETRANSLATE(B1981,""en"",""zh-TW""),)"),"")</f>
        <v/>
      </c>
      <c r="E1981" s="4" t="str">
        <f ca="1">IFERROR(__xludf.DUMMYFUNCTION("IFERROR(GOOGLETRANSLATE(B1981,""en"",""zh-CN""),)"),"")</f>
        <v/>
      </c>
    </row>
    <row r="1982" spans="1:5">
      <c r="A1982" s="3"/>
      <c r="B1982" s="4" t="str">
        <f ca="1">IFERROR(__xludf.DUMMYFUNCTION("IFERROR(GOOGLETRANSLATE(A1982,""ko"",""en""),)"),"")</f>
        <v/>
      </c>
      <c r="C1982" s="4" t="str">
        <f ca="1">IFERROR(__xludf.DUMMYFUNCTION("IFERROR(GOOGLETRANSLATE(B1982,""en"",""ja""),)"),"")</f>
        <v/>
      </c>
      <c r="D1982" s="4" t="str">
        <f ca="1">IFERROR(__xludf.DUMMYFUNCTION("IFERROR(GOOGLETRANSLATE(B1982,""en"",""zh-TW""),)"),"")</f>
        <v/>
      </c>
      <c r="E1982" s="4" t="str">
        <f ca="1">IFERROR(__xludf.DUMMYFUNCTION("IFERROR(GOOGLETRANSLATE(B1982,""en"",""zh-CN""),)"),"")</f>
        <v/>
      </c>
    </row>
    <row r="1983" spans="1:5">
      <c r="A1983" s="3"/>
      <c r="B1983" s="4" t="str">
        <f ca="1">IFERROR(__xludf.DUMMYFUNCTION("IFERROR(GOOGLETRANSLATE(A1983,""ko"",""en""),)"),"")</f>
        <v/>
      </c>
      <c r="C1983" s="4" t="str">
        <f ca="1">IFERROR(__xludf.DUMMYFUNCTION("IFERROR(GOOGLETRANSLATE(B1983,""en"",""ja""),)"),"")</f>
        <v/>
      </c>
      <c r="D1983" s="4" t="str">
        <f ca="1">IFERROR(__xludf.DUMMYFUNCTION("IFERROR(GOOGLETRANSLATE(B1983,""en"",""zh-TW""),)"),"")</f>
        <v/>
      </c>
      <c r="E1983" s="4" t="str">
        <f ca="1">IFERROR(__xludf.DUMMYFUNCTION("IFERROR(GOOGLETRANSLATE(B1983,""en"",""zh-CN""),)"),"")</f>
        <v/>
      </c>
    </row>
    <row r="1984" spans="1:5">
      <c r="A1984" s="3"/>
      <c r="B1984" s="4" t="str">
        <f ca="1">IFERROR(__xludf.DUMMYFUNCTION("IFERROR(GOOGLETRANSLATE(A1984,""ko"",""en""),)"),"")</f>
        <v/>
      </c>
      <c r="C1984" s="4" t="str">
        <f ca="1">IFERROR(__xludf.DUMMYFUNCTION("IFERROR(GOOGLETRANSLATE(B1984,""en"",""ja""),)"),"")</f>
        <v/>
      </c>
      <c r="D1984" s="4" t="str">
        <f ca="1">IFERROR(__xludf.DUMMYFUNCTION("IFERROR(GOOGLETRANSLATE(B1984,""en"",""zh-TW""),)"),"")</f>
        <v/>
      </c>
      <c r="E1984" s="4" t="str">
        <f ca="1">IFERROR(__xludf.DUMMYFUNCTION("IFERROR(GOOGLETRANSLATE(B1984,""en"",""zh-CN""),)"),"")</f>
        <v/>
      </c>
    </row>
    <row r="1985" spans="1:5">
      <c r="A1985" s="3"/>
      <c r="B1985" s="4" t="str">
        <f ca="1">IFERROR(__xludf.DUMMYFUNCTION("IFERROR(GOOGLETRANSLATE(A1985,""ko"",""en""),)"),"")</f>
        <v/>
      </c>
      <c r="C1985" s="4" t="str">
        <f ca="1">IFERROR(__xludf.DUMMYFUNCTION("IFERROR(GOOGLETRANSLATE(B1985,""en"",""ja""),)"),"")</f>
        <v/>
      </c>
      <c r="D1985" s="4" t="str">
        <f ca="1">IFERROR(__xludf.DUMMYFUNCTION("IFERROR(GOOGLETRANSLATE(B1985,""en"",""zh-TW""),)"),"")</f>
        <v/>
      </c>
      <c r="E1985" s="4" t="str">
        <f ca="1">IFERROR(__xludf.DUMMYFUNCTION("IFERROR(GOOGLETRANSLATE(B1985,""en"",""zh-CN""),)"),"")</f>
        <v/>
      </c>
    </row>
    <row r="1986" spans="1:5">
      <c r="A1986" s="3"/>
      <c r="B1986" s="4" t="str">
        <f ca="1">IFERROR(__xludf.DUMMYFUNCTION("IFERROR(GOOGLETRANSLATE(A1986,""ko"",""en""),)"),"")</f>
        <v/>
      </c>
      <c r="C1986" s="4" t="str">
        <f ca="1">IFERROR(__xludf.DUMMYFUNCTION("IFERROR(GOOGLETRANSLATE(B1986,""en"",""ja""),)"),"")</f>
        <v/>
      </c>
      <c r="D1986" s="4" t="str">
        <f ca="1">IFERROR(__xludf.DUMMYFUNCTION("IFERROR(GOOGLETRANSLATE(B1986,""en"",""zh-TW""),)"),"")</f>
        <v/>
      </c>
      <c r="E1986" s="4" t="str">
        <f ca="1">IFERROR(__xludf.DUMMYFUNCTION("IFERROR(GOOGLETRANSLATE(B1986,""en"",""zh-CN""),)"),"")</f>
        <v/>
      </c>
    </row>
    <row r="1987" spans="1:5">
      <c r="A1987" s="3"/>
      <c r="B1987" s="4" t="str">
        <f ca="1">IFERROR(__xludf.DUMMYFUNCTION("IFERROR(GOOGLETRANSLATE(A1987,""ko"",""en""),)"),"")</f>
        <v/>
      </c>
      <c r="C1987" s="4" t="str">
        <f ca="1">IFERROR(__xludf.DUMMYFUNCTION("IFERROR(GOOGLETRANSLATE(B1987,""en"",""ja""),)"),"")</f>
        <v/>
      </c>
      <c r="D1987" s="4" t="str">
        <f ca="1">IFERROR(__xludf.DUMMYFUNCTION("IFERROR(GOOGLETRANSLATE(B1987,""en"",""zh-TW""),)"),"")</f>
        <v/>
      </c>
      <c r="E1987" s="4" t="str">
        <f ca="1">IFERROR(__xludf.DUMMYFUNCTION("IFERROR(GOOGLETRANSLATE(B1987,""en"",""zh-CN""),)"),"")</f>
        <v/>
      </c>
    </row>
    <row r="1988" spans="1:5">
      <c r="A1988" s="3"/>
      <c r="B1988" s="4" t="str">
        <f ca="1">IFERROR(__xludf.DUMMYFUNCTION("IFERROR(GOOGLETRANSLATE(A1988,""ko"",""en""),)"),"")</f>
        <v/>
      </c>
      <c r="C1988" s="4" t="str">
        <f ca="1">IFERROR(__xludf.DUMMYFUNCTION("IFERROR(GOOGLETRANSLATE(B1988,""en"",""ja""),)"),"")</f>
        <v/>
      </c>
      <c r="D1988" s="4" t="str">
        <f ca="1">IFERROR(__xludf.DUMMYFUNCTION("IFERROR(GOOGLETRANSLATE(B1988,""en"",""zh-TW""),)"),"")</f>
        <v/>
      </c>
      <c r="E1988" s="4" t="str">
        <f ca="1">IFERROR(__xludf.DUMMYFUNCTION("IFERROR(GOOGLETRANSLATE(B1988,""en"",""zh-CN""),)"),"")</f>
        <v/>
      </c>
    </row>
    <row r="1989" spans="1:5">
      <c r="A1989" s="3"/>
      <c r="B1989" s="4" t="str">
        <f ca="1">IFERROR(__xludf.DUMMYFUNCTION("IFERROR(GOOGLETRANSLATE(A1989,""ko"",""en""),)"),"")</f>
        <v/>
      </c>
      <c r="C1989" s="4" t="str">
        <f ca="1">IFERROR(__xludf.DUMMYFUNCTION("IFERROR(GOOGLETRANSLATE(B1989,""en"",""ja""),)"),"")</f>
        <v/>
      </c>
      <c r="D1989" s="4" t="str">
        <f ca="1">IFERROR(__xludf.DUMMYFUNCTION("IFERROR(GOOGLETRANSLATE(B1989,""en"",""zh-TW""),)"),"")</f>
        <v/>
      </c>
      <c r="E1989" s="4" t="str">
        <f ca="1">IFERROR(__xludf.DUMMYFUNCTION("IFERROR(GOOGLETRANSLATE(B1989,""en"",""zh-CN""),)"),"")</f>
        <v/>
      </c>
    </row>
    <row r="1990" spans="1:5">
      <c r="A1990" s="3"/>
      <c r="B1990" s="4" t="str">
        <f ca="1">IFERROR(__xludf.DUMMYFUNCTION("IFERROR(GOOGLETRANSLATE(A1990,""ko"",""en""),)"),"")</f>
        <v/>
      </c>
      <c r="C1990" s="4" t="str">
        <f ca="1">IFERROR(__xludf.DUMMYFUNCTION("IFERROR(GOOGLETRANSLATE(B1990,""en"",""ja""),)"),"")</f>
        <v/>
      </c>
      <c r="D1990" s="4" t="str">
        <f ca="1">IFERROR(__xludf.DUMMYFUNCTION("IFERROR(GOOGLETRANSLATE(B1990,""en"",""zh-TW""),)"),"")</f>
        <v/>
      </c>
      <c r="E1990" s="4" t="str">
        <f ca="1">IFERROR(__xludf.DUMMYFUNCTION("IFERROR(GOOGLETRANSLATE(B1990,""en"",""zh-CN""),)"),"")</f>
        <v/>
      </c>
    </row>
    <row r="1991" spans="1:5">
      <c r="A1991" s="3"/>
      <c r="B1991" s="4" t="str">
        <f ca="1">IFERROR(__xludf.DUMMYFUNCTION("IFERROR(GOOGLETRANSLATE(A1991,""ko"",""en""),)"),"")</f>
        <v/>
      </c>
      <c r="C1991" s="4" t="str">
        <f ca="1">IFERROR(__xludf.DUMMYFUNCTION("IFERROR(GOOGLETRANSLATE(B1991,""en"",""ja""),)"),"")</f>
        <v/>
      </c>
      <c r="D1991" s="4" t="str">
        <f ca="1">IFERROR(__xludf.DUMMYFUNCTION("IFERROR(GOOGLETRANSLATE(B1991,""en"",""zh-TW""),)"),"")</f>
        <v/>
      </c>
      <c r="E1991" s="4" t="str">
        <f ca="1">IFERROR(__xludf.DUMMYFUNCTION("IFERROR(GOOGLETRANSLATE(B1991,""en"",""zh-CN""),)"),"")</f>
        <v/>
      </c>
    </row>
    <row r="1992" spans="1:5">
      <c r="A1992" s="3"/>
      <c r="B1992" s="4" t="str">
        <f ca="1">IFERROR(__xludf.DUMMYFUNCTION("IFERROR(GOOGLETRANSLATE(A1992,""ko"",""en""),)"),"")</f>
        <v/>
      </c>
      <c r="C1992" s="4" t="str">
        <f ca="1">IFERROR(__xludf.DUMMYFUNCTION("IFERROR(GOOGLETRANSLATE(B1992,""en"",""ja""),)"),"")</f>
        <v/>
      </c>
      <c r="D1992" s="4" t="str">
        <f ca="1">IFERROR(__xludf.DUMMYFUNCTION("IFERROR(GOOGLETRANSLATE(B1992,""en"",""zh-TW""),)"),"")</f>
        <v/>
      </c>
      <c r="E1992" s="4" t="str">
        <f ca="1">IFERROR(__xludf.DUMMYFUNCTION("IFERROR(GOOGLETRANSLATE(B1992,""en"",""zh-CN""),)"),"")</f>
        <v/>
      </c>
    </row>
    <row r="1993" spans="1:5">
      <c r="A1993" s="3"/>
      <c r="B1993" s="4" t="str">
        <f ca="1">IFERROR(__xludf.DUMMYFUNCTION("IFERROR(GOOGLETRANSLATE(A1993,""ko"",""en""),)"),"")</f>
        <v/>
      </c>
      <c r="C1993" s="4" t="str">
        <f ca="1">IFERROR(__xludf.DUMMYFUNCTION("IFERROR(GOOGLETRANSLATE(B1993,""en"",""ja""),)"),"")</f>
        <v/>
      </c>
      <c r="D1993" s="4" t="str">
        <f ca="1">IFERROR(__xludf.DUMMYFUNCTION("IFERROR(GOOGLETRANSLATE(B1993,""en"",""zh-TW""),)"),"")</f>
        <v/>
      </c>
      <c r="E1993" s="4" t="str">
        <f ca="1">IFERROR(__xludf.DUMMYFUNCTION("IFERROR(GOOGLETRANSLATE(B1993,""en"",""zh-CN""),)"),"")</f>
        <v/>
      </c>
    </row>
    <row r="1994" spans="1:5">
      <c r="A1994" s="3"/>
      <c r="B1994" s="4" t="str">
        <f ca="1">IFERROR(__xludf.DUMMYFUNCTION("IFERROR(GOOGLETRANSLATE(A1994,""ko"",""en""),)"),"")</f>
        <v/>
      </c>
      <c r="C1994" s="4" t="str">
        <f ca="1">IFERROR(__xludf.DUMMYFUNCTION("IFERROR(GOOGLETRANSLATE(B1994,""en"",""ja""),)"),"")</f>
        <v/>
      </c>
      <c r="D1994" s="4" t="str">
        <f ca="1">IFERROR(__xludf.DUMMYFUNCTION("IFERROR(GOOGLETRANSLATE(B1994,""en"",""zh-TW""),)"),"")</f>
        <v/>
      </c>
      <c r="E1994" s="4" t="str">
        <f ca="1">IFERROR(__xludf.DUMMYFUNCTION("IFERROR(GOOGLETRANSLATE(B1994,""en"",""zh-CN""),)"),"")</f>
        <v/>
      </c>
    </row>
    <row r="1995" spans="1:5">
      <c r="A1995" s="3"/>
      <c r="B1995" s="4" t="str">
        <f ca="1">IFERROR(__xludf.DUMMYFUNCTION("IFERROR(GOOGLETRANSLATE(A1995,""ko"",""en""),)"),"")</f>
        <v/>
      </c>
      <c r="C1995" s="4" t="str">
        <f ca="1">IFERROR(__xludf.DUMMYFUNCTION("IFERROR(GOOGLETRANSLATE(B1995,""en"",""ja""),)"),"")</f>
        <v/>
      </c>
      <c r="D1995" s="4" t="str">
        <f ca="1">IFERROR(__xludf.DUMMYFUNCTION("IFERROR(GOOGLETRANSLATE(B1995,""en"",""zh-TW""),)"),"")</f>
        <v/>
      </c>
      <c r="E1995" s="4" t="str">
        <f ca="1">IFERROR(__xludf.DUMMYFUNCTION("IFERROR(GOOGLETRANSLATE(B1995,""en"",""zh-CN""),)"),"")</f>
        <v/>
      </c>
    </row>
    <row r="1996" spans="1:5">
      <c r="A1996" s="3"/>
      <c r="B1996" s="4" t="str">
        <f ca="1">IFERROR(__xludf.DUMMYFUNCTION("IFERROR(GOOGLETRANSLATE(A1996,""ko"",""en""),)"),"")</f>
        <v/>
      </c>
      <c r="C1996" s="4" t="str">
        <f ca="1">IFERROR(__xludf.DUMMYFUNCTION("IFERROR(GOOGLETRANSLATE(B1996,""en"",""ja""),)"),"")</f>
        <v/>
      </c>
      <c r="D1996" s="4" t="str">
        <f ca="1">IFERROR(__xludf.DUMMYFUNCTION("IFERROR(GOOGLETRANSLATE(B1996,""en"",""zh-TW""),)"),"")</f>
        <v/>
      </c>
      <c r="E1996" s="4" t="str">
        <f ca="1">IFERROR(__xludf.DUMMYFUNCTION("IFERROR(GOOGLETRANSLATE(B1996,""en"",""zh-CN""),)"),"")</f>
        <v/>
      </c>
    </row>
    <row r="1997" spans="1:5">
      <c r="A1997" s="3"/>
      <c r="B1997" s="4" t="str">
        <f ca="1">IFERROR(__xludf.DUMMYFUNCTION("IFERROR(GOOGLETRANSLATE(A1997,""ko"",""en""),)"),"")</f>
        <v/>
      </c>
      <c r="C1997" s="4" t="str">
        <f ca="1">IFERROR(__xludf.DUMMYFUNCTION("IFERROR(GOOGLETRANSLATE(B1997,""en"",""ja""),)"),"")</f>
        <v/>
      </c>
      <c r="D1997" s="4" t="str">
        <f ca="1">IFERROR(__xludf.DUMMYFUNCTION("IFERROR(GOOGLETRANSLATE(B1997,""en"",""zh-TW""),)"),"")</f>
        <v/>
      </c>
      <c r="E1997" s="4" t="str">
        <f ca="1">IFERROR(__xludf.DUMMYFUNCTION("IFERROR(GOOGLETRANSLATE(B1997,""en"",""zh-CN""),)"),"")</f>
        <v/>
      </c>
    </row>
    <row r="1998" spans="1:5">
      <c r="A1998" s="3"/>
      <c r="B1998" s="4" t="str">
        <f ca="1">IFERROR(__xludf.DUMMYFUNCTION("IFERROR(GOOGLETRANSLATE(A1998,""ko"",""en""),)"),"")</f>
        <v/>
      </c>
      <c r="C1998" s="4" t="str">
        <f ca="1">IFERROR(__xludf.DUMMYFUNCTION("IFERROR(GOOGLETRANSLATE(B1998,""en"",""ja""),)"),"")</f>
        <v/>
      </c>
      <c r="D1998" s="4" t="str">
        <f ca="1">IFERROR(__xludf.DUMMYFUNCTION("IFERROR(GOOGLETRANSLATE(B1998,""en"",""zh-TW""),)"),"")</f>
        <v/>
      </c>
      <c r="E1998" s="4" t="str">
        <f ca="1">IFERROR(__xludf.DUMMYFUNCTION("IFERROR(GOOGLETRANSLATE(B1998,""en"",""zh-CN""),)"),"")</f>
        <v/>
      </c>
    </row>
    <row r="1999" spans="1:5">
      <c r="A1999" s="3"/>
      <c r="B1999" s="4" t="str">
        <f ca="1">IFERROR(__xludf.DUMMYFUNCTION("IFERROR(GOOGLETRANSLATE(A1999,""ko"",""en""),)"),"")</f>
        <v/>
      </c>
      <c r="C1999" s="4" t="str">
        <f ca="1">IFERROR(__xludf.DUMMYFUNCTION("IFERROR(GOOGLETRANSLATE(B1999,""en"",""ja""),)"),"")</f>
        <v/>
      </c>
      <c r="D1999" s="4" t="str">
        <f ca="1">IFERROR(__xludf.DUMMYFUNCTION("IFERROR(GOOGLETRANSLATE(B1999,""en"",""zh-TW""),)"),"")</f>
        <v/>
      </c>
      <c r="E1999" s="4" t="str">
        <f ca="1">IFERROR(__xludf.DUMMYFUNCTION("IFERROR(GOOGLETRANSLATE(B1999,""en"",""zh-CN""),)"),"")</f>
        <v/>
      </c>
    </row>
    <row r="2000" spans="1:5">
      <c r="A2000" s="3"/>
      <c r="B2000" s="4" t="str">
        <f ca="1">IFERROR(__xludf.DUMMYFUNCTION("IFERROR(GOOGLETRANSLATE(A2000,""ko"",""en""),)"),"")</f>
        <v/>
      </c>
      <c r="C2000" s="4" t="str">
        <f ca="1">IFERROR(__xludf.DUMMYFUNCTION("IFERROR(GOOGLETRANSLATE(B2000,""en"",""ja""),)"),"")</f>
        <v/>
      </c>
      <c r="D2000" s="4" t="str">
        <f ca="1">IFERROR(__xludf.DUMMYFUNCTION("IFERROR(GOOGLETRANSLATE(B2000,""en"",""zh-TW""),)"),"")</f>
        <v/>
      </c>
      <c r="E2000" s="4" t="str">
        <f ca="1">IFERROR(__xludf.DUMMYFUNCTION("IFERROR(GOOGLETRANSLATE(B2000,""en"",""zh-CN""),)"),"")</f>
        <v/>
      </c>
    </row>
    <row r="2001" spans="1:5">
      <c r="A2001" s="3"/>
      <c r="B2001" s="4" t="str">
        <f ca="1">IFERROR(__xludf.DUMMYFUNCTION("IFERROR(GOOGLETRANSLATE(A2001,""ko"",""en""),)"),"")</f>
        <v/>
      </c>
      <c r="C2001" s="4" t="str">
        <f ca="1">IFERROR(__xludf.DUMMYFUNCTION("IFERROR(GOOGLETRANSLATE(B2001,""en"",""ja""),)"),"")</f>
        <v/>
      </c>
      <c r="D2001" s="4" t="str">
        <f ca="1">IFERROR(__xludf.DUMMYFUNCTION("IFERROR(GOOGLETRANSLATE(B2001,""en"",""zh-TW""),)"),"")</f>
        <v/>
      </c>
      <c r="E2001" s="4" t="str">
        <f ca="1">IFERROR(__xludf.DUMMYFUNCTION("IFERROR(GOOGLETRANSLATE(B2001,""en"",""zh-CN""),)"),"")</f>
        <v/>
      </c>
    </row>
    <row r="2002" spans="1:5">
      <c r="A2002" s="3"/>
      <c r="B2002" s="4" t="str">
        <f ca="1">IFERROR(__xludf.DUMMYFUNCTION("IFERROR(GOOGLETRANSLATE(A2002,""ko"",""en""),)"),"")</f>
        <v/>
      </c>
      <c r="C2002" s="4" t="str">
        <f ca="1">IFERROR(__xludf.DUMMYFUNCTION("IFERROR(GOOGLETRANSLATE(B2002,""en"",""ja""),)"),"")</f>
        <v/>
      </c>
      <c r="D2002" s="4" t="str">
        <f ca="1">IFERROR(__xludf.DUMMYFUNCTION("IFERROR(GOOGLETRANSLATE(B2002,""en"",""zh-TW""),)"),"")</f>
        <v/>
      </c>
      <c r="E2002" s="4" t="str">
        <f ca="1">IFERROR(__xludf.DUMMYFUNCTION("IFERROR(GOOGLETRANSLATE(B2002,""en"",""zh-CN""),)"),"")</f>
        <v/>
      </c>
    </row>
    <row r="2003" spans="1:5">
      <c r="A2003" s="3"/>
      <c r="B2003" s="4" t="str">
        <f ca="1">IFERROR(__xludf.DUMMYFUNCTION("IFERROR(GOOGLETRANSLATE(A2003,""ko"",""en""),)"),"")</f>
        <v/>
      </c>
      <c r="C2003" s="4" t="str">
        <f ca="1">IFERROR(__xludf.DUMMYFUNCTION("IFERROR(GOOGLETRANSLATE(B2003,""en"",""ja""),)"),"")</f>
        <v/>
      </c>
      <c r="D2003" s="4" t="str">
        <f ca="1">IFERROR(__xludf.DUMMYFUNCTION("IFERROR(GOOGLETRANSLATE(B2003,""en"",""zh-TW""),)"),"")</f>
        <v/>
      </c>
      <c r="E2003" s="4" t="str">
        <f ca="1">IFERROR(__xludf.DUMMYFUNCTION("IFERROR(GOOGLETRANSLATE(B2003,""en"",""zh-CN""),)"),"")</f>
        <v/>
      </c>
    </row>
    <row r="2004" spans="1:5">
      <c r="A2004" s="3"/>
      <c r="B2004" s="4" t="str">
        <f ca="1">IFERROR(__xludf.DUMMYFUNCTION("IFERROR(GOOGLETRANSLATE(A2004,""ko"",""en""),)"),"")</f>
        <v/>
      </c>
      <c r="C2004" s="4" t="str">
        <f ca="1">IFERROR(__xludf.DUMMYFUNCTION("IFERROR(GOOGLETRANSLATE(B2004,""en"",""ja""),)"),"")</f>
        <v/>
      </c>
      <c r="D2004" s="4" t="str">
        <f ca="1">IFERROR(__xludf.DUMMYFUNCTION("IFERROR(GOOGLETRANSLATE(B2004,""en"",""zh-TW""),)"),"")</f>
        <v/>
      </c>
      <c r="E2004" s="4" t="str">
        <f ca="1">IFERROR(__xludf.DUMMYFUNCTION("IFERROR(GOOGLETRANSLATE(B2004,""en"",""zh-CN""),)"),"")</f>
        <v/>
      </c>
    </row>
    <row r="2005" spans="1:5">
      <c r="A2005" s="3"/>
      <c r="B2005" s="4" t="str">
        <f ca="1">IFERROR(__xludf.DUMMYFUNCTION("IFERROR(GOOGLETRANSLATE(A2005,""ko"",""en""),)"),"")</f>
        <v/>
      </c>
      <c r="C2005" s="4" t="str">
        <f ca="1">IFERROR(__xludf.DUMMYFUNCTION("IFERROR(GOOGLETRANSLATE(B2005,""en"",""ja""),)"),"")</f>
        <v/>
      </c>
      <c r="D2005" s="4" t="str">
        <f ca="1">IFERROR(__xludf.DUMMYFUNCTION("IFERROR(GOOGLETRANSLATE(B2005,""en"",""zh-TW""),)"),"")</f>
        <v/>
      </c>
      <c r="E2005" s="4" t="str">
        <f ca="1">IFERROR(__xludf.DUMMYFUNCTION("IFERROR(GOOGLETRANSLATE(B2005,""en"",""zh-CN""),)"),"")</f>
        <v/>
      </c>
    </row>
    <row r="2006" spans="1:5">
      <c r="A2006" s="3"/>
      <c r="B2006" s="4" t="str">
        <f ca="1">IFERROR(__xludf.DUMMYFUNCTION("IFERROR(GOOGLETRANSLATE(A2006,""ko"",""en""),)"),"")</f>
        <v/>
      </c>
      <c r="C2006" s="4" t="str">
        <f ca="1">IFERROR(__xludf.DUMMYFUNCTION("IFERROR(GOOGLETRANSLATE(B2006,""en"",""ja""),)"),"")</f>
        <v/>
      </c>
      <c r="D2006" s="4" t="str">
        <f ca="1">IFERROR(__xludf.DUMMYFUNCTION("IFERROR(GOOGLETRANSLATE(B2006,""en"",""zh-TW""),)"),"")</f>
        <v/>
      </c>
      <c r="E2006" s="4" t="str">
        <f ca="1">IFERROR(__xludf.DUMMYFUNCTION("IFERROR(GOOGLETRANSLATE(B2006,""en"",""zh-CN""),)"),"")</f>
        <v/>
      </c>
    </row>
    <row r="2007" spans="1:5">
      <c r="A2007" s="3"/>
      <c r="B2007" s="4" t="str">
        <f ca="1">IFERROR(__xludf.DUMMYFUNCTION("IFERROR(GOOGLETRANSLATE(A2007,""ko"",""en""),)"),"")</f>
        <v/>
      </c>
      <c r="C2007" s="4" t="str">
        <f ca="1">IFERROR(__xludf.DUMMYFUNCTION("IFERROR(GOOGLETRANSLATE(B2007,""en"",""ja""),)"),"")</f>
        <v/>
      </c>
      <c r="D2007" s="4" t="str">
        <f ca="1">IFERROR(__xludf.DUMMYFUNCTION("IFERROR(GOOGLETRANSLATE(B2007,""en"",""zh-TW""),)"),"")</f>
        <v/>
      </c>
      <c r="E2007" s="4" t="str">
        <f ca="1">IFERROR(__xludf.DUMMYFUNCTION("IFERROR(GOOGLETRANSLATE(B2007,""en"",""zh-CN""),)"),"")</f>
        <v/>
      </c>
    </row>
    <row r="2008" spans="1:5">
      <c r="A2008" s="3"/>
      <c r="B2008" s="4" t="str">
        <f ca="1">IFERROR(__xludf.DUMMYFUNCTION("IFERROR(GOOGLETRANSLATE(A2008,""ko"",""en""),)"),"")</f>
        <v/>
      </c>
      <c r="C2008" s="4" t="str">
        <f ca="1">IFERROR(__xludf.DUMMYFUNCTION("IFERROR(GOOGLETRANSLATE(B2008,""en"",""ja""),)"),"")</f>
        <v/>
      </c>
      <c r="D2008" s="4" t="str">
        <f ca="1">IFERROR(__xludf.DUMMYFUNCTION("IFERROR(GOOGLETRANSLATE(B2008,""en"",""zh-TW""),)"),"")</f>
        <v/>
      </c>
      <c r="E2008" s="4" t="str">
        <f ca="1">IFERROR(__xludf.DUMMYFUNCTION("IFERROR(GOOGLETRANSLATE(B2008,""en"",""zh-CN""),)"),"")</f>
        <v/>
      </c>
    </row>
    <row r="2009" spans="1:5">
      <c r="A2009" s="3"/>
      <c r="B2009" s="4" t="str">
        <f ca="1">IFERROR(__xludf.DUMMYFUNCTION("IFERROR(GOOGLETRANSLATE(A2009,""ko"",""en""),)"),"")</f>
        <v/>
      </c>
      <c r="C2009" s="4" t="str">
        <f ca="1">IFERROR(__xludf.DUMMYFUNCTION("IFERROR(GOOGLETRANSLATE(B2009,""en"",""ja""),)"),"")</f>
        <v/>
      </c>
      <c r="D2009" s="4" t="str">
        <f ca="1">IFERROR(__xludf.DUMMYFUNCTION("IFERROR(GOOGLETRANSLATE(B2009,""en"",""zh-TW""),)"),"")</f>
        <v/>
      </c>
      <c r="E2009" s="4" t="str">
        <f ca="1">IFERROR(__xludf.DUMMYFUNCTION("IFERROR(GOOGLETRANSLATE(B2009,""en"",""zh-CN""),)"),"")</f>
        <v/>
      </c>
    </row>
    <row r="2010" spans="1:5">
      <c r="A2010" s="3"/>
      <c r="B2010" s="4" t="str">
        <f ca="1">IFERROR(__xludf.DUMMYFUNCTION("IFERROR(GOOGLETRANSLATE(A2010,""ko"",""en""),)"),"")</f>
        <v/>
      </c>
      <c r="C2010" s="4" t="str">
        <f ca="1">IFERROR(__xludf.DUMMYFUNCTION("IFERROR(GOOGLETRANSLATE(B2010,""en"",""ja""),)"),"")</f>
        <v/>
      </c>
      <c r="D2010" s="4" t="str">
        <f ca="1">IFERROR(__xludf.DUMMYFUNCTION("IFERROR(GOOGLETRANSLATE(B2010,""en"",""zh-TW""),)"),"")</f>
        <v/>
      </c>
      <c r="E2010" s="4" t="str">
        <f ca="1">IFERROR(__xludf.DUMMYFUNCTION("IFERROR(GOOGLETRANSLATE(B2010,""en"",""zh-CN""),)"),"")</f>
        <v/>
      </c>
    </row>
    <row r="2011" spans="1:5">
      <c r="A2011" s="3"/>
      <c r="B2011" s="4" t="str">
        <f ca="1">IFERROR(__xludf.DUMMYFUNCTION("IFERROR(GOOGLETRANSLATE(A2011,""ko"",""en""),)"),"")</f>
        <v/>
      </c>
      <c r="C2011" s="4" t="str">
        <f ca="1">IFERROR(__xludf.DUMMYFUNCTION("IFERROR(GOOGLETRANSLATE(B2011,""en"",""ja""),)"),"")</f>
        <v/>
      </c>
      <c r="D2011" s="4" t="str">
        <f ca="1">IFERROR(__xludf.DUMMYFUNCTION("IFERROR(GOOGLETRANSLATE(B2011,""en"",""zh-TW""),)"),"")</f>
        <v/>
      </c>
      <c r="E2011" s="4" t="str">
        <f ca="1">IFERROR(__xludf.DUMMYFUNCTION("IFERROR(GOOGLETRANSLATE(B2011,""en"",""zh-CN""),)"),"")</f>
        <v/>
      </c>
    </row>
    <row r="2012" spans="1:5">
      <c r="A2012" s="3"/>
      <c r="B2012" s="4" t="str">
        <f ca="1">IFERROR(__xludf.DUMMYFUNCTION("IFERROR(GOOGLETRANSLATE(A2012,""ko"",""en""),)"),"")</f>
        <v/>
      </c>
      <c r="C2012" s="4" t="str">
        <f ca="1">IFERROR(__xludf.DUMMYFUNCTION("IFERROR(GOOGLETRANSLATE(B2012,""en"",""ja""),)"),"")</f>
        <v/>
      </c>
      <c r="D2012" s="4" t="str">
        <f ca="1">IFERROR(__xludf.DUMMYFUNCTION("IFERROR(GOOGLETRANSLATE(B2012,""en"",""zh-TW""),)"),"")</f>
        <v/>
      </c>
      <c r="E2012" s="4" t="str">
        <f ca="1">IFERROR(__xludf.DUMMYFUNCTION("IFERROR(GOOGLETRANSLATE(B2012,""en"",""zh-CN""),)"),"")</f>
        <v/>
      </c>
    </row>
    <row r="2013" spans="1:5">
      <c r="A2013" s="3"/>
      <c r="B2013" s="4" t="str">
        <f ca="1">IFERROR(__xludf.DUMMYFUNCTION("IFERROR(GOOGLETRANSLATE(A2013,""ko"",""en""),)"),"")</f>
        <v/>
      </c>
      <c r="C2013" s="4" t="str">
        <f ca="1">IFERROR(__xludf.DUMMYFUNCTION("IFERROR(GOOGLETRANSLATE(B2013,""en"",""ja""),)"),"")</f>
        <v/>
      </c>
      <c r="D2013" s="4" t="str">
        <f ca="1">IFERROR(__xludf.DUMMYFUNCTION("IFERROR(GOOGLETRANSLATE(B2013,""en"",""zh-TW""),)"),"")</f>
        <v/>
      </c>
      <c r="E2013" s="4" t="str">
        <f ca="1">IFERROR(__xludf.DUMMYFUNCTION("IFERROR(GOOGLETRANSLATE(B2013,""en"",""zh-CN""),)"),"")</f>
        <v/>
      </c>
    </row>
    <row r="2014" spans="1:5">
      <c r="A2014" s="3"/>
      <c r="B2014" s="4" t="str">
        <f ca="1">IFERROR(__xludf.DUMMYFUNCTION("IFERROR(GOOGLETRANSLATE(A2014,""ko"",""en""),)"),"")</f>
        <v/>
      </c>
      <c r="C2014" s="4" t="str">
        <f ca="1">IFERROR(__xludf.DUMMYFUNCTION("IFERROR(GOOGLETRANSLATE(B2014,""en"",""ja""),)"),"")</f>
        <v/>
      </c>
      <c r="D2014" s="4" t="str">
        <f ca="1">IFERROR(__xludf.DUMMYFUNCTION("IFERROR(GOOGLETRANSLATE(B2014,""en"",""zh-TW""),)"),"")</f>
        <v/>
      </c>
      <c r="E2014" s="4" t="str">
        <f ca="1">IFERROR(__xludf.DUMMYFUNCTION("IFERROR(GOOGLETRANSLATE(B2014,""en"",""zh-CN""),)"),"")</f>
        <v/>
      </c>
    </row>
    <row r="2015" spans="1:5">
      <c r="A2015" s="3"/>
      <c r="B2015" s="4" t="str">
        <f ca="1">IFERROR(__xludf.DUMMYFUNCTION("IFERROR(GOOGLETRANSLATE(A2015,""ko"",""en""),)"),"")</f>
        <v/>
      </c>
      <c r="C2015" s="4" t="str">
        <f ca="1">IFERROR(__xludf.DUMMYFUNCTION("IFERROR(GOOGLETRANSLATE(B2015,""en"",""ja""),)"),"")</f>
        <v/>
      </c>
      <c r="D2015" s="4" t="str">
        <f ca="1">IFERROR(__xludf.DUMMYFUNCTION("IFERROR(GOOGLETRANSLATE(B2015,""en"",""zh-TW""),)"),"")</f>
        <v/>
      </c>
      <c r="E2015" s="4" t="str">
        <f ca="1">IFERROR(__xludf.DUMMYFUNCTION("IFERROR(GOOGLETRANSLATE(B2015,""en"",""zh-CN""),)"),"")</f>
        <v/>
      </c>
    </row>
    <row r="2016" spans="1:5">
      <c r="A2016" s="3"/>
      <c r="B2016" s="4" t="str">
        <f ca="1">IFERROR(__xludf.DUMMYFUNCTION("IFERROR(GOOGLETRANSLATE(A2016,""ko"",""en""),)"),"")</f>
        <v/>
      </c>
      <c r="C2016" s="4" t="str">
        <f ca="1">IFERROR(__xludf.DUMMYFUNCTION("IFERROR(GOOGLETRANSLATE(B2016,""en"",""ja""),)"),"")</f>
        <v/>
      </c>
      <c r="D2016" s="4" t="str">
        <f ca="1">IFERROR(__xludf.DUMMYFUNCTION("IFERROR(GOOGLETRANSLATE(B2016,""en"",""zh-TW""),)"),"")</f>
        <v/>
      </c>
      <c r="E2016" s="4" t="str">
        <f ca="1">IFERROR(__xludf.DUMMYFUNCTION("IFERROR(GOOGLETRANSLATE(B2016,""en"",""zh-CN""),)"),"")</f>
        <v/>
      </c>
    </row>
    <row r="2017" spans="1:5">
      <c r="A2017" s="3"/>
      <c r="B2017" s="4" t="str">
        <f ca="1">IFERROR(__xludf.DUMMYFUNCTION("IFERROR(GOOGLETRANSLATE(A2017,""ko"",""en""),)"),"")</f>
        <v/>
      </c>
      <c r="C2017" s="4" t="str">
        <f ca="1">IFERROR(__xludf.DUMMYFUNCTION("IFERROR(GOOGLETRANSLATE(B2017,""en"",""ja""),)"),"")</f>
        <v/>
      </c>
      <c r="D2017" s="4" t="str">
        <f ca="1">IFERROR(__xludf.DUMMYFUNCTION("IFERROR(GOOGLETRANSLATE(B2017,""en"",""zh-TW""),)"),"")</f>
        <v/>
      </c>
      <c r="E2017" s="4" t="str">
        <f ca="1">IFERROR(__xludf.DUMMYFUNCTION("IFERROR(GOOGLETRANSLATE(B2017,""en"",""zh-CN""),)"),"")</f>
        <v/>
      </c>
    </row>
    <row r="2018" spans="1:5">
      <c r="A2018" s="3"/>
      <c r="B2018" s="4" t="str">
        <f ca="1">IFERROR(__xludf.DUMMYFUNCTION("IFERROR(GOOGLETRANSLATE(A2018,""ko"",""en""),)"),"")</f>
        <v/>
      </c>
      <c r="C2018" s="4" t="str">
        <f ca="1">IFERROR(__xludf.DUMMYFUNCTION("IFERROR(GOOGLETRANSLATE(B2018,""en"",""ja""),)"),"")</f>
        <v/>
      </c>
      <c r="D2018" s="4" t="str">
        <f ca="1">IFERROR(__xludf.DUMMYFUNCTION("IFERROR(GOOGLETRANSLATE(B2018,""en"",""zh-TW""),)"),"")</f>
        <v/>
      </c>
      <c r="E2018" s="4" t="str">
        <f ca="1">IFERROR(__xludf.DUMMYFUNCTION("IFERROR(GOOGLETRANSLATE(B2018,""en"",""zh-CN""),)"),"")</f>
        <v/>
      </c>
    </row>
    <row r="2019" spans="1:5">
      <c r="A2019" s="3"/>
      <c r="B2019" s="4" t="str">
        <f ca="1">IFERROR(__xludf.DUMMYFUNCTION("IFERROR(GOOGLETRANSLATE(A2019,""ko"",""en""),)"),"")</f>
        <v/>
      </c>
      <c r="C2019" s="4" t="str">
        <f ca="1">IFERROR(__xludf.DUMMYFUNCTION("IFERROR(GOOGLETRANSLATE(B2019,""en"",""ja""),)"),"")</f>
        <v/>
      </c>
      <c r="D2019" s="4" t="str">
        <f ca="1">IFERROR(__xludf.DUMMYFUNCTION("IFERROR(GOOGLETRANSLATE(B2019,""en"",""zh-TW""),)"),"")</f>
        <v/>
      </c>
      <c r="E2019" s="4" t="str">
        <f ca="1">IFERROR(__xludf.DUMMYFUNCTION("IFERROR(GOOGLETRANSLATE(B2019,""en"",""zh-CN""),)"),"")</f>
        <v/>
      </c>
    </row>
    <row r="2020" spans="1:5">
      <c r="A2020" s="3"/>
      <c r="B2020" s="4" t="str">
        <f ca="1">IFERROR(__xludf.DUMMYFUNCTION("IFERROR(GOOGLETRANSLATE(A2020,""ko"",""en""),)"),"")</f>
        <v/>
      </c>
      <c r="C2020" s="4" t="str">
        <f ca="1">IFERROR(__xludf.DUMMYFUNCTION("IFERROR(GOOGLETRANSLATE(B2020,""en"",""ja""),)"),"")</f>
        <v/>
      </c>
      <c r="D2020" s="4" t="str">
        <f ca="1">IFERROR(__xludf.DUMMYFUNCTION("IFERROR(GOOGLETRANSLATE(B2020,""en"",""zh-TW""),)"),"")</f>
        <v/>
      </c>
      <c r="E2020" s="4" t="str">
        <f ca="1">IFERROR(__xludf.DUMMYFUNCTION("IFERROR(GOOGLETRANSLATE(B2020,""en"",""zh-CN""),)"),"")</f>
        <v/>
      </c>
    </row>
    <row r="2021" spans="1:5">
      <c r="A2021" s="3"/>
      <c r="B2021" s="4" t="str">
        <f ca="1">IFERROR(__xludf.DUMMYFUNCTION("IFERROR(GOOGLETRANSLATE(A2021,""ko"",""en""),)"),"")</f>
        <v/>
      </c>
      <c r="C2021" s="4" t="str">
        <f ca="1">IFERROR(__xludf.DUMMYFUNCTION("IFERROR(GOOGLETRANSLATE(B2021,""en"",""ja""),)"),"")</f>
        <v/>
      </c>
      <c r="D2021" s="4" t="str">
        <f ca="1">IFERROR(__xludf.DUMMYFUNCTION("IFERROR(GOOGLETRANSLATE(B2021,""en"",""zh-TW""),)"),"")</f>
        <v/>
      </c>
      <c r="E2021" s="4" t="str">
        <f ca="1">IFERROR(__xludf.DUMMYFUNCTION("IFERROR(GOOGLETRANSLATE(B2021,""en"",""zh-CN""),)"),"")</f>
        <v/>
      </c>
    </row>
    <row r="2022" spans="1:5">
      <c r="A2022" s="3"/>
      <c r="B2022" s="4" t="str">
        <f ca="1">IFERROR(__xludf.DUMMYFUNCTION("IFERROR(GOOGLETRANSLATE(A2022,""ko"",""en""),)"),"")</f>
        <v/>
      </c>
      <c r="C2022" s="4" t="str">
        <f ca="1">IFERROR(__xludf.DUMMYFUNCTION("IFERROR(GOOGLETRANSLATE(B2022,""en"",""ja""),)"),"")</f>
        <v/>
      </c>
      <c r="D2022" s="4" t="str">
        <f ca="1">IFERROR(__xludf.DUMMYFUNCTION("IFERROR(GOOGLETRANSLATE(B2022,""en"",""zh-TW""),)"),"")</f>
        <v/>
      </c>
      <c r="E2022" s="4" t="str">
        <f ca="1">IFERROR(__xludf.DUMMYFUNCTION("IFERROR(GOOGLETRANSLATE(B2022,""en"",""zh-CN""),)"),"")</f>
        <v/>
      </c>
    </row>
    <row r="2023" spans="1:5">
      <c r="A2023" s="3"/>
      <c r="B2023" s="4" t="str">
        <f ca="1">IFERROR(__xludf.DUMMYFUNCTION("IFERROR(GOOGLETRANSLATE(A2023,""ko"",""en""),)"),"")</f>
        <v/>
      </c>
      <c r="C2023" s="4" t="str">
        <f ca="1">IFERROR(__xludf.DUMMYFUNCTION("IFERROR(GOOGLETRANSLATE(B2023,""en"",""ja""),)"),"")</f>
        <v/>
      </c>
      <c r="D2023" s="4" t="str">
        <f ca="1">IFERROR(__xludf.DUMMYFUNCTION("IFERROR(GOOGLETRANSLATE(B2023,""en"",""zh-TW""),)"),"")</f>
        <v/>
      </c>
      <c r="E2023" s="4" t="str">
        <f ca="1">IFERROR(__xludf.DUMMYFUNCTION("IFERROR(GOOGLETRANSLATE(B2023,""en"",""zh-CN""),)"),"")</f>
        <v/>
      </c>
    </row>
    <row r="2024" spans="1:5">
      <c r="A2024" s="3"/>
      <c r="B2024" s="4" t="str">
        <f ca="1">IFERROR(__xludf.DUMMYFUNCTION("IFERROR(GOOGLETRANSLATE(A2024,""ko"",""en""),)"),"")</f>
        <v/>
      </c>
      <c r="C2024" s="4" t="str">
        <f ca="1">IFERROR(__xludf.DUMMYFUNCTION("IFERROR(GOOGLETRANSLATE(B2024,""en"",""ja""),)"),"")</f>
        <v/>
      </c>
      <c r="D2024" s="4" t="str">
        <f ca="1">IFERROR(__xludf.DUMMYFUNCTION("IFERROR(GOOGLETRANSLATE(B2024,""en"",""zh-TW""),)"),"")</f>
        <v/>
      </c>
      <c r="E2024" s="4" t="str">
        <f ca="1">IFERROR(__xludf.DUMMYFUNCTION("IFERROR(GOOGLETRANSLATE(B2024,""en"",""zh-CN""),)"),"")</f>
        <v/>
      </c>
    </row>
    <row r="2025" spans="1:5">
      <c r="A2025" s="3"/>
      <c r="B2025" s="4" t="str">
        <f ca="1">IFERROR(__xludf.DUMMYFUNCTION("IFERROR(GOOGLETRANSLATE(A2025,""ko"",""en""),)"),"")</f>
        <v/>
      </c>
      <c r="C2025" s="4" t="str">
        <f ca="1">IFERROR(__xludf.DUMMYFUNCTION("IFERROR(GOOGLETRANSLATE(B2025,""en"",""ja""),)"),"")</f>
        <v/>
      </c>
      <c r="D2025" s="4" t="str">
        <f ca="1">IFERROR(__xludf.DUMMYFUNCTION("IFERROR(GOOGLETRANSLATE(B2025,""en"",""zh-TW""),)"),"")</f>
        <v/>
      </c>
      <c r="E2025" s="4" t="str">
        <f ca="1">IFERROR(__xludf.DUMMYFUNCTION("IFERROR(GOOGLETRANSLATE(B2025,""en"",""zh-CN""),)"),"")</f>
        <v/>
      </c>
    </row>
    <row r="2026" spans="1:5">
      <c r="A2026" s="3"/>
      <c r="B2026" s="4" t="str">
        <f ca="1">IFERROR(__xludf.DUMMYFUNCTION("IFERROR(GOOGLETRANSLATE(A2026,""ko"",""en""),)"),"")</f>
        <v/>
      </c>
      <c r="C2026" s="4" t="str">
        <f ca="1">IFERROR(__xludf.DUMMYFUNCTION("IFERROR(GOOGLETRANSLATE(B2026,""en"",""ja""),)"),"")</f>
        <v/>
      </c>
      <c r="D2026" s="4" t="str">
        <f ca="1">IFERROR(__xludf.DUMMYFUNCTION("IFERROR(GOOGLETRANSLATE(B2026,""en"",""zh-TW""),)"),"")</f>
        <v/>
      </c>
      <c r="E2026" s="4" t="str">
        <f ca="1">IFERROR(__xludf.DUMMYFUNCTION("IFERROR(GOOGLETRANSLATE(B2026,""en"",""zh-CN""),)"),"")</f>
        <v/>
      </c>
    </row>
    <row r="2027" spans="1:5">
      <c r="A2027" s="3"/>
      <c r="B2027" s="4" t="str">
        <f ca="1">IFERROR(__xludf.DUMMYFUNCTION("IFERROR(GOOGLETRANSLATE(A2027,""ko"",""en""),)"),"")</f>
        <v/>
      </c>
      <c r="C2027" s="4" t="str">
        <f ca="1">IFERROR(__xludf.DUMMYFUNCTION("IFERROR(GOOGLETRANSLATE(B2027,""en"",""ja""),)"),"")</f>
        <v/>
      </c>
      <c r="D2027" s="4" t="str">
        <f ca="1">IFERROR(__xludf.DUMMYFUNCTION("IFERROR(GOOGLETRANSLATE(B2027,""en"",""zh-TW""),)"),"")</f>
        <v/>
      </c>
      <c r="E2027" s="4" t="str">
        <f ca="1">IFERROR(__xludf.DUMMYFUNCTION("IFERROR(GOOGLETRANSLATE(B2027,""en"",""zh-CN""),)"),"")</f>
        <v/>
      </c>
    </row>
    <row r="2028" spans="1:5">
      <c r="A2028" s="3"/>
      <c r="B2028" s="4" t="str">
        <f ca="1">IFERROR(__xludf.DUMMYFUNCTION("IFERROR(GOOGLETRANSLATE(A2028,""ko"",""en""),)"),"")</f>
        <v/>
      </c>
      <c r="C2028" s="4" t="str">
        <f ca="1">IFERROR(__xludf.DUMMYFUNCTION("IFERROR(GOOGLETRANSLATE(B2028,""en"",""ja""),)"),"")</f>
        <v/>
      </c>
      <c r="D2028" s="4" t="str">
        <f ca="1">IFERROR(__xludf.DUMMYFUNCTION("IFERROR(GOOGLETRANSLATE(B2028,""en"",""zh-TW""),)"),"")</f>
        <v/>
      </c>
      <c r="E2028" s="4" t="str">
        <f ca="1">IFERROR(__xludf.DUMMYFUNCTION("IFERROR(GOOGLETRANSLATE(B2028,""en"",""zh-CN""),)"),"")</f>
        <v/>
      </c>
    </row>
    <row r="2029" spans="1:5">
      <c r="A2029" s="3"/>
      <c r="B2029" s="4" t="str">
        <f ca="1">IFERROR(__xludf.DUMMYFUNCTION("IFERROR(GOOGLETRANSLATE(A2029,""ko"",""en""),)"),"")</f>
        <v/>
      </c>
      <c r="C2029" s="4" t="str">
        <f ca="1">IFERROR(__xludf.DUMMYFUNCTION("IFERROR(GOOGLETRANSLATE(B2029,""en"",""ja""),)"),"")</f>
        <v/>
      </c>
      <c r="D2029" s="4" t="str">
        <f ca="1">IFERROR(__xludf.DUMMYFUNCTION("IFERROR(GOOGLETRANSLATE(B2029,""en"",""zh-TW""),)"),"")</f>
        <v/>
      </c>
      <c r="E2029" s="4" t="str">
        <f ca="1">IFERROR(__xludf.DUMMYFUNCTION("IFERROR(GOOGLETRANSLATE(B2029,""en"",""zh-CN""),)"),"")</f>
        <v/>
      </c>
    </row>
    <row r="2030" spans="1:5">
      <c r="A2030" s="3"/>
      <c r="B2030" s="4" t="str">
        <f ca="1">IFERROR(__xludf.DUMMYFUNCTION("IFERROR(GOOGLETRANSLATE(A2030,""ko"",""en""),)"),"")</f>
        <v/>
      </c>
      <c r="C2030" s="4" t="str">
        <f ca="1">IFERROR(__xludf.DUMMYFUNCTION("IFERROR(GOOGLETRANSLATE(B2030,""en"",""ja""),)"),"")</f>
        <v/>
      </c>
      <c r="D2030" s="4" t="str">
        <f ca="1">IFERROR(__xludf.DUMMYFUNCTION("IFERROR(GOOGLETRANSLATE(B2030,""en"",""zh-TW""),)"),"")</f>
        <v/>
      </c>
      <c r="E2030" s="4" t="str">
        <f ca="1">IFERROR(__xludf.DUMMYFUNCTION("IFERROR(GOOGLETRANSLATE(B2030,""en"",""zh-CN""),)"),"")</f>
        <v/>
      </c>
    </row>
    <row r="2031" spans="1:5">
      <c r="A2031" s="3"/>
      <c r="B2031" s="4" t="str">
        <f ca="1">IFERROR(__xludf.DUMMYFUNCTION("IFERROR(GOOGLETRANSLATE(A2031,""ko"",""en""),)"),"")</f>
        <v/>
      </c>
      <c r="C2031" s="4" t="str">
        <f ca="1">IFERROR(__xludf.DUMMYFUNCTION("IFERROR(GOOGLETRANSLATE(B2031,""en"",""ja""),)"),"")</f>
        <v/>
      </c>
      <c r="D2031" s="4" t="str">
        <f ca="1">IFERROR(__xludf.DUMMYFUNCTION("IFERROR(GOOGLETRANSLATE(B2031,""en"",""zh-TW""),)"),"")</f>
        <v/>
      </c>
      <c r="E2031" s="4" t="str">
        <f ca="1">IFERROR(__xludf.DUMMYFUNCTION("IFERROR(GOOGLETRANSLATE(B2031,""en"",""zh-CN""),)"),"")</f>
        <v/>
      </c>
    </row>
    <row r="2032" spans="1:5">
      <c r="A2032" s="3"/>
      <c r="B2032" s="4" t="str">
        <f ca="1">IFERROR(__xludf.DUMMYFUNCTION("IFERROR(GOOGLETRANSLATE(A2032,""ko"",""en""),)"),"")</f>
        <v/>
      </c>
      <c r="C2032" s="4" t="str">
        <f ca="1">IFERROR(__xludf.DUMMYFUNCTION("IFERROR(GOOGLETRANSLATE(B2032,""en"",""ja""),)"),"")</f>
        <v/>
      </c>
      <c r="D2032" s="4" t="str">
        <f ca="1">IFERROR(__xludf.DUMMYFUNCTION("IFERROR(GOOGLETRANSLATE(B2032,""en"",""zh-TW""),)"),"")</f>
        <v/>
      </c>
      <c r="E2032" s="4" t="str">
        <f ca="1">IFERROR(__xludf.DUMMYFUNCTION("IFERROR(GOOGLETRANSLATE(B2032,""en"",""zh-CN""),)"),"")</f>
        <v/>
      </c>
    </row>
    <row r="2033" spans="1:5">
      <c r="A2033" s="3"/>
      <c r="B2033" s="4" t="str">
        <f ca="1">IFERROR(__xludf.DUMMYFUNCTION("IFERROR(GOOGLETRANSLATE(A2033,""ko"",""en""),)"),"")</f>
        <v/>
      </c>
      <c r="C2033" s="4" t="str">
        <f ca="1">IFERROR(__xludf.DUMMYFUNCTION("IFERROR(GOOGLETRANSLATE(B2033,""en"",""ja""),)"),"")</f>
        <v/>
      </c>
      <c r="D2033" s="4" t="str">
        <f ca="1">IFERROR(__xludf.DUMMYFUNCTION("IFERROR(GOOGLETRANSLATE(B2033,""en"",""zh-TW""),)"),"")</f>
        <v/>
      </c>
      <c r="E2033" s="4" t="str">
        <f ca="1">IFERROR(__xludf.DUMMYFUNCTION("IFERROR(GOOGLETRANSLATE(B2033,""en"",""zh-CN""),)"),"")</f>
        <v/>
      </c>
    </row>
    <row r="2034" spans="1:5">
      <c r="A2034" s="3"/>
      <c r="B2034" s="4" t="str">
        <f ca="1">IFERROR(__xludf.DUMMYFUNCTION("IFERROR(GOOGLETRANSLATE(A2034,""ko"",""en""),)"),"")</f>
        <v/>
      </c>
      <c r="C2034" s="4" t="str">
        <f ca="1">IFERROR(__xludf.DUMMYFUNCTION("IFERROR(GOOGLETRANSLATE(B2034,""en"",""ja""),)"),"")</f>
        <v/>
      </c>
      <c r="D2034" s="4" t="str">
        <f ca="1">IFERROR(__xludf.DUMMYFUNCTION("IFERROR(GOOGLETRANSLATE(B2034,""en"",""zh-TW""),)"),"")</f>
        <v/>
      </c>
      <c r="E2034" s="4" t="str">
        <f ca="1">IFERROR(__xludf.DUMMYFUNCTION("IFERROR(GOOGLETRANSLATE(B2034,""en"",""zh-CN""),)"),"")</f>
        <v/>
      </c>
    </row>
    <row r="2035" spans="1:5">
      <c r="A2035" s="3"/>
      <c r="B2035" s="4" t="str">
        <f ca="1">IFERROR(__xludf.DUMMYFUNCTION("IFERROR(GOOGLETRANSLATE(A2035,""ko"",""en""),)"),"")</f>
        <v/>
      </c>
      <c r="C2035" s="4" t="str">
        <f ca="1">IFERROR(__xludf.DUMMYFUNCTION("IFERROR(GOOGLETRANSLATE(B2035,""en"",""ja""),)"),"")</f>
        <v/>
      </c>
      <c r="D2035" s="4" t="str">
        <f ca="1">IFERROR(__xludf.DUMMYFUNCTION("IFERROR(GOOGLETRANSLATE(B2035,""en"",""zh-TW""),)"),"")</f>
        <v/>
      </c>
      <c r="E2035" s="4" t="str">
        <f ca="1">IFERROR(__xludf.DUMMYFUNCTION("IFERROR(GOOGLETRANSLATE(B2035,""en"",""zh-CN""),)"),"")</f>
        <v/>
      </c>
    </row>
    <row r="2036" spans="1:5">
      <c r="A2036" s="3"/>
      <c r="B2036" s="4" t="str">
        <f ca="1">IFERROR(__xludf.DUMMYFUNCTION("IFERROR(GOOGLETRANSLATE(A2036,""ko"",""en""),)"),"")</f>
        <v/>
      </c>
      <c r="C2036" s="4" t="str">
        <f ca="1">IFERROR(__xludf.DUMMYFUNCTION("IFERROR(GOOGLETRANSLATE(B2036,""en"",""ja""),)"),"")</f>
        <v/>
      </c>
      <c r="D2036" s="4" t="str">
        <f ca="1">IFERROR(__xludf.DUMMYFUNCTION("IFERROR(GOOGLETRANSLATE(B2036,""en"",""zh-TW""),)"),"")</f>
        <v/>
      </c>
      <c r="E2036" s="4" t="str">
        <f ca="1">IFERROR(__xludf.DUMMYFUNCTION("IFERROR(GOOGLETRANSLATE(B2036,""en"",""zh-CN""),)"),"")</f>
        <v/>
      </c>
    </row>
    <row r="2037" spans="1:5">
      <c r="A2037" s="3"/>
      <c r="B2037" s="4" t="str">
        <f ca="1">IFERROR(__xludf.DUMMYFUNCTION("IFERROR(GOOGLETRANSLATE(A2037,""ko"",""en""),)"),"")</f>
        <v/>
      </c>
      <c r="C2037" s="4" t="str">
        <f ca="1">IFERROR(__xludf.DUMMYFUNCTION("IFERROR(GOOGLETRANSLATE(B2037,""en"",""ja""),)"),"")</f>
        <v/>
      </c>
      <c r="D2037" s="4" t="str">
        <f ca="1">IFERROR(__xludf.DUMMYFUNCTION("IFERROR(GOOGLETRANSLATE(B2037,""en"",""zh-TW""),)"),"")</f>
        <v/>
      </c>
      <c r="E2037" s="4" t="str">
        <f ca="1">IFERROR(__xludf.DUMMYFUNCTION("IFERROR(GOOGLETRANSLATE(B2037,""en"",""zh-CN""),)"),"")</f>
        <v/>
      </c>
    </row>
    <row r="2038" spans="1:5">
      <c r="A2038" s="3"/>
      <c r="B2038" s="4" t="str">
        <f ca="1">IFERROR(__xludf.DUMMYFUNCTION("IFERROR(GOOGLETRANSLATE(A2038,""ko"",""en""),)"),"")</f>
        <v/>
      </c>
      <c r="C2038" s="4" t="str">
        <f ca="1">IFERROR(__xludf.DUMMYFUNCTION("IFERROR(GOOGLETRANSLATE(B2038,""en"",""ja""),)"),"")</f>
        <v/>
      </c>
      <c r="D2038" s="4" t="str">
        <f ca="1">IFERROR(__xludf.DUMMYFUNCTION("IFERROR(GOOGLETRANSLATE(B2038,""en"",""zh-TW""),)"),"")</f>
        <v/>
      </c>
      <c r="E2038" s="4" t="str">
        <f ca="1">IFERROR(__xludf.DUMMYFUNCTION("IFERROR(GOOGLETRANSLATE(B2038,""en"",""zh-CN""),)"),"")</f>
        <v/>
      </c>
    </row>
    <row r="2039" spans="1:5">
      <c r="A2039" s="3"/>
      <c r="B2039" s="4" t="str">
        <f ca="1">IFERROR(__xludf.DUMMYFUNCTION("IFERROR(GOOGLETRANSLATE(A2039,""ko"",""en""),)"),"")</f>
        <v/>
      </c>
      <c r="C2039" s="4" t="str">
        <f ca="1">IFERROR(__xludf.DUMMYFUNCTION("IFERROR(GOOGLETRANSLATE(B2039,""en"",""ja""),)"),"")</f>
        <v/>
      </c>
      <c r="D2039" s="4" t="str">
        <f ca="1">IFERROR(__xludf.DUMMYFUNCTION("IFERROR(GOOGLETRANSLATE(B2039,""en"",""zh-TW""),)"),"")</f>
        <v/>
      </c>
      <c r="E2039" s="4" t="str">
        <f ca="1">IFERROR(__xludf.DUMMYFUNCTION("IFERROR(GOOGLETRANSLATE(B2039,""en"",""zh-CN""),)"),"")</f>
        <v/>
      </c>
    </row>
    <row r="2040" spans="1:5">
      <c r="A2040" s="3"/>
      <c r="B2040" s="4" t="str">
        <f ca="1">IFERROR(__xludf.DUMMYFUNCTION("IFERROR(GOOGLETRANSLATE(A2040,""ko"",""en""),)"),"")</f>
        <v/>
      </c>
      <c r="C2040" s="4" t="str">
        <f ca="1">IFERROR(__xludf.DUMMYFUNCTION("IFERROR(GOOGLETRANSLATE(B2040,""en"",""ja""),)"),"")</f>
        <v/>
      </c>
      <c r="D2040" s="4" t="str">
        <f ca="1">IFERROR(__xludf.DUMMYFUNCTION("IFERROR(GOOGLETRANSLATE(B2040,""en"",""zh-TW""),)"),"")</f>
        <v/>
      </c>
      <c r="E2040" s="4" t="str">
        <f ca="1">IFERROR(__xludf.DUMMYFUNCTION("IFERROR(GOOGLETRANSLATE(B2040,""en"",""zh-CN""),)"),"")</f>
        <v/>
      </c>
    </row>
    <row r="2041" spans="1:5">
      <c r="A2041" s="3"/>
      <c r="B2041" s="4" t="str">
        <f ca="1">IFERROR(__xludf.DUMMYFUNCTION("IFERROR(GOOGLETRANSLATE(A2041,""ko"",""en""),)"),"")</f>
        <v/>
      </c>
      <c r="C2041" s="4" t="str">
        <f ca="1">IFERROR(__xludf.DUMMYFUNCTION("IFERROR(GOOGLETRANSLATE(B2041,""en"",""ja""),)"),"")</f>
        <v/>
      </c>
      <c r="D2041" s="4" t="str">
        <f ca="1">IFERROR(__xludf.DUMMYFUNCTION("IFERROR(GOOGLETRANSLATE(B2041,""en"",""zh-TW""),)"),"")</f>
        <v/>
      </c>
      <c r="E2041" s="4" t="str">
        <f ca="1">IFERROR(__xludf.DUMMYFUNCTION("IFERROR(GOOGLETRANSLATE(B2041,""en"",""zh-CN""),)"),"")</f>
        <v/>
      </c>
    </row>
    <row r="2042" spans="1:5">
      <c r="A2042" s="3"/>
      <c r="B2042" s="4" t="str">
        <f ca="1">IFERROR(__xludf.DUMMYFUNCTION("IFERROR(GOOGLETRANSLATE(A2042,""ko"",""en""),)"),"")</f>
        <v/>
      </c>
      <c r="C2042" s="4" t="str">
        <f ca="1">IFERROR(__xludf.DUMMYFUNCTION("IFERROR(GOOGLETRANSLATE(B2042,""en"",""ja""),)"),"")</f>
        <v/>
      </c>
      <c r="D2042" s="4" t="str">
        <f ca="1">IFERROR(__xludf.DUMMYFUNCTION("IFERROR(GOOGLETRANSLATE(B2042,""en"",""zh-TW""),)"),"")</f>
        <v/>
      </c>
      <c r="E2042" s="4" t="str">
        <f ca="1">IFERROR(__xludf.DUMMYFUNCTION("IFERROR(GOOGLETRANSLATE(B2042,""en"",""zh-CN""),)"),"")</f>
        <v/>
      </c>
    </row>
    <row r="2043" spans="1:5">
      <c r="A2043" s="3"/>
      <c r="B2043" s="4" t="str">
        <f ca="1">IFERROR(__xludf.DUMMYFUNCTION("IFERROR(GOOGLETRANSLATE(A2043,""ko"",""en""),)"),"")</f>
        <v/>
      </c>
      <c r="C2043" s="4" t="str">
        <f ca="1">IFERROR(__xludf.DUMMYFUNCTION("IFERROR(GOOGLETRANSLATE(B2043,""en"",""ja""),)"),"")</f>
        <v/>
      </c>
      <c r="D2043" s="4" t="str">
        <f ca="1">IFERROR(__xludf.DUMMYFUNCTION("IFERROR(GOOGLETRANSLATE(B2043,""en"",""zh-TW""),)"),"")</f>
        <v/>
      </c>
      <c r="E2043" s="4" t="str">
        <f ca="1">IFERROR(__xludf.DUMMYFUNCTION("IFERROR(GOOGLETRANSLATE(B2043,""en"",""zh-CN""),)"),"")</f>
        <v/>
      </c>
    </row>
    <row r="2044" spans="1:5">
      <c r="A2044" s="3"/>
      <c r="B2044" s="4" t="str">
        <f ca="1">IFERROR(__xludf.DUMMYFUNCTION("IFERROR(GOOGLETRANSLATE(A2044,""ko"",""en""),)"),"")</f>
        <v/>
      </c>
      <c r="C2044" s="4" t="str">
        <f ca="1">IFERROR(__xludf.DUMMYFUNCTION("IFERROR(GOOGLETRANSLATE(B2044,""en"",""ja""),)"),"")</f>
        <v/>
      </c>
      <c r="D2044" s="4" t="str">
        <f ca="1">IFERROR(__xludf.DUMMYFUNCTION("IFERROR(GOOGLETRANSLATE(B2044,""en"",""zh-TW""),)"),"")</f>
        <v/>
      </c>
      <c r="E2044" s="4" t="str">
        <f ca="1">IFERROR(__xludf.DUMMYFUNCTION("IFERROR(GOOGLETRANSLATE(B2044,""en"",""zh-CN""),)"),"")</f>
        <v/>
      </c>
    </row>
    <row r="2045" spans="1:5">
      <c r="A2045" s="3"/>
      <c r="B2045" s="4" t="str">
        <f ca="1">IFERROR(__xludf.DUMMYFUNCTION("IFERROR(GOOGLETRANSLATE(A2045,""ko"",""en""),)"),"")</f>
        <v/>
      </c>
      <c r="C2045" s="4" t="str">
        <f ca="1">IFERROR(__xludf.DUMMYFUNCTION("IFERROR(GOOGLETRANSLATE(B2045,""en"",""ja""),)"),"")</f>
        <v/>
      </c>
      <c r="D2045" s="4" t="str">
        <f ca="1">IFERROR(__xludf.DUMMYFUNCTION("IFERROR(GOOGLETRANSLATE(B2045,""en"",""zh-TW""),)"),"")</f>
        <v/>
      </c>
      <c r="E2045" s="4" t="str">
        <f ca="1">IFERROR(__xludf.DUMMYFUNCTION("IFERROR(GOOGLETRANSLATE(B2045,""en"",""zh-CN""),)"),"")</f>
        <v/>
      </c>
    </row>
    <row r="2046" spans="1:5">
      <c r="A2046" s="3"/>
      <c r="B2046" s="4" t="str">
        <f ca="1">IFERROR(__xludf.DUMMYFUNCTION("IFERROR(GOOGLETRANSLATE(A2046,""ko"",""en""),)"),"")</f>
        <v/>
      </c>
      <c r="C2046" s="4" t="str">
        <f ca="1">IFERROR(__xludf.DUMMYFUNCTION("IFERROR(GOOGLETRANSLATE(B2046,""en"",""ja""),)"),"")</f>
        <v/>
      </c>
      <c r="D2046" s="4" t="str">
        <f ca="1">IFERROR(__xludf.DUMMYFUNCTION("IFERROR(GOOGLETRANSLATE(B2046,""en"",""zh-TW""),)"),"")</f>
        <v/>
      </c>
      <c r="E2046" s="4" t="str">
        <f ca="1">IFERROR(__xludf.DUMMYFUNCTION("IFERROR(GOOGLETRANSLATE(B2046,""en"",""zh-CN""),)"),"")</f>
        <v/>
      </c>
    </row>
    <row r="2047" spans="1:5">
      <c r="A2047" s="3"/>
      <c r="B2047" s="4" t="str">
        <f ca="1">IFERROR(__xludf.DUMMYFUNCTION("IFERROR(GOOGLETRANSLATE(A2047,""ko"",""en""),)"),"")</f>
        <v/>
      </c>
      <c r="C2047" s="4" t="str">
        <f ca="1">IFERROR(__xludf.DUMMYFUNCTION("IFERROR(GOOGLETRANSLATE(B2047,""en"",""ja""),)"),"")</f>
        <v/>
      </c>
      <c r="D2047" s="4" t="str">
        <f ca="1">IFERROR(__xludf.DUMMYFUNCTION("IFERROR(GOOGLETRANSLATE(B2047,""en"",""zh-TW""),)"),"")</f>
        <v/>
      </c>
      <c r="E2047" s="4" t="str">
        <f ca="1">IFERROR(__xludf.DUMMYFUNCTION("IFERROR(GOOGLETRANSLATE(B2047,""en"",""zh-CN""),)"),"")</f>
        <v/>
      </c>
    </row>
    <row r="2048" spans="1:5">
      <c r="A2048" s="3"/>
      <c r="B2048" s="4" t="str">
        <f ca="1">IFERROR(__xludf.DUMMYFUNCTION("IFERROR(GOOGLETRANSLATE(A2048,""ko"",""en""),)"),"")</f>
        <v/>
      </c>
      <c r="C2048" s="4" t="str">
        <f ca="1">IFERROR(__xludf.DUMMYFUNCTION("IFERROR(GOOGLETRANSLATE(B2048,""en"",""ja""),)"),"")</f>
        <v/>
      </c>
      <c r="D2048" s="4" t="str">
        <f ca="1">IFERROR(__xludf.DUMMYFUNCTION("IFERROR(GOOGLETRANSLATE(B2048,""en"",""zh-TW""),)"),"")</f>
        <v/>
      </c>
      <c r="E2048" s="4" t="str">
        <f ca="1">IFERROR(__xludf.DUMMYFUNCTION("IFERROR(GOOGLETRANSLATE(B2048,""en"",""zh-CN""),)"),"")</f>
        <v/>
      </c>
    </row>
    <row r="2049" spans="1:5">
      <c r="A2049" s="3"/>
      <c r="B2049" s="4" t="str">
        <f ca="1">IFERROR(__xludf.DUMMYFUNCTION("IFERROR(GOOGLETRANSLATE(A2049,""ko"",""en""),)"),"")</f>
        <v/>
      </c>
      <c r="C2049" s="4" t="str">
        <f ca="1">IFERROR(__xludf.DUMMYFUNCTION("IFERROR(GOOGLETRANSLATE(B2049,""en"",""ja""),)"),"")</f>
        <v/>
      </c>
      <c r="D2049" s="4" t="str">
        <f ca="1">IFERROR(__xludf.DUMMYFUNCTION("IFERROR(GOOGLETRANSLATE(B2049,""en"",""zh-TW""),)"),"")</f>
        <v/>
      </c>
      <c r="E2049" s="4" t="str">
        <f ca="1">IFERROR(__xludf.DUMMYFUNCTION("IFERROR(GOOGLETRANSLATE(B2049,""en"",""zh-CN""),)"),"")</f>
        <v/>
      </c>
    </row>
    <row r="2050" spans="1:5">
      <c r="A2050" s="3"/>
      <c r="B2050" s="4" t="str">
        <f ca="1">IFERROR(__xludf.DUMMYFUNCTION("IFERROR(GOOGLETRANSLATE(A2050,""ko"",""en""),)"),"")</f>
        <v/>
      </c>
      <c r="C2050" s="4" t="str">
        <f ca="1">IFERROR(__xludf.DUMMYFUNCTION("IFERROR(GOOGLETRANSLATE(B2050,""en"",""ja""),)"),"")</f>
        <v/>
      </c>
      <c r="D2050" s="4" t="str">
        <f ca="1">IFERROR(__xludf.DUMMYFUNCTION("IFERROR(GOOGLETRANSLATE(B2050,""en"",""zh-TW""),)"),"")</f>
        <v/>
      </c>
      <c r="E2050" s="4" t="str">
        <f ca="1">IFERROR(__xludf.DUMMYFUNCTION("IFERROR(GOOGLETRANSLATE(B2050,""en"",""zh-CN""),)"),"")</f>
        <v/>
      </c>
    </row>
    <row r="2051" spans="1:5">
      <c r="A2051" s="3"/>
      <c r="B2051" s="4" t="str">
        <f ca="1">IFERROR(__xludf.DUMMYFUNCTION("IFERROR(GOOGLETRANSLATE(A2051,""ko"",""en""),)"),"")</f>
        <v/>
      </c>
      <c r="C2051" s="4" t="str">
        <f ca="1">IFERROR(__xludf.DUMMYFUNCTION("IFERROR(GOOGLETRANSLATE(B2051,""en"",""ja""),)"),"")</f>
        <v/>
      </c>
      <c r="D2051" s="4" t="str">
        <f ca="1">IFERROR(__xludf.DUMMYFUNCTION("IFERROR(GOOGLETRANSLATE(B2051,""en"",""zh-TW""),)"),"")</f>
        <v/>
      </c>
      <c r="E2051" s="4" t="str">
        <f ca="1">IFERROR(__xludf.DUMMYFUNCTION("IFERROR(GOOGLETRANSLATE(B2051,""en"",""zh-CN""),)"),"")</f>
        <v/>
      </c>
    </row>
    <row r="2052" spans="1:5">
      <c r="A2052" s="3"/>
      <c r="B2052" s="4" t="str">
        <f ca="1">IFERROR(__xludf.DUMMYFUNCTION("IFERROR(GOOGLETRANSLATE(A2052,""ko"",""en""),)"),"")</f>
        <v/>
      </c>
      <c r="C2052" s="4" t="str">
        <f ca="1">IFERROR(__xludf.DUMMYFUNCTION("IFERROR(GOOGLETRANSLATE(B2052,""en"",""ja""),)"),"")</f>
        <v/>
      </c>
      <c r="D2052" s="4" t="str">
        <f ca="1">IFERROR(__xludf.DUMMYFUNCTION("IFERROR(GOOGLETRANSLATE(B2052,""en"",""zh-TW""),)"),"")</f>
        <v/>
      </c>
      <c r="E2052" s="4" t="str">
        <f ca="1">IFERROR(__xludf.DUMMYFUNCTION("IFERROR(GOOGLETRANSLATE(B2052,""en"",""zh-CN""),)"),"")</f>
        <v/>
      </c>
    </row>
    <row r="2053" spans="1:5">
      <c r="A2053" s="3"/>
      <c r="B2053" s="4" t="str">
        <f ca="1">IFERROR(__xludf.DUMMYFUNCTION("IFERROR(GOOGLETRANSLATE(A2053,""ko"",""en""),)"),"")</f>
        <v/>
      </c>
      <c r="C2053" s="4" t="str">
        <f ca="1">IFERROR(__xludf.DUMMYFUNCTION("IFERROR(GOOGLETRANSLATE(B2053,""en"",""ja""),)"),"")</f>
        <v/>
      </c>
      <c r="D2053" s="4" t="str">
        <f ca="1">IFERROR(__xludf.DUMMYFUNCTION("IFERROR(GOOGLETRANSLATE(B2053,""en"",""zh-TW""),)"),"")</f>
        <v/>
      </c>
      <c r="E2053" s="4" t="str">
        <f ca="1">IFERROR(__xludf.DUMMYFUNCTION("IFERROR(GOOGLETRANSLATE(B2053,""en"",""zh-CN""),)"),"")</f>
        <v/>
      </c>
    </row>
    <row r="2054" spans="1:5">
      <c r="A2054" s="3"/>
      <c r="B2054" s="4" t="str">
        <f ca="1">IFERROR(__xludf.DUMMYFUNCTION("IFERROR(GOOGLETRANSLATE(A2054,""ko"",""en""),)"),"")</f>
        <v/>
      </c>
      <c r="C2054" s="4" t="str">
        <f ca="1">IFERROR(__xludf.DUMMYFUNCTION("IFERROR(GOOGLETRANSLATE(B2054,""en"",""ja""),)"),"")</f>
        <v/>
      </c>
      <c r="D2054" s="4" t="str">
        <f ca="1">IFERROR(__xludf.DUMMYFUNCTION("IFERROR(GOOGLETRANSLATE(B2054,""en"",""zh-TW""),)"),"")</f>
        <v/>
      </c>
      <c r="E2054" s="4" t="str">
        <f ca="1">IFERROR(__xludf.DUMMYFUNCTION("IFERROR(GOOGLETRANSLATE(B2054,""en"",""zh-CN""),)"),"")</f>
        <v/>
      </c>
    </row>
    <row r="2055" spans="1:5">
      <c r="A2055" s="3"/>
      <c r="B2055" s="4" t="str">
        <f ca="1">IFERROR(__xludf.DUMMYFUNCTION("IFERROR(GOOGLETRANSLATE(A2055,""ko"",""en""),)"),"")</f>
        <v/>
      </c>
      <c r="C2055" s="4" t="str">
        <f ca="1">IFERROR(__xludf.DUMMYFUNCTION("IFERROR(GOOGLETRANSLATE(B2055,""en"",""ja""),)"),"")</f>
        <v/>
      </c>
      <c r="D2055" s="4" t="str">
        <f ca="1">IFERROR(__xludf.DUMMYFUNCTION("IFERROR(GOOGLETRANSLATE(B2055,""en"",""zh-TW""),)"),"")</f>
        <v/>
      </c>
      <c r="E2055" s="4" t="str">
        <f ca="1">IFERROR(__xludf.DUMMYFUNCTION("IFERROR(GOOGLETRANSLATE(B2055,""en"",""zh-CN""),)"),"")</f>
        <v/>
      </c>
    </row>
    <row r="2056" spans="1:5">
      <c r="A2056" s="3"/>
      <c r="B2056" s="4" t="str">
        <f ca="1">IFERROR(__xludf.DUMMYFUNCTION("IFERROR(GOOGLETRANSLATE(A2056,""ko"",""en""),)"),"")</f>
        <v/>
      </c>
      <c r="C2056" s="4" t="str">
        <f ca="1">IFERROR(__xludf.DUMMYFUNCTION("IFERROR(GOOGLETRANSLATE(B2056,""en"",""ja""),)"),"")</f>
        <v/>
      </c>
      <c r="D2056" s="4" t="str">
        <f ca="1">IFERROR(__xludf.DUMMYFUNCTION("IFERROR(GOOGLETRANSLATE(B2056,""en"",""zh-TW""),)"),"")</f>
        <v/>
      </c>
      <c r="E2056" s="4" t="str">
        <f ca="1">IFERROR(__xludf.DUMMYFUNCTION("IFERROR(GOOGLETRANSLATE(B2056,""en"",""zh-CN""),)"),"")</f>
        <v/>
      </c>
    </row>
    <row r="2057" spans="1:5">
      <c r="A2057" s="3"/>
      <c r="B2057" s="4" t="str">
        <f ca="1">IFERROR(__xludf.DUMMYFUNCTION("IFERROR(GOOGLETRANSLATE(A2057,""ko"",""en""),)"),"")</f>
        <v/>
      </c>
      <c r="C2057" s="4" t="str">
        <f ca="1">IFERROR(__xludf.DUMMYFUNCTION("IFERROR(GOOGLETRANSLATE(B2057,""en"",""ja""),)"),"")</f>
        <v/>
      </c>
      <c r="D2057" s="4" t="str">
        <f ca="1">IFERROR(__xludf.DUMMYFUNCTION("IFERROR(GOOGLETRANSLATE(B2057,""en"",""zh-TW""),)"),"")</f>
        <v/>
      </c>
      <c r="E2057" s="4" t="str">
        <f ca="1">IFERROR(__xludf.DUMMYFUNCTION("IFERROR(GOOGLETRANSLATE(B2057,""en"",""zh-CN""),)"),"")</f>
        <v/>
      </c>
    </row>
    <row r="2058" spans="1:5">
      <c r="A2058" s="3"/>
      <c r="B2058" s="4" t="str">
        <f ca="1">IFERROR(__xludf.DUMMYFUNCTION("IFERROR(GOOGLETRANSLATE(A2058,""ko"",""en""),)"),"")</f>
        <v/>
      </c>
      <c r="C2058" s="4" t="str">
        <f ca="1">IFERROR(__xludf.DUMMYFUNCTION("IFERROR(GOOGLETRANSLATE(B2058,""en"",""ja""),)"),"")</f>
        <v/>
      </c>
      <c r="D2058" s="4" t="str">
        <f ca="1">IFERROR(__xludf.DUMMYFUNCTION("IFERROR(GOOGLETRANSLATE(B2058,""en"",""zh-TW""),)"),"")</f>
        <v/>
      </c>
      <c r="E2058" s="4" t="str">
        <f ca="1">IFERROR(__xludf.DUMMYFUNCTION("IFERROR(GOOGLETRANSLATE(B2058,""en"",""zh-CN""),)"),"")</f>
        <v/>
      </c>
    </row>
    <row r="2059" spans="1:5">
      <c r="A2059" s="3"/>
      <c r="B2059" s="4" t="str">
        <f ca="1">IFERROR(__xludf.DUMMYFUNCTION("IFERROR(GOOGLETRANSLATE(A2059,""ko"",""en""),)"),"")</f>
        <v/>
      </c>
      <c r="C2059" s="4" t="str">
        <f ca="1">IFERROR(__xludf.DUMMYFUNCTION("IFERROR(GOOGLETRANSLATE(B2059,""en"",""ja""),)"),"")</f>
        <v/>
      </c>
      <c r="D2059" s="4" t="str">
        <f ca="1">IFERROR(__xludf.DUMMYFUNCTION("IFERROR(GOOGLETRANSLATE(B2059,""en"",""zh-TW""),)"),"")</f>
        <v/>
      </c>
      <c r="E2059" s="4" t="str">
        <f ca="1">IFERROR(__xludf.DUMMYFUNCTION("IFERROR(GOOGLETRANSLATE(B2059,""en"",""zh-CN""),)"),"")</f>
        <v/>
      </c>
    </row>
    <row r="2060" spans="1:5">
      <c r="A2060" s="3"/>
      <c r="B2060" s="4" t="str">
        <f ca="1">IFERROR(__xludf.DUMMYFUNCTION("IFERROR(GOOGLETRANSLATE(A2060,""ko"",""en""),)"),"")</f>
        <v/>
      </c>
      <c r="C2060" s="4" t="str">
        <f ca="1">IFERROR(__xludf.DUMMYFUNCTION("IFERROR(GOOGLETRANSLATE(B2060,""en"",""ja""),)"),"")</f>
        <v/>
      </c>
      <c r="D2060" s="4" t="str">
        <f ca="1">IFERROR(__xludf.DUMMYFUNCTION("IFERROR(GOOGLETRANSLATE(B2060,""en"",""zh-TW""),)"),"")</f>
        <v/>
      </c>
      <c r="E2060" s="4" t="str">
        <f ca="1">IFERROR(__xludf.DUMMYFUNCTION("IFERROR(GOOGLETRANSLATE(B2060,""en"",""zh-CN""),)"),"")</f>
        <v/>
      </c>
    </row>
    <row r="2061" spans="1:5">
      <c r="A2061" s="3"/>
      <c r="B2061" s="4" t="str">
        <f ca="1">IFERROR(__xludf.DUMMYFUNCTION("IFERROR(GOOGLETRANSLATE(A2061,""ko"",""en""),)"),"")</f>
        <v/>
      </c>
      <c r="C2061" s="4" t="str">
        <f ca="1">IFERROR(__xludf.DUMMYFUNCTION("IFERROR(GOOGLETRANSLATE(B2061,""en"",""ja""),)"),"")</f>
        <v/>
      </c>
      <c r="D2061" s="4" t="str">
        <f ca="1">IFERROR(__xludf.DUMMYFUNCTION("IFERROR(GOOGLETRANSLATE(B2061,""en"",""zh-TW""),)"),"")</f>
        <v/>
      </c>
      <c r="E2061" s="4" t="str">
        <f ca="1">IFERROR(__xludf.DUMMYFUNCTION("IFERROR(GOOGLETRANSLATE(B2061,""en"",""zh-CN""),)"),"")</f>
        <v/>
      </c>
    </row>
    <row r="2062" spans="1:5">
      <c r="A2062" s="3"/>
      <c r="B2062" s="4" t="str">
        <f ca="1">IFERROR(__xludf.DUMMYFUNCTION("IFERROR(GOOGLETRANSLATE(A2062,""ko"",""en""),)"),"")</f>
        <v/>
      </c>
      <c r="C2062" s="4" t="str">
        <f ca="1">IFERROR(__xludf.DUMMYFUNCTION("IFERROR(GOOGLETRANSLATE(B2062,""en"",""ja""),)"),"")</f>
        <v/>
      </c>
      <c r="D2062" s="4" t="str">
        <f ca="1">IFERROR(__xludf.DUMMYFUNCTION("IFERROR(GOOGLETRANSLATE(B2062,""en"",""zh-TW""),)"),"")</f>
        <v/>
      </c>
      <c r="E2062" s="4" t="str">
        <f ca="1">IFERROR(__xludf.DUMMYFUNCTION("IFERROR(GOOGLETRANSLATE(B2062,""en"",""zh-CN""),)"),"")</f>
        <v/>
      </c>
    </row>
    <row r="2063" spans="1:5">
      <c r="A2063" s="3"/>
      <c r="B2063" s="4" t="str">
        <f ca="1">IFERROR(__xludf.DUMMYFUNCTION("IFERROR(GOOGLETRANSLATE(A2063,""ko"",""en""),)"),"")</f>
        <v/>
      </c>
      <c r="C2063" s="4" t="str">
        <f ca="1">IFERROR(__xludf.DUMMYFUNCTION("IFERROR(GOOGLETRANSLATE(B2063,""en"",""ja""),)"),"")</f>
        <v/>
      </c>
      <c r="D2063" s="4" t="str">
        <f ca="1">IFERROR(__xludf.DUMMYFUNCTION("IFERROR(GOOGLETRANSLATE(B2063,""en"",""zh-TW""),)"),"")</f>
        <v/>
      </c>
      <c r="E2063" s="4" t="str">
        <f ca="1">IFERROR(__xludf.DUMMYFUNCTION("IFERROR(GOOGLETRANSLATE(B2063,""en"",""zh-CN""),)"),"")</f>
        <v/>
      </c>
    </row>
    <row r="2064" spans="1:5">
      <c r="A2064" s="3"/>
      <c r="B2064" s="4" t="str">
        <f ca="1">IFERROR(__xludf.DUMMYFUNCTION("IFERROR(GOOGLETRANSLATE(A2064,""ko"",""en""),)"),"")</f>
        <v/>
      </c>
      <c r="C2064" s="4" t="str">
        <f ca="1">IFERROR(__xludf.DUMMYFUNCTION("IFERROR(GOOGLETRANSLATE(B2064,""en"",""ja""),)"),"")</f>
        <v/>
      </c>
      <c r="D2064" s="4" t="str">
        <f ca="1">IFERROR(__xludf.DUMMYFUNCTION("IFERROR(GOOGLETRANSLATE(B2064,""en"",""zh-TW""),)"),"")</f>
        <v/>
      </c>
      <c r="E2064" s="4" t="str">
        <f ca="1">IFERROR(__xludf.DUMMYFUNCTION("IFERROR(GOOGLETRANSLATE(B2064,""en"",""zh-CN""),)"),"")</f>
        <v/>
      </c>
    </row>
    <row r="2065" spans="1:5">
      <c r="A2065" s="3"/>
      <c r="B2065" s="4" t="str">
        <f ca="1">IFERROR(__xludf.DUMMYFUNCTION("IFERROR(GOOGLETRANSLATE(A2065,""ko"",""en""),)"),"")</f>
        <v/>
      </c>
      <c r="C2065" s="4" t="str">
        <f ca="1">IFERROR(__xludf.DUMMYFUNCTION("IFERROR(GOOGLETRANSLATE(B2065,""en"",""ja""),)"),"")</f>
        <v/>
      </c>
      <c r="D2065" s="4" t="str">
        <f ca="1">IFERROR(__xludf.DUMMYFUNCTION("IFERROR(GOOGLETRANSLATE(B2065,""en"",""zh-TW""),)"),"")</f>
        <v/>
      </c>
      <c r="E2065" s="4" t="str">
        <f ca="1">IFERROR(__xludf.DUMMYFUNCTION("IFERROR(GOOGLETRANSLATE(B2065,""en"",""zh-CN""),)"),"")</f>
        <v/>
      </c>
    </row>
    <row r="2066" spans="1:5">
      <c r="A2066" s="3"/>
      <c r="B2066" s="4" t="str">
        <f ca="1">IFERROR(__xludf.DUMMYFUNCTION("IFERROR(GOOGLETRANSLATE(A2066,""ko"",""en""),)"),"")</f>
        <v/>
      </c>
      <c r="C2066" s="4" t="str">
        <f ca="1">IFERROR(__xludf.DUMMYFUNCTION("IFERROR(GOOGLETRANSLATE(B2066,""en"",""ja""),)"),"")</f>
        <v/>
      </c>
      <c r="D2066" s="4" t="str">
        <f ca="1">IFERROR(__xludf.DUMMYFUNCTION("IFERROR(GOOGLETRANSLATE(B2066,""en"",""zh-TW""),)"),"")</f>
        <v/>
      </c>
      <c r="E2066" s="4" t="str">
        <f ca="1">IFERROR(__xludf.DUMMYFUNCTION("IFERROR(GOOGLETRANSLATE(B2066,""en"",""zh-CN""),)"),"")</f>
        <v/>
      </c>
    </row>
    <row r="2067" spans="1:5">
      <c r="A2067" s="3"/>
      <c r="B2067" s="4" t="str">
        <f ca="1">IFERROR(__xludf.DUMMYFUNCTION("IFERROR(GOOGLETRANSLATE(A2067,""ko"",""en""),)"),"")</f>
        <v/>
      </c>
      <c r="C2067" s="4" t="str">
        <f ca="1">IFERROR(__xludf.DUMMYFUNCTION("IFERROR(GOOGLETRANSLATE(B2067,""en"",""ja""),)"),"")</f>
        <v/>
      </c>
      <c r="D2067" s="4" t="str">
        <f ca="1">IFERROR(__xludf.DUMMYFUNCTION("IFERROR(GOOGLETRANSLATE(B2067,""en"",""zh-TW""),)"),"")</f>
        <v/>
      </c>
      <c r="E2067" s="4" t="str">
        <f ca="1">IFERROR(__xludf.DUMMYFUNCTION("IFERROR(GOOGLETRANSLATE(B2067,""en"",""zh-CN""),)"),"")</f>
        <v/>
      </c>
    </row>
    <row r="2068" spans="1:5">
      <c r="A2068" s="3"/>
      <c r="B2068" s="4" t="str">
        <f ca="1">IFERROR(__xludf.DUMMYFUNCTION("IFERROR(GOOGLETRANSLATE(A2068,""ko"",""en""),)"),"")</f>
        <v/>
      </c>
      <c r="C2068" s="4" t="str">
        <f ca="1">IFERROR(__xludf.DUMMYFUNCTION("IFERROR(GOOGLETRANSLATE(B2068,""en"",""ja""),)"),"")</f>
        <v/>
      </c>
      <c r="D2068" s="4" t="str">
        <f ca="1">IFERROR(__xludf.DUMMYFUNCTION("IFERROR(GOOGLETRANSLATE(B2068,""en"",""zh-TW""),)"),"")</f>
        <v/>
      </c>
      <c r="E2068" s="4" t="str">
        <f ca="1">IFERROR(__xludf.DUMMYFUNCTION("IFERROR(GOOGLETRANSLATE(B2068,""en"",""zh-CN""),)"),"")</f>
        <v/>
      </c>
    </row>
    <row r="2069" spans="1:5">
      <c r="A2069" s="3"/>
      <c r="B2069" s="4" t="str">
        <f ca="1">IFERROR(__xludf.DUMMYFUNCTION("IFERROR(GOOGLETRANSLATE(A2069,""ko"",""en""),)"),"")</f>
        <v/>
      </c>
      <c r="C2069" s="4" t="str">
        <f ca="1">IFERROR(__xludf.DUMMYFUNCTION("IFERROR(GOOGLETRANSLATE(B2069,""en"",""ja""),)"),"")</f>
        <v/>
      </c>
      <c r="D2069" s="4" t="str">
        <f ca="1">IFERROR(__xludf.DUMMYFUNCTION("IFERROR(GOOGLETRANSLATE(B2069,""en"",""zh-TW""),)"),"")</f>
        <v/>
      </c>
      <c r="E2069" s="4" t="str">
        <f ca="1">IFERROR(__xludf.DUMMYFUNCTION("IFERROR(GOOGLETRANSLATE(B2069,""en"",""zh-CN""),)"),"")</f>
        <v/>
      </c>
    </row>
    <row r="2070" spans="1:5">
      <c r="A2070" s="3"/>
      <c r="B2070" s="4" t="str">
        <f ca="1">IFERROR(__xludf.DUMMYFUNCTION("IFERROR(GOOGLETRANSLATE(A2070,""ko"",""en""),)"),"")</f>
        <v/>
      </c>
      <c r="C2070" s="4" t="str">
        <f ca="1">IFERROR(__xludf.DUMMYFUNCTION("IFERROR(GOOGLETRANSLATE(B2070,""en"",""ja""),)"),"")</f>
        <v/>
      </c>
      <c r="D2070" s="4" t="str">
        <f ca="1">IFERROR(__xludf.DUMMYFUNCTION("IFERROR(GOOGLETRANSLATE(B2070,""en"",""zh-TW""),)"),"")</f>
        <v/>
      </c>
      <c r="E2070" s="4" t="str">
        <f ca="1">IFERROR(__xludf.DUMMYFUNCTION("IFERROR(GOOGLETRANSLATE(B2070,""en"",""zh-CN""),)"),"")</f>
        <v/>
      </c>
    </row>
    <row r="2071" spans="1:5">
      <c r="A2071" s="3"/>
      <c r="B2071" s="4" t="str">
        <f ca="1">IFERROR(__xludf.DUMMYFUNCTION("IFERROR(GOOGLETRANSLATE(A2071,""ko"",""en""),)"),"")</f>
        <v/>
      </c>
      <c r="C2071" s="4" t="str">
        <f ca="1">IFERROR(__xludf.DUMMYFUNCTION("IFERROR(GOOGLETRANSLATE(B2071,""en"",""ja""),)"),"")</f>
        <v/>
      </c>
      <c r="D2071" s="4" t="str">
        <f ca="1">IFERROR(__xludf.DUMMYFUNCTION("IFERROR(GOOGLETRANSLATE(B2071,""en"",""zh-TW""),)"),"")</f>
        <v/>
      </c>
      <c r="E2071" s="4" t="str">
        <f ca="1">IFERROR(__xludf.DUMMYFUNCTION("IFERROR(GOOGLETRANSLATE(B2071,""en"",""zh-CN""),)"),"")</f>
        <v/>
      </c>
    </row>
    <row r="2072" spans="1:5">
      <c r="A2072" s="3"/>
      <c r="B2072" s="4" t="str">
        <f ca="1">IFERROR(__xludf.DUMMYFUNCTION("IFERROR(GOOGLETRANSLATE(A2072,""ko"",""en""),)"),"")</f>
        <v/>
      </c>
      <c r="C2072" s="4" t="str">
        <f ca="1">IFERROR(__xludf.DUMMYFUNCTION("IFERROR(GOOGLETRANSLATE(B2072,""en"",""ja""),)"),"")</f>
        <v/>
      </c>
      <c r="D2072" s="4" t="str">
        <f ca="1">IFERROR(__xludf.DUMMYFUNCTION("IFERROR(GOOGLETRANSLATE(B2072,""en"",""zh-TW""),)"),"")</f>
        <v/>
      </c>
      <c r="E2072" s="4" t="str">
        <f ca="1">IFERROR(__xludf.DUMMYFUNCTION("IFERROR(GOOGLETRANSLATE(B2072,""en"",""zh-CN""),)"),"")</f>
        <v/>
      </c>
    </row>
    <row r="2073" spans="1:5">
      <c r="A2073" s="3"/>
      <c r="B2073" s="4" t="str">
        <f ca="1">IFERROR(__xludf.DUMMYFUNCTION("IFERROR(GOOGLETRANSLATE(A2073,""ko"",""en""),)"),"")</f>
        <v/>
      </c>
      <c r="C2073" s="4" t="str">
        <f ca="1">IFERROR(__xludf.DUMMYFUNCTION("IFERROR(GOOGLETRANSLATE(B2073,""en"",""ja""),)"),"")</f>
        <v/>
      </c>
      <c r="D2073" s="4" t="str">
        <f ca="1">IFERROR(__xludf.DUMMYFUNCTION("IFERROR(GOOGLETRANSLATE(B2073,""en"",""zh-TW""),)"),"")</f>
        <v/>
      </c>
      <c r="E2073" s="4" t="str">
        <f ca="1">IFERROR(__xludf.DUMMYFUNCTION("IFERROR(GOOGLETRANSLATE(B2073,""en"",""zh-CN""),)"),"")</f>
        <v/>
      </c>
    </row>
    <row r="2074" spans="1:5">
      <c r="A2074" s="3"/>
      <c r="B2074" s="4" t="str">
        <f ca="1">IFERROR(__xludf.DUMMYFUNCTION("IFERROR(GOOGLETRANSLATE(A2074,""ko"",""en""),)"),"")</f>
        <v/>
      </c>
      <c r="C2074" s="4" t="str">
        <f ca="1">IFERROR(__xludf.DUMMYFUNCTION("IFERROR(GOOGLETRANSLATE(B2074,""en"",""ja""),)"),"")</f>
        <v/>
      </c>
      <c r="D2074" s="4" t="str">
        <f ca="1">IFERROR(__xludf.DUMMYFUNCTION("IFERROR(GOOGLETRANSLATE(B2074,""en"",""zh-TW""),)"),"")</f>
        <v/>
      </c>
      <c r="E2074" s="4" t="str">
        <f ca="1">IFERROR(__xludf.DUMMYFUNCTION("IFERROR(GOOGLETRANSLATE(B2074,""en"",""zh-CN""),)"),"")</f>
        <v/>
      </c>
    </row>
    <row r="2075" spans="1:5">
      <c r="A2075" s="3"/>
      <c r="B2075" s="4" t="str">
        <f ca="1">IFERROR(__xludf.DUMMYFUNCTION("IFERROR(GOOGLETRANSLATE(A2075,""ko"",""en""),)"),"")</f>
        <v/>
      </c>
      <c r="C2075" s="4" t="str">
        <f ca="1">IFERROR(__xludf.DUMMYFUNCTION("IFERROR(GOOGLETRANSLATE(B2075,""en"",""ja""),)"),"")</f>
        <v/>
      </c>
      <c r="D2075" s="4" t="str">
        <f ca="1">IFERROR(__xludf.DUMMYFUNCTION("IFERROR(GOOGLETRANSLATE(B2075,""en"",""zh-TW""),)"),"")</f>
        <v/>
      </c>
      <c r="E2075" s="4" t="str">
        <f ca="1">IFERROR(__xludf.DUMMYFUNCTION("IFERROR(GOOGLETRANSLATE(B2075,""en"",""zh-CN""),)"),"")</f>
        <v/>
      </c>
    </row>
    <row r="2076" spans="1:5">
      <c r="A2076" s="3"/>
      <c r="B2076" s="4" t="str">
        <f ca="1">IFERROR(__xludf.DUMMYFUNCTION("IFERROR(GOOGLETRANSLATE(A2076,""ko"",""en""),)"),"")</f>
        <v/>
      </c>
      <c r="C2076" s="4" t="str">
        <f ca="1">IFERROR(__xludf.DUMMYFUNCTION("IFERROR(GOOGLETRANSLATE(B2076,""en"",""ja""),)"),"")</f>
        <v/>
      </c>
      <c r="D2076" s="4" t="str">
        <f ca="1">IFERROR(__xludf.DUMMYFUNCTION("IFERROR(GOOGLETRANSLATE(B2076,""en"",""zh-TW""),)"),"")</f>
        <v/>
      </c>
      <c r="E2076" s="4" t="str">
        <f ca="1">IFERROR(__xludf.DUMMYFUNCTION("IFERROR(GOOGLETRANSLATE(B2076,""en"",""zh-CN""),)"),"")</f>
        <v/>
      </c>
    </row>
    <row r="2077" spans="1:5">
      <c r="A2077" s="3"/>
      <c r="B2077" s="4" t="str">
        <f ca="1">IFERROR(__xludf.DUMMYFUNCTION("IFERROR(GOOGLETRANSLATE(A2077,""ko"",""en""),)"),"")</f>
        <v/>
      </c>
      <c r="C2077" s="4" t="str">
        <f ca="1">IFERROR(__xludf.DUMMYFUNCTION("IFERROR(GOOGLETRANSLATE(B2077,""en"",""ja""),)"),"")</f>
        <v/>
      </c>
      <c r="D2077" s="4" t="str">
        <f ca="1">IFERROR(__xludf.DUMMYFUNCTION("IFERROR(GOOGLETRANSLATE(B2077,""en"",""zh-TW""),)"),"")</f>
        <v/>
      </c>
      <c r="E2077" s="4" t="str">
        <f ca="1">IFERROR(__xludf.DUMMYFUNCTION("IFERROR(GOOGLETRANSLATE(B2077,""en"",""zh-CN""),)"),"")</f>
        <v/>
      </c>
    </row>
    <row r="2078" spans="1:5">
      <c r="A2078" s="3"/>
      <c r="B2078" s="4" t="str">
        <f ca="1">IFERROR(__xludf.DUMMYFUNCTION("IFERROR(GOOGLETRANSLATE(A2078,""ko"",""en""),)"),"")</f>
        <v/>
      </c>
      <c r="C2078" s="4" t="str">
        <f ca="1">IFERROR(__xludf.DUMMYFUNCTION("IFERROR(GOOGLETRANSLATE(B2078,""en"",""ja""),)"),"")</f>
        <v/>
      </c>
      <c r="D2078" s="4" t="str">
        <f ca="1">IFERROR(__xludf.DUMMYFUNCTION("IFERROR(GOOGLETRANSLATE(B2078,""en"",""zh-TW""),)"),"")</f>
        <v/>
      </c>
      <c r="E2078" s="4" t="str">
        <f ca="1">IFERROR(__xludf.DUMMYFUNCTION("IFERROR(GOOGLETRANSLATE(B2078,""en"",""zh-CN""),)"),"")</f>
        <v/>
      </c>
    </row>
    <row r="2079" spans="1:5">
      <c r="A2079" s="3"/>
      <c r="B2079" s="4" t="str">
        <f ca="1">IFERROR(__xludf.DUMMYFUNCTION("IFERROR(GOOGLETRANSLATE(A2079,""ko"",""en""),)"),"")</f>
        <v/>
      </c>
      <c r="C2079" s="4" t="str">
        <f ca="1">IFERROR(__xludf.DUMMYFUNCTION("IFERROR(GOOGLETRANSLATE(B2079,""en"",""ja""),)"),"")</f>
        <v/>
      </c>
      <c r="D2079" s="4" t="str">
        <f ca="1">IFERROR(__xludf.DUMMYFUNCTION("IFERROR(GOOGLETRANSLATE(B2079,""en"",""zh-TW""),)"),"")</f>
        <v/>
      </c>
      <c r="E2079" s="4" t="str">
        <f ca="1">IFERROR(__xludf.DUMMYFUNCTION("IFERROR(GOOGLETRANSLATE(B2079,""en"",""zh-CN""),)"),"")</f>
        <v/>
      </c>
    </row>
    <row r="2080" spans="1:5">
      <c r="A2080" s="3"/>
      <c r="B2080" s="4" t="str">
        <f ca="1">IFERROR(__xludf.DUMMYFUNCTION("IFERROR(GOOGLETRANSLATE(A2080,""ko"",""en""),)"),"")</f>
        <v/>
      </c>
      <c r="C2080" s="4" t="str">
        <f ca="1">IFERROR(__xludf.DUMMYFUNCTION("IFERROR(GOOGLETRANSLATE(B2080,""en"",""ja""),)"),"")</f>
        <v/>
      </c>
      <c r="D2080" s="4" t="str">
        <f ca="1">IFERROR(__xludf.DUMMYFUNCTION("IFERROR(GOOGLETRANSLATE(B2080,""en"",""zh-TW""),)"),"")</f>
        <v/>
      </c>
      <c r="E2080" s="4" t="str">
        <f ca="1">IFERROR(__xludf.DUMMYFUNCTION("IFERROR(GOOGLETRANSLATE(B2080,""en"",""zh-CN""),)"),"")</f>
        <v/>
      </c>
    </row>
    <row r="2081" spans="1:5">
      <c r="A2081" s="3"/>
      <c r="B2081" s="4" t="str">
        <f ca="1">IFERROR(__xludf.DUMMYFUNCTION("IFERROR(GOOGLETRANSLATE(A2081,""ko"",""en""),)"),"")</f>
        <v/>
      </c>
      <c r="C2081" s="4" t="str">
        <f ca="1">IFERROR(__xludf.DUMMYFUNCTION("IFERROR(GOOGLETRANSLATE(B2081,""en"",""ja""),)"),"")</f>
        <v/>
      </c>
      <c r="D2081" s="4" t="str">
        <f ca="1">IFERROR(__xludf.DUMMYFUNCTION("IFERROR(GOOGLETRANSLATE(B2081,""en"",""zh-TW""),)"),"")</f>
        <v/>
      </c>
      <c r="E2081" s="4" t="str">
        <f ca="1">IFERROR(__xludf.DUMMYFUNCTION("IFERROR(GOOGLETRANSLATE(B2081,""en"",""zh-CN""),)"),"")</f>
        <v/>
      </c>
    </row>
    <row r="2082" spans="1:5">
      <c r="A2082" s="3"/>
      <c r="B2082" s="4" t="str">
        <f ca="1">IFERROR(__xludf.DUMMYFUNCTION("IFERROR(GOOGLETRANSLATE(A2082,""ko"",""en""),)"),"")</f>
        <v/>
      </c>
      <c r="C2082" s="4" t="str">
        <f ca="1">IFERROR(__xludf.DUMMYFUNCTION("IFERROR(GOOGLETRANSLATE(B2082,""en"",""ja""),)"),"")</f>
        <v/>
      </c>
      <c r="D2082" s="4" t="str">
        <f ca="1">IFERROR(__xludf.DUMMYFUNCTION("IFERROR(GOOGLETRANSLATE(B2082,""en"",""zh-TW""),)"),"")</f>
        <v/>
      </c>
      <c r="E2082" s="4" t="str">
        <f ca="1">IFERROR(__xludf.DUMMYFUNCTION("IFERROR(GOOGLETRANSLATE(B2082,""en"",""zh-CN""),)"),"")</f>
        <v/>
      </c>
    </row>
    <row r="2083" spans="1:5">
      <c r="A2083" s="3"/>
      <c r="B2083" s="4" t="str">
        <f ca="1">IFERROR(__xludf.DUMMYFUNCTION("IFERROR(GOOGLETRANSLATE(A2083,""ko"",""en""),)"),"")</f>
        <v/>
      </c>
      <c r="C2083" s="4" t="str">
        <f ca="1">IFERROR(__xludf.DUMMYFUNCTION("IFERROR(GOOGLETRANSLATE(B2083,""en"",""ja""),)"),"")</f>
        <v/>
      </c>
      <c r="D2083" s="4" t="str">
        <f ca="1">IFERROR(__xludf.DUMMYFUNCTION("IFERROR(GOOGLETRANSLATE(B2083,""en"",""zh-TW""),)"),"")</f>
        <v/>
      </c>
      <c r="E2083" s="4" t="str">
        <f ca="1">IFERROR(__xludf.DUMMYFUNCTION("IFERROR(GOOGLETRANSLATE(B2083,""en"",""zh-CN""),)"),"")</f>
        <v/>
      </c>
    </row>
    <row r="2084" spans="1:5">
      <c r="A2084" s="3"/>
      <c r="B2084" s="4" t="str">
        <f ca="1">IFERROR(__xludf.DUMMYFUNCTION("IFERROR(GOOGLETRANSLATE(A2084,""ko"",""en""),)"),"")</f>
        <v/>
      </c>
      <c r="C2084" s="4" t="str">
        <f ca="1">IFERROR(__xludf.DUMMYFUNCTION("IFERROR(GOOGLETRANSLATE(B2084,""en"",""ja""),)"),"")</f>
        <v/>
      </c>
      <c r="D2084" s="4" t="str">
        <f ca="1">IFERROR(__xludf.DUMMYFUNCTION("IFERROR(GOOGLETRANSLATE(B2084,""en"",""zh-TW""),)"),"")</f>
        <v/>
      </c>
      <c r="E2084" s="4" t="str">
        <f ca="1">IFERROR(__xludf.DUMMYFUNCTION("IFERROR(GOOGLETRANSLATE(B2084,""en"",""zh-CN""),)"),"")</f>
        <v/>
      </c>
    </row>
    <row r="2085" spans="1:5">
      <c r="A2085" s="3"/>
      <c r="B2085" s="4" t="str">
        <f ca="1">IFERROR(__xludf.DUMMYFUNCTION("IFERROR(GOOGLETRANSLATE(A2085,""ko"",""en""),)"),"")</f>
        <v/>
      </c>
      <c r="C2085" s="4" t="str">
        <f ca="1">IFERROR(__xludf.DUMMYFUNCTION("IFERROR(GOOGLETRANSLATE(B2085,""en"",""ja""),)"),"")</f>
        <v/>
      </c>
      <c r="D2085" s="4" t="str">
        <f ca="1">IFERROR(__xludf.DUMMYFUNCTION("IFERROR(GOOGLETRANSLATE(B2085,""en"",""zh-TW""),)"),"")</f>
        <v/>
      </c>
      <c r="E2085" s="4" t="str">
        <f ca="1">IFERROR(__xludf.DUMMYFUNCTION("IFERROR(GOOGLETRANSLATE(B2085,""en"",""zh-CN""),)"),"")</f>
        <v/>
      </c>
    </row>
    <row r="2086" spans="1:5">
      <c r="A2086" s="3"/>
      <c r="B2086" s="4" t="str">
        <f ca="1">IFERROR(__xludf.DUMMYFUNCTION("IFERROR(GOOGLETRANSLATE(A2086,""ko"",""en""),)"),"")</f>
        <v/>
      </c>
      <c r="C2086" s="4" t="str">
        <f ca="1">IFERROR(__xludf.DUMMYFUNCTION("IFERROR(GOOGLETRANSLATE(B2086,""en"",""ja""),)"),"")</f>
        <v/>
      </c>
      <c r="D2086" s="4" t="str">
        <f ca="1">IFERROR(__xludf.DUMMYFUNCTION("IFERROR(GOOGLETRANSLATE(B2086,""en"",""zh-TW""),)"),"")</f>
        <v/>
      </c>
      <c r="E2086" s="4" t="str">
        <f ca="1">IFERROR(__xludf.DUMMYFUNCTION("IFERROR(GOOGLETRANSLATE(B2086,""en"",""zh-CN""),)"),"")</f>
        <v/>
      </c>
    </row>
    <row r="2087" spans="1:5">
      <c r="A2087" s="3"/>
      <c r="B2087" s="4" t="str">
        <f ca="1">IFERROR(__xludf.DUMMYFUNCTION("IFERROR(GOOGLETRANSLATE(A2087,""ko"",""en""),)"),"")</f>
        <v/>
      </c>
      <c r="C2087" s="4" t="str">
        <f ca="1">IFERROR(__xludf.DUMMYFUNCTION("IFERROR(GOOGLETRANSLATE(B2087,""en"",""ja""),)"),"")</f>
        <v/>
      </c>
      <c r="D2087" s="4" t="str">
        <f ca="1">IFERROR(__xludf.DUMMYFUNCTION("IFERROR(GOOGLETRANSLATE(B2087,""en"",""zh-TW""),)"),"")</f>
        <v/>
      </c>
      <c r="E2087" s="4" t="str">
        <f ca="1">IFERROR(__xludf.DUMMYFUNCTION("IFERROR(GOOGLETRANSLATE(B2087,""en"",""zh-CN""),)"),"")</f>
        <v/>
      </c>
    </row>
    <row r="2088" spans="1:5">
      <c r="A2088" s="3"/>
      <c r="B2088" s="4" t="str">
        <f ca="1">IFERROR(__xludf.DUMMYFUNCTION("IFERROR(GOOGLETRANSLATE(A2088,""ko"",""en""),)"),"")</f>
        <v/>
      </c>
      <c r="C2088" s="4" t="str">
        <f ca="1">IFERROR(__xludf.DUMMYFUNCTION("IFERROR(GOOGLETRANSLATE(B2088,""en"",""ja""),)"),"")</f>
        <v/>
      </c>
      <c r="D2088" s="4" t="str">
        <f ca="1">IFERROR(__xludf.DUMMYFUNCTION("IFERROR(GOOGLETRANSLATE(B2088,""en"",""zh-TW""),)"),"")</f>
        <v/>
      </c>
      <c r="E2088" s="4" t="str">
        <f ca="1">IFERROR(__xludf.DUMMYFUNCTION("IFERROR(GOOGLETRANSLATE(B2088,""en"",""zh-CN""),)"),"")</f>
        <v/>
      </c>
    </row>
    <row r="2089" spans="1:5">
      <c r="A2089" s="3"/>
      <c r="B2089" s="4" t="str">
        <f ca="1">IFERROR(__xludf.DUMMYFUNCTION("IFERROR(GOOGLETRANSLATE(A2089,""ko"",""en""),)"),"")</f>
        <v/>
      </c>
      <c r="C2089" s="4" t="str">
        <f ca="1">IFERROR(__xludf.DUMMYFUNCTION("IFERROR(GOOGLETRANSLATE(B2089,""en"",""ja""),)"),"")</f>
        <v/>
      </c>
      <c r="D2089" s="4" t="str">
        <f ca="1">IFERROR(__xludf.DUMMYFUNCTION("IFERROR(GOOGLETRANSLATE(B2089,""en"",""zh-TW""),)"),"")</f>
        <v/>
      </c>
      <c r="E2089" s="4" t="str">
        <f ca="1">IFERROR(__xludf.DUMMYFUNCTION("IFERROR(GOOGLETRANSLATE(B2089,""en"",""zh-CN""),)"),"")</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13"/>
  <sheetViews>
    <sheetView workbookViewId="0"/>
  </sheetViews>
  <sheetFormatPr baseColWidth="10" defaultColWidth="12.6640625" defaultRowHeight="15.75" customHeight="1"/>
  <cols>
    <col min="1" max="1" width="59" customWidth="1"/>
    <col min="2" max="2" width="60.6640625" customWidth="1"/>
    <col min="3" max="3" width="32.1640625" customWidth="1"/>
    <col min="4" max="5" width="24.1640625" customWidth="1"/>
  </cols>
  <sheetData>
    <row r="1" spans="1:5">
      <c r="A1" s="1" t="s">
        <v>0</v>
      </c>
      <c r="B1" s="1" t="s">
        <v>1</v>
      </c>
      <c r="C1" s="1" t="s">
        <v>2</v>
      </c>
      <c r="D1" s="1" t="s">
        <v>3</v>
      </c>
      <c r="E1" s="1" t="s">
        <v>4</v>
      </c>
    </row>
    <row r="2" spans="1:5">
      <c r="A2" s="5" t="s">
        <v>8</v>
      </c>
      <c r="B2" s="4" t="str">
        <f ca="1">IFERROR(__xludf.DUMMYFUNCTION("IFERROR(GOOGLETRANSLATE(A2,""ko"",""en""),)"),"It's humid.")</f>
        <v>It's humid.</v>
      </c>
      <c r="C2" s="4" t="str">
        <f ca="1">IFERROR(__xludf.DUMMYFUNCTION("IFERROR(GOOGLETRANSLATE(B2,""en"",""ja""),)"),"湿度が高い。")</f>
        <v>湿度が高い。</v>
      </c>
      <c r="D2" s="4" t="str">
        <f ca="1">IFERROR(__xludf.DUMMYFUNCTION("IFERROR(GOOGLETRANSLATE(B2,""en"",""zh-TW""),)"),"天氣潮濕。")</f>
        <v>天氣潮濕。</v>
      </c>
      <c r="E2" s="4" t="str">
        <f ca="1">IFERROR(__xludf.DUMMYFUNCTION("IFERROR(GOOGLETRANSLATE(B2,""en"",""zh-CN""),)"),"天气潮湿。")</f>
        <v>天气潮湿。</v>
      </c>
    </row>
    <row r="3" spans="1:5">
      <c r="A3" s="7" t="s">
        <v>16</v>
      </c>
      <c r="B3" s="4" t="str">
        <f ca="1">IFERROR(__xludf.DUMMYFUNCTION("IFERROR(GOOGLETRANSLATE(A3,""ko"",""en""),)"),"congratulation")</f>
        <v>congratulation</v>
      </c>
      <c r="C3" s="4" t="str">
        <f ca="1">IFERROR(__xludf.DUMMYFUNCTION("IFERROR(GOOGLETRANSLATE(B3,""en"",""ja""),)"),"おめでとうございます")</f>
        <v>おめでとうございます</v>
      </c>
      <c r="D3" s="4" t="str">
        <f ca="1">IFERROR(__xludf.DUMMYFUNCTION("IFERROR(GOOGLETRANSLATE(B3,""en"",""zh-TW""),)"),"恭喜")</f>
        <v>恭喜</v>
      </c>
      <c r="E3" s="4" t="str">
        <f ca="1">IFERROR(__xludf.DUMMYFUNCTION("IFERROR(GOOGLETRANSLATE(B3,""en"",""zh-CN""),)"),"恭喜")</f>
        <v>恭喜</v>
      </c>
    </row>
    <row r="4" spans="1:5">
      <c r="A4" s="7" t="s">
        <v>24</v>
      </c>
      <c r="B4" s="4" t="str">
        <f ca="1">IFERROR(__xludf.DUMMYFUNCTION("IFERROR(GOOGLETRANSLATE(A4,""ko"",""en""),)"),"Meat restaurant (or meat restaurant)")</f>
        <v>Meat restaurant (or meat restaurant)</v>
      </c>
      <c r="C4" s="4" t="str">
        <f ca="1">IFERROR(__xludf.DUMMYFUNCTION("IFERROR(GOOGLETRANSLATE(B4,""en"",""ja""),)"),"肉料理店（または肉料理店）")</f>
        <v>肉料理店（または肉料理店）</v>
      </c>
      <c r="D4" s="4" t="str">
        <f ca="1">IFERROR(__xludf.DUMMYFUNCTION("IFERROR(GOOGLETRANSLATE(B4,""en"",""zh-TW""),)"),"肉食餐廳（或肉食店）")</f>
        <v>肉食餐廳（或肉食店）</v>
      </c>
      <c r="E4" s="4" t="str">
        <f ca="1">IFERROR(__xludf.DUMMYFUNCTION("IFERROR(GOOGLETRANSLATE(B4,""en"",""zh-CN""),)"),"肉食餐厅（或肉食店）")</f>
        <v>肉食餐厅（或肉食店）</v>
      </c>
    </row>
    <row r="5" spans="1:5">
      <c r="A5" s="7" t="s">
        <v>28</v>
      </c>
      <c r="B5" s="4" t="str">
        <f ca="1">IFERROR(__xludf.DUMMYFUNCTION("IFERROR(GOOGLETRANSLATE(A5,""ko"",""en""),)"),"week")</f>
        <v>week</v>
      </c>
      <c r="C5" s="4" t="str">
        <f ca="1">IFERROR(__xludf.DUMMYFUNCTION("IFERROR(GOOGLETRANSLATE(B5,""en"",""ja""),)"),"週")</f>
        <v>週</v>
      </c>
      <c r="D5" s="4"/>
      <c r="E5" s="4"/>
    </row>
    <row r="6" spans="1:5">
      <c r="A6" s="5" t="s">
        <v>32</v>
      </c>
      <c r="B6" s="4" t="str">
        <f ca="1">IFERROR(__xludf.DUMMYFUNCTION("IFERROR(GOOGLETRANSLATE(A6,""ko"",""en""),)"),"Once a week")</f>
        <v>Once a week</v>
      </c>
      <c r="C6" s="4" t="str">
        <f ca="1">IFERROR(__xludf.DUMMYFUNCTION("IFERROR(GOOGLETRANSLATE(B6,""en"",""ja""),)"),"週に一度")</f>
        <v>週に一度</v>
      </c>
      <c r="D6" s="4" t="str">
        <f ca="1">IFERROR(__xludf.DUMMYFUNCTION("IFERROR(GOOGLETRANSLATE(B6,""en"",""zh-TW""),)"),"每週一次")</f>
        <v>每週一次</v>
      </c>
      <c r="E6" s="4" t="str">
        <f ca="1">IFERROR(__xludf.DUMMYFUNCTION("IFERROR(GOOGLETRANSLATE(B6,""en"",""zh-CN""),)"),"每周一次")</f>
        <v>每周一次</v>
      </c>
    </row>
    <row r="7" spans="1:5">
      <c r="A7" s="5" t="s">
        <v>41</v>
      </c>
      <c r="B7" s="4" t="s">
        <v>42</v>
      </c>
      <c r="C7" s="4" t="str">
        <f ca="1">IFERROR(__xludf.DUMMYFUNCTION("IFERROR(GOOGLETRANSLATE(B7,""en"",""ja""),)"),"2週間に1回")</f>
        <v>2週間に1回</v>
      </c>
      <c r="D7" s="4" t="str">
        <f ca="1">IFERROR(__xludf.DUMMYFUNCTION("IFERROR(GOOGLETRANSLATE(B7,""en"",""zh-TW""),)"),"每兩週一次")</f>
        <v>每兩週一次</v>
      </c>
      <c r="E7" s="4" t="str">
        <f ca="1">IFERROR(__xludf.DUMMYFUNCTION("IFERROR(GOOGLETRANSLATE(B7,""en"",""zh-CN""),)"),"每两周一次")</f>
        <v>每两周一次</v>
      </c>
    </row>
    <row r="8" spans="1:5">
      <c r="A8" s="3" t="s">
        <v>47</v>
      </c>
      <c r="B8" s="4" t="str">
        <f ca="1">IFERROR(__xludf.DUMMYFUNCTION("IFERROR(GOOGLETRANSLATE(A8,""ko"",""en""),)"),"Every Sunday")</f>
        <v>Every Sunday</v>
      </c>
      <c r="C8" s="4" t="str">
        <f ca="1">IFERROR(__xludf.DUMMYFUNCTION("IFERROR(GOOGLETRANSLATE(B8,""en"",""ja""),)"),"毎週日曜日")</f>
        <v>毎週日曜日</v>
      </c>
      <c r="D8" s="4" t="str">
        <f ca="1">IFERROR(__xludf.DUMMYFUNCTION("IFERROR(GOOGLETRANSLATE(B8,""en"",""zh-TW""),)"),"每個星期天")</f>
        <v>每個星期天</v>
      </c>
      <c r="E8" s="4" t="str">
        <f ca="1">IFERROR(__xludf.DUMMYFUNCTION("IFERROR(GOOGLETRANSLATE(B8,""en"",""zh-CN""),)"),"每个星期天")</f>
        <v>每个星期天</v>
      </c>
    </row>
    <row r="9" spans="1:5">
      <c r="A9" s="5" t="s">
        <v>52</v>
      </c>
      <c r="B9" s="4" t="str">
        <f ca="1">IFERROR(__xludf.DUMMYFUNCTION("IFERROR(GOOGLETRANSLATE(A9,""ko"",""en""),)"),"I studied for a year.")</f>
        <v>I studied for a year.</v>
      </c>
      <c r="C9" s="4" t="str">
        <f ca="1">IFERROR(__xludf.DUMMYFUNCTION("IFERROR(GOOGLETRANSLATE(B9,""en"",""ja""),)"),"私は1年間勉強しました。")</f>
        <v>私は1年間勉強しました。</v>
      </c>
      <c r="D9" s="4" t="str">
        <f ca="1">IFERROR(__xludf.DUMMYFUNCTION("IFERROR(GOOGLETRANSLATE(B9,""en"",""zh-TW""),)"),"我學習了一年。")</f>
        <v>我學習了一年。</v>
      </c>
      <c r="E9" s="4" t="str">
        <f ca="1">IFERROR(__xludf.DUMMYFUNCTION("IFERROR(GOOGLETRANSLATE(B9,""en"",""zh-CN""),)"),"我学习了一年。")</f>
        <v>我学习了一年。</v>
      </c>
    </row>
    <row r="10" spans="1:5">
      <c r="A10" s="5" t="s">
        <v>58</v>
      </c>
      <c r="B10" s="4" t="str">
        <f ca="1">IFERROR(__xludf.DUMMYFUNCTION("IFERROR(GOOGLETRANSLATE(A10,""ko"",""en""),)"),"What are you going to do this weekend?")</f>
        <v>What are you going to do this weekend?</v>
      </c>
      <c r="C10" s="4" t="str">
        <f ca="1">IFERROR(__xludf.DUMMYFUNCTION("IFERROR(GOOGLETRANSLATE(B10,""en"",""ja""),)"),"今週末は何をする予定ですか？")</f>
        <v>今週末は何をする予定ですか？</v>
      </c>
      <c r="D10" s="4" t="str">
        <f ca="1">IFERROR(__xludf.DUMMYFUNCTION("IFERROR(GOOGLETRANSLATE(B10,""en"",""zh-TW""),)"),"你這個週末打算做什麼？")</f>
        <v>你這個週末打算做什麼？</v>
      </c>
      <c r="E10" s="4" t="str">
        <f ca="1">IFERROR(__xludf.DUMMYFUNCTION("IFERROR(GOOGLETRANSLATE(B10,""en"",""zh-CN""),)"),"你这个周末打算做什么？")</f>
        <v>你这个周末打算做什么？</v>
      </c>
    </row>
    <row r="11" spans="1:5">
      <c r="A11" s="5" t="s">
        <v>64</v>
      </c>
      <c r="B11" s="4" t="str">
        <f ca="1">IFERROR(__xludf.DUMMYFUNCTION("IFERROR(GOOGLETRANSLATE(A11,""ko"",""en""),)"),"I'm going to graduate.")</f>
        <v>I'm going to graduate.</v>
      </c>
      <c r="C11" s="4" t="str">
        <f ca="1">IFERROR(__xludf.DUMMYFUNCTION("IFERROR(GOOGLETRANSLATE(B11,""en"",""ja""),)"),"私は卒業します。")</f>
        <v>私は卒業します。</v>
      </c>
      <c r="D11" s="4" t="str">
        <f ca="1">IFERROR(__xludf.DUMMYFUNCTION("IFERROR(GOOGLETRANSLATE(B11,""en"",""zh-TW""),)"),"我即將畢業。")</f>
        <v>我即將畢業。</v>
      </c>
      <c r="E11" s="4" t="str">
        <f ca="1">IFERROR(__xludf.DUMMYFUNCTION("IFERROR(GOOGLETRANSLATE(B11,""en"",""zh-CN""),)"),"我即将毕业。")</f>
        <v>我即将毕业。</v>
      </c>
    </row>
    <row r="12" spans="1:5">
      <c r="A12" s="7" t="s">
        <v>69</v>
      </c>
      <c r="B12" s="4" t="str">
        <f ca="1">IFERROR(__xludf.DUMMYFUNCTION("IFERROR(GOOGLETRANSLATE(A12,""ko"",""en""),)"),"how have you been doing?")</f>
        <v>how have you been doing?</v>
      </c>
      <c r="C12" s="4" t="str">
        <f ca="1">IFERROR(__xludf.DUMMYFUNCTION("IFERROR(GOOGLETRANSLATE(B12,""en"",""ja""),)"),"お元気でしたか？")</f>
        <v>お元気でしたか？</v>
      </c>
      <c r="D12" s="4" t="str">
        <f ca="1">IFERROR(__xludf.DUMMYFUNCTION("IFERROR(GOOGLETRANSLATE(B12,""en"",""zh-TW""),)"),"你最近過得怎麼樣？")</f>
        <v>你最近過得怎麼樣？</v>
      </c>
      <c r="E12" s="4" t="str">
        <f ca="1">IFERROR(__xludf.DUMMYFUNCTION("IFERROR(GOOGLETRANSLATE(B12,""en"",""zh-CN""),)"),"你最近过得怎么样？")</f>
        <v>你最近过得怎么样？</v>
      </c>
    </row>
    <row r="13" spans="1:5">
      <c r="A13" s="3" t="s">
        <v>31</v>
      </c>
      <c r="B13" s="4" t="str">
        <f ca="1">IFERROR(__xludf.DUMMYFUNCTION("IFERROR(GOOGLETRANSLATE(A13,""ko"",""en""),)"),"Yes, I've been doing well.")</f>
        <v>Yes, I've been doing well.</v>
      </c>
      <c r="C13" s="4" t="str">
        <f ca="1">IFERROR(__xludf.DUMMYFUNCTION("IFERROR(GOOGLETRANSLATE(B13,""en"",""ja""),)"),"はい、順調です。")</f>
        <v>はい、順調です。</v>
      </c>
      <c r="D13" s="4" t="str">
        <f ca="1">IFERROR(__xludf.DUMMYFUNCTION("IFERROR(GOOGLETRANSLATE(B13,""en"",""zh-TW""),)"),"是的，我一切都好。")</f>
        <v>是的，我一切都好。</v>
      </c>
      <c r="E13" s="4" t="str">
        <f ca="1">IFERROR(__xludf.DUMMYFUNCTION("IFERROR(GOOGLETRANSLATE(B13,""en"",""zh-CN""),)"),"是的，我一切都好。")</f>
        <v>是的，我一切都好。</v>
      </c>
    </row>
    <row r="14" spans="1:5">
      <c r="A14" s="3" t="s">
        <v>81</v>
      </c>
      <c r="B14" s="4" t="str">
        <f ca="1">IFERROR(__xludf.DUMMYFUNCTION("IFERROR(GOOGLETRANSLATE(A14,""ko"",""en""),)"),"What kind of food do you like?")</f>
        <v>What kind of food do you like?</v>
      </c>
      <c r="C14" s="4" t="str">
        <f ca="1">IFERROR(__xludf.DUMMYFUNCTION("IFERROR(GOOGLETRANSLATE(B14,""en"",""ja""),)"),"あなたはどんな食べ物が好きですか？")</f>
        <v>あなたはどんな食べ物が好きですか？</v>
      </c>
      <c r="D14" s="4" t="str">
        <f ca="1">IFERROR(__xludf.DUMMYFUNCTION("IFERROR(GOOGLETRANSLATE(B14,""en"",""zh-TW""),)"),"你喜歡吃什麼樣的食物？")</f>
        <v>你喜歡吃什麼樣的食物？</v>
      </c>
      <c r="E14" s="4" t="str">
        <f ca="1">IFERROR(__xludf.DUMMYFUNCTION("IFERROR(GOOGLETRANSLATE(B14,""en"",""zh-CN""),)"),"你喜欢吃什么样的食物？")</f>
        <v>你喜欢吃什么样的食物？</v>
      </c>
    </row>
    <row r="15" spans="1:5">
      <c r="A15" s="2" t="s">
        <v>86</v>
      </c>
      <c r="B15" s="4" t="str">
        <f ca="1">IFERROR(__xludf.DUMMYFUNCTION("IFERROR(GOOGLETRANSLATE(A15,""ko"",""en""),)"),"Do you know a lot of Korean food?")</f>
        <v>Do you know a lot of Korean food?</v>
      </c>
      <c r="C15" s="4" t="str">
        <f ca="1">IFERROR(__xludf.DUMMYFUNCTION("IFERROR(GOOGLETRANSLATE(B15,""en"",""ja""),)"),"あなたは韓国料理に詳しいですか？")</f>
        <v>あなたは韓国料理に詳しいですか？</v>
      </c>
      <c r="D15" s="4" t="str">
        <f ca="1">IFERROR(__xludf.DUMMYFUNCTION("IFERROR(GOOGLETRANSLATE(B15,""en"",""zh-TW""),)"),"你了解很多韓國料理嗎？")</f>
        <v>你了解很多韓國料理嗎？</v>
      </c>
      <c r="E15" s="4" t="str">
        <f ca="1">IFERROR(__xludf.DUMMYFUNCTION("IFERROR(GOOGLETRANSLATE(B15,""en"",""zh-CN""),)"),"你了解很多韩国料理吗？")</f>
        <v>你了解很多韩国料理吗？</v>
      </c>
    </row>
    <row r="16" spans="1:5">
      <c r="A16" s="5" t="s">
        <v>91</v>
      </c>
      <c r="B16" s="4" t="str">
        <f ca="1">IFERROR(__xludf.DUMMYFUNCTION("IFERROR(GOOGLETRANSLATE(A16,""ko"",""en""),)"),"soup")</f>
        <v>soup</v>
      </c>
      <c r="C16" s="4" t="str">
        <f ca="1">IFERROR(__xludf.DUMMYFUNCTION("IFERROR(GOOGLETRANSLATE(B16,""en"",""ja""),)"),"スープ")</f>
        <v>スープ</v>
      </c>
      <c r="D16" s="4" t="str">
        <f ca="1">IFERROR(__xludf.DUMMYFUNCTION("IFERROR(GOOGLETRANSLATE(B16,""en"",""zh-TW""),)"),"湯水")</f>
        <v>湯水</v>
      </c>
      <c r="E16" s="4" t="str">
        <f ca="1">IFERROR(__xludf.DUMMYFUNCTION("IFERROR(GOOGLETRANSLATE(B16,""en"",""zh-CN""),)"),"汤")</f>
        <v>汤</v>
      </c>
    </row>
    <row r="17" spans="1:5">
      <c r="A17" s="3" t="s">
        <v>95</v>
      </c>
      <c r="B17" s="4" t="str">
        <f ca="1">IFERROR(__xludf.DUMMYFUNCTION("IFERROR(GOOGLETRANSLATE(A17,""ko"",""en""),)"),"soup")</f>
        <v>soup</v>
      </c>
      <c r="C17" s="4" t="str">
        <f ca="1">IFERROR(__xludf.DUMMYFUNCTION("IFERROR(GOOGLETRANSLATE(B17,""en"",""ja""),)"),"スープ")</f>
        <v>スープ</v>
      </c>
      <c r="D17" s="4" t="str">
        <f ca="1">IFERROR(__xludf.DUMMYFUNCTION("IFERROR(GOOGLETRANSLATE(B17,""en"",""zh-TW""),)"),"湯水")</f>
        <v>湯水</v>
      </c>
      <c r="E17" s="4" t="str">
        <f ca="1">IFERROR(__xludf.DUMMYFUNCTION("IFERROR(GOOGLETRANSLATE(B17,""en"",""zh-CN""),)"),"汤")</f>
        <v>汤</v>
      </c>
    </row>
    <row r="18" spans="1:5">
      <c r="A18" s="5" t="s">
        <v>99</v>
      </c>
      <c r="B18" s="4" t="str">
        <f ca="1">IFERROR(__xludf.DUMMYFUNCTION("IFERROR(GOOGLETRANSLATE(A18,""ko"",""en""),)"),"What is your favorite food from your country?")</f>
        <v>What is your favorite food from your country?</v>
      </c>
      <c r="C18" s="4" t="str">
        <f ca="1">IFERROR(__xludf.DUMMYFUNCTION("IFERROR(GOOGLETRANSLATE(B18,""en"",""ja""),)"),"あなたの国で一番好きな食べ物は何ですか？")</f>
        <v>あなたの国で一番好きな食べ物は何ですか？</v>
      </c>
      <c r="D18" s="4" t="str">
        <f ca="1">IFERROR(__xludf.DUMMYFUNCTION("IFERROR(GOOGLETRANSLATE(B18,""en"",""zh-TW""),)"),"你最喜歡自己國家的哪一種食物？")</f>
        <v>你最喜歡自己國家的哪一種食物？</v>
      </c>
      <c r="E18" s="4" t="str">
        <f ca="1">IFERROR(__xludf.DUMMYFUNCTION("IFERROR(GOOGLETRANSLATE(B18,""en"",""zh-CN""),)"),"你最喜欢自己国家的哪种食物？")</f>
        <v>你最喜欢自己国家的哪种食物？</v>
      </c>
    </row>
    <row r="19" spans="1:5">
      <c r="A19" s="3" t="s">
        <v>105</v>
      </c>
      <c r="B19" s="4" t="s">
        <v>106</v>
      </c>
      <c r="C19" s="4" t="str">
        <f ca="1">IFERROR(__xludf.DUMMYFUNCTION("IFERROR(GOOGLETRANSLATE(B19,""en"",""ja""),)"),"チャプチェ")</f>
        <v>チャプチェ</v>
      </c>
      <c r="D19" s="4" t="str">
        <f ca="1">IFERROR(__xludf.DUMMYFUNCTION("IFERROR(GOOGLETRANSLATE(B19,""en"",""zh-TW""),)"),"雜菜")</f>
        <v>雜菜</v>
      </c>
      <c r="E19" s="4" t="str">
        <f ca="1">IFERROR(__xludf.DUMMYFUNCTION("IFERROR(GOOGLETRANSLATE(B19,""en"",""zh-CN""),)"),"杂菜")</f>
        <v>杂菜</v>
      </c>
    </row>
    <row r="20" spans="1:5">
      <c r="A20" s="3" t="s">
        <v>113</v>
      </c>
      <c r="B20" s="4" t="str">
        <f ca="1">IFERROR(__xludf.DUMMYFUNCTION("IFERROR(GOOGLETRANSLATE(A20,""ko"",""en""),)"),"tteokbokki")</f>
        <v>tteokbokki</v>
      </c>
      <c r="C20" s="4" t="str">
        <f ca="1">IFERROR(__xludf.DUMMYFUNCTION("IFERROR(GOOGLETRANSLATE(B20,""en"",""ja""),)"),"トッポッキ")</f>
        <v>トッポッキ</v>
      </c>
      <c r="D20" s="4" t="str">
        <f ca="1">IFERROR(__xludf.DUMMYFUNCTION("IFERROR(GOOGLETRANSLATE(B20,""en"",""zh-TW""),)"),"炒年糕")</f>
        <v>炒年糕</v>
      </c>
      <c r="E20" s="4" t="str">
        <f ca="1">IFERROR(__xludf.DUMMYFUNCTION("IFERROR(GOOGLETRANSLATE(B20,""en"",""zh-CN""),)"),"炒年糕")</f>
        <v>炒年糕</v>
      </c>
    </row>
    <row r="21" spans="1:5">
      <c r="A21" s="3" t="s">
        <v>119</v>
      </c>
      <c r="B21" s="4" t="str">
        <f ca="1">IFERROR(__xludf.DUMMYFUNCTION("IFERROR(GOOGLETRANSLATE(A21,""ko"",""en""),)"),"kimchi soup")</f>
        <v>kimchi soup</v>
      </c>
      <c r="C21" s="4" t="str">
        <f ca="1">IFERROR(__xludf.DUMMYFUNCTION("IFERROR(GOOGLETRANSLATE(B21,""en"",""ja""),)"),"キムチスープ")</f>
        <v>キムチスープ</v>
      </c>
      <c r="D21" s="4" t="str">
        <f ca="1">IFERROR(__xludf.DUMMYFUNCTION("IFERROR(GOOGLETRANSLATE(B21,""en"",""zh-TW""),)"),"泡菜湯")</f>
        <v>泡菜湯</v>
      </c>
      <c r="E21" s="4" t="str">
        <f ca="1">IFERROR(__xludf.DUMMYFUNCTION("IFERROR(GOOGLETRANSLATE(B21,""en"",""zh-CN""),)"),"泡菜汤")</f>
        <v>泡菜汤</v>
      </c>
    </row>
    <row r="22" spans="1:5">
      <c r="A22" s="3" t="s">
        <v>128</v>
      </c>
      <c r="B22" s="4" t="str">
        <f ca="1">IFERROR(__xludf.DUMMYFUNCTION("IFERROR(GOOGLETRANSLATE(A22,""ko"",""en""),)"),"kimbap")</f>
        <v>kimbap</v>
      </c>
      <c r="C22" s="4" t="str">
        <f ca="1">IFERROR(__xludf.DUMMYFUNCTION("IFERROR(GOOGLETRANSLATE(B22,""en"",""ja""),)"),"キンパ")</f>
        <v>キンパ</v>
      </c>
      <c r="D22" s="4" t="str">
        <f ca="1">IFERROR(__xludf.DUMMYFUNCTION("IFERROR(GOOGLETRANSLATE(B22,""en"",""zh-TW""),)"),"紫菜包飯")</f>
        <v>紫菜包飯</v>
      </c>
      <c r="E22" s="4" t="str">
        <f ca="1">IFERROR(__xludf.DUMMYFUNCTION("IFERROR(GOOGLETRANSLATE(B22,""en"",""zh-CN""),)"),"紫菜包饭")</f>
        <v>紫菜包饭</v>
      </c>
    </row>
    <row r="23" spans="1:5">
      <c r="A23" s="3" t="s">
        <v>133</v>
      </c>
      <c r="B23" s="4" t="str">
        <f ca="1">IFERROR(__xludf.DUMMYFUNCTION("IFERROR(GOOGLETRANSLATE(A23,""ko"",""en""),)"),"Samgyetang")</f>
        <v>Samgyetang</v>
      </c>
      <c r="C23" s="4" t="str">
        <f ca="1">IFERROR(__xludf.DUMMYFUNCTION("IFERROR(GOOGLETRANSLATE(B23,""en"",""ja""),)"),"サムゲタン")</f>
        <v>サムゲタン</v>
      </c>
      <c r="D23" s="4" t="str">
        <f ca="1">IFERROR(__xludf.DUMMYFUNCTION("IFERROR(GOOGLETRANSLATE(B23,""en"",""zh-TW""),)"),"參雞堂")</f>
        <v>參雞堂</v>
      </c>
      <c r="E23" s="4" t="str">
        <f ca="1">IFERROR(__xludf.DUMMYFUNCTION("IFERROR(GOOGLETRANSLATE(B23,""en"",""zh-CN""),)"),"参鸡堂")</f>
        <v>参鸡堂</v>
      </c>
    </row>
    <row r="24" spans="1:5">
      <c r="A24" s="3" t="s">
        <v>138</v>
      </c>
      <c r="B24" s="4" t="str">
        <f ca="1">IFERROR(__xludf.DUMMYFUNCTION("IFERROR(GOOGLETRANSLATE(A24,""ko"",""en""),)"),"kimchi")</f>
        <v>kimchi</v>
      </c>
      <c r="C24" s="4" t="str">
        <f ca="1">IFERROR(__xludf.DUMMYFUNCTION("IFERROR(GOOGLETRANSLATE(B24,""en"",""ja""),)"),"キムチ")</f>
        <v>キムチ</v>
      </c>
      <c r="D24" s="4" t="str">
        <f ca="1">IFERROR(__xludf.DUMMYFUNCTION("IFERROR(GOOGLETRANSLATE(B24,""en"",""zh-TW""),)"),"泡菜")</f>
        <v>泡菜</v>
      </c>
      <c r="E24" s="4" t="str">
        <f ca="1">IFERROR(__xludf.DUMMYFUNCTION("IFERROR(GOOGLETRANSLATE(B24,""en"",""zh-CN""),)"),"泡菜")</f>
        <v>泡菜</v>
      </c>
    </row>
    <row r="25" spans="1:5">
      <c r="A25" s="3" t="s">
        <v>145</v>
      </c>
      <c r="B25" s="4" t="str">
        <f ca="1">IFERROR(__xludf.DUMMYFUNCTION("IFERROR(GOOGLETRANSLATE(A25,""ko"",""en""),)"),"pork belly")</f>
        <v>pork belly</v>
      </c>
      <c r="C25" s="4" t="str">
        <f ca="1">IFERROR(__xludf.DUMMYFUNCTION("IFERROR(GOOGLETRANSLATE(B25,""en"",""ja""),)"),"豚バラ肉")</f>
        <v>豚バラ肉</v>
      </c>
      <c r="D25" s="4" t="str">
        <f ca="1">IFERROR(__xludf.DUMMYFUNCTION("IFERROR(GOOGLETRANSLATE(B25,""en"",""zh-TW""),)"),"五花肉")</f>
        <v>五花肉</v>
      </c>
      <c r="E25" s="4" t="str">
        <f ca="1">IFERROR(__xludf.DUMMYFUNCTION("IFERROR(GOOGLETRANSLATE(B25,""en"",""zh-CN""),)"),"五花肉")</f>
        <v>五花肉</v>
      </c>
    </row>
    <row r="26" spans="1:5">
      <c r="A26" s="3" t="s">
        <v>152</v>
      </c>
      <c r="B26" s="4" t="str">
        <f ca="1">IFERROR(__xludf.DUMMYFUNCTION("IFERROR(GOOGLETRANSLATE(A26,""ko"",""en""),)"),"Bibimbap")</f>
        <v>Bibimbap</v>
      </c>
      <c r="C26" s="4" t="str">
        <f ca="1">IFERROR(__xludf.DUMMYFUNCTION("IFERROR(GOOGLETRANSLATE(B26,""en"",""ja""),)"),"ビビンバ")</f>
        <v>ビビンバ</v>
      </c>
      <c r="D26" s="4" t="str">
        <f ca="1">IFERROR(__xludf.DUMMYFUNCTION("IFERROR(GOOGLETRANSLATE(B26,""en"",""zh-TW""),)"),"拌飯")</f>
        <v>拌飯</v>
      </c>
      <c r="E26" s="4" t="str">
        <f ca="1">IFERROR(__xludf.DUMMYFUNCTION("IFERROR(GOOGLETRANSLATE(B26,""en"",""zh-CN""),)"),"拌饭")</f>
        <v>拌饭</v>
      </c>
    </row>
    <row r="27" spans="1:5">
      <c r="A27" s="3" t="s">
        <v>157</v>
      </c>
      <c r="B27" s="4" t="str">
        <f ca="1">IFERROR(__xludf.DUMMYFUNCTION("IFERROR(GOOGLETRANSLATE(A27,""ko"",""en""),)"),"Bulgogi")</f>
        <v>Bulgogi</v>
      </c>
      <c r="C27" s="4" t="str">
        <f ca="1">IFERROR(__xludf.DUMMYFUNCTION("IFERROR(GOOGLETRANSLATE(B27,""en"",""ja""),)"),"プルコギ")</f>
        <v>プルコギ</v>
      </c>
      <c r="D27" s="4" t="str">
        <f ca="1">IFERROR(__xludf.DUMMYFUNCTION("IFERROR(GOOGLETRANSLATE(B27,""en"",""zh-TW""),)"),"烤肉")</f>
        <v>烤肉</v>
      </c>
      <c r="E27" s="4" t="str">
        <f ca="1">IFERROR(__xludf.DUMMYFUNCTION("IFERROR(GOOGLETRANSLATE(B27,""en"",""zh-CN""),)"),"烤肉")</f>
        <v>烤肉</v>
      </c>
    </row>
    <row r="28" spans="1:5">
      <c r="A28" s="3" t="s">
        <v>162</v>
      </c>
      <c r="B28" s="4" t="str">
        <f ca="1">IFERROR(__xludf.DUMMYFUNCTION("IFERROR(GOOGLETRANSLATE(A28,""ko"",""en""),)"),"soy bean paste soup")</f>
        <v>soy bean paste soup</v>
      </c>
      <c r="C28" s="4" t="str">
        <f ca="1">IFERROR(__xludf.DUMMYFUNCTION("IFERROR(GOOGLETRANSLATE(B28,""en"",""ja""),)"),"豆板醤スープ")</f>
        <v>豆板醤スープ</v>
      </c>
      <c r="D28" s="4" t="str">
        <f ca="1">IFERROR(__xludf.DUMMYFUNCTION("IFERROR(GOOGLETRANSLATE(B28,""en"",""zh-TW""),)"),"豆醬湯")</f>
        <v>豆醬湯</v>
      </c>
      <c r="E28" s="4" t="str">
        <f ca="1">IFERROR(__xludf.DUMMYFUNCTION("IFERROR(GOOGLETRANSLATE(B28,""en"",""zh-CN""),)"),"豆酱汤")</f>
        <v>豆酱汤</v>
      </c>
    </row>
    <row r="29" spans="1:5">
      <c r="A29" s="3" t="s">
        <v>168</v>
      </c>
      <c r="B29" s="4" t="str">
        <f ca="1">IFERROR(__xludf.DUMMYFUNCTION("IFERROR(GOOGLETRANSLATE(A29,""ko"",""en""),)"),"cold noodles")</f>
        <v>cold noodles</v>
      </c>
      <c r="C29" s="4" t="str">
        <f ca="1">IFERROR(__xludf.DUMMYFUNCTION("IFERROR(GOOGLETRANSLATE(B29,""en"",""ja""),)"),"冷麺")</f>
        <v>冷麺</v>
      </c>
      <c r="D29" s="4" t="str">
        <f ca="1">IFERROR(__xludf.DUMMYFUNCTION("IFERROR(GOOGLETRANSLATE(B29,""en"",""zh-TW""),)"),"涼麵")</f>
        <v>涼麵</v>
      </c>
      <c r="E29" s="4" t="str">
        <f ca="1">IFERROR(__xludf.DUMMYFUNCTION("IFERROR(GOOGLETRANSLATE(B29,""en"",""zh-CN""),)"),"冷面")</f>
        <v>冷面</v>
      </c>
    </row>
    <row r="30" spans="1:5">
      <c r="A30" s="3" t="s">
        <v>173</v>
      </c>
      <c r="B30" s="4" t="str">
        <f ca="1">IFERROR(__xludf.DUMMYFUNCTION("IFERROR(GOOGLETRANSLATE(A30,""ko"",""en""),)"),"Fried rice")</f>
        <v>Fried rice</v>
      </c>
      <c r="C30" s="4" t="str">
        <f ca="1">IFERROR(__xludf.DUMMYFUNCTION("IFERROR(GOOGLETRANSLATE(B30,""en"",""ja""),)"),"炒飯")</f>
        <v>炒飯</v>
      </c>
      <c r="D30" s="4" t="str">
        <f ca="1">IFERROR(__xludf.DUMMYFUNCTION("IFERROR(GOOGLETRANSLATE(B30,""en"",""zh-TW""),)"),"炒飯")</f>
        <v>炒飯</v>
      </c>
      <c r="E30" s="4" t="str">
        <f ca="1">IFERROR(__xludf.DUMMYFUNCTION("IFERROR(GOOGLETRANSLATE(B30,""en"",""zh-CN""),)"),"炒饭")</f>
        <v>炒饭</v>
      </c>
    </row>
    <row r="31" spans="1:5">
      <c r="A31" s="3" t="s">
        <v>177</v>
      </c>
      <c r="B31" s="4" t="str">
        <f ca="1">IFERROR(__xludf.DUMMYFUNCTION("IFERROR(GOOGLETRANSLATE(A31,""ko"",""en""),)"),"ramen")</f>
        <v>ramen</v>
      </c>
      <c r="C31" s="4" t="str">
        <f ca="1">IFERROR(__xludf.DUMMYFUNCTION("IFERROR(GOOGLETRANSLATE(B31,""en"",""ja""),)"),"拉麺")</f>
        <v>拉麺</v>
      </c>
      <c r="D31" s="4" t="str">
        <f ca="1">IFERROR(__xludf.DUMMYFUNCTION("IFERROR(GOOGLETRANSLATE(B31,""en"",""zh-TW""),)"),"拉麵")</f>
        <v>拉麵</v>
      </c>
      <c r="E31" s="4" t="str">
        <f ca="1">IFERROR(__xludf.DUMMYFUNCTION("IFERROR(GOOGLETRANSLATE(B31,""en"",""zh-CN""),)"),"拉面")</f>
        <v>拉面</v>
      </c>
    </row>
    <row r="32" spans="1:5">
      <c r="A32" s="3" t="s">
        <v>185</v>
      </c>
      <c r="B32" s="4" t="str">
        <f ca="1">IFERROR(__xludf.DUMMYFUNCTION("IFERROR(GOOGLETRANSLATE(A32,""ko"",""en""),)"),"Seaweed soup")</f>
        <v>Seaweed soup</v>
      </c>
      <c r="C32" s="4" t="str">
        <f ca="1">IFERROR(__xludf.DUMMYFUNCTION("IFERROR(GOOGLETRANSLATE(B32,""en"",""ja""),)"),"わかめスープ")</f>
        <v>わかめスープ</v>
      </c>
      <c r="D32" s="4" t="str">
        <f ca="1">IFERROR(__xludf.DUMMYFUNCTION("IFERROR(GOOGLETRANSLATE(B32,""en"",""zh-TW""),)"),"海藻湯")</f>
        <v>海藻湯</v>
      </c>
      <c r="E32" s="4" t="str">
        <f ca="1">IFERROR(__xludf.DUMMYFUNCTION("IFERROR(GOOGLETRANSLATE(B32,""en"",""zh-CN""),)"),"海藻汤")</f>
        <v>海藻汤</v>
      </c>
    </row>
    <row r="33" spans="1:5">
      <c r="A33" s="3" t="s">
        <v>188</v>
      </c>
      <c r="B33" s="4" t="str">
        <f ca="1">IFERROR(__xludf.DUMMYFUNCTION("IFERROR(GOOGLETRANSLATE(A33,""ko"",""en""),)"),"What kind of coffee do you like?")</f>
        <v>What kind of coffee do you like?</v>
      </c>
      <c r="C33" s="4" t="str">
        <f ca="1">IFERROR(__xludf.DUMMYFUNCTION("IFERROR(GOOGLETRANSLATE(B33,""en"",""ja""),)"),"どんなコーヒーがお好きですか？")</f>
        <v>どんなコーヒーがお好きですか？</v>
      </c>
      <c r="D33" s="4" t="str">
        <f ca="1">IFERROR(__xludf.DUMMYFUNCTION("IFERROR(GOOGLETRANSLATE(B33,""en"",""zh-TW""),)"),"你喜歡哪一種咖啡？")</f>
        <v>你喜歡哪一種咖啡？</v>
      </c>
      <c r="E33" s="4" t="str">
        <f ca="1">IFERROR(__xludf.DUMMYFUNCTION("IFERROR(GOOGLETRANSLATE(B33,""en"",""zh-CN""),)"),"你喜欢哪种咖啡？")</f>
        <v>你喜欢哪种咖啡？</v>
      </c>
    </row>
    <row r="34" spans="1:5">
      <c r="A34" s="5" t="s">
        <v>194</v>
      </c>
      <c r="B34" s="4" t="str">
        <f ca="1">IFERROR(__xludf.DUMMYFUNCTION("IFERROR(GOOGLETRANSLATE(A34,""ko"",""en""),)"),"Find the word that goes in the blank and write it down. Also, freely write down the foods you know.")</f>
        <v>Find the word that goes in the blank and write it down. Also, freely write down the foods you know.</v>
      </c>
      <c r="C34" s="4" t="str">
        <f ca="1">IFERROR(__xludf.DUMMYFUNCTION("IFERROR(GOOGLETRANSLATE(B34,""en"",""ja""),)"),"空欄に入る単語を見つけて書き出してください。また、知っている食べ物を自由に書き出してください。")</f>
        <v>空欄に入る単語を見つけて書き出してください。また、知っている食べ物を自由に書き出してください。</v>
      </c>
      <c r="D34" s="4" t="str">
        <f ca="1">IFERROR(__xludf.DUMMYFUNCTION("IFERROR(GOOGLETRANSLATE(B34,""en"",""zh-TW""),)"),"找出空格處應該填入的單字並寫下來。另外，也請隨意寫下你所知道的食物。")</f>
        <v>找出空格處應該填入的單字並寫下來。另外，也請隨意寫下你所知道的食物。</v>
      </c>
      <c r="E34" s="4" t="str">
        <f ca="1">IFERROR(__xludf.DUMMYFUNCTION("IFERROR(GOOGLETRANSLATE(B34,""en"",""zh-CN""),)"),"找出空格处应该填入的单词并写下来。另外，也请随意写下你所知道的食物。")</f>
        <v>找出空格处应该填入的单词并写下来。另外，也请随意写下你所知道的食物。</v>
      </c>
    </row>
    <row r="35" spans="1:5">
      <c r="A35" s="5" t="s">
        <v>200</v>
      </c>
      <c r="B35" s="4" t="str">
        <f ca="1">IFERROR(__xludf.DUMMYFUNCTION("IFERROR(GOOGLETRANSLATE(A35,""ko"",""en""),)"),"Look at the picture and try writing.")</f>
        <v>Look at the picture and try writing.</v>
      </c>
      <c r="C35" s="4" t="str">
        <f ca="1">IFERROR(__xludf.DUMMYFUNCTION("IFERROR(GOOGLETRANSLATE(B35,""en"",""ja""),)"),"写真を見て、書いてみてください。")</f>
        <v>写真を見て、書いてみてください。</v>
      </c>
      <c r="D35" s="4" t="str">
        <f ca="1">IFERROR(__xludf.DUMMYFUNCTION("IFERROR(GOOGLETRANSLATE(B35,""en"",""zh-TW""),)"),"看圖試著寫字。")</f>
        <v>看圖試著寫字。</v>
      </c>
      <c r="E35" s="4" t="str">
        <f ca="1">IFERROR(__xludf.DUMMYFUNCTION("IFERROR(GOOGLETRANSLATE(B35,""en"",""zh-CN""),)"),"看图试着写字。")</f>
        <v>看图试着写字。</v>
      </c>
    </row>
    <row r="36" spans="1:5">
      <c r="A36" s="3" t="s">
        <v>204</v>
      </c>
      <c r="B36" s="4" t="str">
        <f ca="1">IFERROR(__xludf.DUMMYFUNCTION("IFERROR(GOOGLETRANSLATE(A36,""ko"",""en""),)"),"Do you like fried rice?")</f>
        <v>Do you like fried rice?</v>
      </c>
      <c r="C36" s="4" t="str">
        <f ca="1">IFERROR(__xludf.DUMMYFUNCTION("IFERROR(GOOGLETRANSLATE(B36,""en"",""ja""),)"),"チャーハンはお好きですか？")</f>
        <v>チャーハンはお好きですか？</v>
      </c>
      <c r="D36" s="4" t="str">
        <f ca="1">IFERROR(__xludf.DUMMYFUNCTION("IFERROR(GOOGLETRANSLATE(B36,""en"",""zh-TW""),)"),"你喜歡炒飯嗎？")</f>
        <v>你喜歡炒飯嗎？</v>
      </c>
      <c r="E36" s="4" t="str">
        <f ca="1">IFERROR(__xludf.DUMMYFUNCTION("IFERROR(GOOGLETRANSLATE(B36,""en"",""zh-CN""),)"),"你喜欢炒饭吗？")</f>
        <v>你喜欢炒饭吗？</v>
      </c>
    </row>
    <row r="37" spans="1:5">
      <c r="A37" s="3" t="s">
        <v>208</v>
      </c>
      <c r="B37" s="4" t="str">
        <f ca="1">IFERROR(__xludf.DUMMYFUNCTION("IFERROR(GOOGLETRANSLATE(A37,""ko"",""en""),)"),"No, I like gimbap.")</f>
        <v>No, I like gimbap.</v>
      </c>
      <c r="C37" s="4" t="str">
        <f ca="1">IFERROR(__xludf.DUMMYFUNCTION("IFERROR(GOOGLETRANSLATE(B37,""en"",""ja""),)"),"いいえ、私はキンパが好きです。")</f>
        <v>いいえ、私はキンパが好きです。</v>
      </c>
      <c r="D37" s="4" t="str">
        <f ca="1">IFERROR(__xludf.DUMMYFUNCTION("IFERROR(GOOGLETRANSLATE(B37,""en"",""zh-TW""),)"),"不，我喜歡紫菜包飯。")</f>
        <v>不，我喜歡紫菜包飯。</v>
      </c>
      <c r="E37" s="4" t="str">
        <f ca="1">IFERROR(__xludf.DUMMYFUNCTION("IFERROR(GOOGLETRANSLATE(B37,""en"",""zh-CN""),)"),"不，我喜欢紫菜包饭。")</f>
        <v>不，我喜欢紫菜包饭。</v>
      </c>
    </row>
    <row r="38" spans="1:5">
      <c r="A38" s="3" t="s">
        <v>214</v>
      </c>
      <c r="B38" s="4" t="str">
        <f ca="1">IFERROR(__xludf.DUMMYFUNCTION("IFERROR(GOOGLETRANSLATE(A38,""ko"",""en""),)"),"Suzy, what would you like to have for lunch?")</f>
        <v>Suzy, what would you like to have for lunch?</v>
      </c>
      <c r="C38" s="4" t="str">
        <f ca="1">IFERROR(__xludf.DUMMYFUNCTION("IFERROR(GOOGLETRANSLATE(B38,""en"",""ja""),)"),"スージー、お昼ご飯は何を食べたい？")</f>
        <v>スージー、お昼ご飯は何を食べたい？</v>
      </c>
      <c r="D38" s="4" t="str">
        <f ca="1">IFERROR(__xludf.DUMMYFUNCTION("IFERROR(GOOGLETRANSLATE(B38,""en"",""zh-TW""),)"),"蘇西，你午餐想吃什麼？")</f>
        <v>蘇西，你午餐想吃什麼？</v>
      </c>
      <c r="E38" s="4" t="str">
        <f ca="1">IFERROR(__xludf.DUMMYFUNCTION("IFERROR(GOOGLETRANSLATE(B38,""en"",""zh-CN""),)"),"苏西，你午饭想吃什么？")</f>
        <v>苏西，你午饭想吃什么？</v>
      </c>
    </row>
    <row r="39" spans="1:5">
      <c r="A39" s="3" t="s">
        <v>221</v>
      </c>
      <c r="B39" s="4" t="str">
        <f ca="1">IFERROR(__xludf.DUMMYFUNCTION("IFERROR(GOOGLETRANSLATE(A39,""ko"",""en""),)"),"I want to eat soybean paste stew.")</f>
        <v>I want to eat soybean paste stew.</v>
      </c>
      <c r="C39" s="4" t="str">
        <f ca="1">IFERROR(__xludf.DUMMYFUNCTION("IFERROR(GOOGLETRANSLATE(B39,""en"",""ja""),)"),"味噌チゲが食べたいです。")</f>
        <v>味噌チゲが食べたいです。</v>
      </c>
      <c r="D39" s="4" t="str">
        <f ca="1">IFERROR(__xludf.DUMMYFUNCTION("IFERROR(GOOGLETRANSLATE(B39,""en"",""zh-TW""),)"),"我想吃大醬燉菜。")</f>
        <v>我想吃大醬燉菜。</v>
      </c>
      <c r="E39" s="4" t="str">
        <f ca="1">IFERROR(__xludf.DUMMYFUNCTION("IFERROR(GOOGLETRANSLATE(B39,""en"",""zh-CN""),)"),"我想吃大酱炖菜。")</f>
        <v>我想吃大酱炖菜。</v>
      </c>
    </row>
    <row r="40" spans="1:5">
      <c r="A40" s="3" t="s">
        <v>226</v>
      </c>
      <c r="B40" s="4" t="str">
        <f ca="1">IFERROR(__xludf.DUMMYFUNCTION("IFERROR(GOOGLETRANSLATE(A40,""ko"",""en""),)"),"Jaemin, what did you eat over the weekend?")</f>
        <v>Jaemin, what did you eat over the weekend?</v>
      </c>
      <c r="C40" s="4" t="str">
        <f ca="1">IFERROR(__xludf.DUMMYFUNCTION("IFERROR(GOOGLETRANSLATE(B40,""en"",""ja""),)"),"ジェミン、週末は何を食べましたか？")</f>
        <v>ジェミン、週末は何を食べましたか？</v>
      </c>
      <c r="D40" s="4" t="str">
        <f ca="1">IFERROR(__xludf.DUMMYFUNCTION("IFERROR(GOOGLETRANSLATE(B40,""en"",""zh-TW""),)"),"渽民，你週末都吃了些什麼？")</f>
        <v>渽民，你週末都吃了些什麼？</v>
      </c>
      <c r="E40" s="4" t="str">
        <f ca="1">IFERROR(__xludf.DUMMYFUNCTION("IFERROR(GOOGLETRANSLATE(B40,""en"",""zh-CN""),)"),"渽民，你周末都吃了些什么？")</f>
        <v>渽民，你周末都吃了些什么？</v>
      </c>
    </row>
    <row r="41" spans="1:5">
      <c r="A41" s="3" t="s">
        <v>229</v>
      </c>
      <c r="B41" s="4" t="str">
        <f ca="1">IFERROR(__xludf.DUMMYFUNCTION("IFERROR(GOOGLETRANSLATE(A41,""ko"",""en""),)"),"I ate bibimbap.")</f>
        <v>I ate bibimbap.</v>
      </c>
      <c r="C41" s="4" t="str">
        <f ca="1">IFERROR(__xludf.DUMMYFUNCTION("IFERROR(GOOGLETRANSLATE(B41,""en"",""ja""),)"),"私はビビンバを食べました。")</f>
        <v>私はビビンバを食べました。</v>
      </c>
      <c r="D41" s="4" t="str">
        <f ca="1">IFERROR(__xludf.DUMMYFUNCTION("IFERROR(GOOGLETRANSLATE(B41,""en"",""zh-TW""),)"),"我吃了拌飯。")</f>
        <v>我吃了拌飯。</v>
      </c>
      <c r="E41" s="4" t="str">
        <f ca="1">IFERROR(__xludf.DUMMYFUNCTION("IFERROR(GOOGLETRANSLATE(B41,""en"",""zh-CN""),)"),"我吃了拌饭。")</f>
        <v>我吃了拌饭。</v>
      </c>
    </row>
    <row r="42" spans="1:5">
      <c r="A42" s="5" t="s">
        <v>232</v>
      </c>
      <c r="B42" s="4" t="str">
        <f ca="1">IFERROR(__xludf.DUMMYFUNCTION("IFERROR(GOOGLETRANSLATE(A42,""ko"",""en""),)"),"What would you like me to give you?")</f>
        <v>What would you like me to give you?</v>
      </c>
      <c r="C42" s="4" t="str">
        <f ca="1">IFERROR(__xludf.DUMMYFUNCTION("IFERROR(GOOGLETRANSLATE(B42,""en"",""ja""),)"),"何をお渡しすればよろしいでしょうか？")</f>
        <v>何をお渡しすればよろしいでしょうか？</v>
      </c>
      <c r="D42" s="4" t="str">
        <f ca="1">IFERROR(__xludf.DUMMYFUNCTION("IFERROR(GOOGLETRANSLATE(B42,""en"",""zh-TW""),)"),"你想讓我給你什麼？")</f>
        <v>你想讓我給你什麼？</v>
      </c>
      <c r="E42" s="4" t="str">
        <f ca="1">IFERROR(__xludf.DUMMYFUNCTION("IFERROR(GOOGLETRANSLATE(B42,""en"",""zh-CN""),)"),"你想让我给你什么？")</f>
        <v>你想让我给你什么？</v>
      </c>
    </row>
    <row r="43" spans="1:5">
      <c r="A43" s="3" t="s">
        <v>237</v>
      </c>
      <c r="B43" s="4" t="str">
        <f ca="1">IFERROR(__xludf.DUMMYFUNCTION("IFERROR(GOOGLETRANSLATE(A43,""ko"",""en""),)"),"Please give me bulgogi and naengmyeon.")</f>
        <v>Please give me bulgogi and naengmyeon.</v>
      </c>
      <c r="C43" s="4" t="str">
        <f ca="1">IFERROR(__xludf.DUMMYFUNCTION("IFERROR(GOOGLETRANSLATE(B43,""en"",""ja""),)"),"プルコギと冷麺をください。")</f>
        <v>プルコギと冷麺をください。</v>
      </c>
      <c r="D43" s="4" t="str">
        <f ca="1">IFERROR(__xludf.DUMMYFUNCTION("IFERROR(GOOGLETRANSLATE(B43,""en"",""zh-TW""),)"),"請給我烤肉和冷麵。")</f>
        <v>請給我烤肉和冷麵。</v>
      </c>
      <c r="E43" s="4" t="str">
        <f ca="1">IFERROR(__xludf.DUMMYFUNCTION("IFERROR(GOOGLETRANSLATE(B43,""en"",""zh-CN""),)"),"请给我烤肉和冷面。")</f>
        <v>请给我烤肉和冷面。</v>
      </c>
    </row>
    <row r="44" spans="1:5">
      <c r="A44" s="3" t="s">
        <v>81</v>
      </c>
      <c r="B44" s="4" t="str">
        <f ca="1">IFERROR(__xludf.DUMMYFUNCTION("IFERROR(GOOGLETRANSLATE(A44,""ko"",""en""),)"),"What kind of food do you like?")</f>
        <v>What kind of food do you like?</v>
      </c>
      <c r="C44" s="4" t="str">
        <f ca="1">IFERROR(__xludf.DUMMYFUNCTION("IFERROR(GOOGLETRANSLATE(B44,""en"",""ja""),)"),"あなたはどんな食べ物が好きですか？")</f>
        <v>あなたはどんな食べ物が好きですか？</v>
      </c>
      <c r="D44" s="4" t="str">
        <f ca="1">IFERROR(__xludf.DUMMYFUNCTION("IFERROR(GOOGLETRANSLATE(B44,""en"",""zh-TW""),)"),"你喜歡吃什麼樣的食物？")</f>
        <v>你喜歡吃什麼樣的食物？</v>
      </c>
      <c r="E44" s="4" t="str">
        <f ca="1">IFERROR(__xludf.DUMMYFUNCTION("IFERROR(GOOGLETRANSLATE(B44,""en"",""zh-CN""),)"),"你喜欢吃什么样的食物？")</f>
        <v>你喜欢吃什么样的食物？</v>
      </c>
    </row>
    <row r="45" spans="1:5">
      <c r="A45" s="3" t="s">
        <v>246</v>
      </c>
      <c r="B45" s="4" t="str">
        <f ca="1">IFERROR(__xludf.DUMMYFUNCTION("IFERROR(GOOGLETRANSLATE(A45,""ko"",""en""),)"),"I like Korean food.")</f>
        <v>I like Korean food.</v>
      </c>
      <c r="C45" s="4" t="str">
        <f ca="1">IFERROR(__xludf.DUMMYFUNCTION("IFERROR(GOOGLETRANSLATE(B45,""en"",""ja""),)"),"私は韓国料理が好きです。")</f>
        <v>私は韓国料理が好きです。</v>
      </c>
      <c r="D45" s="4" t="str">
        <f ca="1">IFERROR(__xludf.DUMMYFUNCTION("IFERROR(GOOGLETRANSLATE(B45,""en"",""zh-TW""),)"),"我喜歡韓國料理。")</f>
        <v>我喜歡韓國料理。</v>
      </c>
      <c r="E45" s="4" t="str">
        <f ca="1">IFERROR(__xludf.DUMMYFUNCTION("IFERROR(GOOGLETRANSLATE(B45,""en"",""zh-CN""),)"),"我喜欢韩国料理。")</f>
        <v>我喜欢韩国料理。</v>
      </c>
    </row>
    <row r="46" spans="1:5">
      <c r="A46" s="3" t="s">
        <v>249</v>
      </c>
      <c r="B46" s="4" t="str">
        <f ca="1">IFERROR(__xludf.DUMMYFUNCTION("IFERROR(GOOGLETRANSLATE(A46,""ko"",""en""),)"),"What gift did you receive for your birthday?")</f>
        <v>What gift did you receive for your birthday?</v>
      </c>
      <c r="C46" s="4" t="str">
        <f ca="1">IFERROR(__xludf.DUMMYFUNCTION("IFERROR(GOOGLETRANSLATE(B46,""en"",""ja""),)"),"誕生日にはどんなプレゼントをもらいましたか？")</f>
        <v>誕生日にはどんなプレゼントをもらいましたか？</v>
      </c>
      <c r="D46" s="4" t="str">
        <f ca="1">IFERROR(__xludf.DUMMYFUNCTION("IFERROR(GOOGLETRANSLATE(B46,""en"",""zh-TW""),)"),"生日時收到了什麼禮物？")</f>
        <v>生日時收到了什麼禮物？</v>
      </c>
      <c r="E46" s="4" t="str">
        <f ca="1">IFERROR(__xludf.DUMMYFUNCTION("IFERROR(GOOGLETRANSLATE(B46,""en"",""zh-CN""),)"),"你生日时收到了什么礼物？")</f>
        <v>你生日时收到了什么礼物？</v>
      </c>
    </row>
    <row r="47" spans="1:5">
      <c r="A47" s="3" t="s">
        <v>254</v>
      </c>
      <c r="B47" s="4" t="str">
        <f ca="1">IFERROR(__xludf.DUMMYFUNCTION("IFERROR(GOOGLETRANSLATE(A47,""ko"",""en""),)"),"I received sneakers.")</f>
        <v>I received sneakers.</v>
      </c>
      <c r="C47" s="4" t="str">
        <f ca="1">IFERROR(__xludf.DUMMYFUNCTION("IFERROR(GOOGLETRANSLATE(B47,""en"",""ja""),)"),"スニーカーをもらいました。")</f>
        <v>スニーカーをもらいました。</v>
      </c>
      <c r="D47" s="4" t="str">
        <f ca="1">IFERROR(__xludf.DUMMYFUNCTION("IFERROR(GOOGLETRANSLATE(B47,""en"",""zh-TW""),)"),"我收到了一雙運動鞋。")</f>
        <v>我收到了一雙運動鞋。</v>
      </c>
      <c r="E47" s="4" t="str">
        <f ca="1">IFERROR(__xludf.DUMMYFUNCTION("IFERROR(GOOGLETRANSLATE(B47,""en"",""zh-CN""),)"),"我收到了一双运动鞋。")</f>
        <v>我收到了一双运动鞋。</v>
      </c>
    </row>
    <row r="48" spans="1:5">
      <c r="A48" s="3" t="s">
        <v>260</v>
      </c>
      <c r="B48" s="4" t="str">
        <f ca="1">IFERROR(__xludf.DUMMYFUNCTION("IFERROR(GOOGLETRANSLATE(A48,""ko"",""en""),)"),"What kind of exercise do you like the most?")</f>
        <v>What kind of exercise do you like the most?</v>
      </c>
      <c r="C48" s="4" t="str">
        <f ca="1">IFERROR(__xludf.DUMMYFUNCTION("IFERROR(GOOGLETRANSLATE(B48,""en"",""ja""),)"),"どんな運動が一番好きですか？")</f>
        <v>どんな運動が一番好きですか？</v>
      </c>
      <c r="D48" s="4" t="str">
        <f ca="1">IFERROR(__xludf.DUMMYFUNCTION("IFERROR(GOOGLETRANSLATE(B48,""en"",""zh-TW""),)"),"你最喜歡哪一種運動？")</f>
        <v>你最喜歡哪一種運動？</v>
      </c>
      <c r="E48" s="4" t="str">
        <f ca="1">IFERROR(__xludf.DUMMYFUNCTION("IFERROR(GOOGLETRANSLATE(B48,""en"",""zh-CN""),)"),"你最喜欢哪种运动？")</f>
        <v>你最喜欢哪种运动？</v>
      </c>
    </row>
    <row r="49" spans="1:5">
      <c r="A49" s="3" t="s">
        <v>265</v>
      </c>
      <c r="B49" s="4" t="str">
        <f ca="1">IFERROR(__xludf.DUMMYFUNCTION("IFERROR(GOOGLETRANSLATE(A49,""ko"",""en""),)"),"I like baseball the most.")</f>
        <v>I like baseball the most.</v>
      </c>
      <c r="C49" s="4" t="str">
        <f ca="1">IFERROR(__xludf.DUMMYFUNCTION("IFERROR(GOOGLETRANSLATE(B49,""en"",""ja""),)"),"私は野球が一番好きです。")</f>
        <v>私は野球が一番好きです。</v>
      </c>
      <c r="D49" s="4" t="str">
        <f ca="1">IFERROR(__xludf.DUMMYFUNCTION("IFERROR(GOOGLETRANSLATE(B49,""en"",""zh-TW""),)"),"我最喜歡棒球。")</f>
        <v>我最喜歡棒球。</v>
      </c>
      <c r="E49" s="4" t="str">
        <f ca="1">IFERROR(__xludf.DUMMYFUNCTION("IFERROR(GOOGLETRANSLATE(B49,""en"",""zh-CN""),)"),"我最喜欢棒球。")</f>
        <v>我最喜欢棒球。</v>
      </c>
    </row>
    <row r="50" spans="1:5">
      <c r="A50" s="3" t="s">
        <v>271</v>
      </c>
      <c r="B50" s="4" t="str">
        <f ca="1">IFERROR(__xludf.DUMMYFUNCTION("IFERROR(GOOGLETRANSLATE(A50,""ko"",""en""),)"),"What kind of shoes do you want to buy?")</f>
        <v>What kind of shoes do you want to buy?</v>
      </c>
      <c r="C50" s="4" t="str">
        <f ca="1">IFERROR(__xludf.DUMMYFUNCTION("IFERROR(GOOGLETRANSLATE(B50,""en"",""ja""),)"),"どんな靴を買いたいですか？")</f>
        <v>どんな靴を買いたいですか？</v>
      </c>
      <c r="D50" s="4" t="str">
        <f ca="1">IFERROR(__xludf.DUMMYFUNCTION("IFERROR(GOOGLETRANSLATE(B50,""en"",""zh-TW""),)"),"你想買什麼樣的鞋子？")</f>
        <v>你想買什麼樣的鞋子？</v>
      </c>
      <c r="E50" s="4" t="str">
        <f ca="1">IFERROR(__xludf.DUMMYFUNCTION("IFERROR(GOOGLETRANSLATE(B50,""en"",""zh-CN""),)"),"你想买什么样的鞋子？")</f>
        <v>你想买什么样的鞋子？</v>
      </c>
    </row>
    <row r="51" spans="1:5">
      <c r="A51" s="3" t="s">
        <v>277</v>
      </c>
      <c r="B51" s="4" t="str">
        <f ca="1">IFERROR(__xludf.DUMMYFUNCTION("IFERROR(GOOGLETRANSLATE(A51,""ko"",""en""),)"),"I want to buy sneakers.")</f>
        <v>I want to buy sneakers.</v>
      </c>
      <c r="C51" s="4" t="str">
        <f ca="1">IFERROR(__xludf.DUMMYFUNCTION("IFERROR(GOOGLETRANSLATE(B51,""en"",""ja""),)"),"スニーカーを買いたい。")</f>
        <v>スニーカーを買いたい。</v>
      </c>
      <c r="D51" s="4" t="str">
        <f ca="1">IFERROR(__xludf.DUMMYFUNCTION("IFERROR(GOOGLETRANSLATE(B51,""en"",""zh-TW""),)"),"我想買運動鞋。")</f>
        <v>我想買運動鞋。</v>
      </c>
      <c r="E51" s="4" t="str">
        <f ca="1">IFERROR(__xludf.DUMMYFUNCTION("IFERROR(GOOGLETRANSLATE(B51,""en"",""zh-CN""),)"),"我想买运动鞋。")</f>
        <v>我想买运动鞋。</v>
      </c>
    </row>
    <row r="52" spans="1:5">
      <c r="A52" s="3" t="s">
        <v>249</v>
      </c>
      <c r="B52" s="4" t="str">
        <f ca="1">IFERROR(__xludf.DUMMYFUNCTION("IFERROR(GOOGLETRANSLATE(A52,""ko"",""en""),)"),"What gift did you receive for your birthday?")</f>
        <v>What gift did you receive for your birthday?</v>
      </c>
      <c r="C52" s="4" t="str">
        <f ca="1">IFERROR(__xludf.DUMMYFUNCTION("IFERROR(GOOGLETRANSLATE(B52,""en"",""ja""),)"),"誕生日にはどんなプレゼントをもらいましたか？")</f>
        <v>誕生日にはどんなプレゼントをもらいましたか？</v>
      </c>
      <c r="D52" s="4" t="str">
        <f ca="1">IFERROR(__xludf.DUMMYFUNCTION("IFERROR(GOOGLETRANSLATE(B52,""en"",""zh-TW""),)"),"生日時收到了什麼禮物？")</f>
        <v>生日時收到了什麼禮物？</v>
      </c>
      <c r="E52" s="4" t="str">
        <f ca="1">IFERROR(__xludf.DUMMYFUNCTION("IFERROR(GOOGLETRANSLATE(B52,""en"",""zh-CN""),)"),"你生日时收到了什么礼物？")</f>
        <v>你生日时收到了什么礼物？</v>
      </c>
    </row>
    <row r="53" spans="1:5">
      <c r="A53" s="5" t="s">
        <v>286</v>
      </c>
      <c r="B53" s="4" t="str">
        <f ca="1">IFERROR(__xludf.DUMMYFUNCTION("IFERROR(GOOGLETRANSLATE(A53,""ko"",""en""),)"),"I received flowers and a wallet.")</f>
        <v>I received flowers and a wallet.</v>
      </c>
      <c r="C53" s="4" t="str">
        <f ca="1">IFERROR(__xludf.DUMMYFUNCTION("IFERROR(GOOGLETRANSLATE(B53,""en"",""ja""),)"),"花と財布をもらいました。")</f>
        <v>花と財布をもらいました。</v>
      </c>
      <c r="D53" s="4" t="str">
        <f ca="1">IFERROR(__xludf.DUMMYFUNCTION("IFERROR(GOOGLETRANSLATE(B53,""en"",""zh-TW""),)"),"我收到了鮮花和一個錢包。")</f>
        <v>我收到了鮮花和一個錢包。</v>
      </c>
      <c r="E53" s="4" t="str">
        <f ca="1">IFERROR(__xludf.DUMMYFUNCTION("IFERROR(GOOGLETRANSLATE(B53,""en"",""zh-CN""),)"),"我收到了鲜花和一个钱包。")</f>
        <v>我收到了鲜花和一个钱包。</v>
      </c>
    </row>
    <row r="54" spans="1:5">
      <c r="A54" s="5" t="s">
        <v>292</v>
      </c>
      <c r="B54" s="4" t="str">
        <f ca="1">IFERROR(__xludf.DUMMYFUNCTION("IFERROR(GOOGLETRANSLATE(A54,""ko"",""en""),)"),"On what day of the week is your Korean class?")</f>
        <v>On what day of the week is your Korean class?</v>
      </c>
      <c r="C54" s="4" t="str">
        <f ca="1">IFERROR(__xludf.DUMMYFUNCTION("IFERROR(GOOGLETRANSLATE(B54,""en"",""ja""),)"),"あなたの韓国語の授業は、週の何曜日ですか？")</f>
        <v>あなたの韓国語の授業は、週の何曜日ですか？</v>
      </c>
      <c r="D54" s="4" t="str">
        <f ca="1">IFERROR(__xludf.DUMMYFUNCTION("IFERROR(GOOGLETRANSLATE(B54,""en"",""zh-TW""),)"),"你的韓文課在星期幾？")</f>
        <v>你的韓文課在星期幾？</v>
      </c>
      <c r="E54" s="4" t="str">
        <f ca="1">IFERROR(__xludf.DUMMYFUNCTION("IFERROR(GOOGLETRANSLATE(B54,""en"",""zh-CN""),)"),"你的韩语课在星期几？")</f>
        <v>你的韩语课在星期几？</v>
      </c>
    </row>
    <row r="55" spans="1:5">
      <c r="A55" s="3" t="s">
        <v>298</v>
      </c>
      <c r="B55" s="4" t="str">
        <f ca="1">IFERROR(__xludf.DUMMYFUNCTION("IFERROR(GOOGLETRANSLATE(A55,""ko"",""en""),)"),"It's on Monday and Wednesday.")</f>
        <v>It's on Monday and Wednesday.</v>
      </c>
      <c r="C55" s="4" t="str">
        <f ca="1">IFERROR(__xludf.DUMMYFUNCTION("IFERROR(GOOGLETRANSLATE(B55,""en"",""ja""),)"),"月曜日と水曜日です。")</f>
        <v>月曜日と水曜日です。</v>
      </c>
      <c r="D55" s="4" t="str">
        <f ca="1">IFERROR(__xludf.DUMMYFUNCTION("IFERROR(GOOGLETRANSLATE(B55,""en"",""zh-TW""),)"),"是在星期一和星期三。")</f>
        <v>是在星期一和星期三。</v>
      </c>
      <c r="E55" s="4" t="str">
        <f ca="1">IFERROR(__xludf.DUMMYFUNCTION("IFERROR(GOOGLETRANSLATE(B55,""en"",""zh-CN""),)"),"是在星期一和星期三。")</f>
        <v>是在星期一和星期三。</v>
      </c>
    </row>
    <row r="56" spans="1:5">
      <c r="A56" s="3" t="s">
        <v>304</v>
      </c>
      <c r="B56" s="4" t="str">
        <f ca="1">IFERROR(__xludf.DUMMYFUNCTION("IFERROR(GOOGLETRANSLATE(A56,""ko"",""en""),)"),"I have a Korean class on Tuesday.")</f>
        <v>I have a Korean class on Tuesday.</v>
      </c>
      <c r="C56" s="4" t="str">
        <f ca="1">IFERROR(__xludf.DUMMYFUNCTION("IFERROR(GOOGLETRANSLATE(B56,""en"",""ja""),)"),"火曜日に韓国語の授業があります。")</f>
        <v>火曜日に韓国語の授業があります。</v>
      </c>
      <c r="D56" s="4" t="str">
        <f ca="1">IFERROR(__xludf.DUMMYFUNCTION("IFERROR(GOOGLETRANSLATE(B56,""en"",""zh-TW""),)"),"我星期二有韓語課。")</f>
        <v>我星期二有韓語課。</v>
      </c>
      <c r="E56" s="4" t="str">
        <f ca="1">IFERROR(__xludf.DUMMYFUNCTION("IFERROR(GOOGLETRANSLATE(B56,""en"",""zh-CN""),)"),"我星期二有韩语课。")</f>
        <v>我星期二有韩语课。</v>
      </c>
    </row>
    <row r="57" spans="1:5">
      <c r="A57" s="5" t="s">
        <v>308</v>
      </c>
      <c r="B57" s="4" t="str">
        <f ca="1">IFERROR(__xludf.DUMMYFUNCTION("IFERROR(GOOGLETRANSLATE(A57,""ko"",""en""),)"),"What season do you like?")</f>
        <v>What season do you like?</v>
      </c>
      <c r="C57" s="4" t="str">
        <f ca="1">IFERROR(__xludf.DUMMYFUNCTION("IFERROR(GOOGLETRANSLATE(B57,""en"",""ja""),)"),"あなたはどの季節が好きですか？")</f>
        <v>あなたはどの季節が好きですか？</v>
      </c>
      <c r="D57" s="4" t="str">
        <f ca="1">IFERROR(__xludf.DUMMYFUNCTION("IFERROR(GOOGLETRANSLATE(B57,""en"",""zh-TW""),)"),"你喜歡哪個季節？")</f>
        <v>你喜歡哪個季節？</v>
      </c>
      <c r="E57" s="4" t="str">
        <f ca="1">IFERROR(__xludf.DUMMYFUNCTION("IFERROR(GOOGLETRANSLATE(B57,""en"",""zh-CN""),)"),"你喜欢哪个季节？")</f>
        <v>你喜欢哪个季节？</v>
      </c>
    </row>
    <row r="58" spans="1:5">
      <c r="A58" s="3" t="s">
        <v>312</v>
      </c>
      <c r="B58" s="4" t="str">
        <f ca="1">IFERROR(__xludf.DUMMYFUNCTION("IFERROR(GOOGLETRANSLATE(A58,""ko"",""en""),)"),"I like summer.")</f>
        <v>I like summer.</v>
      </c>
      <c r="C58" s="4" t="str">
        <f ca="1">IFERROR(__xludf.DUMMYFUNCTION("IFERROR(GOOGLETRANSLATE(B58,""en"",""ja""),)"),"私は夏が好きです。")</f>
        <v>私は夏が好きです。</v>
      </c>
      <c r="D58" s="4" t="str">
        <f ca="1">IFERROR(__xludf.DUMMYFUNCTION("IFERROR(GOOGLETRANSLATE(B58,""en"",""zh-TW""),)"),"我喜歡夏天。")</f>
        <v>我喜歡夏天。</v>
      </c>
      <c r="E58" s="4" t="str">
        <f ca="1">IFERROR(__xludf.DUMMYFUNCTION("IFERROR(GOOGLETRANSLATE(B58,""en"",""zh-CN""),)"),"我喜欢夏天。")</f>
        <v>我喜欢夏天。</v>
      </c>
    </row>
    <row r="59" spans="1:5">
      <c r="A59" s="3" t="s">
        <v>316</v>
      </c>
      <c r="B59" s="4" t="str">
        <f ca="1">IFERROR(__xludf.DUMMYFUNCTION("IFERROR(GOOGLETRANSLATE(A59,""ko"",""en""),)"),"What kind of exercise do you do often?")</f>
        <v>What kind of exercise do you do often?</v>
      </c>
      <c r="C59" s="4" t="str">
        <f ca="1">IFERROR(__xludf.DUMMYFUNCTION("IFERROR(GOOGLETRANSLATE(B59,""en"",""ja""),)"),"あなたは普段、どんな運動をしていますか？")</f>
        <v>あなたは普段、どんな運動をしていますか？</v>
      </c>
      <c r="D59" s="4" t="str">
        <f ca="1">IFERROR(__xludf.DUMMYFUNCTION("IFERROR(GOOGLETRANSLATE(B59,""en"",""zh-TW""),)"),"你常做哪種運動？")</f>
        <v>你常做哪種運動？</v>
      </c>
      <c r="E59" s="4" t="str">
        <f ca="1">IFERROR(__xludf.DUMMYFUNCTION("IFERROR(GOOGLETRANSLATE(B59,""en"",""zh-CN""),)"),"你经常做哪种运动？")</f>
        <v>你经常做哪种运动？</v>
      </c>
    </row>
    <row r="60" spans="1:5">
      <c r="A60" s="3" t="s">
        <v>321</v>
      </c>
      <c r="B60" s="4" t="str">
        <f ca="1">IFERROR(__xludf.DUMMYFUNCTION("IFERROR(GOOGLETRANSLATE(A60,""ko"",""en""),)"),"I play soccer often.")</f>
        <v>I play soccer often.</v>
      </c>
      <c r="C60" s="4" t="str">
        <f ca="1">IFERROR(__xludf.DUMMYFUNCTION("IFERROR(GOOGLETRANSLATE(B60,""en"",""ja""),)"),"私はよくサッカーをします。")</f>
        <v>私はよくサッカーをします。</v>
      </c>
      <c r="D60" s="4" t="str">
        <f ca="1">IFERROR(__xludf.DUMMYFUNCTION("IFERROR(GOOGLETRANSLATE(B60,""en"",""zh-TW""),)"),"我經常踢足球。")</f>
        <v>我經常踢足球。</v>
      </c>
      <c r="E60" s="4" t="str">
        <f ca="1">IFERROR(__xludf.DUMMYFUNCTION("IFERROR(GOOGLETRANSLATE(B60,""en"",""zh-CN""),)"),"我经常踢足球。")</f>
        <v>我经常踢足球。</v>
      </c>
    </row>
    <row r="61" spans="1:5">
      <c r="A61" s="3" t="s">
        <v>326</v>
      </c>
      <c r="B61" s="4" t="str">
        <f ca="1">IFERROR(__xludf.DUMMYFUNCTION("IFERROR(GOOGLETRANSLATE(A61,""ko"",""en""),)"),"What food do you eat often?")</f>
        <v>What food do you eat often?</v>
      </c>
      <c r="C61" s="4" t="str">
        <f ca="1">IFERROR(__xludf.DUMMYFUNCTION("IFERROR(GOOGLETRANSLATE(B61,""en"",""ja""),)"),"あなたはどんな食べ物をよく食べますか？")</f>
        <v>あなたはどんな食べ物をよく食べますか？</v>
      </c>
      <c r="D61" s="4" t="str">
        <f ca="1">IFERROR(__xludf.DUMMYFUNCTION("IFERROR(GOOGLETRANSLATE(B61,""en"",""zh-TW""),)"),"你常吃哪些食物？")</f>
        <v>你常吃哪些食物？</v>
      </c>
      <c r="E61" s="4" t="str">
        <f ca="1">IFERROR(__xludf.DUMMYFUNCTION("IFERROR(GOOGLETRANSLATE(B61,""en"",""zh-CN""),)"),"你经常吃哪些食物？")</f>
        <v>你经常吃哪些食物？</v>
      </c>
    </row>
    <row r="62" spans="1:5">
      <c r="A62" s="3" t="s">
        <v>331</v>
      </c>
      <c r="B62" s="4" t="str">
        <f ca="1">IFERROR(__xludf.DUMMYFUNCTION("IFERROR(GOOGLETRANSLATE(A62,""ko"",""en""),)"),"I often eat Japanese food.")</f>
        <v>I often eat Japanese food.</v>
      </c>
      <c r="C62" s="4" t="str">
        <f ca="1">IFERROR(__xludf.DUMMYFUNCTION("IFERROR(GOOGLETRANSLATE(B62,""en"",""ja""),)"),"私はよく日本食を食べます。")</f>
        <v>私はよく日本食を食べます。</v>
      </c>
      <c r="D62" s="4" t="str">
        <f ca="1">IFERROR(__xludf.DUMMYFUNCTION("IFERROR(GOOGLETRANSLATE(B62,""en"",""zh-TW""),)"),"我常吃日本料理。")</f>
        <v>我常吃日本料理。</v>
      </c>
      <c r="E62" s="4" t="str">
        <f ca="1">IFERROR(__xludf.DUMMYFUNCTION("IFERROR(GOOGLETRANSLATE(B62,""en"",""zh-CN""),)"),"我经常吃日本料理。")</f>
        <v>我经常吃日本料理。</v>
      </c>
    </row>
    <row r="63" spans="1:5">
      <c r="A63" s="2" t="s">
        <v>336</v>
      </c>
      <c r="B63" s="4" t="str">
        <f ca="1">IFERROR(__xludf.DUMMYFUNCTION("IFERROR(GOOGLETRANSLATE(A63,""ko"",""en""),)"),"What gift would you like to receive?")</f>
        <v>What gift would you like to receive?</v>
      </c>
      <c r="C63" s="4" t="str">
        <f ca="1">IFERROR(__xludf.DUMMYFUNCTION("IFERROR(GOOGLETRANSLATE(B63,""en"",""ja""),)"),"どんなプレゼントが欲しいですか？")</f>
        <v>どんなプレゼントが欲しいですか？</v>
      </c>
      <c r="D63" s="4" t="str">
        <f ca="1">IFERROR(__xludf.DUMMYFUNCTION("IFERROR(GOOGLETRANSLATE(B63,""en"",""zh-TW""),)"),"你想要收到什麼禮物？")</f>
        <v>你想要收到什麼禮物？</v>
      </c>
      <c r="E63" s="4" t="str">
        <f ca="1">IFERROR(__xludf.DUMMYFUNCTION("IFERROR(GOOGLETRANSLATE(B63,""en"",""zh-CN""),)"),"你想要收到什么礼物？")</f>
        <v>你想要收到什么礼物？</v>
      </c>
    </row>
    <row r="64" spans="1:5">
      <c r="A64" s="3" t="s">
        <v>341</v>
      </c>
      <c r="B64" s="4" t="str">
        <f ca="1">IFERROR(__xludf.DUMMYFUNCTION("IFERROR(GOOGLETRANSLATE(A64,""ko"",""en""),)"),"I want to receive a sports T-shirt.")</f>
        <v>I want to receive a sports T-shirt.</v>
      </c>
      <c r="C64" s="4" t="str">
        <f ca="1">IFERROR(__xludf.DUMMYFUNCTION("IFERROR(GOOGLETRANSLATE(B64,""en"",""ja""),)"),"スポーツTシャツが欲しいです。")</f>
        <v>スポーツTシャツが欲しいです。</v>
      </c>
      <c r="D64" s="4" t="str">
        <f ca="1">IFERROR(__xludf.DUMMYFUNCTION("IFERROR(GOOGLETRANSLATE(B64,""en"",""zh-TW""),)"),"我想要一件運動T卹。")</f>
        <v>我想要一件運動T卹。</v>
      </c>
      <c r="E64" s="4" t="str">
        <f ca="1">IFERROR(__xludf.DUMMYFUNCTION("IFERROR(GOOGLETRANSLATE(B64,""en"",""zh-CN""),)"),"我想要一件运动T恤。")</f>
        <v>我想要一件运动T恤。</v>
      </c>
    </row>
    <row r="65" spans="1:5">
      <c r="A65" s="3" t="s">
        <v>346</v>
      </c>
      <c r="B65" s="4" t="str">
        <f ca="1">IFERROR(__xludf.DUMMYFUNCTION("IFERROR(GOOGLETRANSLATE(A65,""ko"",""en""),)"),"What fruit did you buy?")</f>
        <v>What fruit did you buy?</v>
      </c>
      <c r="C65" s="4" t="str">
        <f ca="1">IFERROR(__xludf.DUMMYFUNCTION("IFERROR(GOOGLETRANSLATE(B65,""en"",""ja""),)"),"どんな果物を買いましたか？")</f>
        <v>どんな果物を買いましたか？</v>
      </c>
      <c r="D65" s="4" t="str">
        <f ca="1">IFERROR(__xludf.DUMMYFUNCTION("IFERROR(GOOGLETRANSLATE(B65,""en"",""zh-TW""),)"),"你買了什麼水果？")</f>
        <v>你買了什麼水果？</v>
      </c>
      <c r="E65" s="4" t="str">
        <f ca="1">IFERROR(__xludf.DUMMYFUNCTION("IFERROR(GOOGLETRANSLATE(B65,""en"",""zh-CN""),)"),"你买了什么水果？")</f>
        <v>你买了什么水果？</v>
      </c>
    </row>
    <row r="66" spans="1:5">
      <c r="A66" s="3" t="s">
        <v>351</v>
      </c>
      <c r="B66" s="4" t="str">
        <f ca="1">IFERROR(__xludf.DUMMYFUNCTION("IFERROR(GOOGLETRANSLATE(A66,""ko"",""en""),)"),"I bought two watermelons.")</f>
        <v>I bought two watermelons.</v>
      </c>
      <c r="C66" s="4" t="str">
        <f ca="1">IFERROR(__xludf.DUMMYFUNCTION("IFERROR(GOOGLETRANSLATE(B66,""en"",""ja""),)"),"スイカを2個買いました。")</f>
        <v>スイカを2個買いました。</v>
      </c>
      <c r="D66" s="4" t="str">
        <f ca="1">IFERROR(__xludf.DUMMYFUNCTION("IFERROR(GOOGLETRANSLATE(B66,""en"",""zh-TW""),)"),"我買了兩個西瓜。")</f>
        <v>我買了兩個西瓜。</v>
      </c>
      <c r="E66" s="4" t="str">
        <f ca="1">IFERROR(__xludf.DUMMYFUNCTION("IFERROR(GOOGLETRANSLATE(B66,""en"",""zh-CN""),)"),"我买了两个西瓜。")</f>
        <v>我买了两个西瓜。</v>
      </c>
    </row>
    <row r="67" spans="1:5">
      <c r="A67" s="3" t="s">
        <v>356</v>
      </c>
      <c r="B67" s="4" t="str">
        <f ca="1">IFERROR(__xludf.DUMMYFUNCTION("IFERROR(GOOGLETRANSLATE(A67,""ko"",""en""),)"),"What book")</f>
        <v>What book</v>
      </c>
      <c r="C67" s="4" t="str">
        <f ca="1">IFERROR(__xludf.DUMMYFUNCTION("IFERROR(GOOGLETRANSLATE(B67,""en"",""ja""),)"),"どの本")</f>
        <v>どの本</v>
      </c>
      <c r="D67" s="4" t="str">
        <f ca="1">IFERROR(__xludf.DUMMYFUNCTION("IFERROR(GOOGLETRANSLATE(B67,""en"",""zh-TW""),)"),"什麼書")</f>
        <v>什麼書</v>
      </c>
      <c r="E67" s="4" t="str">
        <f ca="1">IFERROR(__xludf.DUMMYFUNCTION("IFERROR(GOOGLETRANSLATE(B67,""en"",""zh-CN""),)"),"什么书")</f>
        <v>什么书</v>
      </c>
    </row>
    <row r="68" spans="1:5">
      <c r="A68" s="3" t="s">
        <v>361</v>
      </c>
      <c r="B68" s="4" t="str">
        <f ca="1">IFERROR(__xludf.DUMMYFUNCTION("IFERROR(GOOGLETRANSLATE(A68,""ko"",""en""),)"),"What kind of bag")</f>
        <v>What kind of bag</v>
      </c>
      <c r="C68" s="4" t="str">
        <f ca="1">IFERROR(__xludf.DUMMYFUNCTION("IFERROR(GOOGLETRANSLATE(B68,""en"",""ja""),)"),"どんなバッグですか？")</f>
        <v>どんなバッグですか？</v>
      </c>
      <c r="D68" s="4" t="str">
        <f ca="1">IFERROR(__xludf.DUMMYFUNCTION("IFERROR(GOOGLETRANSLATE(B68,""en"",""zh-TW""),)"),"什麼樣的包")</f>
        <v>什麼樣的包</v>
      </c>
      <c r="E68" s="4" t="str">
        <f ca="1">IFERROR(__xludf.DUMMYFUNCTION("IFERROR(GOOGLETRANSLATE(B68,""en"",""zh-CN""),)"),"什么样的包")</f>
        <v>什么样的包</v>
      </c>
    </row>
    <row r="69" spans="1:5">
      <c r="A69" s="3" t="s">
        <v>366</v>
      </c>
      <c r="B69" s="4" t="str">
        <f ca="1">IFERROR(__xludf.DUMMYFUNCTION("IFERROR(GOOGLETRANSLATE(A69,""ko"",""en""),)"),"something")</f>
        <v>something</v>
      </c>
      <c r="C69" s="4" t="str">
        <f ca="1">IFERROR(__xludf.DUMMYFUNCTION("IFERROR(GOOGLETRANSLATE(B69,""en"",""ja""),)"),"何か")</f>
        <v>何か</v>
      </c>
      <c r="D69" s="4" t="str">
        <f ca="1">IFERROR(__xludf.DUMMYFUNCTION("IFERROR(GOOGLETRANSLATE(B69,""en"",""zh-TW""),)"),"某物")</f>
        <v>某物</v>
      </c>
      <c r="E69" s="4" t="str">
        <f ca="1">IFERROR(__xludf.DUMMYFUNCTION("IFERROR(GOOGLETRANSLATE(B69,""en"",""zh-CN""),)"),"某物")</f>
        <v>某物</v>
      </c>
    </row>
    <row r="70" spans="1:5">
      <c r="A70" s="3" t="s">
        <v>249</v>
      </c>
      <c r="B70" s="4" t="str">
        <f ca="1">IFERROR(__xludf.DUMMYFUNCTION("IFERROR(GOOGLETRANSLATE(A70,""ko"",""en""),)"),"What gift did you receive for your birthday?")</f>
        <v>What gift did you receive for your birthday?</v>
      </c>
      <c r="C70" s="4" t="str">
        <f ca="1">IFERROR(__xludf.DUMMYFUNCTION("IFERROR(GOOGLETRANSLATE(B70,""en"",""ja""),)"),"誕生日にはどんなプレゼントをもらいましたか？")</f>
        <v>誕生日にはどんなプレゼントをもらいましたか？</v>
      </c>
      <c r="D70" s="4" t="str">
        <f ca="1">IFERROR(__xludf.DUMMYFUNCTION("IFERROR(GOOGLETRANSLATE(B70,""en"",""zh-TW""),)"),"生日時收到了什麼禮物？")</f>
        <v>生日時收到了什麼禮物？</v>
      </c>
      <c r="E70" s="4" t="str">
        <f ca="1">IFERROR(__xludf.DUMMYFUNCTION("IFERROR(GOOGLETRANSLATE(B70,""en"",""zh-CN""),)"),"你生日时收到了什么礼物？")</f>
        <v>你生日时收到了什么礼物？</v>
      </c>
    </row>
    <row r="71" spans="1:5">
      <c r="A71" s="3" t="s">
        <v>376</v>
      </c>
      <c r="B71" s="4" t="str">
        <f ca="1">IFERROR(__xludf.DUMMYFUNCTION("IFERROR(GOOGLETRANSLATE(A71,""ko"",""en""),)"),"Which gift did you like?")</f>
        <v>Which gift did you like?</v>
      </c>
      <c r="C71" s="4" t="str">
        <f ca="1">IFERROR(__xludf.DUMMYFUNCTION("IFERROR(GOOGLETRANSLATE(B71,""en"",""ja""),)"),"どのプレゼントが気に入りましたか？")</f>
        <v>どのプレゼントが気に入りましたか？</v>
      </c>
      <c r="D71" s="4" t="str">
        <f ca="1">IFERROR(__xludf.DUMMYFUNCTION("IFERROR(GOOGLETRANSLATE(B71,""en"",""zh-TW""),)"),"你喜歡哪份禮物？")</f>
        <v>你喜歡哪份禮物？</v>
      </c>
      <c r="E71" s="4" t="str">
        <f ca="1">IFERROR(__xludf.DUMMYFUNCTION("IFERROR(GOOGLETRANSLATE(B71,""en"",""zh-CN""),)"),"你喜欢哪份礼物？")</f>
        <v>你喜欢哪份礼物？</v>
      </c>
    </row>
    <row r="72" spans="1:5">
      <c r="A72" s="3" t="s">
        <v>381</v>
      </c>
      <c r="B72" s="4" t="str">
        <f ca="1">IFERROR(__xludf.DUMMYFUNCTION("IFERROR(GOOGLETRANSLATE(A72,""ko"",""en""),)"),"Shall we go to the swimming pool together?")</f>
        <v>Shall we go to the swimming pool together?</v>
      </c>
      <c r="C72" s="4" t="str">
        <f ca="1">IFERROR(__xludf.DUMMYFUNCTION("IFERROR(GOOGLETRANSLATE(B72,""en"",""ja""),)"),"一緒にプールに行きませんか？")</f>
        <v>一緒にプールに行きませんか？</v>
      </c>
      <c r="D72" s="4" t="str">
        <f ca="1">IFERROR(__xludf.DUMMYFUNCTION("IFERROR(GOOGLETRANSLATE(B72,""en"",""zh-TW""),)"),"我們一起去游泳池好嗎？")</f>
        <v>我們一起去游泳池好嗎？</v>
      </c>
      <c r="E72" s="4" t="str">
        <f ca="1">IFERROR(__xludf.DUMMYFUNCTION("IFERROR(GOOGLETRANSLATE(B72,""en"",""zh-CN""),)"),"我们一起去游泳池好吗？")</f>
        <v>我们一起去游泳池好吗？</v>
      </c>
    </row>
    <row r="73" spans="1:5">
      <c r="A73" s="3" t="s">
        <v>386</v>
      </c>
      <c r="B73" s="4" t="str">
        <f ca="1">IFERROR(__xludf.DUMMYFUNCTION("IFERROR(GOOGLETRANSLATE(A73,""ko"",""en""),)"),"I'm sorry. I can't swim.")</f>
        <v>I'm sorry. I can't swim.</v>
      </c>
      <c r="C73" s="4" t="str">
        <f ca="1">IFERROR(__xludf.DUMMYFUNCTION("IFERROR(GOOGLETRANSLATE(B73,""en"",""ja""),)"),"すみません。泳げないんです。")</f>
        <v>すみません。泳げないんです。</v>
      </c>
      <c r="D73" s="4" t="str">
        <f ca="1">IFERROR(__xludf.DUMMYFUNCTION("IFERROR(GOOGLETRANSLATE(B73,""en"",""zh-TW""),)"),"對不起，我不會游泳。")</f>
        <v>對不起，我不會游泳。</v>
      </c>
      <c r="E73" s="4" t="str">
        <f ca="1">IFERROR(__xludf.DUMMYFUNCTION("IFERROR(GOOGLETRANSLATE(B73,""en"",""zh-CN""),)"),"对不起，我不会游泳。")</f>
        <v>对不起，我不会游泳。</v>
      </c>
    </row>
    <row r="74" spans="1:5">
      <c r="A74" s="3" t="s">
        <v>392</v>
      </c>
      <c r="B74" s="4" t="str">
        <f ca="1">IFERROR(__xludf.DUMMYFUNCTION("IFERROR(GOOGLETRANSLATE(A74,""ko"",""en""),)"),"Do you like tteokbokki?")</f>
        <v>Do you like tteokbokki?</v>
      </c>
      <c r="C74" s="4" t="str">
        <f ca="1">IFERROR(__xludf.DUMMYFUNCTION("IFERROR(GOOGLETRANSLATE(B74,""en"",""ja""),)"),"トッポッキはお好きですか？")</f>
        <v>トッポッキはお好きですか？</v>
      </c>
      <c r="D74" s="4" t="str">
        <f ca="1">IFERROR(__xludf.DUMMYFUNCTION("IFERROR(GOOGLETRANSLATE(B74,""en"",""zh-TW""),)"),"你喜歡炒年糕嗎？")</f>
        <v>你喜歡炒年糕嗎？</v>
      </c>
      <c r="E74" s="4" t="str">
        <f ca="1">IFERROR(__xludf.DUMMYFUNCTION("IFERROR(GOOGLETRANSLATE(B74,""en"",""zh-CN""),)"),"你喜欢炒年糕吗？")</f>
        <v>你喜欢炒年糕吗？</v>
      </c>
    </row>
    <row r="75" spans="1:5">
      <c r="A75" s="3" t="s">
        <v>399</v>
      </c>
      <c r="B75" s="4" t="str">
        <f ca="1">IFERROR(__xludf.DUMMYFUNCTION("IFERROR(GOOGLETRANSLATE(A75,""ko"",""en""),)"),"No, I can't eat tteokbokki.")</f>
        <v>No, I can't eat tteokbokki.</v>
      </c>
      <c r="C75" s="4" t="str">
        <f ca="1">IFERROR(__xludf.DUMMYFUNCTION("IFERROR(GOOGLETRANSLATE(B75,""en"",""ja""),)"),"いいえ、トッポッキは食べられません。")</f>
        <v>いいえ、トッポッキは食べられません。</v>
      </c>
      <c r="D75" s="4" t="str">
        <f ca="1">IFERROR(__xludf.DUMMYFUNCTION("IFERROR(GOOGLETRANSLATE(B75,""en"",""zh-TW""),)"),"不，我不能吃炒年糕。")</f>
        <v>不，我不能吃炒年糕。</v>
      </c>
      <c r="E75" s="4" t="str">
        <f ca="1">IFERROR(__xludf.DUMMYFUNCTION("IFERROR(GOOGLETRANSLATE(B75,""en"",""zh-CN""),)"),"不，我不能吃炒年糕。")</f>
        <v>不，我不能吃炒年糕。</v>
      </c>
    </row>
    <row r="76" spans="1:5">
      <c r="A76" s="3" t="s">
        <v>405</v>
      </c>
      <c r="B76" s="4" t="str">
        <f ca="1">IFERROR(__xludf.DUMMYFUNCTION("IFERROR(GOOGLETRANSLATE(A76,""ko"",""en""),)"),"I can't go")</f>
        <v>I can't go</v>
      </c>
      <c r="C76" s="4" t="str">
        <f ca="1">IFERROR(__xludf.DUMMYFUNCTION("IFERROR(GOOGLETRANSLATE(B76,""en"",""ja""),)"),"私は行けません")</f>
        <v>私は行けません</v>
      </c>
      <c r="D76" s="4" t="str">
        <f ca="1">IFERROR(__xludf.DUMMYFUNCTION("IFERROR(GOOGLETRANSLATE(B76,""en"",""zh-TW""),)"),"我不能去")</f>
        <v>我不能去</v>
      </c>
      <c r="E76" s="4" t="str">
        <f ca="1">IFERROR(__xludf.DUMMYFUNCTION("IFERROR(GOOGLETRANSLATE(B76,""en"",""zh-CN""),)"),"我不能去")</f>
        <v>我不能去</v>
      </c>
    </row>
    <row r="77" spans="1:5">
      <c r="A77" s="3" t="s">
        <v>409</v>
      </c>
      <c r="B77" s="4" t="str">
        <f ca="1">IFERROR(__xludf.DUMMYFUNCTION("IFERROR(GOOGLETRANSLATE(A77,""ko"",""en""),)"),"I can't eat it.")</f>
        <v>I can't eat it.</v>
      </c>
      <c r="C77" s="4" t="str">
        <f ca="1">IFERROR(__xludf.DUMMYFUNCTION("IFERROR(GOOGLETRANSLATE(B77,""en"",""ja""),)"),"食べられません。")</f>
        <v>食べられません。</v>
      </c>
      <c r="D77" s="4" t="str">
        <f ca="1">IFERROR(__xludf.DUMMYFUNCTION("IFERROR(GOOGLETRANSLATE(B77,""en"",""zh-TW""),)"),"我吃不下。")</f>
        <v>我吃不下。</v>
      </c>
      <c r="E77" s="4" t="str">
        <f ca="1">IFERROR(__xludf.DUMMYFUNCTION("IFERROR(GOOGLETRANSLATE(B77,""en"",""zh-CN""),)"),"我吃不下。")</f>
        <v>我吃不下。</v>
      </c>
    </row>
    <row r="78" spans="1:5">
      <c r="A78" s="5" t="s">
        <v>417</v>
      </c>
      <c r="B78" s="4" t="str">
        <f ca="1">IFERROR(__xludf.DUMMYFUNCTION("IFERROR(GOOGLETRANSLATE(A78,""ko"",""en""),)"),"I can't play it")</f>
        <v>I can't play it</v>
      </c>
      <c r="C78" s="4" t="str">
        <f ca="1">IFERROR(__xludf.DUMMYFUNCTION("IFERROR(GOOGLETRANSLATE(B78,""en"",""ja""),)"),"プレイできません")</f>
        <v>プレイできません</v>
      </c>
      <c r="D78" s="4" t="str">
        <f ca="1">IFERROR(__xludf.DUMMYFUNCTION("IFERROR(GOOGLETRANSLATE(B78,""en"",""zh-TW""),)"),"我玩不了它")</f>
        <v>我玩不了它</v>
      </c>
      <c r="E78" s="4" t="str">
        <f ca="1">IFERROR(__xludf.DUMMYFUNCTION("IFERROR(GOOGLETRANSLATE(B78,""en"",""zh-CN""),)"),"我玩不了它")</f>
        <v>我玩不了它</v>
      </c>
    </row>
    <row r="79" spans="1:5">
      <c r="A79" s="3" t="s">
        <v>422</v>
      </c>
      <c r="B79" s="4" t="str">
        <f ca="1">IFERROR(__xludf.DUMMYFUNCTION("IFERROR(GOOGLETRANSLATE(A79,""ko"",""en""),)"),"I can't ride it")</f>
        <v>I can't ride it</v>
      </c>
      <c r="C79" s="4" t="str">
        <f ca="1">IFERROR(__xludf.DUMMYFUNCTION("IFERROR(GOOGLETRANSLATE(B79,""en"",""ja""),)"),"私はそれに乗ることができません")</f>
        <v>私はそれに乗ることができません</v>
      </c>
      <c r="D79" s="4" t="str">
        <f ca="1">IFERROR(__xludf.DUMMYFUNCTION("IFERROR(GOOGLETRANSLATE(B79,""en"",""zh-TW""),)"),"我騎不了它")</f>
        <v>我騎不了它</v>
      </c>
      <c r="E79" s="4" t="str">
        <f ca="1">IFERROR(__xludf.DUMMYFUNCTION("IFERROR(GOOGLETRANSLATE(B79,""en"",""zh-CN""),)"),"我骑不了它")</f>
        <v>我骑不了它</v>
      </c>
    </row>
    <row r="80" spans="1:5">
      <c r="A80" s="3" t="s">
        <v>426</v>
      </c>
      <c r="B80" s="4" t="str">
        <f ca="1">IFERROR(__xludf.DUMMYFUNCTION("IFERROR(GOOGLETRANSLATE(A80,""ko"",""en""),)"),"I can't meet you")</f>
        <v>I can't meet you</v>
      </c>
      <c r="C80" s="4" t="str">
        <f ca="1">IFERROR(__xludf.DUMMYFUNCTION("IFERROR(GOOGLETRANSLATE(B80,""en"",""ja""),)"),"あなたには会えません")</f>
        <v>あなたには会えません</v>
      </c>
      <c r="D80" s="4" t="str">
        <f ca="1">IFERROR(__xludf.DUMMYFUNCTION("IFERROR(GOOGLETRANSLATE(B80,""en"",""zh-TW""),)"),"我無法與你見面。")</f>
        <v>我無法與你見面。</v>
      </c>
      <c r="E80" s="4" t="str">
        <f ca="1">IFERROR(__xludf.DUMMYFUNCTION("IFERROR(GOOGLETRANSLATE(B80,""en"",""zh-CN""),)"),"我无法与你见面。")</f>
        <v>我无法与你见面。</v>
      </c>
    </row>
    <row r="81" spans="1:5">
      <c r="A81" s="3" t="s">
        <v>432</v>
      </c>
      <c r="B81" s="4" t="str">
        <f ca="1">IFERROR(__xludf.DUMMYFUNCTION("IFERROR(GOOGLETRANSLATE(A81,""ko"",""en""),)"),"I'm not good at studying.")</f>
        <v>I'm not good at studying.</v>
      </c>
      <c r="C81" s="4" t="str">
        <f ca="1">IFERROR(__xludf.DUMMYFUNCTION("IFERROR(GOOGLETRANSLATE(B81,""en"",""ja""),)"),"私は勉強が苦手です。")</f>
        <v>私は勉強が苦手です。</v>
      </c>
      <c r="D81" s="4" t="str">
        <f ca="1">IFERROR(__xludf.DUMMYFUNCTION("IFERROR(GOOGLETRANSLATE(B81,""en"",""zh-TW""),)"),"我不擅長學習。")</f>
        <v>我不擅長學習。</v>
      </c>
      <c r="E81" s="4" t="str">
        <f ca="1">IFERROR(__xludf.DUMMYFUNCTION("IFERROR(GOOGLETRANSLATE(B81,""en"",""zh-CN""),)"),"我不擅长学习。")</f>
        <v>我不擅长学习。</v>
      </c>
    </row>
    <row r="82" spans="1:5">
      <c r="A82" s="3" t="s">
        <v>437</v>
      </c>
      <c r="B82" s="4" t="str">
        <f ca="1">IFERROR(__xludf.DUMMYFUNCTION("IFERROR(GOOGLETRANSLATE(A82,""ko"",""en""),)"),"I can't swim.")</f>
        <v>I can't swim.</v>
      </c>
      <c r="C82" s="4" t="str">
        <f ca="1">IFERROR(__xludf.DUMMYFUNCTION("IFERROR(GOOGLETRANSLATE(B82,""en"",""ja""),)"),"泳げません。")</f>
        <v>泳げません。</v>
      </c>
      <c r="D82" s="4" t="str">
        <f ca="1">IFERROR(__xludf.DUMMYFUNCTION("IFERROR(GOOGLETRANSLATE(B82,""en"",""zh-TW""),)"),"我不會游泳。")</f>
        <v>我不會游泳。</v>
      </c>
      <c r="E82" s="4" t="str">
        <f ca="1">IFERROR(__xludf.DUMMYFUNCTION("IFERROR(GOOGLETRANSLATE(B82,""en"",""zh-CN""),)"),"我不会游泳。")</f>
        <v>我不会游泳。</v>
      </c>
    </row>
    <row r="83" spans="1:5">
      <c r="A83" s="3" t="s">
        <v>449</v>
      </c>
      <c r="B83" s="4" t="str">
        <f ca="1">IFERROR(__xludf.DUMMYFUNCTION("IFERROR(GOOGLETRANSLATE(A83,""ko"",""en""),)"),"I can't cook.")</f>
        <v>I can't cook.</v>
      </c>
      <c r="C83" s="4" t="str">
        <f ca="1">IFERROR(__xludf.DUMMYFUNCTION("IFERROR(GOOGLETRANSLATE(B83,""en"",""ja""),)"),"私は料理ができません。")</f>
        <v>私は料理ができません。</v>
      </c>
      <c r="D83" s="4" t="str">
        <f ca="1">IFERROR(__xludf.DUMMYFUNCTION("IFERROR(GOOGLETRANSLATE(B83,""en"",""zh-TW""),)"),"我不會做飯。")</f>
        <v>我不會做飯。</v>
      </c>
      <c r="E83" s="4" t="str">
        <f ca="1">IFERROR(__xludf.DUMMYFUNCTION("IFERROR(GOOGLETRANSLATE(B83,""en"",""zh-CN""),)"),"我不会做饭。")</f>
        <v>我不会做饭。</v>
      </c>
    </row>
    <row r="84" spans="1:5">
      <c r="A84" s="3" t="s">
        <v>454</v>
      </c>
      <c r="B84" s="4" t="str">
        <f ca="1">IFERROR(__xludf.DUMMYFUNCTION("IFERROR(GOOGLETRANSLATE(A84,""ko"",""en""),)"),"I can't exercise.")</f>
        <v>I can't exercise.</v>
      </c>
      <c r="C84" s="4" t="str">
        <f ca="1">IFERROR(__xludf.DUMMYFUNCTION("IFERROR(GOOGLETRANSLATE(B84,""en"",""ja""),)"),"私は運動ができません。")</f>
        <v>私は運動ができません。</v>
      </c>
      <c r="D84" s="4" t="str">
        <f ca="1">IFERROR(__xludf.DUMMYFUNCTION("IFERROR(GOOGLETRANSLATE(B84,""en"",""zh-TW""),)"),"我無法鍛鍊。")</f>
        <v>我無法鍛鍊。</v>
      </c>
      <c r="E84" s="4" t="str">
        <f ca="1">IFERROR(__xludf.DUMMYFUNCTION("IFERROR(GOOGLETRANSLATE(B84,""en"",""zh-CN""),)"),"我无法锻炼。")</f>
        <v>我无法锻炼。</v>
      </c>
    </row>
    <row r="85" spans="1:5">
      <c r="A85" s="3" t="s">
        <v>460</v>
      </c>
      <c r="B85" s="4" t="str">
        <f ca="1">IFERROR(__xludf.DUMMYFUNCTION("IFERROR(GOOGLETRANSLATE(A85,""ko"",""en""),)"),"I can't talk about it")</f>
        <v>I can't talk about it</v>
      </c>
      <c r="C85" s="4" t="str">
        <f ca="1">IFERROR(__xludf.DUMMYFUNCTION("IFERROR(GOOGLETRANSLATE(B85,""en"",""ja""),)"),"それについては話せない")</f>
        <v>それについては話せない</v>
      </c>
      <c r="D85" s="4" t="str">
        <f ca="1">IFERROR(__xludf.DUMMYFUNCTION("IFERROR(GOOGLETRANSLATE(B85,""en"",""zh-TW""),)"),"我無法談論這件事。")</f>
        <v>我無法談論這件事。</v>
      </c>
      <c r="E85" s="4" t="str">
        <f ca="1">IFERROR(__xludf.DUMMYFUNCTION("IFERROR(GOOGLETRANSLATE(B85,""en"",""zh-CN""),)"),"我无法谈论这件事。")</f>
        <v>我无法谈论这件事。</v>
      </c>
    </row>
    <row r="86" spans="1:5">
      <c r="A86" s="3" t="s">
        <v>469</v>
      </c>
      <c r="B86" s="4" t="str">
        <f ca="1">IFERROR(__xludf.DUMMYFUNCTION("IFERROR(GOOGLETRANSLATE(A86,""ko"",""en""),)"),"Anna can't ski.")</f>
        <v>Anna can't ski.</v>
      </c>
      <c r="C86" s="4" t="str">
        <f ca="1">IFERROR(__xludf.DUMMYFUNCTION("IFERROR(GOOGLETRANSLATE(B86,""en"",""ja""),)"),"アンナはスキーができない。")</f>
        <v>アンナはスキーができない。</v>
      </c>
      <c r="D86" s="4" t="str">
        <f ca="1">IFERROR(__xludf.DUMMYFUNCTION("IFERROR(GOOGLETRANSLATE(B86,""en"",""zh-TW""),)"),"安娜不會滑雪。")</f>
        <v>安娜不會滑雪。</v>
      </c>
      <c r="E86" s="4" t="str">
        <f ca="1">IFERROR(__xludf.DUMMYFUNCTION("IFERROR(GOOGLETRANSLATE(B86,""en"",""zh-CN""),)"),"安娜不会滑雪。")</f>
        <v>安娜不会滑雪。</v>
      </c>
    </row>
    <row r="87" spans="1:5">
      <c r="A87" s="3" t="s">
        <v>476</v>
      </c>
      <c r="B87" s="4" t="str">
        <f ca="1">IFERROR(__xludf.DUMMYFUNCTION("IFERROR(GOOGLETRANSLATE(A87,""ko"",""en""),)"),"Children cannot watch this movie.")</f>
        <v>Children cannot watch this movie.</v>
      </c>
      <c r="C87" s="4" t="str">
        <f ca="1">IFERROR(__xludf.DUMMYFUNCTION("IFERROR(GOOGLETRANSLATE(B87,""en"",""ja""),)"),"子供はこの映画を見ることができません。")</f>
        <v>子供はこの映画を見ることができません。</v>
      </c>
      <c r="D87" s="4" t="str">
        <f ca="1">IFERROR(__xludf.DUMMYFUNCTION("IFERROR(GOOGLETRANSLATE(B87,""en"",""zh-TW""),)"),"兒童不能觀看這部電影。")</f>
        <v>兒童不能觀看這部電影。</v>
      </c>
      <c r="E87" s="4" t="str">
        <f ca="1">IFERROR(__xludf.DUMMYFUNCTION("IFERROR(GOOGLETRANSLATE(B87,""en"",""zh-CN""),)"),"儿童不能观看这部电影。")</f>
        <v>儿童不能观看这部电影。</v>
      </c>
    </row>
    <row r="88" spans="1:5">
      <c r="A88" s="3" t="s">
        <v>480</v>
      </c>
      <c r="B88" s="4" t="str">
        <f ca="1">IFERROR(__xludf.DUMMYFUNCTION("IFERROR(GOOGLETRANSLATE(A88,""ko"",""en""),)"),"Yujin can't cook.")</f>
        <v>Yujin can't cook.</v>
      </c>
      <c r="C88" s="4" t="str">
        <f ca="1">IFERROR(__xludf.DUMMYFUNCTION("IFERROR(GOOGLETRANSLATE(B88,""en"",""ja""),)"),"ユジンは料理ができない。")</f>
        <v>ユジンは料理ができない。</v>
      </c>
      <c r="D88" s="4" t="str">
        <f ca="1">IFERROR(__xludf.DUMMYFUNCTION("IFERROR(GOOGLETRANSLATE(B88,""en"",""zh-TW""),)"),"裕真不會做菜。")</f>
        <v>裕真不會做菜。</v>
      </c>
      <c r="E88" s="4" t="str">
        <f ca="1">IFERROR(__xludf.DUMMYFUNCTION("IFERROR(GOOGLETRANSLATE(B88,""en"",""zh-CN""),)"),"裕真不会做饭。")</f>
        <v>裕真不会做饭。</v>
      </c>
    </row>
    <row r="89" spans="1:5">
      <c r="A89" s="3" t="s">
        <v>486</v>
      </c>
      <c r="B89" s="4" t="str">
        <f ca="1">IFERROR(__xludf.DUMMYFUNCTION("IFERROR(GOOGLETRANSLATE(A89,""ko"",""en""),)"),"You can't take photos at the museum.")</f>
        <v>You can't take photos at the museum.</v>
      </c>
      <c r="C89" s="4" t="str">
        <f ca="1">IFERROR(__xludf.DUMMYFUNCTION("IFERROR(GOOGLETRANSLATE(B89,""en"",""ja""),)"),"博物館内では写真撮影は禁止されています。")</f>
        <v>博物館内では写真撮影は禁止されています。</v>
      </c>
      <c r="D89" s="4" t="str">
        <f ca="1">IFERROR(__xludf.DUMMYFUNCTION("IFERROR(GOOGLETRANSLATE(B89,""en"",""zh-TW""),)"),"博物館內禁止拍照。")</f>
        <v>博物館內禁止拍照。</v>
      </c>
      <c r="E89" s="4" t="str">
        <f ca="1">IFERROR(__xludf.DUMMYFUNCTION("IFERROR(GOOGLETRANSLATE(B89,""en"",""zh-CN""),)"),"博物馆内禁止拍照。")</f>
        <v>博物馆内禁止拍照。</v>
      </c>
    </row>
    <row r="90" spans="1:5">
      <c r="A90" s="5" t="s">
        <v>493</v>
      </c>
      <c r="B90" s="4" t="str">
        <f ca="1">IFERROR(__xludf.DUMMYFUNCTION("IFERROR(GOOGLETRANSLATE(A90,""ko"",""en""),)"),"Juno, are you going to a K-pop concert?")</f>
        <v>Juno, are you going to a K-pop concert?</v>
      </c>
      <c r="C90" s="4" t="str">
        <f ca="1">IFERROR(__xludf.DUMMYFUNCTION("IFERROR(GOOGLETRANSLATE(B90,""en"",""ja""),)"),"ジュノ、K-POPのコンサートに行くの？")</f>
        <v>ジュノ、K-POPのコンサートに行くの？</v>
      </c>
      <c r="D90" s="4" t="str">
        <f ca="1">IFERROR(__xludf.DUMMYFUNCTION("IFERROR(GOOGLETRANSLATE(B90,""en"",""zh-TW""),)"),"朱諾，你要去看K-pop演唱會嗎？")</f>
        <v>朱諾，你要去看K-pop演唱會嗎？</v>
      </c>
      <c r="E90" s="4" t="str">
        <f ca="1">IFERROR(__xludf.DUMMYFUNCTION("IFERROR(GOOGLETRANSLATE(B90,""en"",""zh-CN""),)"),"朱诺，你要去看K-pop演唱会吗？")</f>
        <v>朱诺，你要去看K-pop演唱会吗？</v>
      </c>
    </row>
    <row r="91" spans="1:5">
      <c r="A91" s="3" t="s">
        <v>498</v>
      </c>
      <c r="B91" s="4" t="str">
        <f ca="1">IFERROR(__xludf.DUMMYFUNCTION("IFERROR(GOOGLETRANSLATE(A91,""ko"",""en""),)"),"No, I can't go to the K-pop concert. I don't have a ticket.")</f>
        <v>No, I can't go to the K-pop concert. I don't have a ticket.</v>
      </c>
      <c r="C91" s="4" t="str">
        <f ca="1">IFERROR(__xludf.DUMMYFUNCTION("IFERROR(GOOGLETRANSLATE(B91,""en"",""ja""),)"),"いいえ、K-POPコンサートには行けません。チケットを持っていないんです。")</f>
        <v>いいえ、K-POPコンサートには行けません。チケットを持っていないんです。</v>
      </c>
      <c r="D91" s="4" t="str">
        <f ca="1">IFERROR(__xludf.DUMMYFUNCTION("IFERROR(GOOGLETRANSLATE(B91,""en"",""zh-TW""),)"),"不，我不能去看K-pop演唱會，我沒有票。")</f>
        <v>不，我不能去看K-pop演唱會，我沒有票。</v>
      </c>
      <c r="E91" s="4" t="str">
        <f ca="1">IFERROR(__xludf.DUMMYFUNCTION("IFERROR(GOOGLETRANSLATE(B91,""en"",""zh-CN""),)"),"不，我不能去看K-pop演唱会，我没有票。")</f>
        <v>不，我不能去看K-pop演唱会，我没有票。</v>
      </c>
    </row>
    <row r="92" spans="1:5">
      <c r="A92" s="5" t="s">
        <v>502</v>
      </c>
      <c r="B92" s="4" t="str">
        <f ca="1">IFERROR(__xludf.DUMMYFUNCTION("IFERROR(GOOGLETRANSLATE(A92,""ko"",""en""),)"),"Jaemin, are you going fishing this weekend?")</f>
        <v>Jaemin, are you going fishing this weekend?</v>
      </c>
      <c r="C92" s="4" t="str">
        <f ca="1">IFERROR(__xludf.DUMMYFUNCTION("IFERROR(GOOGLETRANSLATE(B92,""en"",""ja""),)"),"ジェミン、今週末は釣りに行くの？")</f>
        <v>ジェミン、今週末は釣りに行くの？</v>
      </c>
      <c r="D92" s="4" t="str">
        <f ca="1">IFERROR(__xludf.DUMMYFUNCTION("IFERROR(GOOGLETRANSLATE(B92,""en"",""zh-TW""),)"),"渽民，你這週末去釣魚嗎？")</f>
        <v>渽民，你這週末去釣魚嗎？</v>
      </c>
      <c r="E92" s="4" t="str">
        <f ca="1">IFERROR(__xludf.DUMMYFUNCTION("IFERROR(GOOGLETRANSLATE(B92,""en"",""zh-CN""),)"),"渽民，你这周末去钓鱼吗？")</f>
        <v>渽民，你这周末去钓鱼吗？</v>
      </c>
    </row>
    <row r="93" spans="1:5">
      <c r="A93" s="3" t="s">
        <v>505</v>
      </c>
      <c r="B93" s="4" t="str">
        <f ca="1">IFERROR(__xludf.DUMMYFUNCTION("IFERROR(GOOGLETRANSLATE(A93,""ko"",""en""),)"),"No, I can't go fishing this weekend. I'm too busy.")</f>
        <v>No, I can't go fishing this weekend. I'm too busy.</v>
      </c>
      <c r="C93" s="4" t="str">
        <f ca="1">IFERROR(__xludf.DUMMYFUNCTION("IFERROR(GOOGLETRANSLATE(B93,""en"",""ja""),)"),"いいえ、今週末は釣りに行けません。忙しすぎるんです。")</f>
        <v>いいえ、今週末は釣りに行けません。忙しすぎるんです。</v>
      </c>
      <c r="D93" s="4" t="str">
        <f ca="1">IFERROR(__xludf.DUMMYFUNCTION("IFERROR(GOOGLETRANSLATE(B93,""en"",""zh-TW""),)"),"不，我這個週末不能去釣魚。我太忙了。")</f>
        <v>不，我這個週末不能去釣魚。我太忙了。</v>
      </c>
      <c r="E93" s="4" t="str">
        <f ca="1">IFERROR(__xludf.DUMMYFUNCTION("IFERROR(GOOGLETRANSLATE(B93,""en"",""zh-CN""),)"),"不，我这个周末不能去钓鱼。我太忙了。")</f>
        <v>不，我这个周末不能去钓鱼。我太忙了。</v>
      </c>
    </row>
    <row r="94" spans="1:5">
      <c r="A94" s="3" t="s">
        <v>510</v>
      </c>
      <c r="B94" s="4" t="str">
        <f ca="1">IFERROR(__xludf.DUMMYFUNCTION("IFERROR(GOOGLETRANSLATE(A94,""ko"",""en""),)"),"Anna, did you have breakfast?")</f>
        <v>Anna, did you have breakfast?</v>
      </c>
      <c r="C94" s="4" t="str">
        <f ca="1">IFERROR(__xludf.DUMMYFUNCTION("IFERROR(GOOGLETRANSLATE(B94,""en"",""ja""),)"),"アンナ、朝食は食べた？")</f>
        <v>アンナ、朝食は食べた？</v>
      </c>
      <c r="D94" s="4" t="str">
        <f ca="1">IFERROR(__xludf.DUMMYFUNCTION("IFERROR(GOOGLETRANSLATE(B94,""en"",""zh-TW""),)"),"安娜，你吃早餐了嗎？")</f>
        <v>安娜，你吃早餐了嗎？</v>
      </c>
      <c r="E94" s="4" t="str">
        <f ca="1">IFERROR(__xludf.DUMMYFUNCTION("IFERROR(GOOGLETRANSLATE(B94,""en"",""zh-CN""),)"),"安娜，你吃早饭了吗？")</f>
        <v>安娜，你吃早饭了吗？</v>
      </c>
    </row>
    <row r="95" spans="1:5">
      <c r="A95" s="3" t="s">
        <v>517</v>
      </c>
      <c r="B95" s="4" t="str">
        <f ca="1">IFERROR(__xludf.DUMMYFUNCTION("IFERROR(GOOGLETRANSLATE(A95,""ko"",""en""),)"),"No, I couldn't eat breakfast. I didn't have time.")</f>
        <v>No, I couldn't eat breakfast. I didn't have time.</v>
      </c>
      <c r="C95" s="4" t="str">
        <f ca="1">IFERROR(__xludf.DUMMYFUNCTION("IFERROR(GOOGLETRANSLATE(B95,""en"",""ja""),)"),"いいえ、朝食は食べられませんでした。時間がなかったんです。")</f>
        <v>いいえ、朝食は食べられませんでした。時間がなかったんです。</v>
      </c>
      <c r="D95" s="4" t="str">
        <f ca="1">IFERROR(__xludf.DUMMYFUNCTION("IFERROR(GOOGLETRANSLATE(B95,""en"",""zh-TW""),)"),"不，我沒時間吃早餐。")</f>
        <v>不，我沒時間吃早餐。</v>
      </c>
      <c r="E95" s="4" t="str">
        <f ca="1">IFERROR(__xludf.DUMMYFUNCTION("IFERROR(GOOGLETRANSLATE(B95,""en"",""zh-CN""),)"),"不，我没时间吃早餐。")</f>
        <v>不，我没时间吃早餐。</v>
      </c>
    </row>
    <row r="96" spans="1:5">
      <c r="A96" s="3" t="s">
        <v>522</v>
      </c>
      <c r="B96" s="4" t="str">
        <f ca="1">IFERROR(__xludf.DUMMYFUNCTION("IFERROR(GOOGLETRANSLATE(A96,""ko"",""en""),)"),"Yujin, shall we take a walk in the park?")</f>
        <v>Yujin, shall we take a walk in the park?</v>
      </c>
      <c r="C96" s="4" t="str">
        <f ca="1">IFERROR(__xludf.DUMMYFUNCTION("IFERROR(GOOGLETRANSLATE(B96,""en"",""ja""),)"),"ユジン、公園を散歩しない？")</f>
        <v>ユジン、公園を散歩しない？</v>
      </c>
      <c r="D96" s="4" t="str">
        <f ca="1">IFERROR(__xludf.DUMMYFUNCTION("IFERROR(GOOGLETRANSLATE(B96,""en"",""zh-TW""),)"),"裕真，我們去公園散步好嗎？")</f>
        <v>裕真，我們去公園散步好嗎？</v>
      </c>
      <c r="E96" s="4" t="str">
        <f ca="1">IFERROR(__xludf.DUMMYFUNCTION("IFERROR(GOOGLETRANSLATE(B96,""en"",""zh-CN""),)"),"裕真，我们去公园散步好吗？")</f>
        <v>裕真，我们去公园散步好吗？</v>
      </c>
    </row>
    <row r="97" spans="1:5">
      <c r="A97" s="3" t="s">
        <v>529</v>
      </c>
      <c r="B97" s="4" t="str">
        <f ca="1">IFERROR(__xludf.DUMMYFUNCTION("IFERROR(GOOGLETRANSLATE(A97,""ko"",""en""),)"),"No, I can't go for a walk in the park. It's raining outside.")</f>
        <v>No, I can't go for a walk in the park. It's raining outside.</v>
      </c>
      <c r="C97" s="4" t="str">
        <f ca="1">IFERROR(__xludf.DUMMYFUNCTION("IFERROR(GOOGLETRANSLATE(B97,""en"",""ja""),)"),"いいえ、公園を散歩することはできません。外は雨が降っています。")</f>
        <v>いいえ、公園を散歩することはできません。外は雨が降っています。</v>
      </c>
      <c r="D97" s="4" t="str">
        <f ca="1">IFERROR(__xludf.DUMMYFUNCTION("IFERROR(GOOGLETRANSLATE(B97,""en"",""zh-TW""),)"),"不，我不能去公園散步。外面下雨了。")</f>
        <v>不，我不能去公園散步。外面下雨了。</v>
      </c>
      <c r="E97" s="4" t="str">
        <f ca="1">IFERROR(__xludf.DUMMYFUNCTION("IFERROR(GOOGLETRANSLATE(B97,""en"",""zh-CN""),)"),"不，我不能去公园散步。外面下雨了。")</f>
        <v>不，我不能去公园散步。外面下雨了。</v>
      </c>
    </row>
    <row r="98" spans="1:5">
      <c r="A98" s="3" t="s">
        <v>534</v>
      </c>
      <c r="B98" s="4" t="str">
        <f ca="1">IFERROR(__xludf.DUMMYFUNCTION("IFERROR(GOOGLETRANSLATE(A98,""ko"",""en""),)"),"Marie, did you buy that outfit?")</f>
        <v>Marie, did you buy that outfit?</v>
      </c>
      <c r="C98" s="4" t="str">
        <f ca="1">IFERROR(__xludf.DUMMYFUNCTION("IFERROR(GOOGLETRANSLATE(B98,""en"",""ja""),)"),"マリー、その服は自分で買ったの？")</f>
        <v>マリー、その服は自分で買ったの？</v>
      </c>
      <c r="D98" s="4" t="str">
        <f ca="1">IFERROR(__xludf.DUMMYFUNCTION("IFERROR(GOOGLETRANSLATE(B98,""en"",""zh-TW""),)"),"瑪麗，那件衣服是你買的嗎？")</f>
        <v>瑪麗，那件衣服是你買的嗎？</v>
      </c>
      <c r="E98" s="4" t="str">
        <f ca="1">IFERROR(__xludf.DUMMYFUNCTION("IFERROR(GOOGLETRANSLATE(B98,""en"",""zh-CN""),)"),"玛丽，那件衣服是你买的吗？")</f>
        <v>玛丽，那件衣服是你买的吗？</v>
      </c>
    </row>
    <row r="99" spans="1:5">
      <c r="A99" s="3" t="s">
        <v>541</v>
      </c>
      <c r="B99" s="4" t="str">
        <f ca="1">IFERROR(__xludf.DUMMYFUNCTION("IFERROR(GOOGLETRANSLATE(A99,""ko"",""en""),)"),"No, I couldn't buy that outfit. It's too expensive.")</f>
        <v>No, I couldn't buy that outfit. It's too expensive.</v>
      </c>
      <c r="C99" s="4" t="str">
        <f ca="1">IFERROR(__xludf.DUMMYFUNCTION("IFERROR(GOOGLETRANSLATE(B99,""en"",""ja""),)"),"いいえ、あの服は買えません。高すぎます。")</f>
        <v>いいえ、あの服は買えません。高すぎます。</v>
      </c>
      <c r="D99" s="4" t="str">
        <f ca="1">IFERROR(__xludf.DUMMYFUNCTION("IFERROR(GOOGLETRANSLATE(B99,""en"",""zh-TW""),)"),"不，我買不起那套衣服，太貴了。")</f>
        <v>不，我買不起那套衣服，太貴了。</v>
      </c>
      <c r="E99" s="4" t="str">
        <f ca="1">IFERROR(__xludf.DUMMYFUNCTION("IFERROR(GOOGLETRANSLATE(B99,""en"",""zh-CN""),)"),"不，我买不起那套衣服，太贵了。")</f>
        <v>不，我买不起那套衣服，太贵了。</v>
      </c>
    </row>
    <row r="100" spans="1:5">
      <c r="A100" s="3" t="s">
        <v>547</v>
      </c>
      <c r="B100" s="4" t="str">
        <f ca="1">IFERROR(__xludf.DUMMYFUNCTION("IFERROR(GOOGLETRANSLATE(A100,""ko"",""en""),)"),"I can't eat alone.")</f>
        <v>I can't eat alone.</v>
      </c>
      <c r="C100" s="4" t="str">
        <f ca="1">IFERROR(__xludf.DUMMYFUNCTION("IFERROR(GOOGLETRANSLATE(B100,""en"",""ja""),)"),"私は一人では食事ができません。")</f>
        <v>私は一人では食事ができません。</v>
      </c>
      <c r="D100" s="4" t="str">
        <f ca="1">IFERROR(__xludf.DUMMYFUNCTION("IFERROR(GOOGLETRANSLATE(B100,""en"",""zh-TW""),)"),"我不能一個人吃飯。")</f>
        <v>我不能一個人吃飯。</v>
      </c>
      <c r="E100" s="4" t="str">
        <f ca="1">IFERROR(__xludf.DUMMYFUNCTION("IFERROR(GOOGLETRANSLATE(B100,""en"",""zh-CN""),)"),"我不能一个人吃饭。")</f>
        <v>我不能一个人吃饭。</v>
      </c>
    </row>
    <row r="101" spans="1:5">
      <c r="A101" s="3" t="s">
        <v>553</v>
      </c>
      <c r="B101" s="4" t="str">
        <f ca="1">IFERROR(__xludf.DUMMYFUNCTION("IFERROR(GOOGLETRANSLATE(A101,""ko"",""en""),)"),"The baby can't go for a walk.")</f>
        <v>The baby can't go for a walk.</v>
      </c>
      <c r="C101" s="4" t="str">
        <f ca="1">IFERROR(__xludf.DUMMYFUNCTION("IFERROR(GOOGLETRANSLATE(B101,""en"",""ja""),)"),"赤ちゃんは散歩に行けません。")</f>
        <v>赤ちゃんは散歩に行けません。</v>
      </c>
      <c r="D101" s="4" t="str">
        <f ca="1">IFERROR(__xludf.DUMMYFUNCTION("IFERROR(GOOGLETRANSLATE(B101,""en"",""zh-TW""),)"),"嬰兒還不能散步。")</f>
        <v>嬰兒還不能散步。</v>
      </c>
      <c r="E101" s="4" t="str">
        <f ca="1">IFERROR(__xludf.DUMMYFUNCTION("IFERROR(GOOGLETRANSLATE(B101,""en"",""zh-CN""),)"),"婴儿还不能散步。")</f>
        <v>婴儿还不能散步。</v>
      </c>
    </row>
    <row r="102" spans="1:5">
      <c r="A102" s="3" t="s">
        <v>561</v>
      </c>
      <c r="B102" s="4" t="str">
        <f ca="1">IFERROR(__xludf.DUMMYFUNCTION("IFERROR(GOOGLETRANSLATE(A102,""ko"",""en""),)"),"I can't read books.")</f>
        <v>I can't read books.</v>
      </c>
      <c r="C102" s="4" t="str">
        <f ca="1">IFERROR(__xludf.DUMMYFUNCTION("IFERROR(GOOGLETRANSLATE(B102,""en"",""ja""),)"),"私は本が読めません。")</f>
        <v>私は本が読めません。</v>
      </c>
      <c r="D102" s="4" t="str">
        <f ca="1">IFERROR(__xludf.DUMMYFUNCTION("IFERROR(GOOGLETRANSLATE(B102,""en"",""zh-TW""),)"),"我不會讀書。")</f>
        <v>我不會讀書。</v>
      </c>
      <c r="E102" s="4" t="str">
        <f ca="1">IFERROR(__xludf.DUMMYFUNCTION("IFERROR(GOOGLETRANSLATE(B102,""en"",""zh-CN""),)"),"我不会读书。")</f>
        <v>我不会读书。</v>
      </c>
    </row>
    <row r="103" spans="1:5">
      <c r="A103" s="3" t="s">
        <v>566</v>
      </c>
      <c r="B103" s="4" t="str">
        <f ca="1">IFERROR(__xludf.DUMMYFUNCTION("IFERROR(GOOGLETRANSLATE(A103,""ko"",""en""),)"),"I can't talk.")</f>
        <v>I can't talk.</v>
      </c>
      <c r="C103" s="4" t="str">
        <f ca="1">IFERROR(__xludf.DUMMYFUNCTION("IFERROR(GOOGLETRANSLATE(B103,""en"",""ja""),)"),"私は話せません。")</f>
        <v>私は話せません。</v>
      </c>
      <c r="D103" s="4" t="str">
        <f ca="1">IFERROR(__xludf.DUMMYFUNCTION("IFERROR(GOOGLETRANSLATE(B103,""en"",""zh-TW""),)"),"我無法說話。")</f>
        <v>我無法說話。</v>
      </c>
      <c r="E103" s="4" t="str">
        <f ca="1">IFERROR(__xludf.DUMMYFUNCTION("IFERROR(GOOGLETRANSLATE(B103,""en"",""zh-CN""),)"),"我无法说话。")</f>
        <v>我无法说话。</v>
      </c>
    </row>
    <row r="104" spans="1:5">
      <c r="A104" s="3" t="s">
        <v>573</v>
      </c>
      <c r="B104" s="4" t="str">
        <f ca="1">IFERROR(__xludf.DUMMYFUNCTION("IFERROR(GOOGLETRANSLATE(A104,""ko"",""en""),)"),"I can't dress myself.")</f>
        <v>I can't dress myself.</v>
      </c>
      <c r="C104" s="4" t="str">
        <f ca="1">IFERROR(__xludf.DUMMYFUNCTION("IFERROR(GOOGLETRANSLATE(B104,""en"",""ja""),)"),"私は自分で服を着ることができません。")</f>
        <v>私は自分で服を着ることができません。</v>
      </c>
      <c r="D104" s="4" t="str">
        <f ca="1">IFERROR(__xludf.DUMMYFUNCTION("IFERROR(GOOGLETRANSLATE(B104,""en"",""zh-TW""),)"),"我不會穿衣服。")</f>
        <v>我不會穿衣服。</v>
      </c>
      <c r="E104" s="4" t="str">
        <f ca="1">IFERROR(__xludf.DUMMYFUNCTION("IFERROR(GOOGLETRANSLATE(B104,""en"",""zh-CN""),)"),"我不会穿衣服。")</f>
        <v>我不会穿衣服。</v>
      </c>
    </row>
    <row r="105" spans="1:5">
      <c r="A105" s="3" t="s">
        <v>578</v>
      </c>
      <c r="B105" s="4" t="str">
        <f ca="1">IFERROR(__xludf.DUMMYFUNCTION("IFERROR(GOOGLETRANSLATE(A105,""ko"",""en""),)"),"I can't exercise.")</f>
        <v>I can't exercise.</v>
      </c>
      <c r="C105" s="4" t="str">
        <f ca="1">IFERROR(__xludf.DUMMYFUNCTION("IFERROR(GOOGLETRANSLATE(B105,""en"",""ja""),)"),"私は運動ができません。")</f>
        <v>私は運動ができません。</v>
      </c>
      <c r="D105" s="4" t="str">
        <f ca="1">IFERROR(__xludf.DUMMYFUNCTION("IFERROR(GOOGLETRANSLATE(B105,""en"",""zh-TW""),)"),"我無法鍛鍊。")</f>
        <v>我無法鍛鍊。</v>
      </c>
      <c r="E105" s="4" t="str">
        <f ca="1">IFERROR(__xludf.DUMMYFUNCTION("IFERROR(GOOGLETRANSLATE(B105,""en"",""zh-CN""),)"),"我无法锻炼。")</f>
        <v>我无法锻炼。</v>
      </c>
    </row>
    <row r="106" spans="1:5">
      <c r="A106" s="3" t="s">
        <v>585</v>
      </c>
      <c r="B106" s="4" t="str">
        <f ca="1">IFERROR(__xludf.DUMMYFUNCTION("IFERROR(GOOGLETRANSLATE(A106,""ko"",""en""),)"),"I can't swim.")</f>
        <v>I can't swim.</v>
      </c>
      <c r="C106" s="4" t="str">
        <f ca="1">IFERROR(__xludf.DUMMYFUNCTION("IFERROR(GOOGLETRANSLATE(B106,""en"",""ja""),)"),"泳げません。")</f>
        <v>泳げません。</v>
      </c>
      <c r="D106" s="4" t="str">
        <f ca="1">IFERROR(__xludf.DUMMYFUNCTION("IFERROR(GOOGLETRANSLATE(B106,""en"",""zh-TW""),)"),"我不會游泳。")</f>
        <v>我不會游泳。</v>
      </c>
      <c r="E106" s="4" t="str">
        <f ca="1">IFERROR(__xludf.DUMMYFUNCTION("IFERROR(GOOGLETRANSLATE(B106,""en"",""zh-CN""),)"),"我不会游泳。")</f>
        <v>我不会游泳。</v>
      </c>
    </row>
    <row r="107" spans="1:5">
      <c r="A107" s="5" t="s">
        <v>589</v>
      </c>
      <c r="B107" s="4" t="str">
        <f ca="1">IFERROR(__xludf.DUMMYFUNCTION("IFERROR(GOOGLETRANSLATE(A107,""ko"",""en""),)"),"I can't walk")</f>
        <v>I can't walk</v>
      </c>
      <c r="C107" s="4" t="str">
        <f ca="1">IFERROR(__xludf.DUMMYFUNCTION("IFERROR(GOOGLETRANSLATE(B107,""en"",""ja""),)"),"歩けない")</f>
        <v>歩けない</v>
      </c>
      <c r="D107" s="4" t="str">
        <f ca="1">IFERROR(__xludf.DUMMYFUNCTION("IFERROR(GOOGLETRANSLATE(B107,""en"",""zh-TW""),)"),"我走不了路")</f>
        <v>我走不了路</v>
      </c>
      <c r="E107" s="4" t="str">
        <f ca="1">IFERROR(__xludf.DUMMYFUNCTION("IFERROR(GOOGLETRANSLATE(B107,""en"",""zh-CN""),)"),"我走不了路")</f>
        <v>我走不了路</v>
      </c>
    </row>
    <row r="108" spans="1:5">
      <c r="A108" s="3" t="s">
        <v>593</v>
      </c>
      <c r="B108" s="4" t="str">
        <f ca="1">IFERROR(__xludf.DUMMYFUNCTION("IFERROR(GOOGLETRANSLATE(A108,""ko"",""en""),)"),"I can't do the work.")</f>
        <v>I can't do the work.</v>
      </c>
      <c r="C108" s="4" t="str">
        <f ca="1">IFERROR(__xludf.DUMMYFUNCTION("IFERROR(GOOGLETRANSLATE(B108,""en"",""ja""),)"),"私にはその仕事はできません。")</f>
        <v>私にはその仕事はできません。</v>
      </c>
      <c r="D108" s="4" t="str">
        <f ca="1">IFERROR(__xludf.DUMMYFUNCTION("IFERROR(GOOGLETRANSLATE(B108,""en"",""zh-TW""),)"),"我做不了這項工作。")</f>
        <v>我做不了這項工作。</v>
      </c>
      <c r="E108" s="4" t="str">
        <f ca="1">IFERROR(__xludf.DUMMYFUNCTION("IFERROR(GOOGLETRANSLATE(B108,""en"",""zh-CN""),)"),"我做不了这项工作。")</f>
        <v>我做不了这项工作。</v>
      </c>
    </row>
    <row r="109" spans="1:5">
      <c r="A109" s="5" t="s">
        <v>597</v>
      </c>
      <c r="B109" s="4" t="str">
        <f ca="1">IFERROR(__xludf.DUMMYFUNCTION("IFERROR(GOOGLETRANSLATE(A109,""ko"",""en""),)"),"I can't wear shoes.")</f>
        <v>I can't wear shoes.</v>
      </c>
      <c r="C109" s="4" t="str">
        <f ca="1">IFERROR(__xludf.DUMMYFUNCTION("IFERROR(GOOGLETRANSLATE(B109,""en"",""ja""),)"),"私は靴を履くことができません。")</f>
        <v>私は靴を履くことができません。</v>
      </c>
      <c r="D109" s="4" t="str">
        <f ca="1">IFERROR(__xludf.DUMMYFUNCTION("IFERROR(GOOGLETRANSLATE(B109,""en"",""zh-TW""),)"),"我不能穿鞋。")</f>
        <v>我不能穿鞋。</v>
      </c>
      <c r="E109" s="4" t="str">
        <f ca="1">IFERROR(__xludf.DUMMYFUNCTION("IFERROR(GOOGLETRANSLATE(B109,""en"",""zh-CN""),)"),"我不能穿鞋。")</f>
        <v>我不能穿鞋。</v>
      </c>
    </row>
    <row r="110" spans="1:5">
      <c r="A110" s="5" t="s">
        <v>604</v>
      </c>
      <c r="B110" s="4" t="str">
        <f ca="1">IFERROR(__xludf.DUMMYFUNCTION("IFERROR(GOOGLETRANSLATE(A110,""ko"",""en""),)"),"Once a month")</f>
        <v>Once a month</v>
      </c>
      <c r="C110" s="4" t="str">
        <f ca="1">IFERROR(__xludf.DUMMYFUNCTION("IFERROR(GOOGLETRANSLATE(B110,""en"",""ja""),)"),"月に一度")</f>
        <v>月に一度</v>
      </c>
      <c r="D110" s="4" t="str">
        <f ca="1">IFERROR(__xludf.DUMMYFUNCTION("IFERROR(GOOGLETRANSLATE(B110,""en"",""zh-TW""),)"),"每月一次")</f>
        <v>每月一次</v>
      </c>
      <c r="E110" s="4" t="str">
        <f ca="1">IFERROR(__xludf.DUMMYFUNCTION("IFERROR(GOOGLETRANSLATE(B110,""en"",""zh-CN""),)"),"每月一次")</f>
        <v>每月一次</v>
      </c>
    </row>
    <row r="111" spans="1:5">
      <c r="A111" s="3" t="s">
        <v>609</v>
      </c>
      <c r="B111" s="4" t="str">
        <f ca="1">IFERROR(__xludf.DUMMYFUNCTION("IFERROR(GOOGLETRANSLATE(A111,""ko"",""en""),)"),"Once a day")</f>
        <v>Once a day</v>
      </c>
      <c r="C111" s="4" t="str">
        <f ca="1">IFERROR(__xludf.DUMMYFUNCTION("IFERROR(GOOGLETRANSLATE(B111,""en"",""ja""),)"),"1日1回")</f>
        <v>1日1回</v>
      </c>
      <c r="D111" s="4" t="str">
        <f ca="1">IFERROR(__xludf.DUMMYFUNCTION("IFERROR(GOOGLETRANSLATE(B111,""en"",""zh-TW""),)"),"每天一次")</f>
        <v>每天一次</v>
      </c>
      <c r="E111" s="4" t="str">
        <f ca="1">IFERROR(__xludf.DUMMYFUNCTION("IFERROR(GOOGLETRANSLATE(B111,""en"",""zh-CN""),)"),"每天一次")</f>
        <v>每天一次</v>
      </c>
    </row>
    <row r="112" spans="1:5">
      <c r="A112" s="3" t="s">
        <v>617</v>
      </c>
      <c r="B112" s="4" t="str">
        <f ca="1">IFERROR(__xludf.DUMMYFUNCTION("IFERROR(GOOGLETRANSLATE(A112,""ko"",""en""),)"),"Once a year")</f>
        <v>Once a year</v>
      </c>
      <c r="C112" s="4" t="str">
        <f ca="1">IFERROR(__xludf.DUMMYFUNCTION("IFERROR(GOOGLETRANSLATE(B112,""en"",""ja""),)"),"年に一度")</f>
        <v>年に一度</v>
      </c>
      <c r="D112" s="4" t="str">
        <f ca="1">IFERROR(__xludf.DUMMYFUNCTION("IFERROR(GOOGLETRANSLATE(B112,""en"",""zh-TW""),)"),"每年一次")</f>
        <v>每年一次</v>
      </c>
      <c r="E112" s="4" t="str">
        <f ca="1">IFERROR(__xludf.DUMMYFUNCTION("IFERROR(GOOGLETRANSLATE(B112,""en"",""zh-CN""),)"),"每年一次")</f>
        <v>每年一次</v>
      </c>
    </row>
    <row r="113" spans="1:5">
      <c r="A113" s="5" t="s">
        <v>628</v>
      </c>
      <c r="B113" s="4" t="str">
        <f ca="1">IFERROR(__xludf.DUMMYFUNCTION("IFERROR(GOOGLETRANSLATE(A113,""ko"",""en""),)"),"I'm going to the library to borrow a book.")</f>
        <v>I'm going to the library to borrow a book.</v>
      </c>
      <c r="C113" s="4" t="str">
        <f ca="1">IFERROR(__xludf.DUMMYFUNCTION("IFERROR(GOOGLETRANSLATE(B113,""en"",""ja""),)"),"本を借りに図書館へ行きます。")</f>
        <v>本を借りに図書館へ行きます。</v>
      </c>
      <c r="D113" s="4" t="str">
        <f ca="1">IFERROR(__xludf.DUMMYFUNCTION("IFERROR(GOOGLETRANSLATE(B113,""en"",""zh-TW""),)"),"我要去圖書館借一本書。")</f>
        <v>我要去圖書館借一本書。</v>
      </c>
      <c r="E113" s="4" t="str">
        <f ca="1">IFERROR(__xludf.DUMMYFUNCTION("IFERROR(GOOGLETRANSLATE(B113,""en"",""zh-CN""),)"),"我要去图书馆借一本书。")</f>
        <v>我要去图书馆借一本书。</v>
      </c>
    </row>
    <row r="114" spans="1:5">
      <c r="A114" s="5" t="s">
        <v>633</v>
      </c>
      <c r="B114" s="4" t="str">
        <f ca="1">IFERROR(__xludf.DUMMYFUNCTION("IFERROR(GOOGLETRANSLATE(A114,""ko"",""en""),)"),"knitting")</f>
        <v>knitting</v>
      </c>
      <c r="C114" s="4" t="str">
        <f ca="1">IFERROR(__xludf.DUMMYFUNCTION("IFERROR(GOOGLETRANSLATE(B114,""en"",""ja""),)"),"編み物")</f>
        <v>編み物</v>
      </c>
      <c r="D114" s="4" t="str">
        <f ca="1">IFERROR(__xludf.DUMMYFUNCTION("IFERROR(GOOGLETRANSLATE(B114,""en"",""zh-TW""),)"),"針織")</f>
        <v>針織</v>
      </c>
      <c r="E114" s="4" t="str">
        <f ca="1">IFERROR(__xludf.DUMMYFUNCTION("IFERROR(GOOGLETRANSLATE(B114,""en"",""zh-CN""),)"),"针织")</f>
        <v>针织</v>
      </c>
    </row>
    <row r="115" spans="1:5">
      <c r="A115" s="5" t="s">
        <v>641</v>
      </c>
      <c r="B115" s="4" t="str">
        <f ca="1">IFERROR(__xludf.DUMMYFUNCTION("IFERROR(GOOGLETRANSLATE(A115,""ko"",""en""),)"),"I do volunteer work.")</f>
        <v>I do volunteer work.</v>
      </c>
      <c r="C115" s="4" t="str">
        <f ca="1">IFERROR(__xludf.DUMMYFUNCTION("IFERROR(GOOGLETRANSLATE(B115,""en"",""ja""),)"),"私はボランティア活動をしています。")</f>
        <v>私はボランティア活動をしています。</v>
      </c>
      <c r="D115" s="4" t="str">
        <f ca="1">IFERROR(__xludf.DUMMYFUNCTION("IFERROR(GOOGLETRANSLATE(B115,""en"",""zh-TW""),)"),"我做義工。")</f>
        <v>我做義工。</v>
      </c>
      <c r="E115" s="4" t="str">
        <f ca="1">IFERROR(__xludf.DUMMYFUNCTION("IFERROR(GOOGLETRANSLATE(B115,""en"",""zh-CN""),)"),"我做义工。")</f>
        <v>我做义工。</v>
      </c>
    </row>
    <row r="116" spans="1:5">
      <c r="A116" s="3" t="s">
        <v>646</v>
      </c>
      <c r="B116" s="4" t="str">
        <f ca="1">IFERROR(__xludf.DUMMYFUNCTION("IFERROR(GOOGLETRANSLATE(A116,""ko"",""en""),)"),"Let's volunteer")</f>
        <v>Let's volunteer</v>
      </c>
      <c r="C116" s="4" t="str">
        <f ca="1">IFERROR(__xludf.DUMMYFUNCTION("IFERROR(GOOGLETRANSLATE(B116,""en"",""ja""),)"),"ボランティア活動をしよう")</f>
        <v>ボランティア活動をしよう</v>
      </c>
      <c r="D116" s="4" t="str">
        <f ca="1">IFERROR(__xludf.DUMMYFUNCTION("IFERROR(GOOGLETRANSLATE(B116,""en"",""zh-TW""),)"),"我們來做志工吧。")</f>
        <v>我們來做志工吧。</v>
      </c>
      <c r="E116" s="4" t="str">
        <f ca="1">IFERROR(__xludf.DUMMYFUNCTION("IFERROR(GOOGLETRANSLATE(B116,""en"",""zh-CN""),)"),"我们来做志愿者吧。")</f>
        <v>我们来做志愿者吧。</v>
      </c>
    </row>
    <row r="117" spans="1:5">
      <c r="A117" s="5" t="s">
        <v>653</v>
      </c>
      <c r="B117" s="4" t="str">
        <f ca="1">IFERROR(__xludf.DUMMYFUNCTION("IFERROR(GOOGLETRANSLATE(A117,""ko"",""en""),)"),"I don't really do it.")</f>
        <v>I don't really do it.</v>
      </c>
      <c r="C117" s="4" t="str">
        <f ca="1">IFERROR(__xludf.DUMMYFUNCTION("IFERROR(GOOGLETRANSLATE(B117,""en"",""ja""),)"),"私はあまりやりません。")</f>
        <v>私はあまりやりません。</v>
      </c>
      <c r="D117" s="4" t="str">
        <f ca="1">IFERROR(__xludf.DUMMYFUNCTION("IFERROR(GOOGLETRANSLATE(B117,""en"",""zh-TW""),)"),"我其實不這麼做。")</f>
        <v>我其實不這麼做。</v>
      </c>
      <c r="E117" s="4" t="str">
        <f ca="1">IFERROR(__xludf.DUMMYFUNCTION("IFERROR(GOOGLETRANSLATE(B117,""en"",""zh-CN""),)"),"我其实不这么做。")</f>
        <v>我其实不这么做。</v>
      </c>
    </row>
    <row r="118" spans="1:5">
      <c r="A118" s="5" t="s">
        <v>657</v>
      </c>
      <c r="B118" s="4" t="str">
        <f ca="1">IFERROR(__xludf.DUMMYFUNCTION("IFERROR(GOOGLETRANSLATE(A118,""ko"",""en""),)"),"I hardly ever do it.")</f>
        <v>I hardly ever do it.</v>
      </c>
      <c r="C118" s="4" t="str">
        <f ca="1">IFERROR(__xludf.DUMMYFUNCTION("IFERROR(GOOGLETRANSLATE(B118,""en"",""ja""),)"),"私はめったにやらない。")</f>
        <v>私はめったにやらない。</v>
      </c>
      <c r="D118" s="4" t="str">
        <f ca="1">IFERROR(__xludf.DUMMYFUNCTION("IFERROR(GOOGLETRANSLATE(B118,""en"",""zh-TW""),)"),"我幾乎從不這樣做。")</f>
        <v>我幾乎從不這樣做。</v>
      </c>
      <c r="E118" s="4" t="str">
        <f ca="1">IFERROR(__xludf.DUMMYFUNCTION("IFERROR(GOOGLETRANSLATE(B118,""en"",""zh-CN""),)"),"我几乎从不这样做。")</f>
        <v>我几乎从不这样做。</v>
      </c>
    </row>
    <row r="119" spans="1:5">
      <c r="A119" s="5" t="s">
        <v>663</v>
      </c>
      <c r="B119" s="4" t="str">
        <f ca="1">IFERROR(__xludf.DUMMYFUNCTION("IFERROR(GOOGLETRANSLATE(A119,""ko"",""en""),)"),"Let's dance")</f>
        <v>Let's dance</v>
      </c>
      <c r="C119" s="4" t="str">
        <f ca="1">IFERROR(__xludf.DUMMYFUNCTION("IFERROR(GOOGLETRANSLATE(B119,""en"",""ja""),)"),"踊ろう")</f>
        <v>踊ろう</v>
      </c>
      <c r="D119" s="4" t="str">
        <f ca="1">IFERROR(__xludf.DUMMYFUNCTION("IFERROR(GOOGLETRANSLATE(B119,""en"",""zh-TW""),)"),"來跳舞吧")</f>
        <v>來跳舞吧</v>
      </c>
      <c r="E119" s="4" t="str">
        <f ca="1">IFERROR(__xludf.DUMMYFUNCTION("IFERROR(GOOGLETRANSLATE(B119,""en"",""zh-CN""),)"),"来跳舞吧")</f>
        <v>来跳舞吧</v>
      </c>
    </row>
    <row r="120" spans="1:5">
      <c r="A120" s="3" t="s">
        <v>668</v>
      </c>
      <c r="B120" s="4" t="str">
        <f ca="1">IFERROR(__xludf.DUMMYFUNCTION("IFERROR(GOOGLETRANSLATE(A120,""ko"",""en""),)"),"Watch a movie")</f>
        <v>Watch a movie</v>
      </c>
      <c r="C120" s="4" t="str">
        <f ca="1">IFERROR(__xludf.DUMMYFUNCTION("IFERROR(GOOGLETRANSLATE(B120,""en"",""ja""),)"),"映画を見る")</f>
        <v>映画を見る</v>
      </c>
      <c r="D120" s="4" t="str">
        <f ca="1">IFERROR(__xludf.DUMMYFUNCTION("IFERROR(GOOGLETRANSLATE(B120,""en"",""zh-TW""),)"),"看電影")</f>
        <v>看電影</v>
      </c>
      <c r="E120" s="4" t="str">
        <f ca="1">IFERROR(__xludf.DUMMYFUNCTION("IFERROR(GOOGLETRANSLATE(B120,""en"",""zh-CN""),)"),"看电影")</f>
        <v>看电影</v>
      </c>
    </row>
    <row r="121" spans="1:5">
      <c r="A121" s="3" t="s">
        <v>673</v>
      </c>
      <c r="B121" s="4" t="str">
        <f ca="1">IFERROR(__xludf.DUMMYFUNCTION("IFERROR(GOOGLETRANSLATE(A121,""ko"",""en""),)"),"I ride a bicycle")</f>
        <v>I ride a bicycle</v>
      </c>
      <c r="C121" s="4" t="str">
        <f ca="1">IFERROR(__xludf.DUMMYFUNCTION("IFERROR(GOOGLETRANSLATE(B121,""en"",""ja""),)"),"私は自転車に乗る")</f>
        <v>私は自転車に乗る</v>
      </c>
      <c r="D121" s="4" t="str">
        <f ca="1">IFERROR(__xludf.DUMMYFUNCTION("IFERROR(GOOGLETRANSLATE(B121,""en"",""zh-TW""),)"),"我騎自行車")</f>
        <v>我騎自行車</v>
      </c>
      <c r="E121" s="4" t="str">
        <f ca="1">IFERROR(__xludf.DUMMYFUNCTION("IFERROR(GOOGLETRANSLATE(B121,""en"",""zh-CN""),)"),"我骑自行车")</f>
        <v>我骑自行车</v>
      </c>
    </row>
    <row r="122" spans="1:5">
      <c r="A122" s="3" t="s">
        <v>679</v>
      </c>
      <c r="B122" s="4" t="str">
        <f ca="1">IFERROR(__xludf.DUMMYFUNCTION("IFERROR(GOOGLETRANSLATE(A122,""ko"",""en""),)"),"Let's play games")</f>
        <v>Let's play games</v>
      </c>
      <c r="C122" s="4" t="str">
        <f ca="1">IFERROR(__xludf.DUMMYFUNCTION("IFERROR(GOOGLETRANSLATE(B122,""en"",""ja""),)"),"ゲームをしよう")</f>
        <v>ゲームをしよう</v>
      </c>
      <c r="D122" s="4" t="str">
        <f ca="1">IFERROR(__xludf.DUMMYFUNCTION("IFERROR(GOOGLETRANSLATE(B122,""en"",""zh-TW""),)"),"我們來玩遊戲吧")</f>
        <v>我們來玩遊戲吧</v>
      </c>
      <c r="E122" s="4" t="str">
        <f ca="1">IFERROR(__xludf.DUMMYFUNCTION("IFERROR(GOOGLETRANSLATE(B122,""en"",""zh-CN""),)"),"我们来玩游戏吧")</f>
        <v>我们来玩游戏吧</v>
      </c>
    </row>
    <row r="123" spans="1:5">
      <c r="A123" s="3" t="s">
        <v>682</v>
      </c>
      <c r="B123" s="4" t="str">
        <f ca="1">IFERROR(__xludf.DUMMYFUNCTION("IFERROR(GOOGLETRANSLATE(A123,""ko"",""en""),)"),"Listen to a song")</f>
        <v>Listen to a song</v>
      </c>
      <c r="C123" s="4" t="str">
        <f ca="1">IFERROR(__xludf.DUMMYFUNCTION("IFERROR(GOOGLETRANSLATE(B123,""en"",""ja""),)"),"曲を聴く")</f>
        <v>曲を聴く</v>
      </c>
      <c r="D123" s="4" t="str">
        <f ca="1">IFERROR(__xludf.DUMMYFUNCTION("IFERROR(GOOGLETRANSLATE(B123,""en"",""zh-TW""),)"),"聽一首歌")</f>
        <v>聽一首歌</v>
      </c>
      <c r="E123" s="4" t="str">
        <f ca="1">IFERROR(__xludf.DUMMYFUNCTION("IFERROR(GOOGLETRANSLATE(B123,""en"",""zh-CN""),)"),"听一首歌")</f>
        <v>听一首歌</v>
      </c>
    </row>
    <row r="124" spans="1:5">
      <c r="A124" s="3" t="s">
        <v>687</v>
      </c>
      <c r="B124" s="4" t="str">
        <f ca="1">IFERROR(__xludf.DUMMYFUNCTION("IFERROR(GOOGLETRANSLATE(A124,""ko"",""en""),)"),"I draw a picture")</f>
        <v>I draw a picture</v>
      </c>
      <c r="C124" s="4" t="str">
        <f ca="1">IFERROR(__xludf.DUMMYFUNCTION("IFERROR(GOOGLETRANSLATE(B124,""en"",""ja""),)"),"絵を描く")</f>
        <v>絵を描く</v>
      </c>
      <c r="D124" s="4" t="str">
        <f ca="1">IFERROR(__xludf.DUMMYFUNCTION("IFERROR(GOOGLETRANSLATE(B124,""en"",""zh-TW""),)"),"我畫了一幅畫")</f>
        <v>我畫了一幅畫</v>
      </c>
      <c r="E124" s="4" t="str">
        <f ca="1">IFERROR(__xludf.DUMMYFUNCTION("IFERROR(GOOGLETRANSLATE(B124,""en"",""zh-CN""),)"),"我画了一幅画")</f>
        <v>我画了一幅画</v>
      </c>
    </row>
    <row r="125" spans="1:5">
      <c r="A125" s="3" t="s">
        <v>692</v>
      </c>
      <c r="B125" s="4" t="str">
        <f ca="1">IFERROR(__xludf.DUMMYFUNCTION("IFERROR(GOOGLETRANSLATE(A125,""ko"",""en""),)"),"Suzy, what did you do yesterday?")</f>
        <v>Suzy, what did you do yesterday?</v>
      </c>
      <c r="C125" s="4" t="str">
        <f ca="1">IFERROR(__xludf.DUMMYFUNCTION("IFERROR(GOOGLETRANSLATE(B125,""en"",""ja""),)"),"スージー、昨日は何をしていたの？")</f>
        <v>スージー、昨日は何をしていたの？</v>
      </c>
      <c r="D125" s="4" t="str">
        <f ca="1">IFERROR(__xludf.DUMMYFUNCTION("IFERROR(GOOGLETRANSLATE(B125,""en"",""zh-TW""),)"),"蘇西，你昨天做了什麼？")</f>
        <v>蘇西，你昨天做了什麼？</v>
      </c>
      <c r="E125" s="4" t="str">
        <f ca="1">IFERROR(__xludf.DUMMYFUNCTION("IFERROR(GOOGLETRANSLATE(B125,""en"",""zh-CN""),)"),"苏西，你昨天做了什么？")</f>
        <v>苏西，你昨天做了什么？</v>
      </c>
    </row>
    <row r="126" spans="1:5">
      <c r="A126" s="3" t="s">
        <v>699</v>
      </c>
      <c r="B126" s="4" t="str">
        <f ca="1">IFERROR(__xludf.DUMMYFUNCTION("IFERROR(GOOGLETRANSLATE(A126,""ko"",""en""),)"),"I swam in the swimming pool.")</f>
        <v>I swam in the swimming pool.</v>
      </c>
      <c r="C126" s="4" t="str">
        <f ca="1">IFERROR(__xludf.DUMMYFUNCTION("IFERROR(GOOGLETRANSLATE(B126,""en"",""ja""),)"),"私はプールで泳いだ。")</f>
        <v>私はプールで泳いだ。</v>
      </c>
      <c r="D126" s="4" t="str">
        <f ca="1">IFERROR(__xludf.DUMMYFUNCTION("IFERROR(GOOGLETRANSLATE(B126,""en"",""zh-TW""),)"),"我在游泳池裡遊了泳。")</f>
        <v>我在游泳池裡遊了泳。</v>
      </c>
      <c r="E126" s="4" t="str">
        <f ca="1">IFERROR(__xludf.DUMMYFUNCTION("IFERROR(GOOGLETRANSLATE(B126,""en"",""zh-CN""),)"),"我在游泳池里游了泳。")</f>
        <v>我在游泳池里游了泳。</v>
      </c>
    </row>
    <row r="127" spans="1:5">
      <c r="A127" s="3" t="s">
        <v>707</v>
      </c>
      <c r="B127" s="4" t="str">
        <f ca="1">IFERROR(__xludf.DUMMYFUNCTION("IFERROR(GOOGLETRANSLATE(A127,""ko"",""en""),)"),"Jaemin, what do you usually do on weekends?")</f>
        <v>Jaemin, what do you usually do on weekends?</v>
      </c>
      <c r="C127" s="4" t="str">
        <f ca="1">IFERROR(__xludf.DUMMYFUNCTION("IFERROR(GOOGLETRANSLATE(B127,""en"",""ja""),)"),"ジェミン、週末は普段何をしているの？")</f>
        <v>ジェミン、週末は普段何をしているの？</v>
      </c>
      <c r="D127" s="4" t="str">
        <f ca="1">IFERROR(__xludf.DUMMYFUNCTION("IFERROR(GOOGLETRANSLATE(B127,""en"",""zh-TW""),)"),"渽民，你週末通常都做些什麼？")</f>
        <v>渽民，你週末通常都做些什麼？</v>
      </c>
      <c r="E127" s="4" t="str">
        <f ca="1">IFERROR(__xludf.DUMMYFUNCTION("IFERROR(GOOGLETRANSLATE(B127,""en"",""zh-CN""),)"),"渽民，你周末通常都做些什么？")</f>
        <v>渽民，你周末通常都做些什么？</v>
      </c>
    </row>
    <row r="128" spans="1:5">
      <c r="A128" s="5" t="s">
        <v>713</v>
      </c>
      <c r="B128" s="4" t="s">
        <v>716</v>
      </c>
      <c r="C128" s="4" t="str">
        <f ca="1">IFERROR(__xludf.DUMMYFUNCTION("IFERROR(GOOGLETRANSLATE(B128,""en"",""ja""),)"),"私はよく海に行きます。釣りが好きなんです。")</f>
        <v>私はよく海に行きます。釣りが好きなんです。</v>
      </c>
      <c r="D128" s="4" t="str">
        <f ca="1">IFERROR(__xludf.DUMMYFUNCTION("IFERROR(GOOGLETRANSLATE(B128,""en"",""zh-TW""),)"),"我常去海邊。我喜歡釣魚。")</f>
        <v>我常去海邊。我喜歡釣魚。</v>
      </c>
      <c r="E128" s="4" t="str">
        <f ca="1">IFERROR(__xludf.DUMMYFUNCTION("IFERROR(GOOGLETRANSLATE(B128,""en"",""zh-CN""),)"),"我经常去海边。我喜欢钓鱼。")</f>
        <v>我经常去海边。我喜欢钓鱼。</v>
      </c>
    </row>
    <row r="129" spans="1:5">
      <c r="A129" s="3" t="s">
        <v>721</v>
      </c>
      <c r="B129" s="4" t="str">
        <f ca="1">IFERROR(__xludf.DUMMYFUNCTION("IFERROR(GOOGLETRANSLATE(A129,""ko"",""en""),)"),"Does Anna watch a lot of TV?")</f>
        <v>Does Anna watch a lot of TV?</v>
      </c>
      <c r="C129" s="4" t="str">
        <f ca="1">IFERROR(__xludf.DUMMYFUNCTION("IFERROR(GOOGLETRANSLATE(B129,""en"",""ja""),)"),"アンナはテレビをよく見るの？")</f>
        <v>アンナはテレビをよく見るの？</v>
      </c>
      <c r="D129" s="4" t="str">
        <f ca="1">IFERROR(__xludf.DUMMYFUNCTION("IFERROR(GOOGLETRANSLATE(B129,""en"",""zh-TW""),)"),"安娜常看電視嗎？")</f>
        <v>安娜常看電視嗎？</v>
      </c>
      <c r="E129" s="4" t="str">
        <f ca="1">IFERROR(__xludf.DUMMYFUNCTION("IFERROR(GOOGLETRANSLATE(B129,""en"",""zh-CN""),)"),"安娜经常看电视吗？")</f>
        <v>安娜经常看电视吗？</v>
      </c>
    </row>
    <row r="130" spans="1:5">
      <c r="A130" s="3" t="s">
        <v>728</v>
      </c>
      <c r="B130" s="4" t="str">
        <f ca="1">IFERROR(__xludf.DUMMYFUNCTION("IFERROR(GOOGLETRANSLATE(A130,""ko"",""en""),)"),"Yes, I watch dramas often.")</f>
        <v>Yes, I watch dramas often.</v>
      </c>
      <c r="C130" s="4" t="str">
        <f ca="1">IFERROR(__xludf.DUMMYFUNCTION("IFERROR(GOOGLETRANSLATE(B130,""en"",""ja""),)"),"はい、私はよくドラマを見ます。")</f>
        <v>はい、私はよくドラマを見ます。</v>
      </c>
      <c r="D130" s="4" t="str">
        <f ca="1">IFERROR(__xludf.DUMMYFUNCTION("IFERROR(GOOGLETRANSLATE(B130,""en"",""zh-TW""),)"),"是的，我常常看電視劇。")</f>
        <v>是的，我常常看電視劇。</v>
      </c>
      <c r="E130" s="4" t="str">
        <f ca="1">IFERROR(__xludf.DUMMYFUNCTION("IFERROR(GOOGLETRANSLATE(B130,""en"",""zh-CN""),)"),"是的，我经常看电视剧。")</f>
        <v>是的，我经常看电视剧。</v>
      </c>
    </row>
    <row r="131" spans="1:5">
      <c r="A131" s="3" t="s">
        <v>734</v>
      </c>
      <c r="B131" s="4" t="str">
        <f ca="1">IFERROR(__xludf.DUMMYFUNCTION("IFERROR(GOOGLETRANSLATE(A131,""ko"",""en""),)"),"Juno, did you play soccer today?")</f>
        <v>Juno, did you play soccer today?</v>
      </c>
      <c r="C131" s="4" t="str">
        <f ca="1">IFERROR(__xludf.DUMMYFUNCTION("IFERROR(GOOGLETRANSLATE(B131,""en"",""ja""),)"),"ジュノ、今日はサッカーした？")</f>
        <v>ジュノ、今日はサッカーした？</v>
      </c>
      <c r="D131" s="4" t="str">
        <f ca="1">IFERROR(__xludf.DUMMYFUNCTION("IFERROR(GOOGLETRANSLATE(B131,""en"",""zh-TW""),)"),"朱諾，你今天踢足球了嗎？")</f>
        <v>朱諾，你今天踢足球了嗎？</v>
      </c>
      <c r="E131" s="4" t="str">
        <f ca="1">IFERROR(__xludf.DUMMYFUNCTION("IFERROR(GOOGLETRANSLATE(B131,""en"",""zh-CN""),)"),"朱诺，你今天踢足球了吗？")</f>
        <v>朱诺，你今天踢足球了吗？</v>
      </c>
    </row>
    <row r="132" spans="1:5">
      <c r="A132" s="3" t="s">
        <v>738</v>
      </c>
      <c r="B132" s="4" t="str">
        <f ca="1">IFERROR(__xludf.DUMMYFUNCTION("IFERROR(GOOGLETRANSLATE(A132,""ko"",""en""),)"),"No, today I played games with a friend at home.")</f>
        <v>No, today I played games with a friend at home.</v>
      </c>
      <c r="C132" s="4" t="str">
        <f ca="1">IFERROR(__xludf.DUMMYFUNCTION("IFERROR(GOOGLETRANSLATE(B132,""en"",""ja""),)"),"いいえ、今日は家で友達とゲームをしました。")</f>
        <v>いいえ、今日は家で友達とゲームをしました。</v>
      </c>
      <c r="D132" s="4" t="str">
        <f ca="1">IFERROR(__xludf.DUMMYFUNCTION("IFERROR(GOOGLETRANSLATE(B132,""en"",""zh-TW""),)"),"不，今天我和朋友在家玩遊戲。")</f>
        <v>不，今天我和朋友在家玩遊戲。</v>
      </c>
      <c r="E132" s="4" t="str">
        <f ca="1">IFERROR(__xludf.DUMMYFUNCTION("IFERROR(GOOGLETRANSLATE(B132,""en"",""zh-CN""),)"),"不，今天我和朋友在家玩游戏。")</f>
        <v>不，今天我和朋友在家玩游戏。</v>
      </c>
    </row>
    <row r="133" spans="1:5">
      <c r="A133" s="3" t="s">
        <v>743</v>
      </c>
      <c r="B133" s="4" t="str">
        <f ca="1">IFERROR(__xludf.DUMMYFUNCTION("IFERROR(GOOGLETRANSLATE(A133,""ko"",""en""),)"),"Let's go eat")</f>
        <v>Let's go eat</v>
      </c>
      <c r="C133" s="4" t="str">
        <f ca="1">IFERROR(__xludf.DUMMYFUNCTION("IFERROR(GOOGLETRANSLATE(B133,""en"",""ja""),)"),"食べに行こう")</f>
        <v>食べに行こう</v>
      </c>
      <c r="D133" s="4" t="str">
        <f ca="1">IFERROR(__xludf.DUMMYFUNCTION("IFERROR(GOOGLETRANSLATE(B133,""en"",""zh-TW""),)"),"我們去吃飯吧")</f>
        <v>我們去吃飯吧</v>
      </c>
      <c r="E133" s="4" t="str">
        <f ca="1">IFERROR(__xludf.DUMMYFUNCTION("IFERROR(GOOGLETRANSLATE(B133,""en"",""zh-CN""),)"),"我们去吃饭吧")</f>
        <v>我们去吃饭吧</v>
      </c>
    </row>
    <row r="134" spans="1:5">
      <c r="A134" s="5" t="s">
        <v>747</v>
      </c>
      <c r="B134" s="4" t="str">
        <f ca="1">IFERROR(__xludf.DUMMYFUNCTION("IFERROR(GOOGLETRANSLATE(A134,""ko"",""en""),)"),"Let's go wash up")</f>
        <v>Let's go wash up</v>
      </c>
      <c r="C134" s="4" t="str">
        <f ca="1">IFERROR(__xludf.DUMMYFUNCTION("IFERROR(GOOGLETRANSLATE(B134,""en"",""ja""),)"),"手を洗いに行こう")</f>
        <v>手を洗いに行こう</v>
      </c>
      <c r="D134" s="4" t="str">
        <f ca="1">IFERROR(__xludf.DUMMYFUNCTION("IFERROR(GOOGLETRANSLATE(B134,""en"",""zh-TW""),)"),"我們去洗漱吧。")</f>
        <v>我們去洗漱吧。</v>
      </c>
      <c r="E134" s="4" t="str">
        <f ca="1">IFERROR(__xludf.DUMMYFUNCTION("IFERROR(GOOGLETRANSLATE(B134,""en"",""zh-CN""),)"),"我们去洗漱吧。")</f>
        <v>我们去洗漱吧。</v>
      </c>
    </row>
    <row r="135" spans="1:5">
      <c r="A135" s="5" t="s">
        <v>753</v>
      </c>
      <c r="B135" s="4" t="str">
        <f ca="1">IFERROR(__xludf.DUMMYFUNCTION("IFERROR(GOOGLETRANSLATE(A135,""ko"",""en""),)"),"Let's go take a picture")</f>
        <v>Let's go take a picture</v>
      </c>
      <c r="C135" s="4" t="str">
        <f ca="1">IFERROR(__xludf.DUMMYFUNCTION("IFERROR(GOOGLETRANSLATE(B135,""en"",""ja""),)"),"写真を撮りに行こう")</f>
        <v>写真を撮りに行こう</v>
      </c>
      <c r="D135" s="4" t="str">
        <f ca="1">IFERROR(__xludf.DUMMYFUNCTION("IFERROR(GOOGLETRANSLATE(B135,""en"",""zh-TW""),)"),"我們去拍照吧")</f>
        <v>我們去拍照吧</v>
      </c>
      <c r="E135" s="4" t="str">
        <f ca="1">IFERROR(__xludf.DUMMYFUNCTION("IFERROR(GOOGLETRANSLATE(B135,""en"",""zh-CN""),)"),"我们去拍照吧")</f>
        <v>我们去拍照吧</v>
      </c>
    </row>
    <row r="136" spans="1:5">
      <c r="A136" s="3" t="s">
        <v>757</v>
      </c>
      <c r="B136" s="4" t="str">
        <f ca="1">IFERROR(__xludf.DUMMYFUNCTION("IFERROR(GOOGLETRANSLATE(A136,""ko"",""en""),)"),"Let's go find it")</f>
        <v>Let's go find it</v>
      </c>
      <c r="C136" s="4" t="str">
        <f ca="1">IFERROR(__xludf.DUMMYFUNCTION("IFERROR(GOOGLETRANSLATE(B136,""en"",""ja""),)"),"探しに行こう")</f>
        <v>探しに行こう</v>
      </c>
      <c r="D136" s="4" t="str">
        <f ca="1">IFERROR(__xludf.DUMMYFUNCTION("IFERROR(GOOGLETRANSLATE(B136,""en"",""zh-TW""),)"),"我們去找找看吧")</f>
        <v>我們去找找看吧</v>
      </c>
      <c r="E136" s="4" t="str">
        <f ca="1">IFERROR(__xludf.DUMMYFUNCTION("IFERROR(GOOGLETRANSLATE(B136,""en"",""zh-CN""),)"),"我们去找找看吧")</f>
        <v>我们去找找看吧</v>
      </c>
    </row>
    <row r="137" spans="1:5">
      <c r="A137" s="3" t="s">
        <v>760</v>
      </c>
      <c r="B137" s="4" t="str">
        <f ca="1">IFERROR(__xludf.DUMMYFUNCTION("IFERROR(GOOGLETRANSLATE(A137,""ko"",""en""),)"),"Let's go listen")</f>
        <v>Let's go listen</v>
      </c>
      <c r="C137" s="4" t="str">
        <f ca="1">IFERROR(__xludf.DUMMYFUNCTION("IFERROR(GOOGLETRANSLATE(B137,""en"",""ja""),)"),"聴きに行きましょう")</f>
        <v>聴きに行きましょう</v>
      </c>
      <c r="D137" s="4" t="str">
        <f ca="1">IFERROR(__xludf.DUMMYFUNCTION("IFERROR(GOOGLETRANSLATE(B137,""en"",""zh-TW""),)"),"我們去聽吧")</f>
        <v>我們去聽吧</v>
      </c>
      <c r="E137" s="4" t="str">
        <f ca="1">IFERROR(__xludf.DUMMYFUNCTION("IFERROR(GOOGLETRANSLATE(B137,""en"",""zh-CN""),)"),"我们去听吧")</f>
        <v>我们去听吧</v>
      </c>
    </row>
    <row r="138" spans="1:5">
      <c r="A138" s="3" t="s">
        <v>765</v>
      </c>
      <c r="B138" s="4" t="str">
        <f ca="1">IFERROR(__xludf.DUMMYFUNCTION("IFERROR(GOOGLETRANSLATE(A138,""ko"",""en""),)"),"Let's go see it")</f>
        <v>Let's go see it</v>
      </c>
      <c r="C138" s="4" t="str">
        <f ca="1">IFERROR(__xludf.DUMMYFUNCTION("IFERROR(GOOGLETRANSLATE(B138,""en"",""ja""),)"),"見に行こう")</f>
        <v>見に行こう</v>
      </c>
      <c r="D138" s="4" t="str">
        <f ca="1">IFERROR(__xludf.DUMMYFUNCTION("IFERROR(GOOGLETRANSLATE(B138,""en"",""zh-TW""),)"),"我們去看吧")</f>
        <v>我們去看吧</v>
      </c>
      <c r="E138" s="4" t="str">
        <f ca="1">IFERROR(__xludf.DUMMYFUNCTION("IFERROR(GOOGLETRANSLATE(B138,""en"",""zh-CN""),)"),"我们去看吧")</f>
        <v>我们去看吧</v>
      </c>
    </row>
    <row r="139" spans="1:5">
      <c r="A139" s="3" t="s">
        <v>773</v>
      </c>
      <c r="B139" s="4" t="str">
        <f ca="1">IFERROR(__xludf.DUMMYFUNCTION("IFERROR(GOOGLETRANSLATE(A139,""ko"",""en""),)"),"Let's go buy it")</f>
        <v>Let's go buy it</v>
      </c>
      <c r="C139" s="4" t="str">
        <f ca="1">IFERROR(__xludf.DUMMYFUNCTION("IFERROR(GOOGLETRANSLATE(B139,""en"",""ja""),)"),"買いに行こう")</f>
        <v>買いに行こう</v>
      </c>
      <c r="D139" s="4" t="str">
        <f ca="1">IFERROR(__xludf.DUMMYFUNCTION("IFERROR(GOOGLETRANSLATE(B139,""en"",""zh-TW""),)"),"我們去買吧")</f>
        <v>我們去買吧</v>
      </c>
      <c r="E139" s="4" t="str">
        <f ca="1">IFERROR(__xludf.DUMMYFUNCTION("IFERROR(GOOGLETRANSLATE(B139,""en"",""zh-CN""),)"),"我们去买吧")</f>
        <v>我们去买吧</v>
      </c>
    </row>
    <row r="140" spans="1:5">
      <c r="A140" s="3" t="s">
        <v>783</v>
      </c>
      <c r="B140" s="4" t="str">
        <f ca="1">IFERROR(__xludf.DUMMYFUNCTION("IFERROR(GOOGLETRANSLATE(A140,""ko"",""en""),)"),"Let's go meet")</f>
        <v>Let's go meet</v>
      </c>
      <c r="C140" s="4" t="str">
        <f ca="1">IFERROR(__xludf.DUMMYFUNCTION("IFERROR(GOOGLETRANSLATE(B140,""en"",""ja""),)"),"会いに行こう")</f>
        <v>会いに行こう</v>
      </c>
      <c r="D140" s="4" t="str">
        <f ca="1">IFERROR(__xludf.DUMMYFUNCTION("IFERROR(GOOGLETRANSLATE(B140,""en"",""zh-TW""),)"),"我們去見面吧")</f>
        <v>我們去見面吧</v>
      </c>
      <c r="E140" s="4" t="str">
        <f ca="1">IFERROR(__xludf.DUMMYFUNCTION("IFERROR(GOOGLETRANSLATE(B140,""en"",""zh-CN""),)"),"我们去见面吧")</f>
        <v>我们去见面吧</v>
      </c>
    </row>
    <row r="141" spans="1:5">
      <c r="A141" s="3" t="s">
        <v>790</v>
      </c>
      <c r="B141" s="4" t="str">
        <f ca="1">IFERROR(__xludf.DUMMYFUNCTION("IFERROR(GOOGLETRANSLATE(A141,""ko"",""en""),)"),"Let's go exercise")</f>
        <v>Let's go exercise</v>
      </c>
      <c r="C141" s="4" t="str">
        <f ca="1">IFERROR(__xludf.DUMMYFUNCTION("IFERROR(GOOGLETRANSLATE(B141,""en"",""ja""),)"),"運動しに行こう")</f>
        <v>運動しに行こう</v>
      </c>
      <c r="D141" s="4" t="str">
        <f ca="1">IFERROR(__xludf.DUMMYFUNCTION("IFERROR(GOOGLETRANSLATE(B141,""en"",""zh-TW""),)"),"我們去鍛鍊吧。")</f>
        <v>我們去鍛鍊吧。</v>
      </c>
      <c r="E141" s="4" t="str">
        <f ca="1">IFERROR(__xludf.DUMMYFUNCTION("IFERROR(GOOGLETRANSLATE(B141,""en"",""zh-CN""),)"),"我们去锻炼吧。")</f>
        <v>我们去锻炼吧。</v>
      </c>
    </row>
    <row r="142" spans="1:5">
      <c r="A142" s="3" t="s">
        <v>799</v>
      </c>
      <c r="B142" s="4" t="str">
        <f ca="1">IFERROR(__xludf.DUMMYFUNCTION("IFERROR(GOOGLETRANSLATE(A142,""ko"",""en""),)"),"Let's go hang out")</f>
        <v>Let's go hang out</v>
      </c>
      <c r="C142" s="4" t="str">
        <f ca="1">IFERROR(__xludf.DUMMYFUNCTION("IFERROR(GOOGLETRANSLATE(B142,""en"",""ja""),)"),"遊びに行こうよ")</f>
        <v>遊びに行こうよ</v>
      </c>
      <c r="D142" s="4" t="str">
        <f ca="1">IFERROR(__xludf.DUMMYFUNCTION("IFERROR(GOOGLETRANSLATE(B142,""en"",""zh-TW""),)"),"咱們出去玩吧")</f>
        <v>咱們出去玩吧</v>
      </c>
      <c r="E142" s="4" t="str">
        <f ca="1">IFERROR(__xludf.DUMMYFUNCTION("IFERROR(GOOGLETRANSLATE(B142,""en"",""zh-CN""),)"),"咱们出去玩吧")</f>
        <v>咱们出去玩吧</v>
      </c>
    </row>
    <row r="143" spans="1:5">
      <c r="A143" s="3" t="s">
        <v>803</v>
      </c>
      <c r="B143" s="4" t="str">
        <f ca="1">IFERROR(__xludf.DUMMYFUNCTION("IFERROR(GOOGLETRANSLATE(A143,""ko"",""en""),)"),"Let's go make it")</f>
        <v>Let's go make it</v>
      </c>
      <c r="C143" s="4" t="str">
        <f ca="1">IFERROR(__xludf.DUMMYFUNCTION("IFERROR(GOOGLETRANSLATE(B143,""en"",""ja""),)"),"さあ、作ってみよう")</f>
        <v>さあ、作ってみよう</v>
      </c>
      <c r="D143" s="4" t="str">
        <f ca="1">IFERROR(__xludf.DUMMYFUNCTION("IFERROR(GOOGLETRANSLATE(B143,""en"",""zh-TW""),)"),"我們去把它做出來吧")</f>
        <v>我們去把它做出來吧</v>
      </c>
      <c r="E143" s="4" t="str">
        <f ca="1">IFERROR(__xludf.DUMMYFUNCTION("IFERROR(GOOGLETRANSLATE(B143,""en"",""zh-CN""),)"),"我们去把它做出来吧")</f>
        <v>我们去把它做出来吧</v>
      </c>
    </row>
    <row r="144" spans="1:5">
      <c r="A144" s="3" t="s">
        <v>808</v>
      </c>
      <c r="B144" s="4" t="str">
        <f ca="1">IFERROR(__xludf.DUMMYFUNCTION("IFERROR(GOOGLETRANSLATE(A144,""ko"",""en""),)"),"I'm going to a restaurant for lunch.")</f>
        <v>I'm going to a restaurant for lunch.</v>
      </c>
      <c r="C144" s="4" t="str">
        <f ca="1">IFERROR(__xludf.DUMMYFUNCTION("IFERROR(GOOGLETRANSLATE(B144,""en"",""ja""),)"),"昼食にレストランに行く予定です。")</f>
        <v>昼食にレストランに行く予定です。</v>
      </c>
      <c r="D144" s="4" t="str">
        <f ca="1">IFERROR(__xludf.DUMMYFUNCTION("IFERROR(GOOGLETRANSLATE(B144,""en"",""zh-TW""),)"),"我打算去餐廳吃午餐。")</f>
        <v>我打算去餐廳吃午餐。</v>
      </c>
      <c r="E144" s="4" t="str">
        <f ca="1">IFERROR(__xludf.DUMMYFUNCTION("IFERROR(GOOGLETRANSLATE(B144,""en"",""zh-CN""),)"),"我打算去餐馆吃午饭。")</f>
        <v>我打算去餐馆吃午饭。</v>
      </c>
    </row>
    <row r="145" spans="1:5">
      <c r="A145" s="3" t="s">
        <v>811</v>
      </c>
      <c r="B145" s="4" t="str">
        <f ca="1">IFERROR(__xludf.DUMMYFUNCTION("IFERROR(GOOGLETRANSLATE(A145,""ko"",""en""),)"),"I go to the convenience store to buy milk.")</f>
        <v>I go to the convenience store to buy milk.</v>
      </c>
      <c r="C145" s="4" t="str">
        <f ca="1">IFERROR(__xludf.DUMMYFUNCTION("IFERROR(GOOGLETRANSLATE(B145,""en"",""ja""),)"),"私は牛乳を買うためにコンビニに行く。")</f>
        <v>私は牛乳を買うためにコンビニに行く。</v>
      </c>
      <c r="D145" s="4" t="str">
        <f ca="1">IFERROR(__xludf.DUMMYFUNCTION("IFERROR(GOOGLETRANSLATE(B145,""en"",""zh-TW""),)"),"我去便利商店買牛奶。")</f>
        <v>我去便利商店買牛奶。</v>
      </c>
      <c r="E145" s="4" t="str">
        <f ca="1">IFERROR(__xludf.DUMMYFUNCTION("IFERROR(GOOGLETRANSLATE(B145,""en"",""zh-CN""),)"),"我去便利店买牛奶。")</f>
        <v>我去便利店买牛奶。</v>
      </c>
    </row>
    <row r="146" spans="1:5">
      <c r="A146" s="5" t="s">
        <v>814</v>
      </c>
      <c r="B146" s="4" t="str">
        <f ca="1">IFERROR(__xludf.DUMMYFUNCTION("IFERROR(GOOGLETRANSLATE(A146,""ko"",""en""),)"),"I go to the mountain to hike.")</f>
        <v>I go to the mountain to hike.</v>
      </c>
      <c r="C146" s="4" t="str">
        <f ca="1">IFERROR(__xludf.DUMMYFUNCTION("IFERROR(GOOGLETRANSLATE(B146,""en"",""ja""),)"),"私はハイキングをするために山へ行きます。")</f>
        <v>私はハイキングをするために山へ行きます。</v>
      </c>
      <c r="D146" s="4" t="str">
        <f ca="1">IFERROR(__xludf.DUMMYFUNCTION("IFERROR(GOOGLETRANSLATE(B146,""en"",""zh-TW""),)"),"我去山上健行。")</f>
        <v>我去山上健行。</v>
      </c>
      <c r="E146" s="4" t="str">
        <f ca="1">IFERROR(__xludf.DUMMYFUNCTION("IFERROR(GOOGLETRANSLATE(B146,""en"",""zh-CN""),)"),"我去山上徒步旅行。")</f>
        <v>我去山上徒步旅行。</v>
      </c>
    </row>
    <row r="147" spans="1:5">
      <c r="A147" s="5" t="s">
        <v>819</v>
      </c>
      <c r="B147" s="4" t="str">
        <f ca="1">IFERROR(__xludf.DUMMYFUNCTION("IFERROR(GOOGLETRANSLATE(A147,""ko"",""en""),)"),"I go to the bank to withdraw money.")</f>
        <v>I go to the bank to withdraw money.</v>
      </c>
      <c r="C147" s="4" t="str">
        <f ca="1">IFERROR(__xludf.DUMMYFUNCTION("IFERROR(GOOGLETRANSLATE(B147,""en"",""ja""),)"),"私はお金を引き出すために銀行に行きます。")</f>
        <v>私はお金を引き出すために銀行に行きます。</v>
      </c>
      <c r="D147" s="4" t="str">
        <f ca="1">IFERROR(__xludf.DUMMYFUNCTION("IFERROR(GOOGLETRANSLATE(B147,""en"",""zh-TW""),)"),"我去銀行提款。")</f>
        <v>我去銀行提款。</v>
      </c>
      <c r="E147" s="4" t="str">
        <f ca="1">IFERROR(__xludf.DUMMYFUNCTION("IFERROR(GOOGLETRANSLATE(B147,""en"",""zh-CN""),)"),"我去银行取款。")</f>
        <v>我去银行取款。</v>
      </c>
    </row>
    <row r="148" spans="1:5">
      <c r="A148" s="3" t="s">
        <v>823</v>
      </c>
      <c r="B148" s="4" t="str">
        <f ca="1">IFERROR(__xludf.DUMMYFUNCTION("IFERROR(GOOGLETRANSLATE(A148,""ko"",""en""),)"),"I go to the department store to buy clothes.")</f>
        <v>I go to the department store to buy clothes.</v>
      </c>
      <c r="C148" s="4" t="str">
        <f ca="1">IFERROR(__xludf.DUMMYFUNCTION("IFERROR(GOOGLETRANSLATE(B148,""en"",""ja""),)"),"私は服を買うためにデパートに行きます。")</f>
        <v>私は服を買うためにデパートに行きます。</v>
      </c>
      <c r="D148" s="4" t="str">
        <f ca="1">IFERROR(__xludf.DUMMYFUNCTION("IFERROR(GOOGLETRANSLATE(B148,""en"",""zh-TW""),)"),"我去百貨公司買衣服。")</f>
        <v>我去百貨公司買衣服。</v>
      </c>
      <c r="E148" s="4" t="str">
        <f ca="1">IFERROR(__xludf.DUMMYFUNCTION("IFERROR(GOOGLETRANSLATE(B148,""en"",""zh-CN""),)"),"我去百货商店买衣服。")</f>
        <v>我去百货商店买衣服。</v>
      </c>
    </row>
    <row r="149" spans="1:5">
      <c r="A149" s="5" t="s">
        <v>827</v>
      </c>
      <c r="B149" s="4" t="str">
        <f ca="1">IFERROR(__xludf.DUMMYFUNCTION("IFERROR(GOOGLETRANSLATE(A149,""ko"",""en""),)"),"I go to karaoke to sing.")</f>
        <v>I go to karaoke to sing.</v>
      </c>
      <c r="C149" s="4" t="str">
        <f ca="1">IFERROR(__xludf.DUMMYFUNCTION("IFERROR(GOOGLETRANSLATE(B149,""en"",""ja""),)"),"私は歌うためにカラオケに行きます。")</f>
        <v>私は歌うためにカラオケに行きます。</v>
      </c>
      <c r="D149" s="4" t="str">
        <f ca="1">IFERROR(__xludf.DUMMYFUNCTION("IFERROR(GOOGLETRANSLATE(B149,""en"",""zh-TW""),)"),"我去卡拉OK唱歌。")</f>
        <v>我去卡拉OK唱歌。</v>
      </c>
      <c r="E149" s="4" t="str">
        <f ca="1">IFERROR(__xludf.DUMMYFUNCTION("IFERROR(GOOGLETRANSLATE(B149,""en"",""zh-CN""),)"),"我去卡拉OK唱歌。")</f>
        <v>我去卡拉OK唱歌。</v>
      </c>
    </row>
    <row r="150" spans="1:5">
      <c r="A150" s="3" t="s">
        <v>832</v>
      </c>
      <c r="B150" s="4" t="str">
        <f ca="1">IFERROR(__xludf.DUMMYFUNCTION("IFERROR(GOOGLETRANSLATE(A150,""ko"",""en""),)"),"I go to a cafe to drink coffee.")</f>
        <v>I go to a cafe to drink coffee.</v>
      </c>
      <c r="C150" s="4" t="str">
        <f ca="1">IFERROR(__xludf.DUMMYFUNCTION("IFERROR(GOOGLETRANSLATE(B150,""en"",""ja""),)"),"私はコーヒーを飲むためにカフェに行く。")</f>
        <v>私はコーヒーを飲むためにカフェに行く。</v>
      </c>
      <c r="D150" s="4" t="str">
        <f ca="1">IFERROR(__xludf.DUMMYFUNCTION("IFERROR(GOOGLETRANSLATE(B150,""en"",""zh-TW""),)"),"我去咖啡館喝咖啡。")</f>
        <v>我去咖啡館喝咖啡。</v>
      </c>
      <c r="E150" s="4" t="str">
        <f ca="1">IFERROR(__xludf.DUMMYFUNCTION("IFERROR(GOOGLETRANSLATE(B150,""en"",""zh-CN""),)"),"我去咖啡馆喝咖啡。")</f>
        <v>我去咖啡馆喝咖啡。</v>
      </c>
    </row>
    <row r="151" spans="1:5">
      <c r="A151" s="5" t="s">
        <v>837</v>
      </c>
      <c r="B151" s="4" t="str">
        <f ca="1">IFERROR(__xludf.DUMMYFUNCTION("IFERROR(GOOGLETRANSLATE(A151,""ko"",""en""),)"),"I'm going to the amusement park with my friend.")</f>
        <v>I'm going to the amusement park with my friend.</v>
      </c>
      <c r="C151" s="4" t="str">
        <f ca="1">IFERROR(__xludf.DUMMYFUNCTION("IFERROR(GOOGLETRANSLATE(B151,""en"",""ja""),)"),"友達と遊園地に行く予定です。")</f>
        <v>友達と遊園地に行く予定です。</v>
      </c>
      <c r="D151" s="4" t="str">
        <f ca="1">IFERROR(__xludf.DUMMYFUNCTION("IFERROR(GOOGLETRANSLATE(B151,""en"",""zh-TW""),)"),"我要和朋友一起去遊樂園。")</f>
        <v>我要和朋友一起去遊樂園。</v>
      </c>
      <c r="E151" s="4" t="str">
        <f ca="1">IFERROR(__xludf.DUMMYFUNCTION("IFERROR(GOOGLETRANSLATE(B151,""en"",""zh-CN""),)"),"我要和朋友一起去游乐园。")</f>
        <v>我要和朋友一起去游乐园。</v>
      </c>
    </row>
    <row r="152" spans="1:5">
      <c r="A152" s="3" t="s">
        <v>841</v>
      </c>
      <c r="B152" s="4" t="str">
        <f ca="1">IFERROR(__xludf.DUMMYFUNCTION("IFERROR(GOOGLETRANSLATE(A152,""ko"",""en""),)"),"I am going to the office to meet the teacher.")</f>
        <v>I am going to the office to meet the teacher.</v>
      </c>
      <c r="C152" s="4" t="str">
        <f ca="1">IFERROR(__xludf.DUMMYFUNCTION("IFERROR(GOOGLETRANSLATE(B152,""en"",""ja""),)"),"私は先生に会うためにオフィスに行きます。")</f>
        <v>私は先生に会うためにオフィスに行きます。</v>
      </c>
      <c r="D152" s="4" t="str">
        <f ca="1">IFERROR(__xludf.DUMMYFUNCTION("IFERROR(GOOGLETRANSLATE(B152,""en"",""zh-TW""),)"),"我要去辦公室見老師。")</f>
        <v>我要去辦公室見老師。</v>
      </c>
      <c r="E152" s="4" t="str">
        <f ca="1">IFERROR(__xludf.DUMMYFUNCTION("IFERROR(GOOGLETRANSLATE(B152,""en"",""zh-CN""),)"),"我要去办公室见老师。")</f>
        <v>我要去办公室见老师。</v>
      </c>
    </row>
    <row r="153" spans="1:5">
      <c r="A153" s="3" t="s">
        <v>845</v>
      </c>
      <c r="B153" s="4" t="str">
        <f ca="1">IFERROR(__xludf.DUMMYFUNCTION("IFERROR(GOOGLETRANSLATE(A153,""ko"",""en""),)"),"go")</f>
        <v>go</v>
      </c>
      <c r="C153" s="4" t="str">
        <f ca="1">IFERROR(__xludf.DUMMYFUNCTION("IFERROR(GOOGLETRANSLATE(B153,""en"",""ja""),)"),"行く")</f>
        <v>行く</v>
      </c>
      <c r="D153" s="4" t="str">
        <f ca="1">IFERROR(__xludf.DUMMYFUNCTION("IFERROR(GOOGLETRANSLATE(B153,""en"",""zh-TW""),)"),"去")</f>
        <v>去</v>
      </c>
      <c r="E153" s="4" t="str">
        <f ca="1">IFERROR(__xludf.DUMMYFUNCTION("IFERROR(GOOGLETRANSLATE(B153,""en"",""zh-CN""),)"),"去")</f>
        <v>去</v>
      </c>
    </row>
    <row r="154" spans="1:5">
      <c r="A154" s="3" t="s">
        <v>849</v>
      </c>
      <c r="B154" s="4" t="str">
        <f ca="1">IFERROR(__xludf.DUMMYFUNCTION("IFERROR(GOOGLETRANSLATE(A154,""ko"",""en""),)"),"I went to the library yesterday to study Korean.")</f>
        <v>I went to the library yesterday to study Korean.</v>
      </c>
      <c r="C154" s="4" t="str">
        <f ca="1">IFERROR(__xludf.DUMMYFUNCTION("IFERROR(GOOGLETRANSLATE(B154,""en"",""ja""),)"),"昨日、韓国語を勉強するために図書館に行きました。")</f>
        <v>昨日、韓国語を勉強するために図書館に行きました。</v>
      </c>
      <c r="D154" s="4" t="str">
        <f ca="1">IFERROR(__xludf.DUMMYFUNCTION("IFERROR(GOOGLETRANSLATE(B154,""en"",""zh-TW""),)"),"我昨天去圖書館學習韓語。")</f>
        <v>我昨天去圖書館學習韓語。</v>
      </c>
      <c r="E154" s="4" t="str">
        <f ca="1">IFERROR(__xludf.DUMMYFUNCTION("IFERROR(GOOGLETRANSLATE(B154,""en"",""zh-CN""),)"),"我昨天去图书馆学习韩语。")</f>
        <v>我昨天去图书馆学习韩语。</v>
      </c>
    </row>
    <row r="155" spans="1:5">
      <c r="A155" s="5" t="s">
        <v>855</v>
      </c>
      <c r="B155" s="4" t="str">
        <f ca="1">IFERROR(__xludf.DUMMYFUNCTION("IFERROR(GOOGLETRANSLATE(A155,""ko"",""en""),)"),"I am going downtown to meet my younger sibling.")</f>
        <v>I am going downtown to meet my younger sibling.</v>
      </c>
      <c r="C155" s="4" t="str">
        <f ca="1">IFERROR(__xludf.DUMMYFUNCTION("IFERROR(GOOGLETRANSLATE(B155,""en"",""ja""),)"),"私は弟に会いに街の中心部へ行きます。")</f>
        <v>私は弟に会いに街の中心部へ行きます。</v>
      </c>
      <c r="D155" s="4" t="str">
        <f ca="1">IFERROR(__xludf.DUMMYFUNCTION("IFERROR(GOOGLETRANSLATE(B155,""en"",""zh-TW""),)"),"我要去市中心見我的弟弟妹妹。")</f>
        <v>我要去市中心見我的弟弟妹妹。</v>
      </c>
      <c r="E155" s="4" t="str">
        <f ca="1">IFERROR(__xludf.DUMMYFUNCTION("IFERROR(GOOGLETRANSLATE(B155,""en"",""zh-CN""),)"),"我要去市中心见我的弟弟妹妹。")</f>
        <v>我要去市中心见我的弟弟妹妹。</v>
      </c>
    </row>
    <row r="156" spans="1:5">
      <c r="A156" s="3" t="s">
        <v>858</v>
      </c>
      <c r="B156" s="4" t="str">
        <f ca="1">IFERROR(__xludf.DUMMYFUNCTION("IFERROR(GOOGLETRANSLATE(A156,""ko"",""en""),)"),"I'm going to the department store tomorrow to buy a birthday present for my friend.")</f>
        <v>I'm going to the department store tomorrow to buy a birthday present for my friend.</v>
      </c>
      <c r="C156" s="4" t="str">
        <f ca="1">IFERROR(__xludf.DUMMYFUNCTION("IFERROR(GOOGLETRANSLATE(B156,""en"",""ja""),)"),"明日、友達の誕生日プレゼントを買いにデパートに行く予定です。")</f>
        <v>明日、友達の誕生日プレゼントを買いにデパートに行く予定です。</v>
      </c>
      <c r="D156" s="4" t="str">
        <f ca="1">IFERROR(__xludf.DUMMYFUNCTION("IFERROR(GOOGLETRANSLATE(B156,""en"",""zh-TW""),)"),"我明天要去百貨公司買生日禮物給朋友。")</f>
        <v>我明天要去百貨公司買生日禮物給朋友。</v>
      </c>
      <c r="E156" s="4" t="str">
        <f ca="1">IFERROR(__xludf.DUMMYFUNCTION("IFERROR(GOOGLETRANSLATE(B156,""en"",""zh-CN""),)"),"我明天要去百货商店给朋友买生日礼物。")</f>
        <v>我明天要去百货商店给朋友买生日礼物。</v>
      </c>
    </row>
    <row r="157" spans="1:5">
      <c r="A157" s="3" t="s">
        <v>865</v>
      </c>
      <c r="B157" s="4" t="str">
        <f ca="1">IFERROR(__xludf.DUMMYFUNCTION("IFERROR(GOOGLETRANSLATE(A157,""ko"",""en""),)"),"I want to go to Korea to learn Korean.")</f>
        <v>I want to go to Korea to learn Korean.</v>
      </c>
      <c r="C157" s="4" t="str">
        <f ca="1">IFERROR(__xludf.DUMMYFUNCTION("IFERROR(GOOGLETRANSLATE(B157,""en"",""ja""),)"),"韓国に行って韓国語を学びたいです。")</f>
        <v>韓国に行って韓国語を学びたいです。</v>
      </c>
      <c r="D157" s="4" t="str">
        <f ca="1">IFERROR(__xludf.DUMMYFUNCTION("IFERROR(GOOGLETRANSLATE(B157,""en"",""zh-TW""),)"),"我想去韓國學習韓語。")</f>
        <v>我想去韓國學習韓語。</v>
      </c>
      <c r="E157" s="4" t="str">
        <f ca="1">IFERROR(__xludf.DUMMYFUNCTION("IFERROR(GOOGLETRANSLATE(B157,""en"",""zh-CN""),)"),"我想去韩国学习韩语。")</f>
        <v>我想去韩国学习韩语。</v>
      </c>
    </row>
    <row r="158" spans="1:5">
      <c r="A158" s="5" t="s">
        <v>870</v>
      </c>
      <c r="B158" s="4" t="str">
        <f ca="1">IFERROR(__xludf.DUMMYFUNCTION("IFERROR(GOOGLETRANSLATE(A158,""ko"",""en""),)"),"I went to a Korean restaurant to eat bibimbap, but there were too many people.")</f>
        <v>I went to a Korean restaurant to eat bibimbap, but there were too many people.</v>
      </c>
      <c r="C158" s="4" t="str">
        <f ca="1">IFERROR(__xludf.DUMMYFUNCTION("IFERROR(GOOGLETRANSLATE(B158,""en"",""ja""),)"),"ビビンバを食べに韓国料理店に行ったのですが、人が多すぎました。")</f>
        <v>ビビンバを食べに韓国料理店に行ったのですが、人が多すぎました。</v>
      </c>
      <c r="D158" s="4" t="str">
        <f ca="1">IFERROR(__xludf.DUMMYFUNCTION("IFERROR(GOOGLETRANSLATE(B158,""en"",""zh-TW""),)"),"我去了一家韓國餐廳吃拌飯，但是人太多了。")</f>
        <v>我去了一家韓國餐廳吃拌飯，但是人太多了。</v>
      </c>
      <c r="E158" s="4" t="str">
        <f ca="1">IFERROR(__xludf.DUMMYFUNCTION("IFERROR(GOOGLETRANSLATE(B158,""en"",""zh-CN""),)"),"我去了一家韩国餐馆吃拌饭，但是人太多了。")</f>
        <v>我去了一家韩国餐馆吃拌饭，但是人太多了。</v>
      </c>
    </row>
    <row r="159" spans="1:5">
      <c r="A159" s="3" t="s">
        <v>876</v>
      </c>
      <c r="B159" s="4" t="str">
        <f ca="1">IFERROR(__xludf.DUMMYFUNCTION("IFERROR(GOOGLETRANSLATE(A159,""ko"",""en""),)"),"Where do you usually go shopping?")</f>
        <v>Where do you usually go shopping?</v>
      </c>
      <c r="C159" s="4" t="str">
        <f ca="1">IFERROR(__xludf.DUMMYFUNCTION("IFERROR(GOOGLETRANSLATE(B159,""en"",""ja""),)"),"あなたは普段どこで買い物をしますか？")</f>
        <v>あなたは普段どこで買い物をしますか？</v>
      </c>
      <c r="D159" s="4" t="str">
        <f ca="1">IFERROR(__xludf.DUMMYFUNCTION("IFERROR(GOOGLETRANSLATE(B159,""en"",""zh-TW""),)"),"你通常去哪裡購物？")</f>
        <v>你通常去哪裡購物？</v>
      </c>
      <c r="E159" s="4" t="str">
        <f ca="1">IFERROR(__xludf.DUMMYFUNCTION("IFERROR(GOOGLETRANSLATE(B159,""en"",""zh-CN""),)"),"你通常去哪里购物？")</f>
        <v>你通常去哪里购物？</v>
      </c>
    </row>
    <row r="160" spans="1:5">
      <c r="A160" s="3" t="s">
        <v>880</v>
      </c>
      <c r="B160" s="4" t="str">
        <f ca="1">IFERROR(__xludf.DUMMYFUNCTION("IFERROR(GOOGLETRANSLATE(A160,""ko"",""en""),)"),"I usually shop at department stores.")</f>
        <v>I usually shop at department stores.</v>
      </c>
      <c r="C160" s="4" t="str">
        <f ca="1">IFERROR(__xludf.DUMMYFUNCTION("IFERROR(GOOGLETRANSLATE(B160,""en"",""ja""),)"),"私は普段デパートで買い物をします。")</f>
        <v>私は普段デパートで買い物をします。</v>
      </c>
      <c r="D160" s="4" t="str">
        <f ca="1">IFERROR(__xludf.DUMMYFUNCTION("IFERROR(GOOGLETRANSLATE(B160,""en"",""zh-TW""),)"),"我通常在百貨公司購物。")</f>
        <v>我通常在百貨公司購物。</v>
      </c>
      <c r="E160" s="4" t="str">
        <f ca="1">IFERROR(__xludf.DUMMYFUNCTION("IFERROR(GOOGLETRANSLATE(B160,""en"",""zh-CN""),)"),"我通常在百货商店购物。")</f>
        <v>我通常在百货商店购物。</v>
      </c>
    </row>
    <row r="161" spans="1:5">
      <c r="A161" s="3" t="s">
        <v>884</v>
      </c>
      <c r="B161" s="4" t="str">
        <f ca="1">IFERROR(__xludf.DUMMYFUNCTION("IFERROR(GOOGLETRANSLATE(A161,""ko"",""en""),)"),"Shall we go see a movie this weekend?")</f>
        <v>Shall we go see a movie this weekend?</v>
      </c>
      <c r="C161" s="4" t="str">
        <f ca="1">IFERROR(__xludf.DUMMYFUNCTION("IFERROR(GOOGLETRANSLATE(B161,""en"",""ja""),)"),"今週末、映画を見に行きませんか？")</f>
        <v>今週末、映画を見に行きませんか？</v>
      </c>
      <c r="D161" s="4" t="str">
        <f ca="1">IFERROR(__xludf.DUMMYFUNCTION("IFERROR(GOOGLETRANSLATE(B161,""en"",""zh-TW""),)"),"我們這週末去看電影好嗎？")</f>
        <v>我們這週末去看電影好嗎？</v>
      </c>
      <c r="E161" s="4" t="str">
        <f ca="1">IFERROR(__xludf.DUMMYFUNCTION("IFERROR(GOOGLETRANSLATE(B161,""en"",""zh-CN""),)"),"我们这周末去看电影好吗？")</f>
        <v>我们这周末去看电影好吗？</v>
      </c>
    </row>
    <row r="162" spans="1:5">
      <c r="A162" s="3" t="s">
        <v>889</v>
      </c>
      <c r="B162" s="4" t="str">
        <f ca="1">IFERROR(__xludf.DUMMYFUNCTION("IFERROR(GOOGLETRANSLATE(A162,""ko"",""en""),)"),"Yes, that's good.")</f>
        <v>Yes, that's good.</v>
      </c>
      <c r="C162" s="4" t="str">
        <f ca="1">IFERROR(__xludf.DUMMYFUNCTION("IFERROR(GOOGLETRANSLATE(B162,""en"",""ja""),)"),"はい、それは良いことです。")</f>
        <v>はい、それは良いことです。</v>
      </c>
      <c r="D162" s="4" t="str">
        <f ca="1">IFERROR(__xludf.DUMMYFUNCTION("IFERROR(GOOGLETRANSLATE(B162,""en"",""zh-TW""),)"),"是的，那很好。")</f>
        <v>是的，那很好。</v>
      </c>
      <c r="E162" s="4" t="str">
        <f ca="1">IFERROR(__xludf.DUMMYFUNCTION("IFERROR(GOOGLETRANSLATE(B162,""en"",""zh-CN""),)"),"是的，那很好。")</f>
        <v>是的，那很好。</v>
      </c>
    </row>
    <row r="163" spans="1:5">
      <c r="A163" s="3" t="s">
        <v>891</v>
      </c>
      <c r="B163" s="4" t="str">
        <f ca="1">IFERROR(__xludf.DUMMYFUNCTION("IFERROR(GOOGLETRANSLATE(A163,""ko"",""en""),)"),"What did you do yesterday?")</f>
        <v>What did you do yesterday?</v>
      </c>
      <c r="C163" s="4" t="str">
        <f ca="1">IFERROR(__xludf.DUMMYFUNCTION("IFERROR(GOOGLETRANSLATE(B163,""en"",""ja""),)"),"昨日は何をしましたか？")</f>
        <v>昨日は何をしましたか？</v>
      </c>
      <c r="D163" s="4" t="str">
        <f ca="1">IFERROR(__xludf.DUMMYFUNCTION("IFERROR(GOOGLETRANSLATE(B163,""en"",""zh-TW""),)"),"你昨天做了什麼？")</f>
        <v>你昨天做了什麼？</v>
      </c>
      <c r="E163" s="4" t="str">
        <f ca="1">IFERROR(__xludf.DUMMYFUNCTION("IFERROR(GOOGLETRANSLATE(B163,""en"",""zh-CN""),)"),"你昨天做了什么？")</f>
        <v>你昨天做了什么？</v>
      </c>
    </row>
    <row r="164" spans="1:5">
      <c r="A164" s="3" t="s">
        <v>897</v>
      </c>
      <c r="B164" s="4" t="str">
        <f ca="1">IFERROR(__xludf.DUMMYFUNCTION("IFERROR(GOOGLETRANSLATE(A164,""ko"",""en""),)"),"I went to the park to take pictures.")</f>
        <v>I went to the park to take pictures.</v>
      </c>
      <c r="C164" s="4" t="str">
        <f ca="1">IFERROR(__xludf.DUMMYFUNCTION("IFERROR(GOOGLETRANSLATE(B164,""en"",""ja""),)"),"写真を撮るために公園に行った。")</f>
        <v>写真を撮るために公園に行った。</v>
      </c>
      <c r="D164" s="4" t="str">
        <f ca="1">IFERROR(__xludf.DUMMYFUNCTION("IFERROR(GOOGLETRANSLATE(B164,""en"",""zh-TW""),)"),"我去公園拍照。")</f>
        <v>我去公園拍照。</v>
      </c>
      <c r="E164" s="4" t="str">
        <f ca="1">IFERROR(__xludf.DUMMYFUNCTION("IFERROR(GOOGLETRANSLATE(B164,""en"",""zh-CN""),)"),"我去公园拍照。")</f>
        <v>我去公园拍照。</v>
      </c>
    </row>
    <row r="165" spans="1:5">
      <c r="A165" s="3" t="s">
        <v>903</v>
      </c>
      <c r="B165" s="4" t="str">
        <f ca="1">IFERROR(__xludf.DUMMYFUNCTION("IFERROR(GOOGLETRANSLATE(A165,""ko"",""en""),)"),"Where are you going now?")</f>
        <v>Where are you going now?</v>
      </c>
      <c r="C165" s="4" t="str">
        <f ca="1">IFERROR(__xludf.DUMMYFUNCTION("IFERROR(GOOGLETRANSLATE(B165,""en"",""ja""),)"),"今、どこへ行くのですか？")</f>
        <v>今、どこへ行くのですか？</v>
      </c>
      <c r="D165" s="4" t="str">
        <f ca="1">IFERROR(__xludf.DUMMYFUNCTION("IFERROR(GOOGLETRANSLATE(B165,""en"",""zh-TW""),)"),"你現在要去哪裡？")</f>
        <v>你現在要去哪裡？</v>
      </c>
      <c r="E165" s="4" t="str">
        <f ca="1">IFERROR(__xludf.DUMMYFUNCTION("IFERROR(GOOGLETRANSLATE(B165,""en"",""zh-CN""),)"),"你现在要去哪里？")</f>
        <v>你现在要去哪里？</v>
      </c>
    </row>
    <row r="166" spans="1:5">
      <c r="A166" s="5" t="s">
        <v>912</v>
      </c>
      <c r="B166" s="4" t="str">
        <f ca="1">IFERROR(__xludf.DUMMYFUNCTION("IFERROR(GOOGLETRANSLATE(A166,""ko"",""en""),)"),"I go to the library to borrow a book.")</f>
        <v>I go to the library to borrow a book.</v>
      </c>
      <c r="C166" s="4" t="str">
        <f ca="1">IFERROR(__xludf.DUMMYFUNCTION("IFERROR(GOOGLETRANSLATE(B166,""en"",""ja""),)"),"私は本を​​借りるために図書館に行く。")</f>
        <v>私は本を​​借りるために図書館に行く。</v>
      </c>
      <c r="D166" s="4" t="str">
        <f ca="1">IFERROR(__xludf.DUMMYFUNCTION("IFERROR(GOOGLETRANSLATE(B166,""en"",""zh-TW""),)"),"我去圖書館借書。")</f>
        <v>我去圖書館借書。</v>
      </c>
      <c r="E166" s="4" t="str">
        <f ca="1">IFERROR(__xludf.DUMMYFUNCTION("IFERROR(GOOGLETRANSLATE(B166,""en"",""zh-CN""),)"),"我去图书馆借书。")</f>
        <v>我去图书馆借书。</v>
      </c>
    </row>
    <row r="167" spans="1:5">
      <c r="A167" s="5" t="s">
        <v>917</v>
      </c>
      <c r="B167" s="4" t="str">
        <f ca="1">IFERROR(__xludf.DUMMYFUNCTION("IFERROR(GOOGLETRANSLATE(A167,""ko"",""en""),)"),"I go to the gym to exercise.")</f>
        <v>I go to the gym to exercise.</v>
      </c>
      <c r="C167" s="4" t="str">
        <f ca="1">IFERROR(__xludf.DUMMYFUNCTION("IFERROR(GOOGLETRANSLATE(B167,""en"",""ja""),)"),"私は運動するためにジムに通っています。")</f>
        <v>私は運動するためにジムに通っています。</v>
      </c>
      <c r="D167" s="4" t="str">
        <f ca="1">IFERROR(__xludf.DUMMYFUNCTION("IFERROR(GOOGLETRANSLATE(B167,""en"",""zh-TW""),)"),"我去健身房運動。")</f>
        <v>我去健身房運動。</v>
      </c>
      <c r="E167" s="4" t="str">
        <f ca="1">IFERROR(__xludf.DUMMYFUNCTION("IFERROR(GOOGLETRANSLATE(B167,""en"",""zh-CN""),)"),"我去健身房锻炼。")</f>
        <v>我去健身房锻炼。</v>
      </c>
    </row>
    <row r="168" spans="1:5">
      <c r="A168" s="3" t="s">
        <v>819</v>
      </c>
      <c r="B168" s="4" t="str">
        <f ca="1">IFERROR(__xludf.DUMMYFUNCTION("IFERROR(GOOGLETRANSLATE(A168,""ko"",""en""),)"),"I go to the bank to withdraw money.")</f>
        <v>I go to the bank to withdraw money.</v>
      </c>
      <c r="C168" s="4" t="str">
        <f ca="1">IFERROR(__xludf.DUMMYFUNCTION("IFERROR(GOOGLETRANSLATE(B168,""en"",""ja""),)"),"私はお金を引き出すために銀行に行きます。")</f>
        <v>私はお金を引き出すために銀行に行きます。</v>
      </c>
      <c r="D168" s="4" t="str">
        <f ca="1">IFERROR(__xludf.DUMMYFUNCTION("IFERROR(GOOGLETRANSLATE(B168,""en"",""zh-TW""),)"),"我去銀行提款。")</f>
        <v>我去銀行提款。</v>
      </c>
      <c r="E168" s="4" t="str">
        <f ca="1">IFERROR(__xludf.DUMMYFUNCTION("IFERROR(GOOGLETRANSLATE(B168,""en"",""zh-CN""),)"),"我去银行取款。")</f>
        <v>我去银行取款。</v>
      </c>
    </row>
    <row r="169" spans="1:5">
      <c r="A169" s="3" t="s">
        <v>925</v>
      </c>
      <c r="B169" s="4" t="str">
        <f ca="1">IFERROR(__xludf.DUMMYFUNCTION("IFERROR(GOOGLETRANSLATE(A169,""ko"",""en""),)"),"I go to the Sejong Institute to take Korean classes.")</f>
        <v>I go to the Sejong Institute to take Korean classes.</v>
      </c>
      <c r="C169" s="4" t="str">
        <f ca="1">IFERROR(__xludf.DUMMYFUNCTION("IFERROR(GOOGLETRANSLATE(B169,""en"",""ja""),)"),"私は世宗学院で韓国語の授業を受けています。")</f>
        <v>私は世宗学院で韓国語の授業を受けています。</v>
      </c>
      <c r="D169" s="4" t="str">
        <f ca="1">IFERROR(__xludf.DUMMYFUNCTION("IFERROR(GOOGLETRANSLATE(B169,""en"",""zh-TW""),)"),"我去世宗學院學習韓語。")</f>
        <v>我去世宗學院學習韓語。</v>
      </c>
      <c r="E169" s="4" t="str">
        <f ca="1">IFERROR(__xludf.DUMMYFUNCTION("IFERROR(GOOGLETRANSLATE(B169,""en"",""zh-CN""),)"),"我去世宗学院学习韩语。")</f>
        <v>我去世宗学院学习韩语。</v>
      </c>
    </row>
    <row r="170" spans="1:5">
      <c r="A170" s="5" t="s">
        <v>931</v>
      </c>
      <c r="B170" s="4" t="str">
        <f ca="1">IFERROR(__xludf.DUMMYFUNCTION("IFERROR(GOOGLETRANSLATE(A170,""ko"",""en""),)"),"application")</f>
        <v>application</v>
      </c>
      <c r="C170" s="4" t="str">
        <f ca="1">IFERROR(__xludf.DUMMYFUNCTION("IFERROR(GOOGLETRANSLATE(B170,""en"",""ja""),)"),"応用")</f>
        <v>応用</v>
      </c>
      <c r="D170" s="4" t="str">
        <f ca="1">IFERROR(__xludf.DUMMYFUNCTION("IFERROR(GOOGLETRANSLATE(B170,""en"",""zh-TW""),)"),"應用")</f>
        <v>應用</v>
      </c>
      <c r="E170" s="4" t="str">
        <f ca="1">IFERROR(__xludf.DUMMYFUNCTION("IFERROR(GOOGLETRANSLATE(B170,""en"",""zh-CN""),)"),"应用")</f>
        <v>应用</v>
      </c>
    </row>
    <row r="171" spans="1:5">
      <c r="A171" s="5" t="s">
        <v>935</v>
      </c>
      <c r="B171" s="4" t="str">
        <f ca="1">IFERROR(__xludf.DUMMYFUNCTION("IFERROR(GOOGLETRANSLATE(A171,""ko"",""en""),)"),"should")</f>
        <v>should</v>
      </c>
      <c r="C171" s="4" t="str">
        <f ca="1">IFERROR(__xludf.DUMMYFUNCTION("IFERROR(GOOGLETRANSLATE(B171,""en"",""ja""),)"),"すべき")</f>
        <v>すべき</v>
      </c>
      <c r="D171" s="4" t="str">
        <f ca="1">IFERROR(__xludf.DUMMYFUNCTION("IFERROR(GOOGLETRANSLATE(B171,""en"",""zh-TW""),)"),"應該")</f>
        <v>應該</v>
      </c>
      <c r="E171" s="4" t="str">
        <f ca="1">IFERROR(__xludf.DUMMYFUNCTION("IFERROR(GOOGLETRANSLATE(B171,""en"",""zh-CN""),)"),"应该")</f>
        <v>应该</v>
      </c>
    </row>
    <row r="172" spans="1:5">
      <c r="A172" s="5" t="s">
        <v>940</v>
      </c>
      <c r="B172" s="4" t="str">
        <f ca="1">IFERROR(__xludf.DUMMYFUNCTION("IFERROR(GOOGLETRANSLATE(A172,""ko"",""en""),)"),"ice")</f>
        <v>ice</v>
      </c>
      <c r="C172" s="4" t="str">
        <f ca="1">IFERROR(__xludf.DUMMYFUNCTION("IFERROR(GOOGLETRANSLATE(B172,""en"",""ja""),)"),"氷")</f>
        <v>氷</v>
      </c>
      <c r="D172" s="4" t="str">
        <f ca="1">IFERROR(__xludf.DUMMYFUNCTION("IFERROR(GOOGLETRANSLATE(B172,""en"",""zh-TW""),)"),"冰")</f>
        <v>冰</v>
      </c>
      <c r="E172" s="4" t="str">
        <f ca="1">IFERROR(__xludf.DUMMYFUNCTION("IFERROR(GOOGLETRANSLATE(B172,""en"",""zh-CN""),)"),"冰")</f>
        <v>冰</v>
      </c>
    </row>
    <row r="173" spans="1:5">
      <c r="A173" s="2" t="s">
        <v>943</v>
      </c>
      <c r="B173" s="4" t="str">
        <f ca="1">IFERROR(__xludf.DUMMYFUNCTION("IFERROR(GOOGLETRANSLATE(A173,""ko"",""en""),)"),"word")</f>
        <v>word</v>
      </c>
      <c r="C173" s="4" t="str">
        <f ca="1">IFERROR(__xludf.DUMMYFUNCTION("IFERROR(GOOGLETRANSLATE(B173,""en"",""ja""),)"),"言葉")</f>
        <v>言葉</v>
      </c>
      <c r="D173" s="4" t="str">
        <f ca="1">IFERROR(__xludf.DUMMYFUNCTION("IFERROR(GOOGLETRANSLATE(B173,""en"",""zh-TW""),)"),"單字")</f>
        <v>單字</v>
      </c>
      <c r="E173" s="4" t="str">
        <f ca="1">IFERROR(__xludf.DUMMYFUNCTION("IFERROR(GOOGLETRANSLATE(B173,""en"",""zh-CN""),)"),"单词")</f>
        <v>单词</v>
      </c>
    </row>
    <row r="174" spans="1:5">
      <c r="A174" s="5" t="s">
        <v>947</v>
      </c>
      <c r="B174" s="4" t="str">
        <f ca="1">IFERROR(__xludf.DUMMYFUNCTION("IFERROR(GOOGLETRANSLATE(A174,""ko"",""en""),)"),"trust")</f>
        <v>trust</v>
      </c>
      <c r="C174" s="4" t="str">
        <f ca="1">IFERROR(__xludf.DUMMYFUNCTION("IFERROR(GOOGLETRANSLATE(B174,""en"",""ja""),)"),"信頼")</f>
        <v>信頼</v>
      </c>
      <c r="D174" s="4" t="str">
        <f ca="1">IFERROR(__xludf.DUMMYFUNCTION("IFERROR(GOOGLETRANSLATE(B174,""en"",""zh-TW""),)"),"相信")</f>
        <v>相信</v>
      </c>
      <c r="E174" s="4" t="str">
        <f ca="1">IFERROR(__xludf.DUMMYFUNCTION("IFERROR(GOOGLETRANSLATE(B174,""en"",""zh-CN""),)"),"相信")</f>
        <v>相信</v>
      </c>
    </row>
    <row r="175" spans="1:5">
      <c r="A175" s="5" t="s">
        <v>952</v>
      </c>
      <c r="B175" s="4" t="str">
        <f ca="1">IFERROR(__xludf.DUMMYFUNCTION("IFERROR(GOOGLETRANSLATE(A175,""ko"",""en""),)"),"laugh")</f>
        <v>laugh</v>
      </c>
      <c r="C175" s="4" t="str">
        <f ca="1">IFERROR(__xludf.DUMMYFUNCTION("IFERROR(GOOGLETRANSLATE(B175,""en"",""ja""),)"),"笑う")</f>
        <v>笑う</v>
      </c>
      <c r="D175" s="4" t="str">
        <f ca="1">IFERROR(__xludf.DUMMYFUNCTION("IFERROR(GOOGLETRANSLATE(B175,""en"",""zh-TW""),)"),"笑")</f>
        <v>笑</v>
      </c>
      <c r="E175" s="4" t="str">
        <f ca="1">IFERROR(__xludf.DUMMYFUNCTION("IFERROR(GOOGLETRANSLATE(B175,""en"",""zh-CN""),)"),"笑")</f>
        <v>笑</v>
      </c>
    </row>
    <row r="176" spans="1:5">
      <c r="A176" s="5" t="s">
        <v>956</v>
      </c>
      <c r="B176" s="4" t="str">
        <f ca="1">IFERROR(__xludf.DUMMYFUNCTION("IFERROR(GOOGLETRANSLATE(A176,""ko"",""en""),)"),"language")</f>
        <v>language</v>
      </c>
      <c r="C176" s="4" t="str">
        <f ca="1">IFERROR(__xludf.DUMMYFUNCTION("IFERROR(GOOGLETRANSLATE(B176,""en"",""ja""),)"),"言語")</f>
        <v>言語</v>
      </c>
      <c r="D176" s="4" t="str">
        <f ca="1">IFERROR(__xludf.DUMMYFUNCTION("IFERROR(GOOGLETRANSLATE(B176,""en"",""zh-TW""),)"),"語言")</f>
        <v>語言</v>
      </c>
      <c r="E176" s="4" t="str">
        <f ca="1">IFERROR(__xludf.DUMMYFUNCTION("IFERROR(GOOGLETRANSLATE(B176,""en"",""zh-CN""),)"),"语言")</f>
        <v>语言</v>
      </c>
    </row>
    <row r="177" spans="1:5">
      <c r="A177" s="5" t="s">
        <v>960</v>
      </c>
      <c r="B177" s="4" t="str">
        <f ca="1">IFERROR(__xludf.DUMMYFUNCTION("IFERROR(GOOGLETRANSLATE(A177,""ko"",""en""),)"),"today")</f>
        <v>today</v>
      </c>
      <c r="C177" s="4" t="str">
        <f ca="1">IFERROR(__xludf.DUMMYFUNCTION("IFERROR(GOOGLETRANSLATE(B177,""en"",""ja""),)"),"今日")</f>
        <v>今日</v>
      </c>
      <c r="D177" s="4" t="str">
        <f ca="1">IFERROR(__xludf.DUMMYFUNCTION("IFERROR(GOOGLETRANSLATE(B177,""en"",""zh-TW""),)"),"今天")</f>
        <v>今天</v>
      </c>
      <c r="E177" s="4" t="str">
        <f ca="1">IFERROR(__xludf.DUMMYFUNCTION("IFERROR(GOOGLETRANSLATE(B177,""en"",""zh-CN""),)"),"今天")</f>
        <v>今天</v>
      </c>
    </row>
    <row r="178" spans="1:5">
      <c r="A178" s="5" t="s">
        <v>963</v>
      </c>
      <c r="B178" s="4" t="str">
        <f ca="1">IFERROR(__xludf.DUMMYFUNCTION("IFERROR(GOOGLETRANSLATE(A178,""ko"",""en""),)"),"recording")</f>
        <v>recording</v>
      </c>
      <c r="C178" s="4" t="str">
        <f ca="1">IFERROR(__xludf.DUMMYFUNCTION("IFERROR(GOOGLETRANSLATE(B178,""en"",""ja""),)"),"録音")</f>
        <v>録音</v>
      </c>
      <c r="D178" s="4" t="str">
        <f ca="1">IFERROR(__xludf.DUMMYFUNCTION("IFERROR(GOOGLETRANSLATE(B178,""en"",""zh-TW""),)"),"記錄")</f>
        <v>記錄</v>
      </c>
      <c r="E178" s="4" t="str">
        <f ca="1">IFERROR(__xludf.DUMMYFUNCTION("IFERROR(GOOGLETRANSLATE(B178,""en"",""zh-CN""),)"),"记录")</f>
        <v>记录</v>
      </c>
    </row>
    <row r="179" spans="1:5">
      <c r="A179" s="3" t="s">
        <v>967</v>
      </c>
      <c r="B179" s="4" t="str">
        <f ca="1">IFERROR(__xludf.DUMMYFUNCTION("IFERROR(GOOGLETRANSLATE(A179,""ko"",""en""),)"),"korean")</f>
        <v>korean</v>
      </c>
      <c r="C179" s="4" t="str">
        <f ca="1">IFERROR(__xludf.DUMMYFUNCTION("IFERROR(GOOGLETRANSLATE(B179,""en"",""ja""),)"),"韓国語")</f>
        <v>韓国語</v>
      </c>
      <c r="D179" s="4" t="str">
        <f ca="1">IFERROR(__xludf.DUMMYFUNCTION("IFERROR(GOOGLETRANSLATE(B179,""en"",""zh-TW""),)"),"韓國人")</f>
        <v>韓國人</v>
      </c>
      <c r="E179" s="4" t="str">
        <f ca="1">IFERROR(__xludf.DUMMYFUNCTION("IFERROR(GOOGLETRANSLATE(B179,""en"",""zh-CN""),)"),"韩国人")</f>
        <v>韩国人</v>
      </c>
    </row>
    <row r="180" spans="1:5">
      <c r="A180" s="5" t="s">
        <v>973</v>
      </c>
      <c r="B180" s="4" t="str">
        <f ca="1">IFERROR(__xludf.DUMMYFUNCTION("IFERROR(GOOGLETRANSLATE(A180,""ko"",""en""),)"),"late")</f>
        <v>late</v>
      </c>
      <c r="C180" s="4" t="str">
        <f ca="1">IFERROR(__xludf.DUMMYFUNCTION("IFERROR(GOOGLETRANSLATE(B180,""en"",""ja""),)"),"遅い")</f>
        <v>遅い</v>
      </c>
      <c r="D180" s="4" t="str">
        <f ca="1">IFERROR(__xludf.DUMMYFUNCTION("IFERROR(GOOGLETRANSLATE(B180,""en"",""zh-TW""),)"),"晚的")</f>
        <v>晚的</v>
      </c>
      <c r="E180" s="4" t="str">
        <f ca="1">IFERROR(__xludf.DUMMYFUNCTION("IFERROR(GOOGLETRANSLATE(B180,""en"",""zh-CN""),)"),"晚的")</f>
        <v>晚的</v>
      </c>
    </row>
    <row r="181" spans="1:5">
      <c r="A181" s="3" t="s">
        <v>977</v>
      </c>
      <c r="B181" s="4" t="str">
        <f ca="1">IFERROR(__xludf.DUMMYFUNCTION("IFERROR(GOOGLETRANSLATE(A181,""ko"",""en""),)"),"Mari is in the classroom. Yujin is there too.")</f>
        <v>Mari is in the classroom. Yujin is there too.</v>
      </c>
      <c r="C181" s="4" t="str">
        <f ca="1">IFERROR(__xludf.DUMMYFUNCTION("IFERROR(GOOGLETRANSLATE(B181,""en"",""ja""),)"),"マリは教室にいる。ユジンもそこにいる。")</f>
        <v>マリは教室にいる。ユジンもそこにいる。</v>
      </c>
      <c r="D181" s="4" t="str">
        <f ca="1">IFERROR(__xludf.DUMMYFUNCTION("IFERROR(GOOGLETRANSLATE(B181,""en"",""zh-TW""),)"),"瑪麗在教室裡。裕真也在。")</f>
        <v>瑪麗在教室裡。裕真也在。</v>
      </c>
      <c r="E181" s="4" t="str">
        <f ca="1">IFERROR(__xludf.DUMMYFUNCTION("IFERROR(GOOGLETRANSLATE(B181,""en"",""zh-CN""),)"),"玛丽在教室里。裕真也在。")</f>
        <v>玛丽在教室里。裕真也在。</v>
      </c>
    </row>
    <row r="182" spans="1:5">
      <c r="A182" s="3" t="s">
        <v>982</v>
      </c>
      <c r="B182" s="4" t="str">
        <f ca="1">IFERROR(__xludf.DUMMYFUNCTION("IFERROR(GOOGLETRANSLATE(A182,""ko"",""en""),)"),"There are desks in the classroom. There are also computers.")</f>
        <v>There are desks in the classroom. There are also computers.</v>
      </c>
      <c r="C182" s="4" t="str">
        <f ca="1">IFERROR(__xludf.DUMMYFUNCTION("IFERROR(GOOGLETRANSLATE(B182,""en"",""ja""),)"),"教室には机があります。コンピューターもあります。")</f>
        <v>教室には机があります。コンピューターもあります。</v>
      </c>
      <c r="D182" s="4" t="str">
        <f ca="1">IFERROR(__xludf.DUMMYFUNCTION("IFERROR(GOOGLETRANSLATE(B182,""en"",""zh-TW""),)"),"教室裡有課桌椅，也有電腦。")</f>
        <v>教室裡有課桌椅，也有電腦。</v>
      </c>
      <c r="E182" s="4" t="str">
        <f ca="1">IFERROR(__xludf.DUMMYFUNCTION("IFERROR(GOOGLETRANSLATE(B182,""en"",""zh-CN""),)"),"教室里有课桌椅，也有电脑。")</f>
        <v>教室里有课桌椅，也有电脑。</v>
      </c>
    </row>
    <row r="183" spans="1:5">
      <c r="A183" s="3" t="s">
        <v>986</v>
      </c>
      <c r="B183" s="4" t="str">
        <f ca="1">IFERROR(__xludf.DUMMYFUNCTION("IFERROR(GOOGLETRANSLATE(A183,""ko"",""en""),)"),"Juno is looking at her phone. Marie is looking at her phone too.")</f>
        <v>Juno is looking at her phone. Marie is looking at her phone too.</v>
      </c>
      <c r="C183" s="4" t="str">
        <f ca="1">IFERROR(__xludf.DUMMYFUNCTION("IFERROR(GOOGLETRANSLATE(B183,""en"",""ja""),)"),"ジュノはスマホを見ている。マリーもスマホを見ている。")</f>
        <v>ジュノはスマホを見ている。マリーもスマホを見ている。</v>
      </c>
      <c r="D183" s="4" t="str">
        <f ca="1">IFERROR(__xludf.DUMMYFUNCTION("IFERROR(GOOGLETRANSLATE(B183,""en"",""zh-TW""),)"),"朱諾在看手機。瑪麗也在看手機。")</f>
        <v>朱諾在看手機。瑪麗也在看手機。</v>
      </c>
      <c r="E183" s="4" t="str">
        <f ca="1">IFERROR(__xludf.DUMMYFUNCTION("IFERROR(GOOGLETRANSLATE(B183,""en"",""zh-CN""),)"),"朱诺在看手机。玛丽也在看手机。")</f>
        <v>朱诺在看手机。玛丽也在看手机。</v>
      </c>
    </row>
    <row r="184" spans="1:5">
      <c r="A184" s="3" t="s">
        <v>989</v>
      </c>
      <c r="B184" s="4" t="str">
        <f ca="1">IFERROR(__xludf.DUMMYFUNCTION("IFERROR(GOOGLETRANSLATE(A184,""ko"",""en""),)"),"Anna drinks coffee. She also eats cake.")</f>
        <v>Anna drinks coffee. She also eats cake.</v>
      </c>
      <c r="C184" s="4" t="str">
        <f ca="1">IFERROR(__xludf.DUMMYFUNCTION("IFERROR(GOOGLETRANSLATE(B184,""en"",""ja""),)"),"アンナはコーヒーを飲む。彼女はケーキも食べる。")</f>
        <v>アンナはコーヒーを飲む。彼女はケーキも食べる。</v>
      </c>
      <c r="D184" s="4" t="str">
        <f ca="1">IFERROR(__xludf.DUMMYFUNCTION("IFERROR(GOOGLETRANSLATE(B184,""en"",""zh-TW""),)"),"安娜喝咖啡，也吃蛋糕。")</f>
        <v>安娜喝咖啡，也吃蛋糕。</v>
      </c>
      <c r="E184" s="4" t="str">
        <f ca="1">IFERROR(__xludf.DUMMYFUNCTION("IFERROR(GOOGLETRANSLATE(B184,""en"",""zh-CN""),)"),"安娜喝咖啡，也吃蛋糕。")</f>
        <v>安娜喝咖啡，也吃蛋糕。</v>
      </c>
    </row>
    <row r="185" spans="1:5">
      <c r="A185" s="3" t="s">
        <v>992</v>
      </c>
      <c r="B185" s="4" t="str">
        <f ca="1">IFERROR(__xludf.DUMMYFUNCTION("IFERROR(GOOGLETRANSLATE(A185,""ko"",""en""),)"),"What did you have for lunch?")</f>
        <v>What did you have for lunch?</v>
      </c>
      <c r="C185" s="4" t="str">
        <f ca="1">IFERROR(__xludf.DUMMYFUNCTION("IFERROR(GOOGLETRANSLATE(B185,""en"",""ja""),)"),"お昼は何を食べましたか？")</f>
        <v>お昼は何を食べましたか？</v>
      </c>
      <c r="D185" s="4" t="str">
        <f ca="1">IFERROR(__xludf.DUMMYFUNCTION("IFERROR(GOOGLETRANSLATE(B185,""en"",""zh-TW""),)"),"你午餐吃了什麼？")</f>
        <v>你午餐吃了什麼？</v>
      </c>
      <c r="E185" s="4" t="str">
        <f ca="1">IFERROR(__xludf.DUMMYFUNCTION("IFERROR(GOOGLETRANSLATE(B185,""en"",""zh-CN""),)"),"你午饭吃了什么？")</f>
        <v>你午饭吃了什么？</v>
      </c>
    </row>
    <row r="186" spans="1:5">
      <c r="A186" s="3" t="s">
        <v>996</v>
      </c>
      <c r="B186" s="4" t="str">
        <f ca="1">IFERROR(__xludf.DUMMYFUNCTION("IFERROR(GOOGLETRANSLATE(A186,""ko"",""en""),)"),"What's in the bag?")</f>
        <v>What's in the bag?</v>
      </c>
      <c r="C186" s="4" t="str">
        <f ca="1">IFERROR(__xludf.DUMMYFUNCTION("IFERROR(GOOGLETRANSLATE(B186,""en"",""ja""),)"),"バッグの中身は何ですか？")</f>
        <v>バッグの中身は何ですか？</v>
      </c>
      <c r="D186" s="4" t="str">
        <f ca="1">IFERROR(__xludf.DUMMYFUNCTION("IFERROR(GOOGLETRANSLATE(B186,""en"",""zh-TW""),)"),"袋子裡裝的是什麼？")</f>
        <v>袋子裡裝的是什麼？</v>
      </c>
      <c r="E186" s="4" t="str">
        <f ca="1">IFERROR(__xludf.DUMMYFUNCTION("IFERROR(GOOGLETRANSLATE(B186,""en"",""zh-CN""),)"),"袋子里装的是什么？")</f>
        <v>袋子里装的是什么？</v>
      </c>
    </row>
    <row r="187" spans="1:5">
      <c r="A187" s="3" t="s">
        <v>466</v>
      </c>
      <c r="B187" s="4" t="str">
        <f ca="1">IFERROR(__xludf.DUMMYFUNCTION("IFERROR(GOOGLETRANSLATE(A187,""ko"",""en""),)"),"Who are you meeting today?")</f>
        <v>Who are you meeting today?</v>
      </c>
      <c r="C187" s="4" t="str">
        <f ca="1">IFERROR(__xludf.DUMMYFUNCTION("IFERROR(GOOGLETRANSLATE(B187,""en"",""ja""),)"),"今日は誰と会う予定ですか？")</f>
        <v>今日は誰と会う予定ですか？</v>
      </c>
      <c r="D187" s="4" t="str">
        <f ca="1">IFERROR(__xludf.DUMMYFUNCTION("IFERROR(GOOGLETRANSLATE(B187,""en"",""zh-TW""),)"),"你今天要見誰？")</f>
        <v>你今天要見誰？</v>
      </c>
      <c r="E187" s="4" t="str">
        <f ca="1">IFERROR(__xludf.DUMMYFUNCTION("IFERROR(GOOGLETRANSLATE(B187,""en"",""zh-CN""),)"),"你今天要见谁？")</f>
        <v>你今天要见谁？</v>
      </c>
    </row>
    <row r="188" spans="1:5">
      <c r="A188" s="3" t="s">
        <v>996</v>
      </c>
      <c r="B188" s="4" t="str">
        <f ca="1">IFERROR(__xludf.DUMMYFUNCTION("IFERROR(GOOGLETRANSLATE(A188,""ko"",""en""),)"),"What's in the bag?")</f>
        <v>What's in the bag?</v>
      </c>
      <c r="C188" s="4" t="str">
        <f ca="1">IFERROR(__xludf.DUMMYFUNCTION("IFERROR(GOOGLETRANSLATE(B188,""en"",""ja""),)"),"バッグの中身は何ですか？")</f>
        <v>バッグの中身は何ですか？</v>
      </c>
      <c r="D188" s="4" t="str">
        <f ca="1">IFERROR(__xludf.DUMMYFUNCTION("IFERROR(GOOGLETRANSLATE(B188,""en"",""zh-TW""),)"),"袋子裡裝的是什麼？")</f>
        <v>袋子裡裝的是什麼？</v>
      </c>
      <c r="E188" s="4" t="str">
        <f ca="1">IFERROR(__xludf.DUMMYFUNCTION("IFERROR(GOOGLETRANSLATE(B188,""en"",""zh-CN""),)"),"袋子里装的是什么？")</f>
        <v>袋子里装的是什么？</v>
      </c>
    </row>
    <row r="189" spans="1:5">
      <c r="A189" s="3" t="s">
        <v>1008</v>
      </c>
      <c r="B189" s="4" t="str">
        <f ca="1">IFERROR(__xludf.DUMMYFUNCTION("IFERROR(GOOGLETRANSLATE(A189,""ko"",""en""),)"),"When do you do Taekwondo?")</f>
        <v>When do you do Taekwondo?</v>
      </c>
      <c r="C189" s="4" t="str">
        <f ca="1">IFERROR(__xludf.DUMMYFUNCTION("IFERROR(GOOGLETRANSLATE(B189,""en"",""ja""),)"),"テコンドーはいつ練習しますか？")</f>
        <v>テコンドーはいつ練習しますか？</v>
      </c>
      <c r="D189" s="4" t="str">
        <f ca="1">IFERROR(__xludf.DUMMYFUNCTION("IFERROR(GOOGLETRANSLATE(B189,""en"",""zh-TW""),)"),"你什麼時候練跆拳道？")</f>
        <v>你什麼時候練跆拳道？</v>
      </c>
      <c r="E189" s="4" t="str">
        <f ca="1">IFERROR(__xludf.DUMMYFUNCTION("IFERROR(GOOGLETRANSLATE(B189,""en"",""zh-CN""),)"),"你什么时候练跆拳道？")</f>
        <v>你什么时候练跆拳道？</v>
      </c>
    </row>
    <row r="190" spans="1:5">
      <c r="A190" s="3" t="s">
        <v>1012</v>
      </c>
      <c r="B190" s="4" t="str">
        <f ca="1">IFERROR(__xludf.DUMMYFUNCTION("IFERROR(GOOGLETRANSLATE(A190,""ko"",""en""),)"),"I do Taekwondo on Wednesdays. I do it on Fridays too.")</f>
        <v>I do Taekwondo on Wednesdays. I do it on Fridays too.</v>
      </c>
      <c r="C190" s="4" t="str">
        <f ca="1">IFERROR(__xludf.DUMMYFUNCTION("IFERROR(GOOGLETRANSLATE(B190,""en"",""ja""),)"),"私は水曜日にテコンドーをしています。金曜日にもやっています。")</f>
        <v>私は水曜日にテコンドーをしています。金曜日にもやっています。</v>
      </c>
      <c r="D190" s="4" t="str">
        <f ca="1">IFERROR(__xludf.DUMMYFUNCTION("IFERROR(GOOGLETRANSLATE(B190,""en"",""zh-TW""),)"),"我每週三練跆拳道，週五也練。")</f>
        <v>我每週三練跆拳道，週五也練。</v>
      </c>
      <c r="E190" s="4" t="str">
        <f ca="1">IFERROR(__xludf.DUMMYFUNCTION("IFERROR(GOOGLETRANSLATE(B190,""en"",""zh-CN""),)"),"我每周三练跆拳道，周五也练。")</f>
        <v>我每周三练跆拳道，周五也练。</v>
      </c>
    </row>
    <row r="191" spans="1:5">
      <c r="A191" s="3" t="s">
        <v>1016</v>
      </c>
      <c r="B191" s="4" t="str">
        <f ca="1">IFERROR(__xludf.DUMMYFUNCTION("IFERROR(GOOGLETRANSLATE(A191,""ko"",""en""),)"),"What is in the room?")</f>
        <v>What is in the room?</v>
      </c>
      <c r="C191" s="4" t="str">
        <f ca="1">IFERROR(__xludf.DUMMYFUNCTION("IFERROR(GOOGLETRANSLATE(B191,""en"",""ja""),)"),"部屋には何がありますか？")</f>
        <v>部屋には何がありますか？</v>
      </c>
      <c r="D191" s="4" t="str">
        <f ca="1">IFERROR(__xludf.DUMMYFUNCTION("IFERROR(GOOGLETRANSLATE(B191,""en"",""zh-TW""),)"),"房間裡有什麼？")</f>
        <v>房間裡有什麼？</v>
      </c>
      <c r="E191" s="4" t="str">
        <f ca="1">IFERROR(__xludf.DUMMYFUNCTION("IFERROR(GOOGLETRANSLATE(B191,""en"",""zh-CN""),)"),"房间里有什么？")</f>
        <v>房间里有什么？</v>
      </c>
    </row>
    <row r="192" spans="1:5">
      <c r="A192" s="5" t="s">
        <v>1020</v>
      </c>
      <c r="B192" s="4" t="str">
        <f ca="1">IFERROR(__xludf.DUMMYFUNCTION("IFERROR(GOOGLETRANSLATE(A192,""ko"",""en""),)"),"I have a desk in my room. And I also have a wardrobe.")</f>
        <v>I have a desk in my room. And I also have a wardrobe.</v>
      </c>
      <c r="C192" s="4" t="str">
        <f ca="1">IFERROR(__xludf.DUMMYFUNCTION("IFERROR(GOOGLETRANSLATE(B192,""en"",""ja""),)"),"私の部屋には机があります。それから、クローゼットもあります。")</f>
        <v>私の部屋には机があります。それから、クローゼットもあります。</v>
      </c>
      <c r="D192" s="4" t="str">
        <f ca="1">IFERROR(__xludf.DUMMYFUNCTION("IFERROR(GOOGLETRANSLATE(B192,""en"",""zh-TW""),)"),"我的房間裡有一張書桌，還有一個衣櫃。")</f>
        <v>我的房間裡有一張書桌，還有一個衣櫃。</v>
      </c>
      <c r="E192" s="4" t="str">
        <f ca="1">IFERROR(__xludf.DUMMYFUNCTION("IFERROR(GOOGLETRANSLATE(B192,""en"",""zh-CN""),)"),"我的房间里有一张书桌，还有一个衣柜。")</f>
        <v>我的房间里有一张书桌，还有一个衣柜。</v>
      </c>
    </row>
    <row r="193" spans="1:5">
      <c r="A193" s="3" t="s">
        <v>1028</v>
      </c>
      <c r="B193" s="4" t="str">
        <f ca="1">IFERROR(__xludf.DUMMYFUNCTION("IFERROR(GOOGLETRANSLATE(A193,""ko"",""en""),)"),"What kind of exercise do you like?")</f>
        <v>What kind of exercise do you like?</v>
      </c>
      <c r="C193" s="4" t="str">
        <f ca="1">IFERROR(__xludf.DUMMYFUNCTION("IFERROR(GOOGLETRANSLATE(B193,""en"",""ja""),)"),"どんな運動が好きですか？")</f>
        <v>どんな運動が好きですか？</v>
      </c>
      <c r="D193" s="4" t="str">
        <f ca="1">IFERROR(__xludf.DUMMYFUNCTION("IFERROR(GOOGLETRANSLATE(B193,""en"",""zh-TW""),)"),"你喜歡哪種運動？")</f>
        <v>你喜歡哪種運動？</v>
      </c>
      <c r="E193" s="4" t="str">
        <f ca="1">IFERROR(__xludf.DUMMYFUNCTION("IFERROR(GOOGLETRANSLATE(B193,""en"",""zh-CN""),)"),"你喜欢哪种运动？")</f>
        <v>你喜欢哪种运动？</v>
      </c>
    </row>
    <row r="194" spans="1:5">
      <c r="A194" s="3" t="s">
        <v>1034</v>
      </c>
      <c r="B194" s="4" t="str">
        <f ca="1">IFERROR(__xludf.DUMMYFUNCTION("IFERROR(GOOGLETRANSLATE(A194,""ko"",""en""),)"),"I like soccer. And I like tennis.")</f>
        <v>I like soccer. And I like tennis.</v>
      </c>
      <c r="C194" s="4" t="str">
        <f ca="1">IFERROR(__xludf.DUMMYFUNCTION("IFERROR(GOOGLETRANSLATE(B194,""en"",""ja""),)"),"私はサッカーが好きです。テニスも好きです。")</f>
        <v>私はサッカーが好きです。テニスも好きです。</v>
      </c>
      <c r="D194" s="4" t="str">
        <f ca="1">IFERROR(__xludf.DUMMYFUNCTION("IFERROR(GOOGLETRANSLATE(B194,""en"",""zh-TW""),)"),"我喜歡足球，也喜歡網球。")</f>
        <v>我喜歡足球，也喜歡網球。</v>
      </c>
      <c r="E194" s="4" t="str">
        <f ca="1">IFERROR(__xludf.DUMMYFUNCTION("IFERROR(GOOGLETRANSLATE(B194,""en"",""zh-CN""),)"),"我喜欢足球，也喜欢网球。")</f>
        <v>我喜欢足球，也喜欢网球。</v>
      </c>
    </row>
    <row r="195" spans="1:5">
      <c r="A195" s="3" t="s">
        <v>1041</v>
      </c>
      <c r="B195" s="4" t="str">
        <f ca="1">IFERROR(__xludf.DUMMYFUNCTION("IFERROR(GOOGLETRANSLATE(A195,""ko"",""en""),)"),"Who is coming to the birthday party today?")</f>
        <v>Who is coming to the birthday party today?</v>
      </c>
      <c r="C195" s="4" t="str">
        <f ca="1">IFERROR(__xludf.DUMMYFUNCTION("IFERROR(GOOGLETRANSLATE(B195,""en"",""ja""),)"),"今日誕生日パーティーに来る人は誰ですか？")</f>
        <v>今日誕生日パーティーに来る人は誰ですか？</v>
      </c>
      <c r="D195" s="4" t="str">
        <f ca="1">IFERROR(__xludf.DUMMYFUNCTION("IFERROR(GOOGLETRANSLATE(B195,""en"",""zh-TW""),)"),"今天誰會來參加生日派對？")</f>
        <v>今天誰會來參加生日派對？</v>
      </c>
      <c r="E195" s="4" t="str">
        <f ca="1">IFERROR(__xludf.DUMMYFUNCTION("IFERROR(GOOGLETRANSLATE(B195,""en"",""zh-CN""),)"),"今天谁会来参加生日派对？")</f>
        <v>今天谁会来参加生日派对？</v>
      </c>
    </row>
    <row r="196" spans="1:5">
      <c r="A196" s="3" t="s">
        <v>1045</v>
      </c>
      <c r="B196" s="4" t="str">
        <f ca="1">IFERROR(__xludf.DUMMYFUNCTION("IFERROR(GOOGLETRANSLATE(A196,""ko"",""en""),)"),"Anna is coming. And Suzy is coming too.")</f>
        <v>Anna is coming. And Suzy is coming too.</v>
      </c>
      <c r="C196" s="4" t="str">
        <f ca="1">IFERROR(__xludf.DUMMYFUNCTION("IFERROR(GOOGLETRANSLATE(B196,""en"",""ja""),)"),"アンナが来る。スージーも来る。")</f>
        <v>アンナが来る。スージーも来る。</v>
      </c>
      <c r="D196" s="4" t="str">
        <f ca="1">IFERROR(__xludf.DUMMYFUNCTION("IFERROR(GOOGLETRANSLATE(B196,""en"",""zh-TW""),)"),"安娜要來了。蘇西也要來了。")</f>
        <v>安娜要來了。蘇西也要來了。</v>
      </c>
      <c r="E196" s="4" t="str">
        <f ca="1">IFERROR(__xludf.DUMMYFUNCTION("IFERROR(GOOGLETRANSLATE(B196,""en"",""zh-CN""),)"),"安娜要来了。苏西也要来了。")</f>
        <v>安娜要来了。苏西也要来了。</v>
      </c>
    </row>
    <row r="197" spans="1:5">
      <c r="A197" s="3" t="s">
        <v>1051</v>
      </c>
      <c r="B197" s="4" t="str">
        <f ca="1">IFERROR(__xludf.DUMMYFUNCTION("IFERROR(GOOGLETRANSLATE(A197,""ko"",""en""),)"),"What are you buying?")</f>
        <v>What are you buying?</v>
      </c>
      <c r="C197" s="4" t="str">
        <f ca="1">IFERROR(__xludf.DUMMYFUNCTION("IFERROR(GOOGLETRANSLATE(B197,""en"",""ja""),)"),"何を買うんですか？")</f>
        <v>何を買うんですか？</v>
      </c>
      <c r="D197" s="4" t="str">
        <f ca="1">IFERROR(__xludf.DUMMYFUNCTION("IFERROR(GOOGLETRANSLATE(B197,""en"",""zh-TW""),)"),"你在買什麼？")</f>
        <v>你在買什麼？</v>
      </c>
      <c r="E197" s="4" t="str">
        <f ca="1">IFERROR(__xludf.DUMMYFUNCTION("IFERROR(GOOGLETRANSLATE(B197,""en"",""zh-CN""),)"),"你在买什么？")</f>
        <v>你在买什么？</v>
      </c>
    </row>
    <row r="198" spans="1:5">
      <c r="A198" s="3" t="s">
        <v>1056</v>
      </c>
      <c r="B198" s="4" t="str">
        <f ca="1">IFERROR(__xludf.DUMMYFUNCTION("IFERROR(GOOGLETRANSLATE(A198,""ko"",""en""),)"),"I buy apples. And I buy bananas too.")</f>
        <v>I buy apples. And I buy bananas too.</v>
      </c>
      <c r="C198" s="4" t="str">
        <f ca="1">IFERROR(__xludf.DUMMYFUNCTION("IFERROR(GOOGLETRANSLATE(B198,""en"",""ja""),)"),"私はリンゴを買います。そしてバナナも買います。")</f>
        <v>私はリンゴを買います。そしてバナナも買います。</v>
      </c>
      <c r="D198" s="4" t="str">
        <f ca="1">IFERROR(__xludf.DUMMYFUNCTION("IFERROR(GOOGLETRANSLATE(B198,""en"",""zh-TW""),)"),"我買蘋果，也買香蕉。")</f>
        <v>我買蘋果，也買香蕉。</v>
      </c>
      <c r="E198" s="4" t="str">
        <f ca="1">IFERROR(__xludf.DUMMYFUNCTION("IFERROR(GOOGLETRANSLATE(B198,""en"",""zh-CN""),)"),"我买苹果，也买香蕉。")</f>
        <v>我买苹果，也买香蕉。</v>
      </c>
    </row>
    <row r="199" spans="1:5">
      <c r="A199" s="3" t="s">
        <v>1061</v>
      </c>
      <c r="B199" s="4" t="str">
        <f ca="1">IFERROR(__xludf.DUMMYFUNCTION("IFERROR(GOOGLETRANSLATE(A199,""ko"",""en""),)"),"When do you exercise?")</f>
        <v>When do you exercise?</v>
      </c>
      <c r="C199" s="4" t="str">
        <f ca="1">IFERROR(__xludf.DUMMYFUNCTION("IFERROR(GOOGLETRANSLATE(B199,""en"",""ja""),)"),"あなたはいつ運動しますか？")</f>
        <v>あなたはいつ運動しますか？</v>
      </c>
      <c r="D199" s="4" t="str">
        <f ca="1">IFERROR(__xludf.DUMMYFUNCTION("IFERROR(GOOGLETRANSLATE(B199,""en"",""zh-TW""),)"),"你什麼時候運動？")</f>
        <v>你什麼時候運動？</v>
      </c>
      <c r="E199" s="4" t="str">
        <f ca="1">IFERROR(__xludf.DUMMYFUNCTION("IFERROR(GOOGLETRANSLATE(B199,""en"",""zh-CN""),)"),"你什么时候锻炼？")</f>
        <v>你什么时候锻炼？</v>
      </c>
    </row>
    <row r="200" spans="1:5">
      <c r="A200" s="3" t="s">
        <v>1068</v>
      </c>
      <c r="B200" s="4" t="str">
        <f ca="1">IFERROR(__xludf.DUMMYFUNCTION("IFERROR(GOOGLETRANSLATE(A200,""ko"",""en""),)"),"I exercise in the morning. And I exercise in the evening as well.")</f>
        <v>I exercise in the morning. And I exercise in the evening as well.</v>
      </c>
      <c r="C200" s="4" t="str">
        <f ca="1">IFERROR(__xludf.DUMMYFUNCTION("IFERROR(GOOGLETRANSLATE(B200,""en"",""ja""),)"),"私は朝に運動します。そして、夜にも運動します。")</f>
        <v>私は朝に運動します。そして、夜にも運動します。</v>
      </c>
      <c r="D200" s="4" t="str">
        <f ca="1">IFERROR(__xludf.DUMMYFUNCTION("IFERROR(GOOGLETRANSLATE(B200,""en"",""zh-TW""),)"),"我早上鍛煉，晚上也鍛煉。")</f>
        <v>我早上鍛煉，晚上也鍛煉。</v>
      </c>
      <c r="E200" s="4" t="str">
        <f ca="1">IFERROR(__xludf.DUMMYFUNCTION("IFERROR(GOOGLETRANSLATE(B200,""en"",""zh-CN""),)"),"我早上锻炼，晚上也锻炼。")</f>
        <v>我早上锻炼，晚上也锻炼。</v>
      </c>
    </row>
    <row r="201" spans="1:5">
      <c r="A201" s="5" t="s">
        <v>1074</v>
      </c>
      <c r="B201" s="4" t="str">
        <f ca="1">IFERROR(__xludf.DUMMYFUNCTION("IFERROR(GOOGLETRANSLATE(A201,""ko"",""en""),)"),"I like reading.")</f>
        <v>I like reading.</v>
      </c>
      <c r="C201" s="4" t="str">
        <f ca="1">IFERROR(__xludf.DUMMYFUNCTION("IFERROR(GOOGLETRANSLATE(B201,""en"",""ja""),)"),"私は読書が好きです。")</f>
        <v>私は読書が好きです。</v>
      </c>
      <c r="D201" s="4" t="str">
        <f ca="1">IFERROR(__xludf.DUMMYFUNCTION("IFERROR(GOOGLETRANSLATE(B201,""en"",""zh-TW""),)"),"我喜歡讀書。")</f>
        <v>我喜歡讀書。</v>
      </c>
      <c r="E201" s="4" t="str">
        <f ca="1">IFERROR(__xludf.DUMMYFUNCTION("IFERROR(GOOGLETRANSLATE(B201,""en"",""zh-CN""),)"),"我喜欢读书。")</f>
        <v>我喜欢读书。</v>
      </c>
    </row>
    <row r="202" spans="1:5">
      <c r="A202" s="3" t="s">
        <v>1079</v>
      </c>
      <c r="B202" s="4" t="str">
        <f ca="1">IFERROR(__xludf.DUMMYFUNCTION("IFERROR(GOOGLETRANSLATE(A202,""ko"",""en""),)"),"especially")</f>
        <v>especially</v>
      </c>
      <c r="C202" s="4" t="str">
        <f ca="1">IFERROR(__xludf.DUMMYFUNCTION("IFERROR(GOOGLETRANSLATE(B202,""en"",""ja""),)"),"特に")</f>
        <v>特に</v>
      </c>
      <c r="D202" s="4" t="str">
        <f ca="1">IFERROR(__xludf.DUMMYFUNCTION("IFERROR(GOOGLETRANSLATE(B202,""en"",""zh-TW""),)"),"尤其")</f>
        <v>尤其</v>
      </c>
      <c r="E202" s="4" t="str">
        <f ca="1">IFERROR(__xludf.DUMMYFUNCTION("IFERROR(GOOGLETRANSLATE(B202,""en"",""zh-CN""),)"),"尤其")</f>
        <v>尤其</v>
      </c>
    </row>
    <row r="203" spans="1:5">
      <c r="A203" s="3" t="s">
        <v>1085</v>
      </c>
      <c r="B203" s="4" t="str">
        <f ca="1">IFERROR(__xludf.DUMMYFUNCTION("IFERROR(GOOGLETRANSLATE(A203,""ko"",""en""),)"),"I especially watch Korean dramas often.")</f>
        <v>I especially watch Korean dramas often.</v>
      </c>
      <c r="C203" s="4" t="str">
        <f ca="1">IFERROR(__xludf.DUMMYFUNCTION("IFERROR(GOOGLETRANSLATE(B203,""en"",""ja""),)"),"私は特に韓国ドラマをよく見ます。")</f>
        <v>私は特に韓国ドラマをよく見ます。</v>
      </c>
      <c r="D203" s="4" t="str">
        <f ca="1">IFERROR(__xludf.DUMMYFUNCTION("IFERROR(GOOGLETRANSLATE(B203,""en"",""zh-TW""),)"),"我尤其喜歡看韓劇。")</f>
        <v>我尤其喜歡看韓劇。</v>
      </c>
      <c r="E203" s="4" t="str">
        <f ca="1">IFERROR(__xludf.DUMMYFUNCTION("IFERROR(GOOGLETRANSLATE(B203,""en"",""zh-CN""),)"),"我尤其喜欢看韩剧。")</f>
        <v>我尤其喜欢看韩剧。</v>
      </c>
    </row>
    <row r="204" spans="1:5">
      <c r="A204" s="5" t="s">
        <v>1090</v>
      </c>
      <c r="B204" s="4" t="str">
        <f ca="1">IFERROR(__xludf.DUMMYFUNCTION("IFERROR(GOOGLETRANSLATE(A204,""ko"",""en""),)"),"activity")</f>
        <v>activity</v>
      </c>
      <c r="C204" s="4" t="str">
        <f ca="1">IFERROR(__xludf.DUMMYFUNCTION("IFERROR(GOOGLETRANSLATE(B204,""en"",""ja""),)"),"活動")</f>
        <v>活動</v>
      </c>
      <c r="D204" s="4" t="str">
        <f ca="1">IFERROR(__xludf.DUMMYFUNCTION("IFERROR(GOOGLETRANSLATE(B204,""en"",""zh-TW""),)"),"活動")</f>
        <v>活動</v>
      </c>
      <c r="E204" s="4" t="str">
        <f ca="1">IFERROR(__xludf.DUMMYFUNCTION("IFERROR(GOOGLETRANSLATE(B204,""en"",""zh-CN""),)"),"活动")</f>
        <v>活动</v>
      </c>
    </row>
    <row r="205" spans="1:5">
      <c r="A205" s="5" t="s">
        <v>1094</v>
      </c>
      <c r="B205" s="4" t="str">
        <f ca="1">IFERROR(__xludf.DUMMYFUNCTION("IFERROR(GOOGLETRANSLATE(A205,""ko"",""en""),)"),"around")</f>
        <v>around</v>
      </c>
      <c r="C205" s="4" t="str">
        <f ca="1">IFERROR(__xludf.DUMMYFUNCTION("IFERROR(GOOGLETRANSLATE(B205,""en"",""ja""),)"),"その周り")</f>
        <v>その周り</v>
      </c>
      <c r="D205" s="4" t="str">
        <f ca="1">IFERROR(__xludf.DUMMYFUNCTION("IFERROR(GOOGLETRANSLATE(B205,""en"",""zh-TW""),)"),"大約")</f>
        <v>大約</v>
      </c>
      <c r="E205" s="4" t="str">
        <f ca="1">IFERROR(__xludf.DUMMYFUNCTION("IFERROR(GOOGLETRANSLATE(B205,""en"",""zh-CN""),)"),"大约")</f>
        <v>大约</v>
      </c>
    </row>
    <row r="206" spans="1:5">
      <c r="A206" s="3" t="s">
        <v>1097</v>
      </c>
      <c r="B206" s="4" t="str">
        <f ca="1">IFERROR(__xludf.DUMMYFUNCTION("IFERROR(GOOGLETRANSLATE(A206,""ko"",""en""),)"),"Near my house")</f>
        <v>Near my house</v>
      </c>
      <c r="C206" s="4" t="str">
        <f ca="1">IFERROR(__xludf.DUMMYFUNCTION("IFERROR(GOOGLETRANSLATE(B206,""en"",""ja""),)"),"私の家の近く")</f>
        <v>私の家の近く</v>
      </c>
      <c r="D206" s="4" t="str">
        <f ca="1">IFERROR(__xludf.DUMMYFUNCTION("IFERROR(GOOGLETRANSLATE(B206,""en"",""zh-TW""),)"),"我家附近")</f>
        <v>我家附近</v>
      </c>
      <c r="E206" s="4" t="str">
        <f ca="1">IFERROR(__xludf.DUMMYFUNCTION("IFERROR(GOOGLETRANSLATE(B206,""en"",""zh-CN""),)"),"我家附近")</f>
        <v>我家附近</v>
      </c>
    </row>
    <row r="207" spans="1:5">
      <c r="A207" s="5" t="s">
        <v>1102</v>
      </c>
      <c r="B207" s="4" t="str">
        <f ca="1">IFERROR(__xludf.DUMMYFUNCTION("IFERROR(GOOGLETRANSLATE(A207,""ko"",""en""),)"),"friends")</f>
        <v>friends</v>
      </c>
      <c r="C207" s="4" t="str">
        <f ca="1">IFERROR(__xludf.DUMMYFUNCTION("IFERROR(GOOGLETRANSLATE(B207,""en"",""ja""),)"),"友達")</f>
        <v>友達</v>
      </c>
      <c r="D207" s="4" t="str">
        <f ca="1">IFERROR(__xludf.DUMMYFUNCTION("IFERROR(GOOGLETRANSLATE(B207,""en"",""zh-TW""),)"),"朋友們")</f>
        <v>朋友們</v>
      </c>
      <c r="E207" s="4" t="str">
        <f ca="1">IFERROR(__xludf.DUMMYFUNCTION("IFERROR(GOOGLETRANSLATE(B207,""en"",""zh-CN""),)"),"朋友们")</f>
        <v>朋友们</v>
      </c>
    </row>
    <row r="208" spans="1:5">
      <c r="A208" s="3" t="s">
        <v>1105</v>
      </c>
      <c r="B208" s="4" t="str">
        <f ca="1">IFERROR(__xludf.DUMMYFUNCTION("IFERROR(GOOGLETRANSLATE(A208,""ko"",""en""),)"),"This person's hobby is swimming.")</f>
        <v>This person's hobby is swimming.</v>
      </c>
      <c r="C208" s="4" t="str">
        <f ca="1">IFERROR(__xludf.DUMMYFUNCTION("IFERROR(GOOGLETRANSLATE(B208,""en"",""ja""),)"),"この人の趣味は水泳です。")</f>
        <v>この人の趣味は水泳です。</v>
      </c>
      <c r="D208" s="4" t="str">
        <f ca="1">IFERROR(__xludf.DUMMYFUNCTION("IFERROR(GOOGLETRANSLATE(B208,""en"",""zh-TW""),)"),"這個人的興趣是游泳。")</f>
        <v>這個人的興趣是游泳。</v>
      </c>
      <c r="E208" s="4" t="str">
        <f ca="1">IFERROR(__xludf.DUMMYFUNCTION("IFERROR(GOOGLETRANSLATE(B208,""en"",""zh-CN""),)"),"这个人的爱好是游泳。")</f>
        <v>这个人的爱好是游泳。</v>
      </c>
    </row>
    <row r="209" spans="1:5">
      <c r="A209" s="3" t="s">
        <v>1111</v>
      </c>
      <c r="B209" s="4" t="str">
        <f ca="1">IFERROR(__xludf.DUMMYFUNCTION("IFERROR(GOOGLETRANSLATE(A209,""ko"",""en""),)"),"I learned to swim 5 years ago.")</f>
        <v>I learned to swim 5 years ago.</v>
      </c>
      <c r="C209" s="4" t="str">
        <f ca="1">IFERROR(__xludf.DUMMYFUNCTION("IFERROR(GOOGLETRANSLATE(B209,""en"",""ja""),)"),"私は5年前に泳ぎを覚えました。")</f>
        <v>私は5年前に泳ぎを覚えました。</v>
      </c>
      <c r="D209" s="4" t="str">
        <f ca="1">IFERROR(__xludf.DUMMYFUNCTION("IFERROR(GOOGLETRANSLATE(B209,""en"",""zh-TW""),)"),"我五年前學會了游泳。")</f>
        <v>我五年前學會了游泳。</v>
      </c>
      <c r="E209" s="4" t="str">
        <f ca="1">IFERROR(__xludf.DUMMYFUNCTION("IFERROR(GOOGLETRANSLATE(B209,""en"",""zh-CN""),)"),"我五年前学会了游泳。")</f>
        <v>我五年前学会了游泳。</v>
      </c>
    </row>
    <row r="210" spans="1:5">
      <c r="A210" s="5" t="s">
        <v>1117</v>
      </c>
      <c r="B210" s="4" t="str">
        <f ca="1">IFERROR(__xludf.DUMMYFUNCTION("IFERROR(GOOGLETRANSLATE(A210,""ko"",""en""),)"),"broth")</f>
        <v>broth</v>
      </c>
      <c r="C210" s="4" t="str">
        <f ca="1">IFERROR(__xludf.DUMMYFUNCTION("IFERROR(GOOGLETRANSLATE(B210,""en"",""ja""),)"),"ブロス")</f>
        <v>ブロス</v>
      </c>
      <c r="D210" s="4" t="str">
        <f ca="1">IFERROR(__xludf.DUMMYFUNCTION("IFERROR(GOOGLETRANSLATE(B210,""en"",""zh-TW""),)"),"高湯")</f>
        <v>高湯</v>
      </c>
      <c r="E210" s="4" t="str">
        <f ca="1">IFERROR(__xludf.DUMMYFUNCTION("IFERROR(GOOGLETRANSLATE(B210,""en"",""zh-CN""),)"),"肉汤")</f>
        <v>肉汤</v>
      </c>
    </row>
    <row r="211" spans="1:5">
      <c r="A211" s="3" t="s">
        <v>1122</v>
      </c>
      <c r="B211" s="4" t="str">
        <f ca="1">IFERROR(__xludf.DUMMYFUNCTION("IFERROR(GOOGLETRANSLATE(A211,""ko"",""en""),)"),"first year")</f>
        <v>first year</v>
      </c>
      <c r="C211" s="4" t="str">
        <f ca="1">IFERROR(__xludf.DUMMYFUNCTION("IFERROR(GOOGLETRANSLATE(B211,""en"",""ja""),)"),"1年目")</f>
        <v>1年目</v>
      </c>
      <c r="D211" s="4" t="str">
        <f ca="1">IFERROR(__xludf.DUMMYFUNCTION("IFERROR(GOOGLETRANSLATE(B211,""en"",""zh-TW""),)"),"第一年")</f>
        <v>第一年</v>
      </c>
      <c r="E211" s="4" t="str">
        <f ca="1">IFERROR(__xludf.DUMMYFUNCTION("IFERROR(GOOGLETRANSLATE(B211,""en"",""zh-CN""),)"),"第一年")</f>
        <v>第一年</v>
      </c>
    </row>
    <row r="212" spans="1:5">
      <c r="A212" s="3" t="s">
        <v>407</v>
      </c>
      <c r="B212" s="4" t="str">
        <f ca="1">IFERROR(__xludf.DUMMYFUNCTION("IFERROR(GOOGLETRANSLATE(A212,""ko"",""en""),)"),"I'm sorry")</f>
        <v>I'm sorry</v>
      </c>
      <c r="C212" s="4" t="str">
        <f ca="1">IFERROR(__xludf.DUMMYFUNCTION("IFERROR(GOOGLETRANSLATE(B212,""en"",""ja""),)"),"ごめんなさい")</f>
        <v>ごめんなさい</v>
      </c>
      <c r="D212" s="4" t="str">
        <f ca="1">IFERROR(__xludf.DUMMYFUNCTION("IFERROR(GOOGLETRANSLATE(B212,""en"",""zh-TW""),)"),"對不起")</f>
        <v>對不起</v>
      </c>
      <c r="E212" s="4" t="str">
        <f ca="1">IFERROR(__xludf.DUMMYFUNCTION("IFERROR(GOOGLETRANSLATE(B212,""en"",""zh-CN""),)"),"对不起")</f>
        <v>对不起</v>
      </c>
    </row>
    <row r="213" spans="1:5">
      <c r="A213" s="3" t="s">
        <v>1131</v>
      </c>
      <c r="B213" s="4" t="str">
        <f ca="1">IFERROR(__xludf.DUMMYFUNCTION("IFERROR(GOOGLETRANSLATE(A213,""ko"",""en""),)"),"no see")</f>
        <v>no see</v>
      </c>
      <c r="C213" s="4" t="str">
        <f ca="1">IFERROR(__xludf.DUMMYFUNCTION("IFERROR(GOOGLETRANSLATE(B213,""en"",""ja""),)"),"見ない")</f>
        <v>見ない</v>
      </c>
      <c r="D213" s="4" t="str">
        <f ca="1">IFERROR(__xludf.DUMMYFUNCTION("IFERROR(GOOGLETRANSLATE(B213,""en"",""zh-TW""),)"),"沒看見")</f>
        <v>沒看見</v>
      </c>
      <c r="E213" s="4" t="str">
        <f ca="1">IFERROR(__xludf.DUMMYFUNCTION("IFERROR(GOOGLETRANSLATE(B213,""en"",""zh-CN""),)"),"没看见")</f>
        <v>没看见</v>
      </c>
    </row>
    <row r="214" spans="1:5">
      <c r="A214" s="3" t="s">
        <v>1136</v>
      </c>
      <c r="B214" s="4" t="str">
        <f ca="1">IFERROR(__xludf.DUMMYFUNCTION("IFERROR(GOOGLETRANSLATE(A214,""ko"",""en""),)"),"Flower language")</f>
        <v>Flower language</v>
      </c>
      <c r="C214" s="4" t="str">
        <f ca="1">IFERROR(__xludf.DUMMYFUNCTION("IFERROR(GOOGLETRANSLATE(B214,""en"",""ja""),)"),"花言葉")</f>
        <v>花言葉</v>
      </c>
      <c r="D214" s="4" t="str">
        <f ca="1">IFERROR(__xludf.DUMMYFUNCTION("IFERROR(GOOGLETRANSLATE(B214,""en"",""zh-TW""),)"),"花語")</f>
        <v>花語</v>
      </c>
      <c r="E214" s="4" t="str">
        <f ca="1">IFERROR(__xludf.DUMMYFUNCTION("IFERROR(GOOGLETRANSLATE(B214,""en"",""zh-CN""),)"),"花语")</f>
        <v>花语</v>
      </c>
    </row>
    <row r="215" spans="1:5">
      <c r="A215" s="3" t="s">
        <v>1142</v>
      </c>
      <c r="B215" s="4" t="str">
        <f ca="1">IFERROR(__xludf.DUMMYFUNCTION("IFERROR(GOOGLETRANSLATE(A215,""ko"",""en""),)"),"A few years")</f>
        <v>A few years</v>
      </c>
      <c r="C215" s="4" t="str">
        <f ca="1">IFERROR(__xludf.DUMMYFUNCTION("IFERROR(GOOGLETRANSLATE(B215,""en"",""ja""),)"),"数年")</f>
        <v>数年</v>
      </c>
      <c r="D215" s="4" t="str">
        <f ca="1">IFERROR(__xludf.DUMMYFUNCTION("IFERROR(GOOGLETRANSLATE(B215,""en"",""zh-TW""),)"),"幾年")</f>
        <v>幾年</v>
      </c>
      <c r="E215" s="4" t="str">
        <f ca="1">IFERROR(__xludf.DUMMYFUNCTION("IFERROR(GOOGLETRANSLATE(B215,""en"",""zh-CN""),)"),"几年")</f>
        <v>几年</v>
      </c>
    </row>
    <row r="216" spans="1:5">
      <c r="A216" s="5" t="s">
        <v>1145</v>
      </c>
      <c r="B216" s="4" t="str">
        <f ca="1">IFERROR(__xludf.DUMMYFUNCTION("IFERROR(GOOGLETRANSLATE(A216,""ko"",""en""),)"),"introduction")</f>
        <v>introduction</v>
      </c>
      <c r="C216" s="4" t="str">
        <f ca="1">IFERROR(__xludf.DUMMYFUNCTION("IFERROR(GOOGLETRANSLATE(B216,""en"",""ja""),)"),"導入")</f>
        <v>導入</v>
      </c>
      <c r="D216" s="4" t="str">
        <f ca="1">IFERROR(__xludf.DUMMYFUNCTION("IFERROR(GOOGLETRANSLATE(B216,""en"",""zh-TW""),)"),"介紹")</f>
        <v>介紹</v>
      </c>
      <c r="E216" s="4" t="str">
        <f ca="1">IFERROR(__xludf.DUMMYFUNCTION("IFERROR(GOOGLETRANSLATE(B216,""en"",""zh-CN""),)"),"介绍")</f>
        <v>介绍</v>
      </c>
    </row>
    <row r="217" spans="1:5">
      <c r="A217" s="5" t="s">
        <v>1150</v>
      </c>
      <c r="B217" s="4" t="str">
        <f ca="1">IFERROR(__xludf.DUMMYFUNCTION("IFERROR(GOOGLETRANSLATE(A217,""ko"",""en""),)"),"work")</f>
        <v>work</v>
      </c>
      <c r="C217" s="4" t="str">
        <f ca="1">IFERROR(__xludf.DUMMYFUNCTION("IFERROR(GOOGLETRANSLATE(B217,""en"",""ja""),)"),"仕事")</f>
        <v>仕事</v>
      </c>
      <c r="D217" s="4" t="str">
        <f ca="1">IFERROR(__xludf.DUMMYFUNCTION("IFERROR(GOOGLETRANSLATE(B217,""en"",""zh-TW""),)"),"工作")</f>
        <v>工作</v>
      </c>
      <c r="E217" s="4" t="str">
        <f ca="1">IFERROR(__xludf.DUMMYFUNCTION("IFERROR(GOOGLETRANSLATE(B217,""en"",""zh-CN""),)"),"工作")</f>
        <v>工作</v>
      </c>
    </row>
    <row r="218" spans="1:5">
      <c r="A218" s="3" t="s">
        <v>1153</v>
      </c>
      <c r="B218" s="4" t="str">
        <f ca="1">IFERROR(__xludf.DUMMYFUNCTION("IFERROR(GOOGLETRANSLATE(A218,""ko"",""en""),)"),"Silla")</f>
        <v>Silla</v>
      </c>
      <c r="C218" s="4" t="str">
        <f ca="1">IFERROR(__xludf.DUMMYFUNCTION("IFERROR(GOOGLETRANSLATE(B218,""en"",""ja""),)"),"新羅")</f>
        <v>新羅</v>
      </c>
      <c r="D218" s="4" t="str">
        <f ca="1">IFERROR(__xludf.DUMMYFUNCTION("IFERROR(GOOGLETRANSLATE(B218,""en"",""zh-TW""),)"),"新羅")</f>
        <v>新羅</v>
      </c>
      <c r="E218" s="4" t="str">
        <f ca="1">IFERROR(__xludf.DUMMYFUNCTION("IFERROR(GOOGLETRANSLATE(B218,""en"",""zh-CN""),)"),"新罗")</f>
        <v>新罗</v>
      </c>
    </row>
    <row r="219" spans="1:5">
      <c r="A219" s="5" t="s">
        <v>1158</v>
      </c>
      <c r="B219" s="4" t="str">
        <f ca="1">IFERROR(__xludf.DUMMYFUNCTION("IFERROR(GOOGLETRANSLATE(A219,""ko"",""en""),)"),"new year")</f>
        <v>new year</v>
      </c>
      <c r="C219" s="4" t="str">
        <f ca="1">IFERROR(__xludf.DUMMYFUNCTION("IFERROR(GOOGLETRANSLATE(B219,""en"",""ja""),)"),"新年")</f>
        <v>新年</v>
      </c>
      <c r="D219" s="4" t="str">
        <f ca="1">IFERROR(__xludf.DUMMYFUNCTION("IFERROR(GOOGLETRANSLATE(B219,""en"",""zh-TW""),)"),"新年")</f>
        <v>新年</v>
      </c>
      <c r="E219" s="4" t="str">
        <f ca="1">IFERROR(__xludf.DUMMYFUNCTION("IFERROR(GOOGLETRANSLATE(B219,""en"",""zh-CN""),)"),"新年")</f>
        <v>新年</v>
      </c>
    </row>
    <row r="220" spans="1:5">
      <c r="A220" s="5" t="s">
        <v>1160</v>
      </c>
      <c r="B220" s="4" t="str">
        <f ca="1">IFERROR(__xludf.DUMMYFUNCTION("IFERROR(GOOGLETRANSLATE(A220,""ko"",""en""),)"),"Jeolla Province")</f>
        <v>Jeolla Province</v>
      </c>
      <c r="C220" s="4" t="str">
        <f ca="1">IFERROR(__xludf.DUMMYFUNCTION("IFERROR(GOOGLETRANSLATE(B220,""en"",""ja""),)"),"全羅道")</f>
        <v>全羅道</v>
      </c>
      <c r="D220" s="4" t="str">
        <f ca="1">IFERROR(__xludf.DUMMYFUNCTION("IFERROR(GOOGLETRANSLATE(B220,""en"",""zh-TW""),)"),"全羅道")</f>
        <v>全羅道</v>
      </c>
      <c r="E220" s="4" t="str">
        <f ca="1">IFERROR(__xludf.DUMMYFUNCTION("IFERROR(GOOGLETRANSLATE(B220,""en"",""zh-CN""),)"),"全罗道")</f>
        <v>全罗道</v>
      </c>
    </row>
    <row r="221" spans="1:5">
      <c r="A221" s="5" t="s">
        <v>1163</v>
      </c>
      <c r="B221" s="4" t="str">
        <f ca="1">IFERROR(__xludf.DUMMYFUNCTION("IFERROR(GOOGLETRANSLATE(A221,""ko"",""en""),)"),"liaison")</f>
        <v>liaison</v>
      </c>
      <c r="C221" s="4" t="str">
        <f ca="1">IFERROR(__xludf.DUMMYFUNCTION("IFERROR(GOOGLETRANSLATE(B221,""en"",""ja""),)"),"連絡係")</f>
        <v>連絡係</v>
      </c>
      <c r="D221" s="4" t="str">
        <f ca="1">IFERROR(__xludf.DUMMYFUNCTION("IFERROR(GOOGLETRANSLATE(B221,""en"",""zh-TW""),)"),"聯絡")</f>
        <v>聯絡</v>
      </c>
      <c r="E221" s="4" t="str">
        <f ca="1">IFERROR(__xludf.DUMMYFUNCTION("IFERROR(GOOGLETRANSLATE(B221,""en"",""zh-CN""),)"),"联络")</f>
        <v>联络</v>
      </c>
    </row>
    <row r="222" spans="1:5">
      <c r="A222" s="5" t="s">
        <v>1167</v>
      </c>
      <c r="B222" s="4" t="str">
        <f ca="1">IFERROR(__xludf.DUMMYFUNCTION("IFERROR(GOOGLETRANSLATE(A222,""ko"",""en""),)"),"Medical treatment")</f>
        <v>Medical treatment</v>
      </c>
      <c r="C222" s="4" t="str">
        <f ca="1">IFERROR(__xludf.DUMMYFUNCTION("IFERROR(GOOGLETRANSLATE(B222,""en"",""ja""),)"),"医療")</f>
        <v>医療</v>
      </c>
      <c r="D222" s="4" t="str">
        <f ca="1">IFERROR(__xludf.DUMMYFUNCTION("IFERROR(GOOGLETRANSLATE(B222,""en"",""zh-TW""),)"),"醫療")</f>
        <v>醫療</v>
      </c>
      <c r="E222" s="4" t="str">
        <f ca="1">IFERROR(__xludf.DUMMYFUNCTION("IFERROR(GOOGLETRANSLATE(B222,""en"",""zh-CN""),)"),"医疗")</f>
        <v>医疗</v>
      </c>
    </row>
    <row r="223" spans="1:5">
      <c r="A223" s="5" t="s">
        <v>1170</v>
      </c>
      <c r="B223" s="4" t="str">
        <f ca="1">IFERROR(__xludf.DUMMYFUNCTION("IFERROR(GOOGLETRANSLATE(A223,""ko"",""en""),)"),"logic")</f>
        <v>logic</v>
      </c>
      <c r="C223" s="4" t="str">
        <f ca="1">IFERROR(__xludf.DUMMYFUNCTION("IFERROR(GOOGLETRANSLATE(B223,""en"",""ja""),)"),"論理")</f>
        <v>論理</v>
      </c>
      <c r="D223" s="4" t="str">
        <f ca="1">IFERROR(__xludf.DUMMYFUNCTION("IFERROR(GOOGLETRANSLATE(B223,""en"",""zh-TW""),)"),"邏輯")</f>
        <v>邏輯</v>
      </c>
      <c r="E223" s="4" t="str">
        <f ca="1">IFERROR(__xludf.DUMMYFUNCTION("IFERROR(GOOGLETRANSLATE(B223,""en"",""zh-CN""),)"),"逻辑")</f>
        <v>逻辑</v>
      </c>
    </row>
    <row r="224" spans="1:5">
      <c r="A224" s="5" t="s">
        <v>1174</v>
      </c>
      <c r="B224" s="4" t="str">
        <f ca="1">IFERROR(__xludf.DUMMYFUNCTION("IFERROR(GOOGLETRANSLATE(A224,""ko"",""en""),)"),"truth")</f>
        <v>truth</v>
      </c>
      <c r="C224" s="4" t="str">
        <f ca="1">IFERROR(__xludf.DUMMYFUNCTION("IFERROR(GOOGLETRANSLATE(B224,""en"",""ja""),)"),"真実")</f>
        <v>真実</v>
      </c>
      <c r="D224" s="4" t="str">
        <f ca="1">IFERROR(__xludf.DUMMYFUNCTION("IFERROR(GOOGLETRANSLATE(B224,""en"",""zh-TW""),)"),"真相")</f>
        <v>真相</v>
      </c>
      <c r="E224" s="4" t="str">
        <f ca="1">IFERROR(__xludf.DUMMYFUNCTION("IFERROR(GOOGLETRANSLATE(B224,""en"",""zh-CN""),)"),"真相")</f>
        <v>真相</v>
      </c>
    </row>
    <row r="225" spans="1:5">
      <c r="A225" s="5" t="s">
        <v>1176</v>
      </c>
      <c r="B225" s="4" t="str">
        <f ca="1">IFERROR(__xludf.DUMMYFUNCTION("IFERROR(GOOGLETRANSLATE(A225,""ko"",""en""),)"),"difficulty")</f>
        <v>difficulty</v>
      </c>
      <c r="C225" s="4" t="str">
        <f ca="1">IFERROR(__xludf.DUMMYFUNCTION("IFERROR(GOOGLETRANSLATE(B225,""en"",""ja""),)"),"困難")</f>
        <v>困難</v>
      </c>
      <c r="D225" s="4" t="str">
        <f ca="1">IFERROR(__xludf.DUMMYFUNCTION("IFERROR(GOOGLETRANSLATE(B225,""en"",""zh-TW""),)"),"困難")</f>
        <v>困難</v>
      </c>
      <c r="E225" s="4" t="str">
        <f ca="1">IFERROR(__xludf.DUMMYFUNCTION("IFERROR(GOOGLETRANSLATE(B225,""en"",""zh-CN""),)"),"困难")</f>
        <v>困难</v>
      </c>
    </row>
    <row r="226" spans="1:5">
      <c r="A226" s="5" t="s">
        <v>1179</v>
      </c>
      <c r="B226" s="4" t="str">
        <f ca="1">IFERROR(__xludf.DUMMYFUNCTION("IFERROR(GOOGLETRANSLATE(A226,""ko"",""en""),)"),"chaos")</f>
        <v>chaos</v>
      </c>
      <c r="C226" s="4" t="str">
        <f ca="1">IFERROR(__xludf.DUMMYFUNCTION("IFERROR(GOOGLETRANSLATE(B226,""en"",""ja""),)"),"カオス")</f>
        <v>カオス</v>
      </c>
      <c r="D226" s="4" t="str">
        <f ca="1">IFERROR(__xludf.DUMMYFUNCTION("IFERROR(GOOGLETRANSLATE(B226,""en"",""zh-TW""),)"),"混亂")</f>
        <v>混亂</v>
      </c>
      <c r="E226" s="4" t="str">
        <f ca="1">IFERROR(__xludf.DUMMYFUNCTION("IFERROR(GOOGLETRANSLATE(B226,""en"",""zh-CN""),)"),"混乱")</f>
        <v>混乱</v>
      </c>
    </row>
    <row r="227" spans="1:5">
      <c r="A227" s="5" t="s">
        <v>1184</v>
      </c>
      <c r="B227" s="4" t="str">
        <f ca="1">IFERROR(__xludf.DUMMYFUNCTION("IFERROR(GOOGLETRANSLATE(A227,""ko"",""en""),)"),"indoors")</f>
        <v>indoors</v>
      </c>
      <c r="C227" s="4" t="str">
        <f ca="1">IFERROR(__xludf.DUMMYFUNCTION("IFERROR(GOOGLETRANSLATE(B227,""en"",""ja""),)"),"屋内")</f>
        <v>屋内</v>
      </c>
      <c r="D227" s="4" t="str">
        <f ca="1">IFERROR(__xludf.DUMMYFUNCTION("IFERROR(GOOGLETRANSLATE(B227,""en"",""zh-TW""),)"),"室內")</f>
        <v>室內</v>
      </c>
      <c r="E227" s="4" t="str">
        <f ca="1">IFERROR(__xludf.DUMMYFUNCTION("IFERROR(GOOGLETRANSLATE(B227,""en"",""zh-CN""),)"),"室内")</f>
        <v>室内</v>
      </c>
    </row>
    <row r="228" spans="1:5">
      <c r="A228" s="5" t="s">
        <v>1188</v>
      </c>
      <c r="B228" s="4" t="str">
        <f ca="1">IFERROR(__xludf.DUMMYFUNCTION("IFERROR(GOOGLETRANSLATE(A228,""ko"",""en""),)"),"groom")</f>
        <v>groom</v>
      </c>
      <c r="C228" s="4" t="str">
        <f ca="1">IFERROR(__xludf.DUMMYFUNCTION("IFERROR(GOOGLETRANSLATE(B228,""en"",""ja""),)"),"新郎")</f>
        <v>新郎</v>
      </c>
      <c r="D228" s="4" t="str">
        <f ca="1">IFERROR(__xludf.DUMMYFUNCTION("IFERROR(GOOGLETRANSLATE(B228,""en"",""zh-TW""),)"),"新郎")</f>
        <v>新郎</v>
      </c>
      <c r="E228" s="4" t="str">
        <f ca="1">IFERROR(__xludf.DUMMYFUNCTION("IFERROR(GOOGLETRANSLATE(B228,""en"",""zh-CN""),)"),"新郎")</f>
        <v>新郎</v>
      </c>
    </row>
    <row r="229" spans="1:5">
      <c r="A229" s="5" t="s">
        <v>1194</v>
      </c>
      <c r="B229" s="4" t="str">
        <f ca="1">IFERROR(__xludf.DUMMYFUNCTION("IFERROR(GOOGLETRANSLATE(A229,""ko"",""en""),)"),"controversy")</f>
        <v>controversy</v>
      </c>
      <c r="C229" s="4" t="str">
        <f ca="1">IFERROR(__xludf.DUMMYFUNCTION("IFERROR(GOOGLETRANSLATE(B229,""en"",""ja""),)"),"論争")</f>
        <v>論争</v>
      </c>
      <c r="D229" s="4" t="str">
        <f ca="1">IFERROR(__xludf.DUMMYFUNCTION("IFERROR(GOOGLETRANSLATE(B229,""en"",""zh-TW""),)"),"爭議")</f>
        <v>爭議</v>
      </c>
      <c r="E229" s="4" t="str">
        <f ca="1">IFERROR(__xludf.DUMMYFUNCTION("IFERROR(GOOGLETRANSLATE(B229,""en"",""zh-CN""),)"),"争议")</f>
        <v>争议</v>
      </c>
    </row>
    <row r="230" spans="1:5">
      <c r="A230" s="5" t="s">
        <v>1199</v>
      </c>
      <c r="B230" s="4" t="str">
        <f ca="1">IFERROR(__xludf.DUMMYFUNCTION("IFERROR(GOOGLETRANSLATE(A230,""ko"",""en""),)"),"years")</f>
        <v>years</v>
      </c>
      <c r="C230" s="4" t="str">
        <f ca="1">IFERROR(__xludf.DUMMYFUNCTION("IFERROR(GOOGLETRANSLATE(B230,""en"",""ja""),)"),"年")</f>
        <v>年</v>
      </c>
      <c r="D230" s="4" t="str">
        <f ca="1">IFERROR(__xludf.DUMMYFUNCTION("IFERROR(GOOGLETRANSLATE(B230,""en"",""zh-TW""),)"),"年")</f>
        <v>年</v>
      </c>
      <c r="E230" s="4" t="str">
        <f ca="1">IFERROR(__xludf.DUMMYFUNCTION("IFERROR(GOOGLETRANSLATE(B230,""en"",""zh-CN""),)"),"年")</f>
        <v>年</v>
      </c>
    </row>
    <row r="231" spans="1:5">
      <c r="A231" s="5" t="s">
        <v>1202</v>
      </c>
      <c r="B231" s="4" t="str">
        <f ca="1">IFERROR(__xludf.DUMMYFUNCTION("IFERROR(GOOGLETRANSLATE(A231,""ko"",""en""),)"),"knife")</f>
        <v>knife</v>
      </c>
      <c r="C231" s="4" t="str">
        <f ca="1">IFERROR(__xludf.DUMMYFUNCTION("IFERROR(GOOGLETRANSLATE(B231,""en"",""ja""),)"),"ナイフ")</f>
        <v>ナイフ</v>
      </c>
      <c r="D231" s="4" t="str">
        <f ca="1">IFERROR(__xludf.DUMMYFUNCTION("IFERROR(GOOGLETRANSLATE(B231,""en"",""zh-TW""),)"),"刀")</f>
        <v>刀</v>
      </c>
      <c r="E231" s="4" t="str">
        <f ca="1">IFERROR(__xludf.DUMMYFUNCTION("IFERROR(GOOGLETRANSLATE(B231,""en"",""zh-CN""),)"),"刀")</f>
        <v>刀</v>
      </c>
    </row>
    <row r="232" spans="1:5">
      <c r="A232" s="5" t="s">
        <v>1208</v>
      </c>
      <c r="B232" s="4" t="str">
        <f ca="1">IFERROR(__xludf.DUMMYFUNCTION("IFERROR(GOOGLETRANSLATE(A232,""ko"",""en""),)"),"Finland")</f>
        <v>Finland</v>
      </c>
      <c r="C232" s="4" t="str">
        <f ca="1">IFERROR(__xludf.DUMMYFUNCTION("IFERROR(GOOGLETRANSLATE(B232,""en"",""ja""),)"),"フィンランド")</f>
        <v>フィンランド</v>
      </c>
      <c r="D232" s="4" t="str">
        <f ca="1">IFERROR(__xludf.DUMMYFUNCTION("IFERROR(GOOGLETRANSLATE(B232,""en"",""zh-TW""),)"),"芬蘭")</f>
        <v>芬蘭</v>
      </c>
      <c r="E232" s="4" t="str">
        <f ca="1">IFERROR(__xludf.DUMMYFUNCTION("IFERROR(GOOGLETRANSLATE(B232,""en"",""zh-CN""),)"),"芬兰")</f>
        <v>芬兰</v>
      </c>
    </row>
    <row r="233" spans="1:5">
      <c r="A233" s="5" t="s">
        <v>1212</v>
      </c>
      <c r="B233" s="4" t="str">
        <f ca="1">IFERROR(__xludf.DUMMYFUNCTION("IFERROR(GOOGLETRANSLATE(A233,""ko"",""en""),)"),"entrance into school")</f>
        <v>entrance into school</v>
      </c>
      <c r="C233" s="4" t="str">
        <f ca="1">IFERROR(__xludf.DUMMYFUNCTION("IFERROR(GOOGLETRANSLATE(B233,""en"",""ja""),)"),"学校への入学")</f>
        <v>学校への入学</v>
      </c>
      <c r="D233" s="4" t="str">
        <f ca="1">IFERROR(__xludf.DUMMYFUNCTION("IFERROR(GOOGLETRANSLATE(B233,""en"",""zh-TW""),)"),"入學")</f>
        <v>入學</v>
      </c>
      <c r="E233" s="4" t="str">
        <f ca="1">IFERROR(__xludf.DUMMYFUNCTION("IFERROR(GOOGLETRANSLATE(B233,""en"",""zh-CN""),)"),"入学")</f>
        <v>入学</v>
      </c>
    </row>
    <row r="234" spans="1:5">
      <c r="A234" s="5" t="s">
        <v>1216</v>
      </c>
      <c r="B234" s="4" t="str">
        <f ca="1">IFERROR(__xludf.DUMMYFUNCTION("IFERROR(GOOGLETRANSLATE(A234,""ko"",""en""),)"),"in haste")</f>
        <v>in haste</v>
      </c>
      <c r="C234" s="4" t="str">
        <f ca="1">IFERROR(__xludf.DUMMYFUNCTION("IFERROR(GOOGLETRANSLATE(B234,""en"",""ja""),)"),"急いで")</f>
        <v>急いで</v>
      </c>
      <c r="D234" s="4" t="str">
        <f ca="1">IFERROR(__xludf.DUMMYFUNCTION("IFERROR(GOOGLETRANSLATE(B234,""en"",""zh-TW""),)"),"匆忙之中")</f>
        <v>匆忙之中</v>
      </c>
      <c r="E234" s="4" t="str">
        <f ca="1">IFERROR(__xludf.DUMMYFUNCTION("IFERROR(GOOGLETRANSLATE(B234,""en"",""zh-CN""),)"),"匆忙之中")</f>
        <v>匆忙之中</v>
      </c>
    </row>
    <row r="235" spans="1:5">
      <c r="A235" s="3" t="s">
        <v>1220</v>
      </c>
      <c r="B235" s="4" t="str">
        <f ca="1">IFERROR(__xludf.DUMMYFUNCTION("IFERROR(GOOGLETRANSLATE(A235,""ko"",""en""),)"),"congrats")</f>
        <v>congrats</v>
      </c>
      <c r="C235" s="4" t="str">
        <f ca="1">IFERROR(__xludf.DUMMYFUNCTION("IFERROR(GOOGLETRANSLATE(B235,""en"",""ja""),)"),"おめでとう")</f>
        <v>おめでとう</v>
      </c>
      <c r="D235" s="4" t="str">
        <f ca="1">IFERROR(__xludf.DUMMYFUNCTION("IFERROR(GOOGLETRANSLATE(B235,""en"",""zh-TW""),)"),"恭喜！")</f>
        <v>恭喜！</v>
      </c>
      <c r="E235" s="4" t="str">
        <f ca="1">IFERROR(__xludf.DUMMYFUNCTION("IFERROR(GOOGLETRANSLATE(B235,""en"",""zh-CN""),)"),"恭喜！")</f>
        <v>恭喜！</v>
      </c>
    </row>
    <row r="236" spans="1:5">
      <c r="A236" s="5" t="s">
        <v>1225</v>
      </c>
      <c r="B236" s="4" t="str">
        <f ca="1">IFERROR(__xludf.DUMMYFUNCTION("IFERROR(GOOGLETRANSLATE(A236,""ko"",""en""),)"),"put")</f>
        <v>put</v>
      </c>
      <c r="C236" s="4" t="str">
        <f ca="1">IFERROR(__xludf.DUMMYFUNCTION("IFERROR(GOOGLETRANSLATE(B236,""en"",""ja""),)"),"置く")</f>
        <v>置く</v>
      </c>
      <c r="D236" s="4" t="str">
        <f ca="1">IFERROR(__xludf.DUMMYFUNCTION("IFERROR(GOOGLETRANSLATE(B236,""en"",""zh-TW""),)"),"放")</f>
        <v>放</v>
      </c>
      <c r="E236" s="4" t="str">
        <f ca="1">IFERROR(__xludf.DUMMYFUNCTION("IFERROR(GOOGLETRANSLATE(B236,""en"",""zh-CN""),)"),"放")</f>
        <v>放</v>
      </c>
    </row>
    <row r="237" spans="1:5">
      <c r="A237" s="5" t="s">
        <v>1231</v>
      </c>
      <c r="B237" s="4" t="str">
        <f ca="1">IFERROR(__xludf.DUMMYFUNCTION("IFERROR(GOOGLETRANSLATE(A237,""ko"",""en""),)"),"eldest brother")</f>
        <v>eldest brother</v>
      </c>
      <c r="C237" s="4" t="str">
        <f ca="1">IFERROR(__xludf.DUMMYFUNCTION("IFERROR(GOOGLETRANSLATE(B237,""en"",""ja""),)"),"長男")</f>
        <v>長男</v>
      </c>
      <c r="D237" s="4" t="str">
        <f ca="1">IFERROR(__xludf.DUMMYFUNCTION("IFERROR(GOOGLETRANSLATE(B237,""en"",""zh-TW""),)"),"大哥")</f>
        <v>大哥</v>
      </c>
      <c r="E237" s="4" t="str">
        <f ca="1">IFERROR(__xludf.DUMMYFUNCTION("IFERROR(GOOGLETRANSLATE(B237,""en"",""zh-CN""),)"),"大哥")</f>
        <v>大哥</v>
      </c>
    </row>
    <row r="238" spans="1:5">
      <c r="A238" s="5" t="s">
        <v>1241</v>
      </c>
      <c r="B238" s="4" t="str">
        <f ca="1">IFERROR(__xludf.DUMMYFUNCTION("IFERROR(GOOGLETRANSLATE(A238,""ko"",""en""),)"),"Good")</f>
        <v>Good</v>
      </c>
      <c r="C238" s="4" t="str">
        <f ca="1">IFERROR(__xludf.DUMMYFUNCTION("IFERROR(GOOGLETRANSLATE(B238,""en"",""ja""),)"),"良い")</f>
        <v>良い</v>
      </c>
      <c r="D238" s="4" t="str">
        <f ca="1">IFERROR(__xludf.DUMMYFUNCTION("IFERROR(GOOGLETRANSLATE(B238,""en"",""zh-TW""),)"),"好的")</f>
        <v>好的</v>
      </c>
      <c r="E238" s="4" t="str">
        <f ca="1">IFERROR(__xludf.DUMMYFUNCTION("IFERROR(GOOGLETRANSLATE(B238,""en"",""zh-CN""),)"),"好的")</f>
        <v>好的</v>
      </c>
    </row>
    <row r="239" spans="1:5">
      <c r="A239" s="5" t="s">
        <v>1246</v>
      </c>
      <c r="B239" s="4" t="str">
        <f ca="1">IFERROR(__xludf.DUMMYFUNCTION("IFERROR(GOOGLETRANSLATE(A239,""ko"",""en""),)"),"Line 6")</f>
        <v>Line 6</v>
      </c>
      <c r="C239" s="4" t="str">
        <f ca="1">IFERROR(__xludf.DUMMYFUNCTION("IFERROR(GOOGLETRANSLATE(B239,""en"",""ja""),)"),"6行目")</f>
        <v>6行目</v>
      </c>
      <c r="D239" s="4" t="str">
        <f ca="1">IFERROR(__xludf.DUMMYFUNCTION("IFERROR(GOOGLETRANSLATE(B239,""en"",""zh-TW""),)"),"第6行")</f>
        <v>第6行</v>
      </c>
      <c r="E239" s="4" t="str">
        <f ca="1">IFERROR(__xludf.DUMMYFUNCTION("IFERROR(GOOGLETRANSLATE(B239,""en"",""zh-CN""),)"),"第6行")</f>
        <v>第6行</v>
      </c>
    </row>
    <row r="240" spans="1:5">
      <c r="A240" s="3" t="s">
        <v>1249</v>
      </c>
      <c r="B240" s="4" t="str">
        <f ca="1">IFERROR(__xludf.DUMMYFUNCTION("IFERROR(GOOGLETRANSLATE(A240,""ko"",""en""),)"),"good night")</f>
        <v>good night</v>
      </c>
      <c r="C240" s="4" t="str">
        <f ca="1">IFERROR(__xludf.DUMMYFUNCTION("IFERROR(GOOGLETRANSLATE(B240,""en"",""ja""),)"),"おやすみ")</f>
        <v>おやすみ</v>
      </c>
      <c r="D240" s="4" t="str">
        <f ca="1">IFERROR(__xludf.DUMMYFUNCTION("IFERROR(GOOGLETRANSLATE(B240,""en"",""zh-TW""),)"),"晚安")</f>
        <v>晚安</v>
      </c>
      <c r="E240" s="4" t="str">
        <f ca="1">IFERROR(__xludf.DUMMYFUNCTION("IFERROR(GOOGLETRANSLATE(B240,""en"",""zh-CN""),)"),"晚安")</f>
        <v>晚安</v>
      </c>
    </row>
    <row r="241" spans="1:5">
      <c r="A241" s="2" t="s">
        <v>1253</v>
      </c>
      <c r="B241" s="4" t="str">
        <f ca="1">IFERROR(__xludf.DUMMYFUNCTION("IFERROR(GOOGLETRANSLATE(A241,""ko"",""en""),)"),"like this")</f>
        <v>like this</v>
      </c>
      <c r="C241" s="4" t="str">
        <f ca="1">IFERROR(__xludf.DUMMYFUNCTION("IFERROR(GOOGLETRANSLATE(B241,""en"",""ja""),)"),"このような")</f>
        <v>このような</v>
      </c>
      <c r="D241" s="4" t="str">
        <f ca="1">IFERROR(__xludf.DUMMYFUNCTION("IFERROR(GOOGLETRANSLATE(B241,""en"",""zh-TW""),)"),"像這樣")</f>
        <v>像這樣</v>
      </c>
      <c r="E241" s="4" t="str">
        <f ca="1">IFERROR(__xludf.DUMMYFUNCTION("IFERROR(GOOGLETRANSLATE(B241,""en"",""zh-CN""),)"),"像这样")</f>
        <v>像这样</v>
      </c>
    </row>
    <row r="242" spans="1:5">
      <c r="A242" s="5" t="s">
        <v>1257</v>
      </c>
      <c r="B242" s="4" t="str">
        <f ca="1">IFERROR(__xludf.DUMMYFUNCTION("IFERROR(GOOGLETRANSLATE(A242,""ko"",""en""),)"),"yes")</f>
        <v>yes</v>
      </c>
      <c r="C242" s="4" t="str">
        <f ca="1">IFERROR(__xludf.DUMMYFUNCTION("IFERROR(GOOGLETRANSLATE(B242,""en"",""ja""),)"),"はい")</f>
        <v>はい</v>
      </c>
      <c r="D242" s="4" t="str">
        <f ca="1">IFERROR(__xludf.DUMMYFUNCTION("IFERROR(GOOGLETRANSLATE(B242,""en"",""zh-TW""),)"),"是的")</f>
        <v>是的</v>
      </c>
      <c r="E242" s="4" t="str">
        <f ca="1">IFERROR(__xludf.DUMMYFUNCTION("IFERROR(GOOGLETRANSLATE(B242,""en"",""zh-CN""),)"),"是的")</f>
        <v>是的</v>
      </c>
    </row>
    <row r="243" spans="1:5">
      <c r="A243" s="5" t="s">
        <v>1261</v>
      </c>
      <c r="B243" s="4" t="str">
        <f ca="1">IFERROR(__xludf.DUMMYFUNCTION("IFERROR(GOOGLETRANSLATE(A243,""ko"",""en""),)"),"Put it in")</f>
        <v>Put it in</v>
      </c>
      <c r="C243" s="4" t="str">
        <f ca="1">IFERROR(__xludf.DUMMYFUNCTION("IFERROR(GOOGLETRANSLATE(B243,""en"",""ja""),)"),"入れる")</f>
        <v>入れる</v>
      </c>
      <c r="D243" s="4" t="str">
        <f ca="1">IFERROR(__xludf.DUMMYFUNCTION("IFERROR(GOOGLETRANSLATE(B243,""en"",""zh-TW""),)"),"放進去")</f>
        <v>放進去</v>
      </c>
      <c r="E243" s="4" t="str">
        <f ca="1">IFERROR(__xludf.DUMMYFUNCTION("IFERROR(GOOGLETRANSLATE(B243,""en"",""zh-CN""),)"),"放进去")</f>
        <v>放进去</v>
      </c>
    </row>
    <row r="244" spans="1:5">
      <c r="A244" s="3" t="s">
        <v>1265</v>
      </c>
      <c r="B244" s="4" t="str">
        <f ca="1">IFERROR(__xludf.DUMMYFUNCTION("IFERROR(GOOGLETRANSLATE(A244,""ko"",""en""),)"),"I'm going to shop at the department store.")</f>
        <v>I'm going to shop at the department store.</v>
      </c>
      <c r="C244" s="4" t="str">
        <f ca="1">IFERROR(__xludf.DUMMYFUNCTION("IFERROR(GOOGLETRANSLATE(B244,""en"",""ja""),)"),"デパートで買い物をするつもりです。")</f>
        <v>デパートで買い物をするつもりです。</v>
      </c>
      <c r="D244" s="4" t="str">
        <f ca="1">IFERROR(__xludf.DUMMYFUNCTION("IFERROR(GOOGLETRANSLATE(B244,""en"",""zh-TW""),)"),"我要去百貨公司購物。")</f>
        <v>我要去百貨公司購物。</v>
      </c>
      <c r="E244" s="4" t="str">
        <f ca="1">IFERROR(__xludf.DUMMYFUNCTION("IFERROR(GOOGLETRANSLATE(B244,""en"",""zh-CN""),)"),"我要去百货商店购物。")</f>
        <v>我要去百货商店购物。</v>
      </c>
    </row>
    <row r="245" spans="1:5">
      <c r="A245" s="5" t="s">
        <v>1270</v>
      </c>
      <c r="B245" s="4" t="s">
        <v>1272</v>
      </c>
      <c r="C245" s="4" t="str">
        <f ca="1">IFERROR(__xludf.DUMMYFUNCTION("IFERROR(GOOGLETRANSLATE(B245,""en"",""ja""),)"),"服装")</f>
        <v>服装</v>
      </c>
      <c r="D245" s="4" t="str">
        <f ca="1">IFERROR(__xludf.DUMMYFUNCTION("IFERROR(GOOGLETRANSLATE(B245,""en"",""zh-TW""),)"),"全套服裝")</f>
        <v>全套服裝</v>
      </c>
      <c r="E245" s="4" t="str">
        <f ca="1">IFERROR(__xludf.DUMMYFUNCTION("IFERROR(GOOGLETRANSLATE(B245,""en"",""zh-CN""),)"),"全套服装")</f>
        <v>全套服装</v>
      </c>
    </row>
    <row r="246" spans="1:5">
      <c r="A246" s="3" t="s">
        <v>268</v>
      </c>
      <c r="B246" s="4" t="str">
        <f ca="1">IFERROR(__xludf.DUMMYFUNCTION("IFERROR(GOOGLETRANSLATE(A246,""ko"",""en""),)"),"t-shirt")</f>
        <v>t-shirt</v>
      </c>
      <c r="C246" s="4" t="str">
        <f ca="1">IFERROR(__xludf.DUMMYFUNCTION("IFERROR(GOOGLETRANSLATE(B246,""en"",""ja""),)"),"Tシャツ")</f>
        <v>Tシャツ</v>
      </c>
      <c r="D246" s="4" t="str">
        <f ca="1">IFERROR(__xludf.DUMMYFUNCTION("IFERROR(GOOGLETRANSLATE(B246,""en"",""zh-TW""),)"),"T恤")</f>
        <v>T恤</v>
      </c>
      <c r="E246" s="4" t="str">
        <f ca="1">IFERROR(__xludf.DUMMYFUNCTION("IFERROR(GOOGLETRANSLATE(B246,""en"",""zh-CN""),)"),"T恤")</f>
        <v>T恤</v>
      </c>
    </row>
    <row r="247" spans="1:5">
      <c r="A247" s="5" t="s">
        <v>1282</v>
      </c>
      <c r="B247" s="4" t="str">
        <f ca="1">IFERROR(__xludf.DUMMYFUNCTION("IFERROR(GOOGLETRANSLATE(A247,""ko"",""en""),)"),"jeans")</f>
        <v>jeans</v>
      </c>
      <c r="C247" s="4" t="str">
        <f ca="1">IFERROR(__xludf.DUMMYFUNCTION("IFERROR(GOOGLETRANSLATE(B247,""en"",""ja""),)"),"ジーンズ")</f>
        <v>ジーンズ</v>
      </c>
      <c r="D247" s="4" t="str">
        <f ca="1">IFERROR(__xludf.DUMMYFUNCTION("IFERROR(GOOGLETRANSLATE(B247,""en"",""zh-TW""),)"),"牛仔褲")</f>
        <v>牛仔褲</v>
      </c>
      <c r="E247" s="4" t="str">
        <f ca="1">IFERROR(__xludf.DUMMYFUNCTION("IFERROR(GOOGLETRANSLATE(B247,""en"",""zh-CN""),)"),"牛仔裤")</f>
        <v>牛仔裤</v>
      </c>
    </row>
    <row r="248" spans="1:5">
      <c r="A248" s="5" t="s">
        <v>1287</v>
      </c>
      <c r="B248" s="4" t="str">
        <f ca="1">IFERROR(__xludf.DUMMYFUNCTION("IFERROR(GOOGLETRANSLATE(A248,""ko"",""en""),)"),"skirt")</f>
        <v>skirt</v>
      </c>
      <c r="C248" s="4" t="str">
        <f ca="1">IFERROR(__xludf.DUMMYFUNCTION("IFERROR(GOOGLETRANSLATE(B248,""en"",""ja""),)"),"スカート")</f>
        <v>スカート</v>
      </c>
      <c r="D248" s="4" t="str">
        <f ca="1">IFERROR(__xludf.DUMMYFUNCTION("IFERROR(GOOGLETRANSLATE(B248,""en"",""zh-TW""),)"),"裙子")</f>
        <v>裙子</v>
      </c>
      <c r="E248" s="4" t="str">
        <f ca="1">IFERROR(__xludf.DUMMYFUNCTION("IFERROR(GOOGLETRANSLATE(B248,""en"",""zh-CN""),)"),"裙子")</f>
        <v>裙子</v>
      </c>
    </row>
    <row r="249" spans="1:5">
      <c r="A249" s="5" t="s">
        <v>1290</v>
      </c>
      <c r="B249" s="4" t="str">
        <f ca="1">IFERROR(__xludf.DUMMYFUNCTION("IFERROR(GOOGLETRANSLATE(A249,""ko"",""en""),)"),"full dress")</f>
        <v>full dress</v>
      </c>
      <c r="C249" s="4" t="str">
        <f ca="1">IFERROR(__xludf.DUMMYFUNCTION("IFERROR(GOOGLETRANSLATE(B249,""en"",""ja""),)"),"正装")</f>
        <v>正装</v>
      </c>
      <c r="D249" s="4" t="str">
        <f ca="1">IFERROR(__xludf.DUMMYFUNCTION("IFERROR(GOOGLETRANSLATE(B249,""en"",""zh-TW""),)"),"禮服")</f>
        <v>禮服</v>
      </c>
      <c r="E249" s="4" t="str">
        <f ca="1">IFERROR(__xludf.DUMMYFUNCTION("IFERROR(GOOGLETRANSLATE(B249,""en"",""zh-CN""),)"),"礼服")</f>
        <v>礼服</v>
      </c>
    </row>
    <row r="250" spans="1:5">
      <c r="A250" s="3" t="s">
        <v>1295</v>
      </c>
      <c r="B250" s="4" t="str">
        <f ca="1">IFERROR(__xludf.DUMMYFUNCTION("IFERROR(GOOGLETRANSLATE(A250,""ko"",""en""),)"),"sportswear")</f>
        <v>sportswear</v>
      </c>
      <c r="C250" s="4" t="str">
        <f ca="1">IFERROR(__xludf.DUMMYFUNCTION("IFERROR(GOOGLETRANSLATE(B250,""en"",""ja""),)"),"スポーツウェア")</f>
        <v>スポーツウェア</v>
      </c>
      <c r="D250" s="4" t="str">
        <f ca="1">IFERROR(__xludf.DUMMYFUNCTION("IFERROR(GOOGLETRANSLATE(B250,""en"",""zh-TW""),)"),"運動服")</f>
        <v>運動服</v>
      </c>
      <c r="E250" s="4" t="str">
        <f ca="1">IFERROR(__xludf.DUMMYFUNCTION("IFERROR(GOOGLETRANSLATE(B250,""en"",""zh-CN""),)"),"运动服")</f>
        <v>运动服</v>
      </c>
    </row>
    <row r="251" spans="1:5">
      <c r="A251" s="3" t="s">
        <v>51</v>
      </c>
      <c r="B251" s="4" t="str">
        <f ca="1">IFERROR(__xludf.DUMMYFUNCTION("IFERROR(GOOGLETRANSLATE(A251,""ko"",""en""),)"),"swimsuit")</f>
        <v>swimsuit</v>
      </c>
      <c r="C251" s="4" t="str">
        <f ca="1">IFERROR(__xludf.DUMMYFUNCTION("IFERROR(GOOGLETRANSLATE(B251,""en"",""ja""),)"),"水着")</f>
        <v>水着</v>
      </c>
      <c r="D251" s="4" t="str">
        <f ca="1">IFERROR(__xludf.DUMMYFUNCTION("IFERROR(GOOGLETRANSLATE(B251,""en"",""zh-TW""),)"),"泳裝")</f>
        <v>泳裝</v>
      </c>
      <c r="E251" s="4" t="str">
        <f ca="1">IFERROR(__xludf.DUMMYFUNCTION("IFERROR(GOOGLETRANSLATE(B251,""en"",""zh-CN""),)"),"泳装")</f>
        <v>泳装</v>
      </c>
    </row>
    <row r="252" spans="1:5">
      <c r="A252" s="3" t="s">
        <v>1303</v>
      </c>
      <c r="B252" s="4" t="s">
        <v>1304</v>
      </c>
      <c r="C252" s="4" t="str">
        <f ca="1">IFERROR(__xludf.DUMMYFUNCTION("IFERROR(GOOGLETRANSLATE(B252,""en"",""ja""),)"),"洋装スーツ")</f>
        <v>洋装スーツ</v>
      </c>
      <c r="D252" s="4" t="str">
        <f ca="1">IFERROR(__xludf.DUMMYFUNCTION("IFERROR(GOOGLETRANSLATE(B252,""en"",""zh-TW""),)"),"西式西裝")</f>
        <v>西式西裝</v>
      </c>
      <c r="E252" s="4" t="str">
        <f ca="1">IFERROR(__xludf.DUMMYFUNCTION("IFERROR(GOOGLETRANSLATE(B252,""en"",""zh-CN""),)"),"西式西装")</f>
        <v>西式西装</v>
      </c>
    </row>
    <row r="253" spans="1:5">
      <c r="A253" s="3" t="s">
        <v>1306</v>
      </c>
      <c r="B253" s="4" t="str">
        <f ca="1">IFERROR(__xludf.DUMMYFUNCTION("IFERROR(GOOGLETRANSLATE(A253,""ko"",""en""),)"),"Hanbok")</f>
        <v>Hanbok</v>
      </c>
      <c r="C253" s="4" t="str">
        <f ca="1">IFERROR(__xludf.DUMMYFUNCTION("IFERROR(GOOGLETRANSLATE(B253,""en"",""ja""),)"),"韓服")</f>
        <v>韓服</v>
      </c>
      <c r="D253" s="4" t="str">
        <f ca="1">IFERROR(__xludf.DUMMYFUNCTION("IFERROR(GOOGLETRANSLATE(B253,""en"",""zh-TW""),)"),"韓服")</f>
        <v>韓服</v>
      </c>
      <c r="E253" s="4" t="str">
        <f ca="1">IFERROR(__xludf.DUMMYFUNCTION("IFERROR(GOOGLETRANSLATE(B253,""en"",""zh-CN""),)"),"韩服")</f>
        <v>韩服</v>
      </c>
    </row>
    <row r="254" spans="1:5">
      <c r="A254" s="3" t="s">
        <v>1311</v>
      </c>
      <c r="B254" s="4" t="str">
        <f ca="1">IFERROR(__xludf.DUMMYFUNCTION("IFERROR(GOOGLETRANSLATE(A254,""ko"",""en""),)"),"dress")</f>
        <v>dress</v>
      </c>
      <c r="C254" s="4" t="str">
        <f ca="1">IFERROR(__xludf.DUMMYFUNCTION("IFERROR(GOOGLETRANSLATE(B254,""en"",""ja""),)"),"ドレス")</f>
        <v>ドレス</v>
      </c>
      <c r="D254" s="4" t="str">
        <f ca="1">IFERROR(__xludf.DUMMYFUNCTION("IFERROR(GOOGLETRANSLATE(B254,""en"",""zh-TW""),)"),"裙子")</f>
        <v>裙子</v>
      </c>
      <c r="E254" s="4" t="str">
        <f ca="1">IFERROR(__xludf.DUMMYFUNCTION("IFERROR(GOOGLETRANSLATE(B254,""en"",""zh-CN""),)"),"裙子")</f>
        <v>裙子</v>
      </c>
    </row>
    <row r="255" spans="1:5">
      <c r="A255" s="3" t="s">
        <v>1315</v>
      </c>
      <c r="B255" s="4" t="str">
        <f ca="1">IFERROR(__xludf.DUMMYFUNCTION("IFERROR(GOOGLETRANSLATE(A255,""ko"",""en""),)"),"one piece")</f>
        <v>one piece</v>
      </c>
      <c r="C255" s="4" t="str">
        <f ca="1">IFERROR(__xludf.DUMMYFUNCTION("IFERROR(GOOGLETRANSLATE(B255,""en"",""ja""),)"),"ワンピース")</f>
        <v>ワンピース</v>
      </c>
      <c r="D255" s="4" t="str">
        <f ca="1">IFERROR(__xludf.DUMMYFUNCTION("IFERROR(GOOGLETRANSLATE(B255,""en"",""zh-TW""),)"),"一件")</f>
        <v>一件</v>
      </c>
      <c r="E255" s="4" t="str">
        <f ca="1">IFERROR(__xludf.DUMMYFUNCTION("IFERROR(GOOGLETRANSLATE(B255,""en"",""zh-CN""),)"),"一件")</f>
        <v>一件</v>
      </c>
    </row>
    <row r="256" spans="1:5">
      <c r="A256" s="3" t="s">
        <v>1319</v>
      </c>
      <c r="B256" s="4" t="str">
        <f ca="1">IFERROR(__xludf.DUMMYFUNCTION("IFERROR(GOOGLETRANSLATE(A256,""ko"",""en""),)"),"coat")</f>
        <v>coat</v>
      </c>
      <c r="C256" s="4" t="str">
        <f ca="1">IFERROR(__xludf.DUMMYFUNCTION("IFERROR(GOOGLETRANSLATE(B256,""en"",""ja""),)"),"コート")</f>
        <v>コート</v>
      </c>
      <c r="D256" s="4" t="str">
        <f ca="1">IFERROR(__xludf.DUMMYFUNCTION("IFERROR(GOOGLETRANSLATE(B256,""en"",""zh-TW""),)"),"外套")</f>
        <v>外套</v>
      </c>
      <c r="E256" s="4" t="str">
        <f ca="1">IFERROR(__xludf.DUMMYFUNCTION("IFERROR(GOOGLETRANSLATE(B256,""en"",""zh-CN""),)"),"外套")</f>
        <v>外套</v>
      </c>
    </row>
    <row r="257" spans="1:5">
      <c r="A257" s="3" t="s">
        <v>1324</v>
      </c>
      <c r="B257" s="4" t="str">
        <f ca="1">IFERROR(__xludf.DUMMYFUNCTION("IFERROR(GOOGLETRANSLATE(A257,""ko"",""en""),)"),"pants")</f>
        <v>pants</v>
      </c>
      <c r="C257" s="4" t="str">
        <f ca="1">IFERROR(__xludf.DUMMYFUNCTION("IFERROR(GOOGLETRANSLATE(B257,""en"",""ja""),)"),"パンツ")</f>
        <v>パンツ</v>
      </c>
      <c r="D257" s="4" t="str">
        <f ca="1">IFERROR(__xludf.DUMMYFUNCTION("IFERROR(GOOGLETRANSLATE(B257,""en"",""zh-TW""),)"),"褲子")</f>
        <v>褲子</v>
      </c>
      <c r="E257" s="4" t="str">
        <f ca="1">IFERROR(__xludf.DUMMYFUNCTION("IFERROR(GOOGLETRANSLATE(B257,""en"",""zh-CN""),)"),"裤子")</f>
        <v>裤子</v>
      </c>
    </row>
    <row r="258" spans="1:5">
      <c r="A258" s="3" t="s">
        <v>92</v>
      </c>
      <c r="B258" s="4" t="str">
        <f ca="1">IFERROR(__xludf.DUMMYFUNCTION("IFERROR(GOOGLETRANSLATE(A258,""ko"",""en""),)"),"shorts")</f>
        <v>shorts</v>
      </c>
      <c r="C258" s="4" t="str">
        <f ca="1">IFERROR(__xludf.DUMMYFUNCTION("IFERROR(GOOGLETRANSLATE(B258,""en"",""ja""),)"),"ショートパンツ")</f>
        <v>ショートパンツ</v>
      </c>
      <c r="D258" s="4" t="str">
        <f ca="1">IFERROR(__xludf.DUMMYFUNCTION("IFERROR(GOOGLETRANSLATE(B258,""en"",""zh-TW""),)"),"短褲")</f>
        <v>短褲</v>
      </c>
      <c r="E258" s="4" t="str">
        <f ca="1">IFERROR(__xludf.DUMMYFUNCTION("IFERROR(GOOGLETRANSLATE(B258,""en"",""zh-CN""),)"),"短裤")</f>
        <v>短裤</v>
      </c>
    </row>
    <row r="259" spans="1:5">
      <c r="A259" s="3" t="s">
        <v>1334</v>
      </c>
      <c r="B259" s="4" t="str">
        <f ca="1">IFERROR(__xludf.DUMMYFUNCTION("IFERROR(GOOGLETRANSLATE(A259,""ko"",""en""),)"),"dress shirt")</f>
        <v>dress shirt</v>
      </c>
      <c r="C259" s="4" t="str">
        <f ca="1">IFERROR(__xludf.DUMMYFUNCTION("IFERROR(GOOGLETRANSLATE(B259,""en"",""ja""),)"),"ドレスシャツ")</f>
        <v>ドレスシャツ</v>
      </c>
      <c r="D259" s="4" t="str">
        <f ca="1">IFERROR(__xludf.DUMMYFUNCTION("IFERROR(GOOGLETRANSLATE(B259,""en"",""zh-TW""),)"),"襯衫")</f>
        <v>襯衫</v>
      </c>
      <c r="E259" s="4" t="str">
        <f ca="1">IFERROR(__xludf.DUMMYFUNCTION("IFERROR(GOOGLETRANSLATE(B259,""en"",""zh-CN""),)"),"衬衫")</f>
        <v>衬衫</v>
      </c>
    </row>
    <row r="260" spans="1:5">
      <c r="A260" s="5" t="s">
        <v>1339</v>
      </c>
      <c r="B260" s="4" t="str">
        <f ca="1">IFERROR(__xludf.DUMMYFUNCTION("IFERROR(GOOGLETRANSLATE(A260,""ko"",""en""),)"),"school uniform")</f>
        <v>school uniform</v>
      </c>
      <c r="C260" s="4" t="str">
        <f ca="1">IFERROR(__xludf.DUMMYFUNCTION("IFERROR(GOOGLETRANSLATE(B260,""en"",""ja""),)"),"学校の制服")</f>
        <v>学校の制服</v>
      </c>
      <c r="D260" s="4" t="str">
        <f ca="1">IFERROR(__xludf.DUMMYFUNCTION("IFERROR(GOOGLETRANSLATE(B260,""en"",""zh-TW""),)"),"校服")</f>
        <v>校服</v>
      </c>
      <c r="E260" s="4" t="str">
        <f ca="1">IFERROR(__xludf.DUMMYFUNCTION("IFERROR(GOOGLETRANSLATE(B260,""en"",""zh-CN""),)"),"校服")</f>
        <v>校服</v>
      </c>
    </row>
    <row r="261" spans="1:5">
      <c r="A261" s="5" t="s">
        <v>1351</v>
      </c>
      <c r="B261" s="4" t="str">
        <f ca="1">IFERROR(__xludf.DUMMYFUNCTION("IFERROR(GOOGLETRANSLATE(A261,""ko"",""en""),)"),"underwear")</f>
        <v>underwear</v>
      </c>
      <c r="C261" s="4" t="str">
        <f ca="1">IFERROR(__xludf.DUMMYFUNCTION("IFERROR(GOOGLETRANSLATE(B261,""en"",""ja""),)"),"下着")</f>
        <v>下着</v>
      </c>
      <c r="D261" s="4" t="str">
        <f ca="1">IFERROR(__xludf.DUMMYFUNCTION("IFERROR(GOOGLETRANSLATE(B261,""en"",""zh-TW""),)"),"內衣")</f>
        <v>內衣</v>
      </c>
      <c r="E261" s="4" t="str">
        <f ca="1">IFERROR(__xludf.DUMMYFUNCTION("IFERROR(GOOGLETRANSLATE(B261,""en"",""zh-CN""),)"),"内衣")</f>
        <v>内衣</v>
      </c>
    </row>
    <row r="262" spans="1:5">
      <c r="A262" s="3" t="s">
        <v>1359</v>
      </c>
      <c r="B262" s="4" t="str">
        <f ca="1">IFERROR(__xludf.DUMMYFUNCTION("IFERROR(GOOGLETRANSLATE(A262,""ko"",""en""),)"),"sweater")</f>
        <v>sweater</v>
      </c>
      <c r="C262" s="4" t="str">
        <f ca="1">IFERROR(__xludf.DUMMYFUNCTION("IFERROR(GOOGLETRANSLATE(B262,""en"",""ja""),)"),"セーター")</f>
        <v>セーター</v>
      </c>
      <c r="D262" s="4" t="str">
        <f ca="1">IFERROR(__xludf.DUMMYFUNCTION("IFERROR(GOOGLETRANSLATE(B262,""en"",""zh-TW""),)"),"毛衣")</f>
        <v>毛衣</v>
      </c>
      <c r="E262" s="4" t="str">
        <f ca="1">IFERROR(__xludf.DUMMYFUNCTION("IFERROR(GOOGLETRANSLATE(B262,""en"",""zh-CN""),)"),"毛衣")</f>
        <v>毛衣</v>
      </c>
    </row>
    <row r="263" spans="1:5">
      <c r="A263" s="3" t="s">
        <v>1373</v>
      </c>
      <c r="B263" s="4" t="str">
        <f ca="1">IFERROR(__xludf.DUMMYFUNCTION("IFERROR(GOOGLETRANSLATE(A263,""ko"",""en""),)"),"jacket")</f>
        <v>jacket</v>
      </c>
      <c r="C263" s="4" t="str">
        <f ca="1">IFERROR(__xludf.DUMMYFUNCTION("IFERROR(GOOGLETRANSLATE(B263,""en"",""ja""),)"),"ジャケット")</f>
        <v>ジャケット</v>
      </c>
      <c r="D263" s="4" t="str">
        <f ca="1">IFERROR(__xludf.DUMMYFUNCTION("IFERROR(GOOGLETRANSLATE(B263,""en"",""zh-TW""),)"),"夾克")</f>
        <v>夾克</v>
      </c>
      <c r="E263" s="4" t="str">
        <f ca="1">IFERROR(__xludf.DUMMYFUNCTION("IFERROR(GOOGLETRANSLATE(B263,""en"",""zh-CN""),)"),"夹克")</f>
        <v>夹克</v>
      </c>
    </row>
    <row r="264" spans="1:5">
      <c r="A264" s="3" t="s">
        <v>1377</v>
      </c>
      <c r="B264" s="4" t="str">
        <f ca="1">IFERROR(__xludf.DUMMYFUNCTION("IFERROR(GOOGLETRANSLATE(A264,""ko"",""en""),)"),"Jumper")</f>
        <v>Jumper</v>
      </c>
      <c r="C264" s="4" t="str">
        <f ca="1">IFERROR(__xludf.DUMMYFUNCTION("IFERROR(GOOGLETRANSLATE(B264,""en"",""ja""),)"),"ジャンパー")</f>
        <v>ジャンパー</v>
      </c>
      <c r="D264" s="4" t="str">
        <f ca="1">IFERROR(__xludf.DUMMYFUNCTION("IFERROR(GOOGLETRANSLATE(B264,""en"",""zh-TW""),)"),"套頭衫")</f>
        <v>套頭衫</v>
      </c>
      <c r="E264" s="4" t="str">
        <f ca="1">IFERROR(__xludf.DUMMYFUNCTION("IFERROR(GOOGLETRANSLATE(B264,""en"",""zh-CN""),)"),"套头衫")</f>
        <v>套头衫</v>
      </c>
    </row>
    <row r="265" spans="1:5">
      <c r="A265" s="3" t="s">
        <v>1384</v>
      </c>
      <c r="B265" s="4" t="str">
        <f ca="1">IFERROR(__xludf.DUMMYFUNCTION("IFERROR(GOOGLETRANSLATE(A265,""ko"",""en""),)"),"jacket")</f>
        <v>jacket</v>
      </c>
      <c r="C265" s="4" t="str">
        <f ca="1">IFERROR(__xludf.DUMMYFUNCTION("IFERROR(GOOGLETRANSLATE(B265,""en"",""ja""),)"),"ジャケット")</f>
        <v>ジャケット</v>
      </c>
      <c r="D265" s="4" t="str">
        <f ca="1">IFERROR(__xludf.DUMMYFUNCTION("IFERROR(GOOGLETRANSLATE(B265,""en"",""zh-TW""),)"),"夾克")</f>
        <v>夾克</v>
      </c>
      <c r="E265" s="4" t="str">
        <f ca="1">IFERROR(__xludf.DUMMYFUNCTION("IFERROR(GOOGLETRANSLATE(B265,""en"",""zh-CN""),)"),"夹克")</f>
        <v>夹克</v>
      </c>
    </row>
    <row r="266" spans="1:5">
      <c r="A266" s="3" t="s">
        <v>1387</v>
      </c>
      <c r="B266" s="4" t="str">
        <f ca="1">IFERROR(__xludf.DUMMYFUNCTION("IFERROR(GOOGLETRANSLATE(A266,""ko"",""en""),)"),"skirt")</f>
        <v>skirt</v>
      </c>
      <c r="C266" s="4" t="str">
        <f ca="1">IFERROR(__xludf.DUMMYFUNCTION("IFERROR(GOOGLETRANSLATE(B266,""en"",""ja""),)"),"スカート")</f>
        <v>スカート</v>
      </c>
      <c r="D266" s="4" t="str">
        <f ca="1">IFERROR(__xludf.DUMMYFUNCTION("IFERROR(GOOGLETRANSLATE(B266,""en"",""zh-TW""),)"),"裙子")</f>
        <v>裙子</v>
      </c>
      <c r="E266" s="4" t="str">
        <f ca="1">IFERROR(__xludf.DUMMYFUNCTION("IFERROR(GOOGLETRANSLATE(B266,""en"",""zh-CN""),)"),"裙子")</f>
        <v>裙子</v>
      </c>
    </row>
    <row r="267" spans="1:5">
      <c r="A267" s="3" t="s">
        <v>1392</v>
      </c>
      <c r="B267" s="4" t="s">
        <v>1393</v>
      </c>
      <c r="C267" s="4" t="str">
        <f ca="1">IFERROR(__xludf.DUMMYFUNCTION("IFERROR(GOOGLETRANSLATE(B267,""en"",""ja""),)"),"（服を着る）")</f>
        <v>（服を着る）</v>
      </c>
      <c r="D267" s="4" t="str">
        <f ca="1">IFERROR(__xludf.DUMMYFUNCTION("IFERROR(GOOGLETRANSLATE(B267,""en"",""zh-TW""),)"),"穿（衣服）")</f>
        <v>穿（衣服）</v>
      </c>
      <c r="E267" s="4" t="str">
        <f ca="1">IFERROR(__xludf.DUMMYFUNCTION("IFERROR(GOOGLETRANSLATE(B267,""en"",""zh-CN""),)"),"穿（衣服）")</f>
        <v>穿（衣服）</v>
      </c>
    </row>
    <row r="268" spans="1:5">
      <c r="A268" s="5" t="s">
        <v>1397</v>
      </c>
      <c r="B268" s="4" t="s">
        <v>1398</v>
      </c>
      <c r="C268" s="4" t="str">
        <f ca="1">IFERROR(__xludf.DUMMYFUNCTION("IFERROR(GOOGLETRANSLATE(B268,""en"",""ja""),)"),"（頭や顔に）何かを身につける")</f>
        <v>（頭や顔に）何かを身につける</v>
      </c>
      <c r="D268" s="4" t="str">
        <f ca="1">IFERROR(__xludf.DUMMYFUNCTION("IFERROR(GOOGLETRANSLATE(B268,""en"",""zh-TW""),)"),"配戴（頭部/臉部飾品）")</f>
        <v>配戴（頭部/臉部飾品）</v>
      </c>
      <c r="E268" s="4" t="str">
        <f ca="1">IFERROR(__xludf.DUMMYFUNCTION("IFERROR(GOOGLETRANSLATE(B268,""en"",""zh-CN""),)"),"佩戴（头部/面部饰品）")</f>
        <v>佩戴（头部/面部饰品）</v>
      </c>
    </row>
    <row r="269" spans="1:5">
      <c r="A269" s="5" t="s">
        <v>1403</v>
      </c>
      <c r="B269" s="4" t="s">
        <v>1398</v>
      </c>
      <c r="C269" s="4" t="str">
        <f ca="1">IFERROR(__xludf.DUMMYFUNCTION("IFERROR(GOOGLETRANSLATE(B269,""en"",""ja""),)"),"（頭や顔に）何かを身につける")</f>
        <v>（頭や顔に）何かを身につける</v>
      </c>
      <c r="D269" s="4" t="str">
        <f ca="1">IFERROR(__xludf.DUMMYFUNCTION("IFERROR(GOOGLETRANSLATE(B269,""en"",""zh-TW""),)"),"配戴（頭部/臉部飾品）")</f>
        <v>配戴（頭部/臉部飾品）</v>
      </c>
      <c r="E269" s="4" t="str">
        <f ca="1">IFERROR(__xludf.DUMMYFUNCTION("IFERROR(GOOGLETRANSLATE(B269,""en"",""zh-CN""),)"),"佩戴（头部/面部饰品）")</f>
        <v>佩戴（头部/面部饰品）</v>
      </c>
    </row>
    <row r="270" spans="1:5">
      <c r="A270" s="5" t="s">
        <v>1409</v>
      </c>
      <c r="B270" s="4" t="s">
        <v>1410</v>
      </c>
      <c r="C270" s="4" t="str">
        <f ca="1">IFERROR(__xludf.DUMMYFUNCTION("IFERROR(GOOGLETRANSLATE(B270,""en"",""ja""),)"),"（履物を）履く")</f>
        <v>（履物を）履く</v>
      </c>
      <c r="D270" s="4" t="str">
        <f ca="1">IFERROR(__xludf.DUMMYFUNCTION("IFERROR(GOOGLETRANSLATE(B270,""en"",""zh-TW""),)"),"穿（鞋類）")</f>
        <v>穿（鞋類）</v>
      </c>
      <c r="E270" s="4" t="str">
        <f ca="1">IFERROR(__xludf.DUMMYFUNCTION("IFERROR(GOOGLETRANSLATE(B270,""en"",""zh-CN""),)"),"穿（鞋类）")</f>
        <v>穿（鞋类）</v>
      </c>
    </row>
    <row r="271" spans="1:5">
      <c r="A271" s="3" t="s">
        <v>1413</v>
      </c>
      <c r="B271" s="4" t="str">
        <f ca="1">IFERROR(__xludf.DUMMYFUNCTION("IFERROR(GOOGLETRANSLATE(A271,""ko"",""en""),)"),"do")</f>
        <v>do</v>
      </c>
      <c r="C271" s="4" t="str">
        <f ca="1">IFERROR(__xludf.DUMMYFUNCTION("IFERROR(GOOGLETRANSLATE(B271,""en"",""ja""),)"),"する")</f>
        <v>する</v>
      </c>
      <c r="D271" s="4" t="str">
        <f ca="1">IFERROR(__xludf.DUMMYFUNCTION("IFERROR(GOOGLETRANSLATE(B271,""en"",""zh-TW""),)"),"做")</f>
        <v>做</v>
      </c>
      <c r="E271" s="4" t="str">
        <f ca="1">IFERROR(__xludf.DUMMYFUNCTION("IFERROR(GOOGLETRANSLATE(B271,""en"",""zh-CN""),)"),"做")</f>
        <v>做</v>
      </c>
    </row>
    <row r="272" spans="1:5">
      <c r="A272" s="5" t="s">
        <v>1417</v>
      </c>
      <c r="B272" s="4" t="str">
        <f ca="1">IFERROR(__xludf.DUMMYFUNCTION("IFERROR(GOOGLETRANSLATE(A272,""ko"",""en""),)"),"tie")</f>
        <v>tie</v>
      </c>
      <c r="C272" s="4" t="str">
        <f ca="1">IFERROR(__xludf.DUMMYFUNCTION("IFERROR(GOOGLETRANSLATE(B272,""en"",""ja""),)"),"ネクタイ")</f>
        <v>ネクタイ</v>
      </c>
      <c r="D272" s="4" t="str">
        <f ca="1">IFERROR(__xludf.DUMMYFUNCTION("IFERROR(GOOGLETRANSLATE(B272,""en"",""zh-TW""),)"),"領帶")</f>
        <v>領帶</v>
      </c>
      <c r="E272" s="4" t="str">
        <f ca="1">IFERROR(__xludf.DUMMYFUNCTION("IFERROR(GOOGLETRANSLATE(B272,""en"",""zh-CN""),)"),"领带")</f>
        <v>领带</v>
      </c>
    </row>
    <row r="273" spans="1:5">
      <c r="A273" s="5" t="s">
        <v>1422</v>
      </c>
      <c r="B273" s="4" t="s">
        <v>1423</v>
      </c>
      <c r="C273" s="4" t="str">
        <f ca="1">IFERROR(__xludf.DUMMYFUNCTION("IFERROR(GOOGLETRANSLATE(B273,""en"",""ja""),)"),"留める")</f>
        <v>留める</v>
      </c>
      <c r="D273" s="4" t="str">
        <f ca="1">IFERROR(__xludf.DUMMYFUNCTION("IFERROR(GOOGLETRANSLATE(B273,""en"",""zh-TW""),)"),"系")</f>
        <v>系</v>
      </c>
      <c r="E273" s="4" t="str">
        <f ca="1">IFERROR(__xludf.DUMMYFUNCTION("IFERROR(GOOGLETRANSLATE(B273,""en"",""zh-CN""),)"),"系")</f>
        <v>系</v>
      </c>
    </row>
    <row r="274" spans="1:5">
      <c r="A274" s="3" t="s">
        <v>1428</v>
      </c>
      <c r="B274" s="4" t="str">
        <f ca="1">IFERROR(__xludf.DUMMYFUNCTION("IFERROR(GOOGLETRANSLATE(A274,""ko"",""en""),)"),"hold")</f>
        <v>hold</v>
      </c>
      <c r="C274" s="4" t="str">
        <f ca="1">IFERROR(__xludf.DUMMYFUNCTION("IFERROR(GOOGLETRANSLATE(B274,""en"",""ja""),)"),"所有")</f>
        <v>所有</v>
      </c>
      <c r="D274" s="4" t="str">
        <f ca="1">IFERROR(__xludf.DUMMYFUNCTION("IFERROR(GOOGLETRANSLATE(B274,""en"",""zh-TW""),)"),"抓住")</f>
        <v>抓住</v>
      </c>
      <c r="E274" s="4" t="str">
        <f ca="1">IFERROR(__xludf.DUMMYFUNCTION("IFERROR(GOOGLETRANSLATE(B274,""en"",""zh-CN""),)"),"抓住")</f>
        <v>抓住</v>
      </c>
    </row>
    <row r="275" spans="1:5">
      <c r="A275" s="5" t="s">
        <v>1432</v>
      </c>
      <c r="B275" s="4" t="str">
        <f ca="1">IFERROR(__xludf.DUMMYFUNCTION("IFERROR(GOOGLETRANSLATE(A275,""ko"",""en""),)"),"fold")</f>
        <v>fold</v>
      </c>
      <c r="C275" s="4" t="str">
        <f ca="1">IFERROR(__xludf.DUMMYFUNCTION("IFERROR(GOOGLETRANSLATE(B275,""en"",""ja""),)"),"折り畳み")</f>
        <v>折り畳み</v>
      </c>
      <c r="D275" s="4" t="str">
        <f ca="1">IFERROR(__xludf.DUMMYFUNCTION("IFERROR(GOOGLETRANSLATE(B275,""en"",""zh-TW""),)"),"折疊")</f>
        <v>折疊</v>
      </c>
      <c r="E275" s="4" t="str">
        <f ca="1">IFERROR(__xludf.DUMMYFUNCTION("IFERROR(GOOGLETRANSLATE(B275,""en"",""zh-CN""),)"),"折叠")</f>
        <v>折叠</v>
      </c>
    </row>
    <row r="276" spans="1:5">
      <c r="A276" s="3" t="s">
        <v>1437</v>
      </c>
      <c r="B276" s="4" t="str">
        <f ca="1">IFERROR(__xludf.DUMMYFUNCTION("IFERROR(GOOGLETRANSLATE(A276,""ko"",""en""),)"),"boots")</f>
        <v>boots</v>
      </c>
      <c r="C276" s="4" t="str">
        <f ca="1">IFERROR(__xludf.DUMMYFUNCTION("IFERROR(GOOGLETRANSLATE(B276,""en"",""ja""),)"),"ブーツ")</f>
        <v>ブーツ</v>
      </c>
      <c r="D276" s="4" t="str">
        <f ca="1">IFERROR(__xludf.DUMMYFUNCTION("IFERROR(GOOGLETRANSLATE(B276,""en"",""zh-TW""),)"),"靴子")</f>
        <v>靴子</v>
      </c>
      <c r="E276" s="4" t="str">
        <f ca="1">IFERROR(__xludf.DUMMYFUNCTION("IFERROR(GOOGLETRANSLATE(B276,""en"",""zh-CN""),)"),"靴子")</f>
        <v>靴子</v>
      </c>
    </row>
    <row r="277" spans="1:5">
      <c r="A277" s="3" t="s">
        <v>1441</v>
      </c>
      <c r="B277" s="4" t="str">
        <f ca="1">IFERROR(__xludf.DUMMYFUNCTION("IFERROR(GOOGLETRANSLATE(A277,""ko"",""en""),)"),"stockings")</f>
        <v>stockings</v>
      </c>
      <c r="C277" s="4" t="str">
        <f ca="1">IFERROR(__xludf.DUMMYFUNCTION("IFERROR(GOOGLETRANSLATE(B277,""en"",""ja""),)"),"ストッキング")</f>
        <v>ストッキング</v>
      </c>
      <c r="D277" s="4" t="str">
        <f ca="1">IFERROR(__xludf.DUMMYFUNCTION("IFERROR(GOOGLETRANSLATE(B277,""en"",""zh-TW""),)"),"長襪")</f>
        <v>長襪</v>
      </c>
      <c r="E277" s="4" t="str">
        <f ca="1">IFERROR(__xludf.DUMMYFUNCTION("IFERROR(GOOGLETRANSLATE(B277,""en"",""zh-CN""),)"),"长筒袜")</f>
        <v>长筒袜</v>
      </c>
    </row>
    <row r="278" spans="1:5">
      <c r="A278" s="5" t="s">
        <v>1449</v>
      </c>
      <c r="B278" s="4" t="str">
        <f ca="1">IFERROR(__xludf.DUMMYFUNCTION("IFERROR(GOOGLETRANSLATE(A278,""ko"",""en""),)"),"Tie your shoelaces.")</f>
        <v>Tie your shoelaces.</v>
      </c>
      <c r="C278" s="4" t="str">
        <f ca="1">IFERROR(__xludf.DUMMYFUNCTION("IFERROR(GOOGLETRANSLATE(B278,""en"",""ja""),)"),"靴ひもを結んでください。")</f>
        <v>靴ひもを結んでください。</v>
      </c>
      <c r="D278" s="4" t="str">
        <f ca="1">IFERROR(__xludf.DUMMYFUNCTION("IFERROR(GOOGLETRANSLATE(B278,""en"",""zh-TW""),)"),"係好鞋帶。")</f>
        <v>係好鞋帶。</v>
      </c>
      <c r="E278" s="4" t="str">
        <f ca="1">IFERROR(__xludf.DUMMYFUNCTION("IFERROR(GOOGLETRANSLATE(B278,""en"",""zh-CN""),)"),"系好鞋带。")</f>
        <v>系好鞋带。</v>
      </c>
    </row>
    <row r="279" spans="1:5">
      <c r="A279" s="3" t="s">
        <v>1453</v>
      </c>
      <c r="B279" s="4" t="str">
        <f ca="1">IFERROR(__xludf.DUMMYFUNCTION("IFERROR(GOOGLETRANSLATE(A279,""ko"",""en""),)"),"What are you wearing? What are you wearing? Look at the picture and write it down.")</f>
        <v>What are you wearing? What are you wearing? Look at the picture and write it down.</v>
      </c>
      <c r="C279" s="4" t="str">
        <f ca="1">IFERROR(__xludf.DUMMYFUNCTION("IFERROR(GOOGLETRANSLATE(B279,""en"",""ja""),)"),"何を着ていますか？何を着ていますか？写真を見て、書き留めてください。")</f>
        <v>何を着ていますか？何を着ていますか？写真を見て、書き留めてください。</v>
      </c>
      <c r="D279" s="4" t="str">
        <f ca="1">IFERROR(__xludf.DUMMYFUNCTION("IFERROR(GOOGLETRANSLATE(B279,""en"",""zh-TW""),)"),"你穿的是什麼？你穿的是什麼？看看圖片，寫下來。")</f>
        <v>你穿的是什麼？你穿的是什麼？看看圖片，寫下來。</v>
      </c>
      <c r="E279" s="4" t="str">
        <f ca="1">IFERROR(__xludf.DUMMYFUNCTION("IFERROR(GOOGLETRANSLATE(B279,""en"",""zh-CN""),)"),"你穿的是什么？你穿的是什么？看看图片，写下来。")</f>
        <v>你穿的是什么？你穿的是什么？看看图片，写下来。</v>
      </c>
    </row>
    <row r="280" spans="1:5">
      <c r="A280" s="3" t="s">
        <v>1458</v>
      </c>
      <c r="B280" s="4" t="str">
        <f ca="1">IFERROR(__xludf.DUMMYFUNCTION("IFERROR(GOOGLETRANSLATE(A280,""ko"",""en""),)"),"shoes")</f>
        <v>shoes</v>
      </c>
      <c r="C280" s="4" t="str">
        <f ca="1">IFERROR(__xludf.DUMMYFUNCTION("IFERROR(GOOGLETRANSLATE(B280,""en"",""ja""),)"),"靴")</f>
        <v>靴</v>
      </c>
      <c r="D280" s="4" t="str">
        <f ca="1">IFERROR(__xludf.DUMMYFUNCTION("IFERROR(GOOGLETRANSLATE(B280,""en"",""zh-TW""),)"),"鞋")</f>
        <v>鞋</v>
      </c>
      <c r="E280" s="4" t="str">
        <f ca="1">IFERROR(__xludf.DUMMYFUNCTION("IFERROR(GOOGLETRANSLATE(B280,""en"",""zh-CN""),)"),"鞋")</f>
        <v>鞋</v>
      </c>
    </row>
    <row r="281" spans="1:5">
      <c r="A281" s="3" t="s">
        <v>1463</v>
      </c>
      <c r="B281" s="4" t="str">
        <f ca="1">IFERROR(__xludf.DUMMYFUNCTION("IFERROR(GOOGLETRANSLATE(A281,""ko"",""en""),)"),"I am going to an amusement park today. I am wearing jeans.")</f>
        <v>I am going to an amusement park today. I am wearing jeans.</v>
      </c>
      <c r="C281" s="4" t="str">
        <f ca="1">IFERROR(__xludf.DUMMYFUNCTION("IFERROR(GOOGLETRANSLATE(B281,""en"",""ja""),)"),"今日は遊園地に行く予定です。ジーンズを履いています。")</f>
        <v>今日は遊園地に行く予定です。ジーンズを履いています。</v>
      </c>
      <c r="D281" s="4" t="str">
        <f ca="1">IFERROR(__xludf.DUMMYFUNCTION("IFERROR(GOOGLETRANSLATE(B281,""en"",""zh-TW""),)"),"我今天要去遊樂園。我穿的是牛仔褲。")</f>
        <v>我今天要去遊樂園。我穿的是牛仔褲。</v>
      </c>
      <c r="E281" s="4" t="str">
        <f ca="1">IFERROR(__xludf.DUMMYFUNCTION("IFERROR(GOOGLETRANSLATE(B281,""en"",""zh-CN""),)"),"我今天要去游乐园。我穿的是牛仔裤。")</f>
        <v>我今天要去游乐园。我穿的是牛仔裤。</v>
      </c>
    </row>
    <row r="282" spans="1:5">
      <c r="A282" s="3" t="s">
        <v>1471</v>
      </c>
      <c r="B282" s="4" t="str">
        <f ca="1">IFERROR(__xludf.DUMMYFUNCTION("IFERROR(GOOGLETRANSLATE(A282,""ko"",""en""),)"),"I play tennis with a friend. I wear sportswear.")</f>
        <v>I play tennis with a friend. I wear sportswear.</v>
      </c>
      <c r="C282" s="4" t="str">
        <f ca="1">IFERROR(__xludf.DUMMYFUNCTION("IFERROR(GOOGLETRANSLATE(B282,""en"",""ja""),)"),"私は友達とテニスをする。スポーツウェアを着る。")</f>
        <v>私は友達とテニスをする。スポーツウェアを着る。</v>
      </c>
      <c r="D282" s="4" t="str">
        <f ca="1">IFERROR(__xludf.DUMMYFUNCTION("IFERROR(GOOGLETRANSLATE(B282,""en"",""zh-TW""),)"),"我和朋友一起打網球。我穿著運動服。")</f>
        <v>我和朋友一起打網球。我穿著運動服。</v>
      </c>
      <c r="E282" s="4" t="str">
        <f ca="1">IFERROR(__xludf.DUMMYFUNCTION("IFERROR(GOOGLETRANSLATE(B282,""en"",""zh-CN""),)"),"我和朋友一起打网球。我穿着运动服。")</f>
        <v>我和朋友一起打网球。我穿着运动服。</v>
      </c>
    </row>
    <row r="283" spans="1:5">
      <c r="A283" s="3" t="s">
        <v>1477</v>
      </c>
      <c r="B283" s="4" t="str">
        <f ca="1">IFERROR(__xludf.DUMMYFUNCTION("IFERROR(GOOGLETRANSLATE(A283,""ko"",""en""),)"),"The weather is cold these days. Wear a hat.")</f>
        <v>The weather is cold these days. Wear a hat.</v>
      </c>
      <c r="C283" s="4" t="str">
        <f ca="1">IFERROR(__xludf.DUMMYFUNCTION("IFERROR(GOOGLETRANSLATE(B283,""en"",""ja""),)"),"最近は寒いですね。帽子をかぶってください。")</f>
        <v>最近は寒いですね。帽子をかぶってください。</v>
      </c>
      <c r="D283" s="4" t="str">
        <f ca="1">IFERROR(__xludf.DUMMYFUNCTION("IFERROR(GOOGLETRANSLATE(B283,""en"",""zh-TW""),)"),"最近天氣冷，戴帽子吧。")</f>
        <v>最近天氣冷，戴帽子吧。</v>
      </c>
      <c r="E283" s="4" t="str">
        <f ca="1">IFERROR(__xludf.DUMMYFUNCTION("IFERROR(GOOGLETRANSLATE(B283,""en"",""zh-CN""),)"),"最近天气冷，戴顶帽子吧。")</f>
        <v>最近天气冷，戴顶帽子吧。</v>
      </c>
    </row>
    <row r="284" spans="1:5">
      <c r="A284" s="3" t="s">
        <v>1483</v>
      </c>
      <c r="B284" s="4" t="str">
        <f ca="1">IFERROR(__xludf.DUMMYFUNCTION("IFERROR(GOOGLETRANSLATE(A284,""ko"",""en""),)"),"I take a walk in the park. I wear sneakers.")</f>
        <v>I take a walk in the park. I wear sneakers.</v>
      </c>
      <c r="C284" s="4" t="str">
        <f ca="1">IFERROR(__xludf.DUMMYFUNCTION("IFERROR(GOOGLETRANSLATE(B284,""en"",""ja""),)"),"私は公園を散歩します。スニーカーを履きます。")</f>
        <v>私は公園を散歩します。スニーカーを履きます。</v>
      </c>
      <c r="D284" s="4" t="str">
        <f ca="1">IFERROR(__xludf.DUMMYFUNCTION("IFERROR(GOOGLETRANSLATE(B284,""en"",""zh-TW""),)"),"我去公園散步。我穿著運動鞋。")</f>
        <v>我去公園散步。我穿著運動鞋。</v>
      </c>
      <c r="E284" s="4" t="str">
        <f ca="1">IFERROR(__xludf.DUMMYFUNCTION("IFERROR(GOOGLETRANSLATE(B284,""en"",""zh-CN""),)"),"我去公园散步。我穿着运动鞋。")</f>
        <v>我去公园散步。我穿着运动鞋。</v>
      </c>
    </row>
    <row r="285" spans="1:5">
      <c r="A285" s="5" t="s">
        <v>1486</v>
      </c>
      <c r="B285" s="4" t="str">
        <f ca="1">IFERROR(__xludf.DUMMYFUNCTION("IFERROR(GOOGLETRANSLATE(A285,""ko"",""en""),)"),"Wear a suit. Wear a tie.")</f>
        <v>Wear a suit. Wear a tie.</v>
      </c>
      <c r="C285" s="4" t="str">
        <f ca="1">IFERROR(__xludf.DUMMYFUNCTION("IFERROR(GOOGLETRANSLATE(B285,""en"",""ja""),)"),"スーツを着てください。ネクタイを着用してください。")</f>
        <v>スーツを着てください。ネクタイを着用してください。</v>
      </c>
      <c r="D285" s="4" t="str">
        <f ca="1">IFERROR(__xludf.DUMMYFUNCTION("IFERROR(GOOGLETRANSLATE(B285,""en"",""zh-TW""),)"),"穿西裝，打領帶。")</f>
        <v>穿西裝，打領帶。</v>
      </c>
      <c r="E285" s="4" t="str">
        <f ca="1">IFERROR(__xludf.DUMMYFUNCTION("IFERROR(GOOGLETRANSLATE(B285,""en"",""zh-CN""),)"),"穿西装，打领带。")</f>
        <v>穿西装，打领带。</v>
      </c>
    </row>
    <row r="286" spans="1:5">
      <c r="A286" s="5" t="s">
        <v>1492</v>
      </c>
      <c r="B286" s="4" t="s">
        <v>1493</v>
      </c>
      <c r="C286" s="4" t="str">
        <f ca="1">IFERROR(__xludf.DUMMYFUNCTION("IFERROR(GOOGLETRANSLATE(B286,""en"",""ja""),)"),"私は（足に）履いています。")</f>
        <v>私は（足に）履いています。</v>
      </c>
      <c r="D286" s="4" t="str">
        <f ca="1">IFERROR(__xludf.DUMMYFUNCTION("IFERROR(GOOGLETRANSLATE(B286,""en"",""zh-TW""),)"),"我腳上穿著。")</f>
        <v>我腳上穿著。</v>
      </c>
      <c r="E286" s="4" t="str">
        <f ca="1">IFERROR(__xludf.DUMMYFUNCTION("IFERROR(GOOGLETRANSLATE(B286,""en"",""zh-CN""),)"),"我脚上穿着。")</f>
        <v>我脚上穿着。</v>
      </c>
    </row>
    <row r="287" spans="1:5">
      <c r="A287" s="3" t="s">
        <v>1497</v>
      </c>
      <c r="B287" s="4" t="str">
        <f ca="1">IFERROR(__xludf.DUMMYFUNCTION("IFERROR(GOOGLETRANSLATE(A287,""ko"",""en""),)"),"What clothes do you want to buy?")</f>
        <v>What clothes do you want to buy?</v>
      </c>
      <c r="C287" s="4" t="str">
        <f ca="1">IFERROR(__xludf.DUMMYFUNCTION("IFERROR(GOOGLETRANSLATE(B287,""en"",""ja""),)"),"どんな服を買いたいですか？")</f>
        <v>どんな服を買いたいですか？</v>
      </c>
      <c r="D287" s="4" t="str">
        <f ca="1">IFERROR(__xludf.DUMMYFUNCTION("IFERROR(GOOGLETRANSLATE(B287,""en"",""zh-TW""),)"),"你想買什麼衣服？")</f>
        <v>你想買什麼衣服？</v>
      </c>
      <c r="E287" s="4" t="str">
        <f ca="1">IFERROR(__xludf.DUMMYFUNCTION("IFERROR(GOOGLETRANSLATE(B287,""en"",""zh-CN""),)"),"你想买什么衣服？")</f>
        <v>你想买什么衣服？</v>
      </c>
    </row>
    <row r="288" spans="1:5">
      <c r="A288" s="3" t="s">
        <v>1499</v>
      </c>
      <c r="B288" s="4" t="str">
        <f ca="1">IFERROR(__xludf.DUMMYFUNCTION("IFERROR(GOOGLETRANSLATE(A288,""ko"",""en""),)"),"I want to buy jeans.")</f>
        <v>I want to buy jeans.</v>
      </c>
      <c r="C288" s="4" t="str">
        <f ca="1">IFERROR(__xludf.DUMMYFUNCTION("IFERROR(GOOGLETRANSLATE(B288,""en"",""ja""),)"),"ジーンズを買いたい。")</f>
        <v>ジーンズを買いたい。</v>
      </c>
      <c r="D288" s="4" t="str">
        <f ca="1">IFERROR(__xludf.DUMMYFUNCTION("IFERROR(GOOGLETRANSLATE(B288,""en"",""zh-TW""),)"),"我想買牛仔褲。")</f>
        <v>我想買牛仔褲。</v>
      </c>
      <c r="E288" s="4" t="str">
        <f ca="1">IFERROR(__xludf.DUMMYFUNCTION("IFERROR(GOOGLETRANSLATE(B288,""en"",""zh-CN""),)"),"我想买牛仔裤。")</f>
        <v>我想买牛仔裤。</v>
      </c>
    </row>
    <row r="289" spans="1:5">
      <c r="A289" s="5" t="s">
        <v>1503</v>
      </c>
      <c r="B289" s="4" t="str">
        <f ca="1">IFERROR(__xludf.DUMMYFUNCTION("IFERROR(GOOGLETRANSLATE(A289,""ko"",""en""),)"),"I want to buy a yellow polo shirt.")</f>
        <v>I want to buy a yellow polo shirt.</v>
      </c>
      <c r="C289" s="4" t="str">
        <f ca="1">IFERROR(__xludf.DUMMYFUNCTION("IFERROR(GOOGLETRANSLATE(B289,""en"",""ja""),)"),"黄色のポロシャツを買いたいです。")</f>
        <v>黄色のポロシャツを買いたいです。</v>
      </c>
      <c r="D289" s="4" t="str">
        <f ca="1">IFERROR(__xludf.DUMMYFUNCTION("IFERROR(GOOGLETRANSLATE(B289,""en"",""zh-TW""),)"),"我想買一件黃色polo衫。")</f>
        <v>我想買一件黃色polo衫。</v>
      </c>
      <c r="E289" s="4" t="str">
        <f ca="1">IFERROR(__xludf.DUMMYFUNCTION("IFERROR(GOOGLETRANSLATE(B289,""en"",""zh-CN""),)"),"我想买一件黄色polo衫。")</f>
        <v>我想买一件黄色polo衫。</v>
      </c>
    </row>
    <row r="290" spans="1:5">
      <c r="A290" s="3" t="s">
        <v>271</v>
      </c>
      <c r="B290" s="4" t="str">
        <f ca="1">IFERROR(__xludf.DUMMYFUNCTION("IFERROR(GOOGLETRANSLATE(A290,""ko"",""en""),)"),"What kind of shoes do you want to buy?")</f>
        <v>What kind of shoes do you want to buy?</v>
      </c>
      <c r="C290" s="4" t="str">
        <f ca="1">IFERROR(__xludf.DUMMYFUNCTION("IFERROR(GOOGLETRANSLATE(B290,""en"",""ja""),)"),"どんな靴を買いたいですか？")</f>
        <v>どんな靴を買いたいですか？</v>
      </c>
      <c r="D290" s="4" t="str">
        <f ca="1">IFERROR(__xludf.DUMMYFUNCTION("IFERROR(GOOGLETRANSLATE(B290,""en"",""zh-TW""),)"),"你想買什麼樣的鞋子？")</f>
        <v>你想買什麼樣的鞋子？</v>
      </c>
      <c r="E290" s="4" t="str">
        <f ca="1">IFERROR(__xludf.DUMMYFUNCTION("IFERROR(GOOGLETRANSLATE(B290,""en"",""zh-CN""),)"),"你想买什么样的鞋子？")</f>
        <v>你想买什么样的鞋子？</v>
      </c>
    </row>
    <row r="291" spans="1:5">
      <c r="A291" s="5" t="s">
        <v>277</v>
      </c>
      <c r="B291" s="4" t="str">
        <f ca="1">IFERROR(__xludf.DUMMYFUNCTION("IFERROR(GOOGLETRANSLATE(A291,""ko"",""en""),)"),"I want to buy sneakers.")</f>
        <v>I want to buy sneakers.</v>
      </c>
      <c r="C291" s="4" t="str">
        <f ca="1">IFERROR(__xludf.DUMMYFUNCTION("IFERROR(GOOGLETRANSLATE(B291,""en"",""ja""),)"),"スニーカーを買いたい。")</f>
        <v>スニーカーを買いたい。</v>
      </c>
      <c r="D291" s="4" t="str">
        <f ca="1">IFERROR(__xludf.DUMMYFUNCTION("IFERROR(GOOGLETRANSLATE(B291,""en"",""zh-TW""),)"),"我想買運動鞋。")</f>
        <v>我想買運動鞋。</v>
      </c>
      <c r="E291" s="4" t="str">
        <f ca="1">IFERROR(__xludf.DUMMYFUNCTION("IFERROR(GOOGLETRANSLATE(B291,""en"",""zh-CN""),)"),"我想买运动鞋。")</f>
        <v>我想买运动鞋。</v>
      </c>
    </row>
    <row r="292" spans="1:5">
      <c r="A292" s="3" t="s">
        <v>1513</v>
      </c>
      <c r="B292" s="4" t="str">
        <f ca="1">IFERROR(__xludf.DUMMYFUNCTION("IFERROR(GOOGLETRANSLATE(A292,""ko"",""en""),)"),"Do you want to buy pants?")</f>
        <v>Do you want to buy pants?</v>
      </c>
      <c r="C292" s="4" t="str">
        <f ca="1">IFERROR(__xludf.DUMMYFUNCTION("IFERROR(GOOGLETRANSLATE(B292,""en"",""ja""),)"),"ズボンを買いたいですか？")</f>
        <v>ズボンを買いたいですか？</v>
      </c>
      <c r="D292" s="4" t="str">
        <f ca="1">IFERROR(__xludf.DUMMYFUNCTION("IFERROR(GOOGLETRANSLATE(B292,""en"",""zh-TW""),)"),"你想買褲子嗎？")</f>
        <v>你想買褲子嗎？</v>
      </c>
      <c r="E292" s="4" t="str">
        <f ca="1">IFERROR(__xludf.DUMMYFUNCTION("IFERROR(GOOGLETRANSLATE(B292,""en"",""zh-CN""),)"),"你想买裤子吗？")</f>
        <v>你想买裤子吗？</v>
      </c>
    </row>
    <row r="293" spans="1:5">
      <c r="A293" s="3" t="s">
        <v>1517</v>
      </c>
      <c r="B293" s="4" t="str">
        <f ca="1">IFERROR(__xludf.DUMMYFUNCTION("IFERROR(GOOGLETRANSLATE(A293,""ko"",""en""),)"),"No, I want to buy a skirt.")</f>
        <v>No, I want to buy a skirt.</v>
      </c>
      <c r="C293" s="4" t="str">
        <f ca="1">IFERROR(__xludf.DUMMYFUNCTION("IFERROR(GOOGLETRANSLATE(B293,""en"",""ja""),)"),"いいえ、スカートを買いたいんです。")</f>
        <v>いいえ、スカートを買いたいんです。</v>
      </c>
      <c r="D293" s="4" t="str">
        <f ca="1">IFERROR(__xludf.DUMMYFUNCTION("IFERROR(GOOGLETRANSLATE(B293,""en"",""zh-TW""),)"),"不，我想買條裙子。")</f>
        <v>不，我想買條裙子。</v>
      </c>
      <c r="E293" s="4" t="str">
        <f ca="1">IFERROR(__xludf.DUMMYFUNCTION("IFERROR(GOOGLETRANSLATE(B293,""en"",""zh-CN""),)"),"不，我想买条裙子。")</f>
        <v>不，我想买条裙子。</v>
      </c>
    </row>
    <row r="294" spans="1:5">
      <c r="A294" s="3" t="s">
        <v>1521</v>
      </c>
      <c r="B294" s="4" t="str">
        <f ca="1">IFERROR(__xludf.DUMMYFUNCTION("IFERROR(GOOGLETRANSLATE(A294,""ko"",""en""),)"),"Do you want to buy sneakers?")</f>
        <v>Do you want to buy sneakers?</v>
      </c>
      <c r="C294" s="4" t="str">
        <f ca="1">IFERROR(__xludf.DUMMYFUNCTION("IFERROR(GOOGLETRANSLATE(B294,""en"",""ja""),)"),"スニーカーを買いたいですか？")</f>
        <v>スニーカーを買いたいですか？</v>
      </c>
      <c r="D294" s="4" t="str">
        <f ca="1">IFERROR(__xludf.DUMMYFUNCTION("IFERROR(GOOGLETRANSLATE(B294,""en"",""zh-TW""),)"),"你想買運動鞋嗎？")</f>
        <v>你想買運動鞋嗎？</v>
      </c>
      <c r="E294" s="4" t="str">
        <f ca="1">IFERROR(__xludf.DUMMYFUNCTION("IFERROR(GOOGLETRANSLATE(B294,""en"",""zh-CN""),)"),"你想买运动鞋吗？")</f>
        <v>你想买运动鞋吗？</v>
      </c>
    </row>
    <row r="295" spans="1:5">
      <c r="A295" s="3" t="s">
        <v>1525</v>
      </c>
      <c r="B295" s="4" t="str">
        <f ca="1">IFERROR(__xludf.DUMMYFUNCTION("IFERROR(GOOGLETRANSLATE(A295,""ko"",""en""),)"),"No, I want to buy shoes.")</f>
        <v>No, I want to buy shoes.</v>
      </c>
      <c r="C295" s="4" t="str">
        <f ca="1">IFERROR(__xludf.DUMMYFUNCTION("IFERROR(GOOGLETRANSLATE(B295,""en"",""ja""),)"),"いいえ、靴を買いたいんです。")</f>
        <v>いいえ、靴を買いたいんです。</v>
      </c>
      <c r="D295" s="4" t="str">
        <f ca="1">IFERROR(__xludf.DUMMYFUNCTION("IFERROR(GOOGLETRANSLATE(B295,""en"",""zh-TW""),)"),"不，我想買鞋。")</f>
        <v>不，我想買鞋。</v>
      </c>
      <c r="E295" s="4" t="str">
        <f ca="1">IFERROR(__xludf.DUMMYFUNCTION("IFERROR(GOOGLETRANSLATE(B295,""en"",""zh-CN""),)"),"不，我想买鞋。")</f>
        <v>不，我想买鞋。</v>
      </c>
    </row>
    <row r="296" spans="1:5">
      <c r="A296" s="5" t="s">
        <v>1530</v>
      </c>
      <c r="B296" s="4" t="str">
        <f ca="1">IFERROR(__xludf.DUMMYFUNCTION("IFERROR(GOOGLETRANSLATE(A296,""ko"",""en""),)"),"red")</f>
        <v>red</v>
      </c>
      <c r="C296" s="4" t="str">
        <f ca="1">IFERROR(__xludf.DUMMYFUNCTION("IFERROR(GOOGLETRANSLATE(B296,""en"",""ja""),)"),"赤")</f>
        <v>赤</v>
      </c>
      <c r="D296" s="4" t="str">
        <f ca="1">IFERROR(__xludf.DUMMYFUNCTION("IFERROR(GOOGLETRANSLATE(B296,""en"",""zh-TW""),)"),"紅色的")</f>
        <v>紅色的</v>
      </c>
      <c r="E296" s="4" t="str">
        <f ca="1">IFERROR(__xludf.DUMMYFUNCTION("IFERROR(GOOGLETRANSLATE(B296,""en"",""zh-CN""),)"),"红色的")</f>
        <v>红色的</v>
      </c>
    </row>
    <row r="297" spans="1:5">
      <c r="A297" s="5" t="s">
        <v>1533</v>
      </c>
      <c r="B297" s="4" t="str">
        <f ca="1">IFERROR(__xludf.DUMMYFUNCTION("IFERROR(GOOGLETRANSLATE(A297,""ko"",""en""),)"),"orange")</f>
        <v>orange</v>
      </c>
      <c r="C297" s="4" t="str">
        <f ca="1">IFERROR(__xludf.DUMMYFUNCTION("IFERROR(GOOGLETRANSLATE(B297,""en"",""ja""),)"),"オレンジ")</f>
        <v>オレンジ</v>
      </c>
      <c r="D297" s="4" t="str">
        <f ca="1">IFERROR(__xludf.DUMMYFUNCTION("IFERROR(GOOGLETRANSLATE(B297,""en"",""zh-TW""),)"),"橘子")</f>
        <v>橘子</v>
      </c>
      <c r="E297" s="4" t="str">
        <f ca="1">IFERROR(__xludf.DUMMYFUNCTION("IFERROR(GOOGLETRANSLATE(B297,""en"",""zh-CN""),)"),"橙子")</f>
        <v>橙子</v>
      </c>
    </row>
    <row r="298" spans="1:5">
      <c r="A298" s="5" t="s">
        <v>1537</v>
      </c>
      <c r="B298" s="4" t="str">
        <f ca="1">IFERROR(__xludf.DUMMYFUNCTION("IFERROR(GOOGLETRANSLATE(A298,""ko"",""en""),)"),"yellow")</f>
        <v>yellow</v>
      </c>
      <c r="C298" s="4" t="str">
        <f ca="1">IFERROR(__xludf.DUMMYFUNCTION("IFERROR(GOOGLETRANSLATE(B298,""en"",""ja""),)"),"黄色")</f>
        <v>黄色</v>
      </c>
      <c r="D298" s="4" t="str">
        <f ca="1">IFERROR(__xludf.DUMMYFUNCTION("IFERROR(GOOGLETRANSLATE(B298,""en"",""zh-TW""),)"),"黃色的")</f>
        <v>黃色的</v>
      </c>
      <c r="E298" s="4" t="str">
        <f ca="1">IFERROR(__xludf.DUMMYFUNCTION("IFERROR(GOOGLETRANSLATE(B298,""en"",""zh-CN""),)"),"黄色的")</f>
        <v>黄色的</v>
      </c>
    </row>
    <row r="299" spans="1:5">
      <c r="A299" s="5" t="s">
        <v>1542</v>
      </c>
      <c r="B299" s="4" t="str">
        <f ca="1">IFERROR(__xludf.DUMMYFUNCTION("IFERROR(GOOGLETRANSLATE(A299,""ko"",""en""),)"),"Light green")</f>
        <v>Light green</v>
      </c>
      <c r="C299" s="4" t="str">
        <f ca="1">IFERROR(__xludf.DUMMYFUNCTION("IFERROR(GOOGLETRANSLATE(B299,""en"",""ja""),)"),"薄緑色")</f>
        <v>薄緑色</v>
      </c>
      <c r="D299" s="4" t="str">
        <f ca="1">IFERROR(__xludf.DUMMYFUNCTION("IFERROR(GOOGLETRANSLATE(B299,""en"",""zh-TW""),)"),"淺綠色")</f>
        <v>淺綠色</v>
      </c>
      <c r="E299" s="4" t="str">
        <f ca="1">IFERROR(__xludf.DUMMYFUNCTION("IFERROR(GOOGLETRANSLATE(B299,""en"",""zh-CN""),)"),"浅绿色")</f>
        <v>浅绿色</v>
      </c>
    </row>
    <row r="300" spans="1:5">
      <c r="A300" s="5" t="s">
        <v>1545</v>
      </c>
      <c r="B300" s="4" t="s">
        <v>1546</v>
      </c>
      <c r="C300" s="4" t="str">
        <f ca="1">IFERROR(__xludf.DUMMYFUNCTION("IFERROR(GOOGLETRANSLATE(B300,""en"",""ja""),)"),"緑")</f>
        <v>緑</v>
      </c>
      <c r="D300" s="4" t="str">
        <f ca="1">IFERROR(__xludf.DUMMYFUNCTION("IFERROR(GOOGLETRANSLATE(B300,""en"",""zh-TW""),)"),"綠色的")</f>
        <v>綠色的</v>
      </c>
      <c r="E300" s="4" t="str">
        <f ca="1">IFERROR(__xludf.DUMMYFUNCTION("IFERROR(GOOGLETRANSLATE(B300,""en"",""zh-CN""),)"),"绿色的")</f>
        <v>绿色的</v>
      </c>
    </row>
    <row r="301" spans="1:5">
      <c r="A301" s="3" t="s">
        <v>1549</v>
      </c>
      <c r="B301" s="4" t="str">
        <f ca="1">IFERROR(__xludf.DUMMYFUNCTION("IFERROR(GOOGLETRANSLATE(A301,""ko"",""en""),)"),"green")</f>
        <v>green</v>
      </c>
      <c r="C301" s="4" t="str">
        <f ca="1">IFERROR(__xludf.DUMMYFUNCTION("IFERROR(GOOGLETRANSLATE(B301,""en"",""ja""),)"),"緑")</f>
        <v>緑</v>
      </c>
      <c r="D301" s="4" t="str">
        <f ca="1">IFERROR(__xludf.DUMMYFUNCTION("IFERROR(GOOGLETRANSLATE(B301,""en"",""zh-TW""),)"),"綠色的")</f>
        <v>綠色的</v>
      </c>
      <c r="E301" s="4" t="str">
        <f ca="1">IFERROR(__xludf.DUMMYFUNCTION("IFERROR(GOOGLETRANSLATE(B301,""en"",""zh-CN""),)"),"绿色的")</f>
        <v>绿色的</v>
      </c>
    </row>
    <row r="302" spans="1:5">
      <c r="A302" s="3" t="s">
        <v>1554</v>
      </c>
      <c r="B302" s="4" t="str">
        <f ca="1">IFERROR(__xludf.DUMMYFUNCTION("IFERROR(GOOGLETRANSLATE(A302,""ko"",""en""),)"),"sky blue")</f>
        <v>sky blue</v>
      </c>
      <c r="C302" s="4" t="str">
        <f ca="1">IFERROR(__xludf.DUMMYFUNCTION("IFERROR(GOOGLETRANSLATE(B302,""en"",""ja""),)"),"スカイブルー")</f>
        <v>スカイブルー</v>
      </c>
      <c r="D302" s="4" t="str">
        <f ca="1">IFERROR(__xludf.DUMMYFUNCTION("IFERROR(GOOGLETRANSLATE(B302,""en"",""zh-TW""),)"),"天藍色")</f>
        <v>天藍色</v>
      </c>
      <c r="E302" s="4" t="str">
        <f ca="1">IFERROR(__xludf.DUMMYFUNCTION("IFERROR(GOOGLETRANSLATE(B302,""en"",""zh-CN""),)"),"天蓝色")</f>
        <v>天蓝色</v>
      </c>
    </row>
    <row r="303" spans="1:5">
      <c r="A303" s="5" t="s">
        <v>1557</v>
      </c>
      <c r="B303" s="4" t="str">
        <f ca="1">IFERROR(__xludf.DUMMYFUNCTION("IFERROR(GOOGLETRANSLATE(A303,""ko"",""en""),)"),"blue")</f>
        <v>blue</v>
      </c>
      <c r="C303" s="4" t="str">
        <f ca="1">IFERROR(__xludf.DUMMYFUNCTION("IFERROR(GOOGLETRANSLATE(B303,""en"",""ja""),)"),"青")</f>
        <v>青</v>
      </c>
      <c r="D303" s="4" t="str">
        <f ca="1">IFERROR(__xludf.DUMMYFUNCTION("IFERROR(GOOGLETRANSLATE(B303,""en"",""zh-TW""),)"),"藍色的")</f>
        <v>藍色的</v>
      </c>
      <c r="E303" s="4" t="str">
        <f ca="1">IFERROR(__xludf.DUMMYFUNCTION("IFERROR(GOOGLETRANSLATE(B303,""en"",""zh-CN""),)"),"蓝色的")</f>
        <v>蓝色的</v>
      </c>
    </row>
    <row r="304" spans="1:5">
      <c r="A304" s="5" t="s">
        <v>1562</v>
      </c>
      <c r="B304" s="4" t="s">
        <v>1563</v>
      </c>
      <c r="C304" s="4" t="str">
        <f ca="1">IFERROR(__xludf.DUMMYFUNCTION("IFERROR(GOOGLETRANSLATE(B304,""en"",""ja""),)"),"ネイビーブルー")</f>
        <v>ネイビーブルー</v>
      </c>
      <c r="D304" s="4" t="str">
        <f ca="1">IFERROR(__xludf.DUMMYFUNCTION("IFERROR(GOOGLETRANSLATE(B304,""en"",""zh-TW""),)"),"海軍藍")</f>
        <v>海軍藍</v>
      </c>
      <c r="E304" s="4" t="str">
        <f ca="1">IFERROR(__xludf.DUMMYFUNCTION("IFERROR(GOOGLETRANSLATE(B304,""en"",""zh-CN""),)"),"海军蓝")</f>
        <v>海军蓝</v>
      </c>
    </row>
    <row r="305" spans="1:5">
      <c r="A305" s="5" t="s">
        <v>1567</v>
      </c>
      <c r="B305" s="4" t="str">
        <f ca="1">IFERROR(__xludf.DUMMYFUNCTION("IFERROR(GOOGLETRANSLATE(A305,""ko"",""en""),)"),"purple")</f>
        <v>purple</v>
      </c>
      <c r="C305" s="4" t="str">
        <f ca="1">IFERROR(__xludf.DUMMYFUNCTION("IFERROR(GOOGLETRANSLATE(B305,""en"",""ja""),)"),"紫")</f>
        <v>紫</v>
      </c>
      <c r="D305" s="4" t="str">
        <f ca="1">IFERROR(__xludf.DUMMYFUNCTION("IFERROR(GOOGLETRANSLATE(B305,""en"",""zh-TW""),)"),"紫色的")</f>
        <v>紫色的</v>
      </c>
      <c r="E305" s="4" t="str">
        <f ca="1">IFERROR(__xludf.DUMMYFUNCTION("IFERROR(GOOGLETRANSLATE(B305,""en"",""zh-CN""),)"),"紫色的")</f>
        <v>紫色的</v>
      </c>
    </row>
    <row r="306" spans="1:5">
      <c r="A306" s="5" t="s">
        <v>1571</v>
      </c>
      <c r="B306" s="4" t="str">
        <f ca="1">IFERROR(__xludf.DUMMYFUNCTION("IFERROR(GOOGLETRANSLATE(A306,""ko"",""en""),)"),"pink")</f>
        <v>pink</v>
      </c>
      <c r="C306" s="4" t="str">
        <f ca="1">IFERROR(__xludf.DUMMYFUNCTION("IFERROR(GOOGLETRANSLATE(B306,""en"",""ja""),)"),"ピンク")</f>
        <v>ピンク</v>
      </c>
      <c r="D306" s="4" t="str">
        <f ca="1">IFERROR(__xludf.DUMMYFUNCTION("IFERROR(GOOGLETRANSLATE(B306,""en"",""zh-TW""),)"),"粉紅色的")</f>
        <v>粉紅色的</v>
      </c>
      <c r="E306" s="4" t="str">
        <f ca="1">IFERROR(__xludf.DUMMYFUNCTION("IFERROR(GOOGLETRANSLATE(B306,""en"",""zh-CN""),)"),"粉色的")</f>
        <v>粉色的</v>
      </c>
    </row>
    <row r="307" spans="1:5">
      <c r="A307" s="5" t="s">
        <v>1577</v>
      </c>
      <c r="B307" s="4" t="str">
        <f ca="1">IFERROR(__xludf.DUMMYFUNCTION("IFERROR(GOOGLETRANSLATE(A307,""ko"",""en""),)"),"gray")</f>
        <v>gray</v>
      </c>
      <c r="C307" s="4" t="str">
        <f ca="1">IFERROR(__xludf.DUMMYFUNCTION("IFERROR(GOOGLETRANSLATE(B307,""en"",""ja""),)"),"グレー")</f>
        <v>グレー</v>
      </c>
      <c r="D307" s="4" t="str">
        <f ca="1">IFERROR(__xludf.DUMMYFUNCTION("IFERROR(GOOGLETRANSLATE(B307,""en"",""zh-TW""),)"),"灰色的")</f>
        <v>灰色的</v>
      </c>
      <c r="E307" s="4" t="str">
        <f ca="1">IFERROR(__xludf.DUMMYFUNCTION("IFERROR(GOOGLETRANSLATE(B307,""en"",""zh-CN""),)"),"灰色的")</f>
        <v>灰色的</v>
      </c>
    </row>
    <row r="308" spans="1:5">
      <c r="A308" s="5" t="s">
        <v>1582</v>
      </c>
      <c r="B308" s="4" t="s">
        <v>1583</v>
      </c>
      <c r="C308" s="4" t="str">
        <f ca="1">IFERROR(__xludf.DUMMYFUNCTION("IFERROR(GOOGLETRANSLATE(B308,""en"",""ja""),)"),"黒")</f>
        <v>黒</v>
      </c>
      <c r="D308" s="4" t="str">
        <f ca="1">IFERROR(__xludf.DUMMYFUNCTION("IFERROR(GOOGLETRANSLATE(B308,""en"",""zh-TW""),)"),"黑色的")</f>
        <v>黑色的</v>
      </c>
      <c r="E308" s="4" t="str">
        <f ca="1">IFERROR(__xludf.DUMMYFUNCTION("IFERROR(GOOGLETRANSLATE(B308,""en"",""zh-CN""),)"),"黑色的")</f>
        <v>黑色的</v>
      </c>
    </row>
    <row r="309" spans="1:5">
      <c r="A309" s="5" t="s">
        <v>1586</v>
      </c>
      <c r="B309" s="4" t="s">
        <v>1587</v>
      </c>
      <c r="C309" s="4" t="str">
        <f ca="1">IFERROR(__xludf.DUMMYFUNCTION("IFERROR(GOOGLETRANSLATE(B309,""en"",""ja""),)"),"黒（名詞の前に使用）")</f>
        <v>黒（名詞の前に使用）</v>
      </c>
      <c r="D309" s="4" t="str">
        <f ca="1">IFERROR(__xludf.DUMMYFUNCTION("IFERROR(GOOGLETRANSLATE(B309,""en"",""zh-TW""),)"),"黑色（用於名詞前）")</f>
        <v>黑色（用於名詞前）</v>
      </c>
      <c r="E309" s="4" t="str">
        <f ca="1">IFERROR(__xludf.DUMMYFUNCTION("IFERROR(GOOGLETRANSLATE(B309,""en"",""zh-CN""),)"),"黑色（用于名词前）")</f>
        <v>黑色（用于名词前）</v>
      </c>
    </row>
    <row r="310" spans="1:5">
      <c r="A310" s="5" t="s">
        <v>1592</v>
      </c>
      <c r="B310" s="4" t="str">
        <f ca="1">IFERROR(__xludf.DUMMYFUNCTION("IFERROR(GOOGLETRANSLATE(A310,""ko"",""en""),)"),"black")</f>
        <v>black</v>
      </c>
      <c r="C310" s="4" t="str">
        <f ca="1">IFERROR(__xludf.DUMMYFUNCTION("IFERROR(GOOGLETRANSLATE(B310,""en"",""ja""),)"),"黒")</f>
        <v>黒</v>
      </c>
      <c r="D310" s="4" t="str">
        <f ca="1">IFERROR(__xludf.DUMMYFUNCTION("IFERROR(GOOGLETRANSLATE(B310,""en"",""zh-TW""),)"),"黑色的")</f>
        <v>黑色的</v>
      </c>
      <c r="E310" s="4" t="str">
        <f ca="1">IFERROR(__xludf.DUMMYFUNCTION("IFERROR(GOOGLETRANSLATE(B310,""en"",""zh-CN""),)"),"黑色的")</f>
        <v>黑色的</v>
      </c>
    </row>
    <row r="311" spans="1:5">
      <c r="A311" s="5" t="s">
        <v>1597</v>
      </c>
      <c r="B311" s="4" t="str">
        <f ca="1">IFERROR(__xludf.DUMMYFUNCTION("IFERROR(GOOGLETRANSLATE(A311,""ko"",""en""),)"),"brown")</f>
        <v>brown</v>
      </c>
      <c r="C311" s="4" t="str">
        <f ca="1">IFERROR(__xludf.DUMMYFUNCTION("IFERROR(GOOGLETRANSLATE(B311,""en"",""ja""),)"),"茶色")</f>
        <v>茶色</v>
      </c>
      <c r="D311" s="4" t="str">
        <f ca="1">IFERROR(__xludf.DUMMYFUNCTION("IFERROR(GOOGLETRANSLATE(B311,""en"",""zh-TW""),)"),"棕色的")</f>
        <v>棕色的</v>
      </c>
      <c r="E311" s="4" t="str">
        <f ca="1">IFERROR(__xludf.DUMMYFUNCTION("IFERROR(GOOGLETRANSLATE(B311,""en"",""zh-CN""),)"),"棕色的")</f>
        <v>棕色的</v>
      </c>
    </row>
    <row r="312" spans="1:5">
      <c r="A312" s="5" t="s">
        <v>1602</v>
      </c>
      <c r="B312" s="4" t="str">
        <f ca="1">IFERROR(__xludf.DUMMYFUNCTION("IFERROR(GOOGLETRANSLATE(A312,""ko"",""en""),)"),"white")</f>
        <v>white</v>
      </c>
      <c r="C312" s="4" t="str">
        <f ca="1">IFERROR(__xludf.DUMMYFUNCTION("IFERROR(GOOGLETRANSLATE(B312,""en"",""ja""),)"),"白")</f>
        <v>白</v>
      </c>
      <c r="D312" s="4" t="str">
        <f ca="1">IFERROR(__xludf.DUMMYFUNCTION("IFERROR(GOOGLETRANSLATE(B312,""en"",""zh-TW""),)"),"白色的")</f>
        <v>白色的</v>
      </c>
      <c r="E312" s="4" t="str">
        <f ca="1">IFERROR(__xludf.DUMMYFUNCTION("IFERROR(GOOGLETRANSLATE(B312,""en"",""zh-CN""),)"),"白色的")</f>
        <v>白色的</v>
      </c>
    </row>
    <row r="313" spans="1:5">
      <c r="A313" s="5" t="s">
        <v>1096</v>
      </c>
      <c r="B313" s="4" t="str">
        <f ca="1">IFERROR(__xludf.DUMMYFUNCTION("IFERROR(GOOGLETRANSLATE(A313,""ko"",""en""),)"),"white")</f>
        <v>white</v>
      </c>
      <c r="C313" s="4" t="str">
        <f ca="1">IFERROR(__xludf.DUMMYFUNCTION("IFERROR(GOOGLETRANSLATE(B313,""en"",""ja""),)"),"白")</f>
        <v>白</v>
      </c>
      <c r="D313" s="4" t="str">
        <f ca="1">IFERROR(__xludf.DUMMYFUNCTION("IFERROR(GOOGLETRANSLATE(B313,""en"",""zh-TW""),)"),"白色的")</f>
        <v>白色的</v>
      </c>
      <c r="E313" s="4" t="str">
        <f ca="1">IFERROR(__xludf.DUMMYFUNCTION("IFERROR(GOOGLETRANSLATE(B313,""en"",""zh-CN""),)"),"白色的")</f>
        <v>白色的</v>
      </c>
    </row>
    <row r="314" spans="1:5">
      <c r="A314" s="3" t="s">
        <v>1610</v>
      </c>
      <c r="B314" s="4" t="str">
        <f ca="1">IFERROR(__xludf.DUMMYFUNCTION("IFERROR(GOOGLETRANSLATE(A314,""ko"",""en""),)"),"Why are you going to the train station?")</f>
        <v>Why are you going to the train station?</v>
      </c>
      <c r="C314" s="4" t="str">
        <f ca="1">IFERROR(__xludf.DUMMYFUNCTION("IFERROR(GOOGLETRANSLATE(B314,""en"",""ja""),)"),"なぜ駅に行くのですか？")</f>
        <v>なぜ駅に行くのですか？</v>
      </c>
      <c r="D314" s="4" t="str">
        <f ca="1">IFERROR(__xludf.DUMMYFUNCTION("IFERROR(GOOGLETRANSLATE(B314,""en"",""zh-TW""),)"),"為什麼要去火車站？")</f>
        <v>為什麼要去火車站？</v>
      </c>
      <c r="E314" s="4" t="str">
        <f ca="1">IFERROR(__xludf.DUMMYFUNCTION("IFERROR(GOOGLETRANSLATE(B314,""en"",""zh-CN""),)"),"你为什么要去火车站？")</f>
        <v>你为什么要去火车站？</v>
      </c>
    </row>
    <row r="315" spans="1:5">
      <c r="A315" s="3" t="s">
        <v>1615</v>
      </c>
      <c r="B315" s="4" t="str">
        <f ca="1">IFERROR(__xludf.DUMMYFUNCTION("IFERROR(GOOGLETRANSLATE(A315,""ko"",""en""),)"),"My friend is coming, so I am going to the train station.")</f>
        <v>My friend is coming, so I am going to the train station.</v>
      </c>
      <c r="C315" s="4" t="str">
        <f ca="1">IFERROR(__xludf.DUMMYFUNCTION("IFERROR(GOOGLETRANSLATE(B315,""en"",""ja""),)"),"友達が来るので、駅に行きます。")</f>
        <v>友達が来るので、駅に行きます。</v>
      </c>
      <c r="D315" s="4" t="str">
        <f ca="1">IFERROR(__xludf.DUMMYFUNCTION("IFERROR(GOOGLETRANSLATE(B315,""en"",""zh-TW""),)"),"我的朋友要來，所以我要去火車站。")</f>
        <v>我的朋友要來，所以我要去火車站。</v>
      </c>
      <c r="E315" s="4" t="str">
        <f ca="1">IFERROR(__xludf.DUMMYFUNCTION("IFERROR(GOOGLETRANSLATE(B315,""en"",""zh-CN""),)"),"我的朋友要来，所以我要去火车站。")</f>
        <v>我的朋友要来，所以我要去火车站。</v>
      </c>
    </row>
    <row r="316" spans="1:5">
      <c r="A316" s="3" t="s">
        <v>1620</v>
      </c>
      <c r="B316" s="4" t="str">
        <f ca="1">IFERROR(__xludf.DUMMYFUNCTION("IFERROR(GOOGLETRANSLATE(A316,""ko"",""en""),)"),"Why did you buy a suit?")</f>
        <v>Why did you buy a suit?</v>
      </c>
      <c r="C316" s="4" t="str">
        <f ca="1">IFERROR(__xludf.DUMMYFUNCTION("IFERROR(GOOGLETRANSLATE(B316,""en"",""ja""),)"),"なぜスーツを買ったのですか？")</f>
        <v>なぜスーツを買ったのですか？</v>
      </c>
      <c r="D316" s="4" t="str">
        <f ca="1">IFERROR(__xludf.DUMMYFUNCTION("IFERROR(GOOGLETRANSLATE(B316,""en"",""zh-TW""),)"),"為什麼買西裝？")</f>
        <v>為什麼買西裝？</v>
      </c>
      <c r="E316" s="4" t="str">
        <f ca="1">IFERROR(__xludf.DUMMYFUNCTION("IFERROR(GOOGLETRANSLATE(B316,""en"",""zh-CN""),)"),"你为什么买西装？")</f>
        <v>你为什么买西装？</v>
      </c>
    </row>
    <row r="317" spans="1:5">
      <c r="A317" s="3" t="s">
        <v>1624</v>
      </c>
      <c r="B317" s="4" t="str">
        <f ca="1">IFERROR(__xludf.DUMMYFUNCTION("IFERROR(GOOGLETRANSLATE(A317,""ko"",""en""),)"),"I bought this because I have a friend's wedding.")</f>
        <v>I bought this because I have a friend's wedding.</v>
      </c>
      <c r="C317" s="4" t="str">
        <f ca="1">IFERROR(__xludf.DUMMYFUNCTION("IFERROR(GOOGLETRANSLATE(B317,""en"",""ja""),)"),"友人の結婚式があるので、これを買いました。")</f>
        <v>友人の結婚式があるので、これを買いました。</v>
      </c>
      <c r="D317" s="4" t="str">
        <f ca="1">IFERROR(__xludf.DUMMYFUNCTION("IFERROR(GOOGLETRANSLATE(B317,""en"",""zh-TW""),)"),"我買這個是因為我朋友要結婚。")</f>
        <v>我買這個是因為我朋友要結婚。</v>
      </c>
      <c r="E317" s="4" t="str">
        <f ca="1">IFERROR(__xludf.DUMMYFUNCTION("IFERROR(GOOGLETRANSLATE(B317,""en"",""zh-CN""),)"),"我买这个是因为我朋友要结婚。")</f>
        <v>我买这个是因为我朋友要结婚。</v>
      </c>
    </row>
    <row r="318" spans="1:5">
      <c r="A318" s="3" t="s">
        <v>1628</v>
      </c>
      <c r="B318" s="4" t="str">
        <f ca="1">IFERROR(__xludf.DUMMYFUNCTION("IFERROR(GOOGLETRANSLATE(A318,""ko"",""en""),)"),"It rained, so I bought an umbrella.")</f>
        <v>It rained, so I bought an umbrella.</v>
      </c>
      <c r="C318" s="4" t="str">
        <f ca="1">IFERROR(__xludf.DUMMYFUNCTION("IFERROR(GOOGLETRANSLATE(B318,""en"",""ja""),)"),"雨が降ったので、傘を買いました。")</f>
        <v>雨が降ったので、傘を買いました。</v>
      </c>
      <c r="D318" s="4" t="str">
        <f ca="1">IFERROR(__xludf.DUMMYFUNCTION("IFERROR(GOOGLETRANSLATE(B318,""en"",""zh-TW""),)"),"下雨了，所以我買了把傘。")</f>
        <v>下雨了，所以我買了把傘。</v>
      </c>
      <c r="E318" s="4" t="str">
        <f ca="1">IFERROR(__xludf.DUMMYFUNCTION("IFERROR(GOOGLETRANSLATE(B318,""en"",""zh-CN""),)"),"下雨了，所以我买了把伞。")</f>
        <v>下雨了，所以我买了把伞。</v>
      </c>
    </row>
    <row r="319" spans="1:5">
      <c r="A319" s="5" t="s">
        <v>1632</v>
      </c>
      <c r="B319" s="4" t="str">
        <f ca="1">IFERROR(__xludf.DUMMYFUNCTION("IFERROR(GOOGLETRANSLATE(A319,""ko"",""en""),)"),"I have a cold, so I am going to the hospital.")</f>
        <v>I have a cold, so I am going to the hospital.</v>
      </c>
      <c r="C319" s="4" t="str">
        <f ca="1">IFERROR(__xludf.DUMMYFUNCTION("IFERROR(GOOGLETRANSLATE(B319,""en"",""ja""),)"),"風邪を引いたので、病院に行きます。")</f>
        <v>風邪を引いたので、病院に行きます。</v>
      </c>
      <c r="D319" s="4" t="str">
        <f ca="1">IFERROR(__xludf.DUMMYFUNCTION("IFERROR(GOOGLETRANSLATE(B319,""en"",""zh-TW""),)"),"我感冒了，所以要去醫院。")</f>
        <v>我感冒了，所以要去醫院。</v>
      </c>
      <c r="E319" s="4" t="str">
        <f ca="1">IFERROR(__xludf.DUMMYFUNCTION("IFERROR(GOOGLETRANSLATE(B319,""en"",""zh-CN""),)"),"我感冒了，所以要去医院。")</f>
        <v>我感冒了，所以要去医院。</v>
      </c>
    </row>
    <row r="320" spans="1:5">
      <c r="A320" s="5" t="s">
        <v>1637</v>
      </c>
      <c r="B320" s="4" t="str">
        <f ca="1">IFERROR(__xludf.DUMMYFUNCTION("IFERROR(GOOGLETRANSLATE(A320,""ko"",""en""),)"),"I woke up late this morning because I was tired.")</f>
        <v>I woke up late this morning because I was tired.</v>
      </c>
      <c r="C320" s="4" t="str">
        <f ca="1">IFERROR(__xludf.DUMMYFUNCTION("IFERROR(GOOGLETRANSLATE(B320,""en"",""ja""),)"),"今朝は疲れていたので、寝坊してしまいました。")</f>
        <v>今朝は疲れていたので、寝坊してしまいました。</v>
      </c>
      <c r="D320" s="4" t="str">
        <f ca="1">IFERROR(__xludf.DUMMYFUNCTION("IFERROR(GOOGLETRANSLATE(B320,""en"",""zh-TW""),)"),"我今天早上睡過了頭，因為我太累了。")</f>
        <v>我今天早上睡過了頭，因為我太累了。</v>
      </c>
      <c r="E320" s="4" t="str">
        <f ca="1">IFERROR(__xludf.DUMMYFUNCTION("IFERROR(GOOGLETRANSLATE(B320,""en"",""zh-CN""),)"),"我今天早上睡过了头，因为我太累了。")</f>
        <v>我今天早上睡过了头，因为我太累了。</v>
      </c>
    </row>
    <row r="321" spans="1:5">
      <c r="A321" s="3" t="s">
        <v>1323</v>
      </c>
      <c r="B321" s="4" t="str">
        <f ca="1">IFERROR(__xludf.DUMMYFUNCTION("IFERROR(GOOGLETRANSLATE(A321,""ko"",""en""),)"),"Go")</f>
        <v>Go</v>
      </c>
      <c r="C321" s="4" t="str">
        <f ca="1">IFERROR(__xludf.DUMMYFUNCTION("IFERROR(GOOGLETRANSLATE(B321,""en"",""ja""),)"),"行く")</f>
        <v>行く</v>
      </c>
      <c r="D321" s="4" t="str">
        <f ca="1">IFERROR(__xludf.DUMMYFUNCTION("IFERROR(GOOGLETRANSLATE(B321,""en"",""zh-TW""),)"),"去")</f>
        <v>去</v>
      </c>
      <c r="E321" s="4" t="str">
        <f ca="1">IFERROR(__xludf.DUMMYFUNCTION("IFERROR(GOOGLETRANSLATE(B321,""en"",""zh-CN""),)"),"去")</f>
        <v>去</v>
      </c>
    </row>
    <row r="322" spans="1:5">
      <c r="A322" s="3" t="s">
        <v>1330</v>
      </c>
      <c r="B322" s="4" t="str">
        <f ca="1">IFERROR(__xludf.DUMMYFUNCTION("IFERROR(GOOGLETRANSLATE(A322,""ko"",""en""),)"),"Come")</f>
        <v>Come</v>
      </c>
      <c r="C322" s="4" t="str">
        <f ca="1">IFERROR(__xludf.DUMMYFUNCTION("IFERROR(GOOGLETRANSLATE(B322,""en"",""ja""),)"),"来る")</f>
        <v>来る</v>
      </c>
      <c r="D322" s="4" t="str">
        <f ca="1">IFERROR(__xludf.DUMMYFUNCTION("IFERROR(GOOGLETRANSLATE(B322,""en"",""zh-TW""),)"),"來")</f>
        <v>來</v>
      </c>
      <c r="E322" s="4" t="str">
        <f ca="1">IFERROR(__xludf.DUMMYFUNCTION("IFERROR(GOOGLETRANSLATE(B322,""en"",""zh-CN""),)"),"来")</f>
        <v>来</v>
      </c>
    </row>
    <row r="323" spans="1:5">
      <c r="A323" s="3" t="s">
        <v>1647</v>
      </c>
      <c r="B323" s="4" t="str">
        <f ca="1">IFERROR(__xludf.DUMMYFUNCTION("IFERROR(GOOGLETRANSLATE(A323,""ko"",""en""),)"),"Because it's small")</f>
        <v>Because it's small</v>
      </c>
      <c r="C323" s="4" t="str">
        <f ca="1">IFERROR(__xludf.DUMMYFUNCTION("IFERROR(GOOGLETRANSLATE(B323,""en"",""ja""),)"),"小さいから")</f>
        <v>小さいから</v>
      </c>
      <c r="D323" s="4" t="str">
        <f ca="1">IFERROR(__xludf.DUMMYFUNCTION("IFERROR(GOOGLETRANSLATE(B323,""en"",""zh-TW""),)"),"因為它很小")</f>
        <v>因為它很小</v>
      </c>
      <c r="E323" s="4" t="str">
        <f ca="1">IFERROR(__xludf.DUMMYFUNCTION("IFERROR(GOOGLETRANSLATE(B323,""en"",""zh-CN""),)"),"因为它很小")</f>
        <v>因为它很小</v>
      </c>
    </row>
    <row r="324" spans="1:5">
      <c r="A324" s="3" t="s">
        <v>1651</v>
      </c>
      <c r="B324" s="4" t="s">
        <v>1653</v>
      </c>
      <c r="C324" s="4" t="str">
        <f ca="1">IFERROR(__xludf.DUMMYFUNCTION("IFERROR(GOOGLETRANSLATE(B324,""en"",""ja""),)"),"いいから")</f>
        <v>いいから</v>
      </c>
      <c r="D324" s="4" t="str">
        <f ca="1">IFERROR(__xludf.DUMMYFUNCTION("IFERROR(GOOGLETRANSLATE(B324,""en"",""zh-TW""),)"),"因為它很好")</f>
        <v>因為它很好</v>
      </c>
      <c r="E324" s="4" t="str">
        <f ca="1">IFERROR(__xludf.DUMMYFUNCTION("IFERROR(GOOGLETRANSLATE(B324,""en"",""zh-CN""),)"),"因为它很好")</f>
        <v>因为它很好</v>
      </c>
    </row>
    <row r="325" spans="1:5">
      <c r="A325" s="3" t="s">
        <v>1655</v>
      </c>
      <c r="B325" s="4" t="str">
        <f ca="1">IFERROR(__xludf.DUMMYFUNCTION("IFERROR(GOOGLETRANSLATE(A325,""ko"",""en""),)"),"I ate it")</f>
        <v>I ate it</v>
      </c>
      <c r="C325" s="4" t="str">
        <f ca="1">IFERROR(__xludf.DUMMYFUNCTION("IFERROR(GOOGLETRANSLATE(B325,""en"",""ja""),)"),"私はそれを食べた")</f>
        <v>私はそれを食べた</v>
      </c>
      <c r="D325" s="4" t="str">
        <f ca="1">IFERROR(__xludf.DUMMYFUNCTION("IFERROR(GOOGLETRANSLATE(B325,""en"",""zh-TW""),)"),"我吃了它")</f>
        <v>我吃了它</v>
      </c>
      <c r="E325" s="4" t="str">
        <f ca="1">IFERROR(__xludf.DUMMYFUNCTION("IFERROR(GOOGLETRANSLATE(B325,""en"",""zh-CN""),)"),"我吃了它")</f>
        <v>我吃了它</v>
      </c>
    </row>
    <row r="326" spans="1:5">
      <c r="A326" s="3" t="s">
        <v>1661</v>
      </c>
      <c r="B326" s="4" t="str">
        <f ca="1">IFERROR(__xludf.DUMMYFUNCTION("IFERROR(GOOGLETRANSLATE(A326,""ko"",""en""),)"),"I wore them")</f>
        <v>I wore them</v>
      </c>
      <c r="C326" s="4" t="str">
        <f ca="1">IFERROR(__xludf.DUMMYFUNCTION("IFERROR(GOOGLETRANSLATE(B326,""en"",""ja""),)"),"私はそれらを履きました")</f>
        <v>私はそれらを履きました</v>
      </c>
      <c r="D326" s="4" t="str">
        <f ca="1">IFERROR(__xludf.DUMMYFUNCTION("IFERROR(GOOGLETRANSLATE(B326,""en"",""zh-TW""),)"),"我穿過它們")</f>
        <v>我穿過它們</v>
      </c>
      <c r="E326" s="4" t="str">
        <f ca="1">IFERROR(__xludf.DUMMYFUNCTION("IFERROR(GOOGLETRANSLATE(B326,""en"",""zh-CN""),)"),"我穿过它们")</f>
        <v>我穿过它们</v>
      </c>
    </row>
    <row r="327" spans="1:5">
      <c r="A327" s="3" t="s">
        <v>1666</v>
      </c>
      <c r="B327" s="4" t="str">
        <f ca="1">IFERROR(__xludf.DUMMYFUNCTION("IFERROR(GOOGLETRANSLATE(A327,""ko"",""en""),)"),"It's easy")</f>
        <v>It's easy</v>
      </c>
      <c r="C327" s="4" t="str">
        <f ca="1">IFERROR(__xludf.DUMMYFUNCTION("IFERROR(GOOGLETRANSLATE(B327,""en"",""ja""),)"),"簡単です")</f>
        <v>簡単です</v>
      </c>
      <c r="D327" s="4" t="str">
        <f ca="1">IFERROR(__xludf.DUMMYFUNCTION("IFERROR(GOOGLETRANSLATE(B327,""en"",""zh-TW""),)"),"這很容易")</f>
        <v>這很容易</v>
      </c>
      <c r="E327" s="4" t="str">
        <f ca="1">IFERROR(__xludf.DUMMYFUNCTION("IFERROR(GOOGLETRANSLATE(B327,""en"",""zh-CN""),)"),"这很容易")</f>
        <v>这很容易</v>
      </c>
    </row>
    <row r="328" spans="1:5">
      <c r="A328" s="3" t="s">
        <v>1670</v>
      </c>
      <c r="B328" s="4" t="str">
        <f ca="1">IFERROR(__xludf.DUMMYFUNCTION("IFERROR(GOOGLETRANSLATE(A328,""ko"",""en""),)"),"Because it's pretty")</f>
        <v>Because it's pretty</v>
      </c>
      <c r="C328" s="4" t="str">
        <f ca="1">IFERROR(__xludf.DUMMYFUNCTION("IFERROR(GOOGLETRANSLATE(B328,""en"",""ja""),)"),"きれいだから")</f>
        <v>きれいだから</v>
      </c>
      <c r="D328" s="4" t="str">
        <f ca="1">IFERROR(__xludf.DUMMYFUNCTION("IFERROR(GOOGLETRANSLATE(B328,""en"",""zh-TW""),)"),"因為它很漂亮")</f>
        <v>因為它很漂亮</v>
      </c>
      <c r="E328" s="4" t="str">
        <f ca="1">IFERROR(__xludf.DUMMYFUNCTION("IFERROR(GOOGLETRANSLATE(B328,""en"",""zh-CN""),)"),"因为它很漂亮")</f>
        <v>因为它很漂亮</v>
      </c>
    </row>
    <row r="329" spans="1:5">
      <c r="A329" s="3" t="s">
        <v>1675</v>
      </c>
      <c r="B329" s="4" t="str">
        <f ca="1">IFERROR(__xludf.DUMMYFUNCTION("IFERROR(GOOGLETRANSLATE(A329,""ko"",""en""),)"),"study")</f>
        <v>study</v>
      </c>
      <c r="C329" s="4" t="str">
        <f ca="1">IFERROR(__xludf.DUMMYFUNCTION("IFERROR(GOOGLETRANSLATE(B329,""en"",""ja""),)"),"勉強")</f>
        <v>勉強</v>
      </c>
      <c r="D329" s="4" t="str">
        <f ca="1">IFERROR(__xludf.DUMMYFUNCTION("IFERROR(GOOGLETRANSLATE(B329,""en"",""zh-TW""),)"),"學習")</f>
        <v>學習</v>
      </c>
      <c r="E329" s="4" t="str">
        <f ca="1">IFERROR(__xludf.DUMMYFUNCTION("IFERROR(GOOGLETRANSLATE(B329,""en"",""zh-CN""),)"),"学习")</f>
        <v>学习</v>
      </c>
    </row>
    <row r="330" spans="1:5">
      <c r="A330" s="3" t="s">
        <v>1680</v>
      </c>
      <c r="B330" s="4" t="str">
        <f ca="1">IFERROR(__xludf.DUMMYFUNCTION("IFERROR(GOOGLETRANSLATE(A330,""ko"",""en""),)"),"I exercised")</f>
        <v>I exercised</v>
      </c>
      <c r="C330" s="4" t="str">
        <f ca="1">IFERROR(__xludf.DUMMYFUNCTION("IFERROR(GOOGLETRANSLATE(B330,""en"",""ja""),)"),"私は運動した")</f>
        <v>私は運動した</v>
      </c>
      <c r="D330" s="4" t="str">
        <f ca="1">IFERROR(__xludf.DUMMYFUNCTION("IFERROR(GOOGLETRANSLATE(B330,""en"",""zh-TW""),)"),"我鍛煉了。")</f>
        <v>我鍛煉了。</v>
      </c>
      <c r="E330" s="4" t="str">
        <f ca="1">IFERROR(__xludf.DUMMYFUNCTION("IFERROR(GOOGLETRANSLATE(B330,""en"",""zh-CN""),)"),"我锻炼了。")</f>
        <v>我锻炼了。</v>
      </c>
    </row>
    <row r="331" spans="1:5">
      <c r="A331" s="3" t="s">
        <v>1685</v>
      </c>
      <c r="B331" s="4" t="str">
        <f ca="1">IFERROR(__xludf.DUMMYFUNCTION("IFERROR(GOOGLETRANSLATE(A331,""ko"",""en""),)"),"Because it's warm")</f>
        <v>Because it's warm</v>
      </c>
      <c r="C331" s="4" t="str">
        <f ca="1">IFERROR(__xludf.DUMMYFUNCTION("IFERROR(GOOGLETRANSLATE(B331,""en"",""ja""),)"),"暖かいから")</f>
        <v>暖かいから</v>
      </c>
      <c r="D331" s="4" t="str">
        <f ca="1">IFERROR(__xludf.DUMMYFUNCTION("IFERROR(GOOGLETRANSLATE(B331,""en"",""zh-TW""),)"),"因為天氣暖和。")</f>
        <v>因為天氣暖和。</v>
      </c>
      <c r="E331" s="4" t="str">
        <f ca="1">IFERROR(__xludf.DUMMYFUNCTION("IFERROR(GOOGLETRANSLATE(B331,""en"",""zh-CN""),)"),"因为天气暖和。")</f>
        <v>因为天气暖和。</v>
      </c>
    </row>
    <row r="332" spans="1:5">
      <c r="A332" s="3" t="s">
        <v>1690</v>
      </c>
      <c r="B332" s="4" t="str">
        <f ca="1">IFERROR(__xludf.DUMMYFUNCTION("IFERROR(GOOGLETRANSLATE(A332,""ko"",""en""),)"),"It's refreshing")</f>
        <v>It's refreshing</v>
      </c>
      <c r="C332" s="4" t="str">
        <f ca="1">IFERROR(__xludf.DUMMYFUNCTION("IFERROR(GOOGLETRANSLATE(B332,""en"",""ja""),)"),"爽快だ")</f>
        <v>爽快だ</v>
      </c>
      <c r="D332" s="4" t="str">
        <f ca="1">IFERROR(__xludf.DUMMYFUNCTION("IFERROR(GOOGLETRANSLATE(B332,""en"",""zh-TW""),)"),"令人耳目一新")</f>
        <v>令人耳目一新</v>
      </c>
      <c r="E332" s="4" t="str">
        <f ca="1">IFERROR(__xludf.DUMMYFUNCTION("IFERROR(GOOGLETRANSLATE(B332,""en"",""zh-CN""),)"),"令人耳目一新")</f>
        <v>令人耳目一新</v>
      </c>
    </row>
    <row r="333" spans="1:5">
      <c r="A333" s="3" t="s">
        <v>1695</v>
      </c>
      <c r="B333" s="4" t="str">
        <f ca="1">IFERROR(__xludf.DUMMYFUNCTION("IFERROR(GOOGLETRANSLATE(A333,""ko"",""en""),)"),"The weather is nice, so I'm going for a walk.")</f>
        <v>The weather is nice, so I'm going for a walk.</v>
      </c>
      <c r="C333" s="4" t="str">
        <f ca="1">IFERROR(__xludf.DUMMYFUNCTION("IFERROR(GOOGLETRANSLATE(B333,""en"",""ja""),)"),"天気がいいので、散歩に出かけます。")</f>
        <v>天気がいいので、散歩に出かけます。</v>
      </c>
      <c r="D333" s="4" t="str">
        <f ca="1">IFERROR(__xludf.DUMMYFUNCTION("IFERROR(GOOGLETRANSLATE(B333,""en"",""zh-TW""),)"),"天氣很好，所以我打算出去散步。")</f>
        <v>天氣很好，所以我打算出去散步。</v>
      </c>
      <c r="E333" s="4" t="str">
        <f ca="1">IFERROR(__xludf.DUMMYFUNCTION("IFERROR(GOOGLETRANSLATE(B333,""en"",""zh-CN""),)"),"天气很好，所以我打算出去散步。")</f>
        <v>天气很好，所以我打算出去散步。</v>
      </c>
    </row>
    <row r="334" spans="1:5">
      <c r="A334" s="3" t="s">
        <v>1700</v>
      </c>
      <c r="B334" s="4" t="str">
        <f ca="1">IFERROR(__xludf.DUMMYFUNCTION("IFERROR(GOOGLETRANSLATE(A334,""ko"",""en""),)"),"I like shopping, so I often go to department stores.")</f>
        <v>I like shopping, so I often go to department stores.</v>
      </c>
      <c r="C334" s="4" t="str">
        <f ca="1">IFERROR(__xludf.DUMMYFUNCTION("IFERROR(GOOGLETRANSLATE(B334,""en"",""ja""),)"),"私は買い物が好きなので、よくデパートに行きます。")</f>
        <v>私は買い物が好きなので、よくデパートに行きます。</v>
      </c>
      <c r="D334" s="4" t="str">
        <f ca="1">IFERROR(__xludf.DUMMYFUNCTION("IFERROR(GOOGLETRANSLATE(B334,""en"",""zh-TW""),)"),"我喜歡購物，所以經常去百貨公司。")</f>
        <v>我喜歡購物，所以經常去百貨公司。</v>
      </c>
      <c r="E334" s="4" t="str">
        <f ca="1">IFERROR(__xludf.DUMMYFUNCTION("IFERROR(GOOGLETRANSLATE(B334,""en"",""zh-CN""),)"),"我喜欢购物，所以经常去百货商店。")</f>
        <v>我喜欢购物，所以经常去百货商店。</v>
      </c>
    </row>
    <row r="335" spans="1:5">
      <c r="A335" s="3" t="s">
        <v>1703</v>
      </c>
      <c r="B335" s="4" t="str">
        <f ca="1">IFERROR(__xludf.DUMMYFUNCTION("IFERROR(GOOGLETRANSLATE(A335,""ko"",""en""),)"),"I feel good because I received a birthday present.")</f>
        <v>I feel good because I received a birthday present.</v>
      </c>
      <c r="C335" s="4" t="str">
        <f ca="1">IFERROR(__xludf.DUMMYFUNCTION("IFERROR(GOOGLETRANSLATE(B335,""en"",""ja""),)"),"誕生日プレゼントをもらったので、気分がいいです。")</f>
        <v>誕生日プレゼントをもらったので、気分がいいです。</v>
      </c>
      <c r="D335" s="4" t="str">
        <f ca="1">IFERROR(__xludf.DUMMYFUNCTION("IFERROR(GOOGLETRANSLATE(B335,""en"",""zh-TW""),)"),"我收到生日禮物，心情很好。")</f>
        <v>我收到生日禮物，心情很好。</v>
      </c>
      <c r="E335" s="4" t="str">
        <f ca="1">IFERROR(__xludf.DUMMYFUNCTION("IFERROR(GOOGLETRANSLATE(B335,""en"",""zh-CN""),)"),"我收到生日礼物，心情很好。")</f>
        <v>我收到生日礼物，心情很好。</v>
      </c>
    </row>
    <row r="336" spans="1:5">
      <c r="A336" s="3" t="s">
        <v>1708</v>
      </c>
      <c r="B336" s="4" t="str">
        <f ca="1">IFERROR(__xludf.DUMMYFUNCTION("IFERROR(GOOGLETRANSLATE(A336,""ko"",""en""),)"),"I can't sleep because I drank too much coffee.")</f>
        <v>I can't sleep because I drank too much coffee.</v>
      </c>
      <c r="C336" s="4" t="str">
        <f ca="1">IFERROR(__xludf.DUMMYFUNCTION("IFERROR(GOOGLETRANSLATE(B336,""en"",""ja""),)"),"コーヒーを飲みすぎたせいで眠れない。")</f>
        <v>コーヒーを飲みすぎたせいで眠れない。</v>
      </c>
      <c r="D336" s="4" t="str">
        <f ca="1">IFERROR(__xludf.DUMMYFUNCTION("IFERROR(GOOGLETRANSLATE(B336,""en"",""zh-TW""),)"),"我喝了太多咖啡，所以睡不著。")</f>
        <v>我喝了太多咖啡，所以睡不著。</v>
      </c>
      <c r="E336" s="4" t="str">
        <f ca="1">IFERROR(__xludf.DUMMYFUNCTION("IFERROR(GOOGLETRANSLATE(B336,""en"",""zh-CN""),)"),"我喝了太多咖啡，所以睡不着。")</f>
        <v>我喝了太多咖啡，所以睡不着。</v>
      </c>
    </row>
    <row r="337" spans="1:5">
      <c r="A337" s="3" t="s">
        <v>1711</v>
      </c>
      <c r="B337" s="4" t="str">
        <f ca="1">IFERROR(__xludf.DUMMYFUNCTION("IFERROR(GOOGLETRANSLATE(A337,""ko"",""en""),)"),"I am learning Korean because I want to watch Korean dramas.")</f>
        <v>I am learning Korean because I want to watch Korean dramas.</v>
      </c>
      <c r="C337" s="4" t="str">
        <f ca="1">IFERROR(__xludf.DUMMYFUNCTION("IFERROR(GOOGLETRANSLATE(B337,""en"",""ja""),)"),"韓国ドラマを見たいので、韓国語を勉強しています。")</f>
        <v>韓国ドラマを見たいので、韓国語を勉強しています。</v>
      </c>
      <c r="D337" s="4" t="str">
        <f ca="1">IFERROR(__xludf.DUMMYFUNCTION("IFERROR(GOOGLETRANSLATE(B337,""en"",""zh-TW""),)"),"我學韓文是因為我想看韓劇。")</f>
        <v>我學韓文是因為我想看韓劇。</v>
      </c>
      <c r="E337" s="4" t="str">
        <f ca="1">IFERROR(__xludf.DUMMYFUNCTION("IFERROR(GOOGLETRANSLATE(B337,""en"",""zh-CN""),)"),"我学习韩语是因为我想看韩剧。")</f>
        <v>我学习韩语是因为我想看韩剧。</v>
      </c>
    </row>
    <row r="338" spans="1:5">
      <c r="A338" s="3" t="s">
        <v>1715</v>
      </c>
      <c r="B338" s="4" t="str">
        <f ca="1">IFERROR(__xludf.DUMMYFUNCTION("IFERROR(GOOGLETRANSLATE(A338,""ko"",""en""),)"),"Complete the sentence as follows.")</f>
        <v>Complete the sentence as follows.</v>
      </c>
      <c r="C338" s="4" t="str">
        <f ca="1">IFERROR(__xludf.DUMMYFUNCTION("IFERROR(GOOGLETRANSLATE(B338,""en"",""ja""),)"),"以下の文を完成させなさい。")</f>
        <v>以下の文を完成させなさい。</v>
      </c>
      <c r="D338" s="4" t="str">
        <f ca="1">IFERROR(__xludf.DUMMYFUNCTION("IFERROR(GOOGLETRANSLATE(B338,""en"",""zh-TW""),)"),"請完成以下句子。")</f>
        <v>請完成以下句子。</v>
      </c>
      <c r="E338" s="4" t="str">
        <f ca="1">IFERROR(__xludf.DUMMYFUNCTION("IFERROR(GOOGLETRANSLATE(B338,""en"",""zh-CN""),)"),"请完成以下句子。")</f>
        <v>请完成以下句子。</v>
      </c>
    </row>
    <row r="339" spans="1:5">
      <c r="A339" s="3" t="s">
        <v>1718</v>
      </c>
      <c r="B339" s="4" t="str">
        <f ca="1">IFERROR(__xludf.DUMMYFUNCTION("IFERROR(GOOGLETRANSLATE(A339,""ko"",""en""),)"),"I like coffee, so I drink it every day.")</f>
        <v>I like coffee, so I drink it every day.</v>
      </c>
      <c r="C339" s="4" t="str">
        <f ca="1">IFERROR(__xludf.DUMMYFUNCTION("IFERROR(GOOGLETRANSLATE(B339,""en"",""ja""),)"),"私はコーヒーが好きなので、毎日飲みます。")</f>
        <v>私はコーヒーが好きなので、毎日飲みます。</v>
      </c>
      <c r="D339" s="4" t="str">
        <f ca="1">IFERROR(__xludf.DUMMYFUNCTION("IFERROR(GOOGLETRANSLATE(B339,""en"",""zh-TW""),)"),"我喜歡咖啡，所以我每天都喝。")</f>
        <v>我喜歡咖啡，所以我每天都喝。</v>
      </c>
      <c r="E339" s="4" t="str">
        <f ca="1">IFERROR(__xludf.DUMMYFUNCTION("IFERROR(GOOGLETRANSLATE(B339,""en"",""zh-CN""),)"),"我喜欢咖啡，所以我每天都喝。")</f>
        <v>我喜欢咖啡，所以我每天都喝。</v>
      </c>
    </row>
    <row r="340" spans="1:5">
      <c r="A340" s="3" t="s">
        <v>1722</v>
      </c>
      <c r="B340" s="4" t="str">
        <f ca="1">IFERROR(__xludf.DUMMYFUNCTION("IFERROR(GOOGLETRANSLATE(A340,""ko"",""en""),)"),"I can't exercise these days because I'm busy.")</f>
        <v>I can't exercise these days because I'm busy.</v>
      </c>
      <c r="C340" s="4" t="str">
        <f ca="1">IFERROR(__xludf.DUMMYFUNCTION("IFERROR(GOOGLETRANSLATE(B340,""en"",""ja""),)"),"最近は忙しくて運動する時間がない。")</f>
        <v>最近は忙しくて運動する時間がない。</v>
      </c>
      <c r="D340" s="4" t="str">
        <f ca="1">IFERROR(__xludf.DUMMYFUNCTION("IFERROR(GOOGLETRANSLATE(B340,""en"",""zh-TW""),)"),"最近太忙，沒時間運動。")</f>
        <v>最近太忙，沒時間運動。</v>
      </c>
      <c r="E340" s="4" t="str">
        <f ca="1">IFERROR(__xludf.DUMMYFUNCTION("IFERROR(GOOGLETRANSLATE(B340,""en"",""zh-CN""),)"),"最近太忙，没时间锻炼。")</f>
        <v>最近太忙，没时间锻炼。</v>
      </c>
    </row>
    <row r="341" spans="1:5">
      <c r="A341" s="3" t="s">
        <v>1723</v>
      </c>
      <c r="B341" s="4" t="str">
        <f ca="1">IFERROR(__xludf.DUMMYFUNCTION("IFERROR(GOOGLETRANSLATE(A341,""ko"",""en""),)"),"I went to my friend's house because I wanted to meet my friend.")</f>
        <v>I went to my friend's house because I wanted to meet my friend.</v>
      </c>
      <c r="C341" s="4" t="str">
        <f ca="1">IFERROR(__xludf.DUMMYFUNCTION("IFERROR(GOOGLETRANSLATE(B341,""en"",""ja""),)"),"友達に会いたかったので、友達の家に行きました。")</f>
        <v>友達に会いたかったので、友達の家に行きました。</v>
      </c>
      <c r="D341" s="4" t="str">
        <f ca="1">IFERROR(__xludf.DUMMYFUNCTION("IFERROR(GOOGLETRANSLATE(B341,""en"",""zh-TW""),)"),"我去朋友家是因為我想見我的朋友。")</f>
        <v>我去朋友家是因為我想見我的朋友。</v>
      </c>
      <c r="E341" s="4" t="str">
        <f ca="1">IFERROR(__xludf.DUMMYFUNCTION("IFERROR(GOOGLETRANSLATE(B341,""en"",""zh-CN""),)"),"我去朋友家是因为我想见见我的朋友。")</f>
        <v>我去朋友家是因为我想见见我的朋友。</v>
      </c>
    </row>
    <row r="342" spans="1:5">
      <c r="A342" s="3" t="s">
        <v>1729</v>
      </c>
      <c r="B342" s="4" t="str">
        <f ca="1">IFERROR(__xludf.DUMMYFUNCTION("IFERROR(GOOGLETRANSLATE(A342,""ko"",""en""),)"),"I couldn't eat breakfast, so I ate a lot for lunch.")</f>
        <v>I couldn't eat breakfast, so I ate a lot for lunch.</v>
      </c>
      <c r="C342" s="4" t="str">
        <f ca="1">IFERROR(__xludf.DUMMYFUNCTION("IFERROR(GOOGLETRANSLATE(B342,""en"",""ja""),)"),"朝食が食べられなかったので、昼食をたくさん食べた。")</f>
        <v>朝食が食べられなかったので、昼食をたくさん食べた。</v>
      </c>
      <c r="D342" s="4" t="str">
        <f ca="1">IFERROR(__xludf.DUMMYFUNCTION("IFERROR(GOOGLETRANSLATE(B342,""en"",""zh-TW""),)"),"我早餐吃不下，所以午餐吃了很多。")</f>
        <v>我早餐吃不下，所以午餐吃了很多。</v>
      </c>
      <c r="E342" s="4" t="str">
        <f ca="1">IFERROR(__xludf.DUMMYFUNCTION("IFERROR(GOOGLETRANSLATE(B342,""en"",""zh-CN""),)"),"我早餐吃不下，所以午餐吃了很多。")</f>
        <v>我早餐吃不下，所以午餐吃了很多。</v>
      </c>
    </row>
    <row r="343" spans="1:5">
      <c r="A343" s="3" t="s">
        <v>1734</v>
      </c>
      <c r="B343" s="4" t="str">
        <f ca="1">IFERROR(__xludf.DUMMYFUNCTION("IFERROR(GOOGLETRANSLATE(A343,""ko"",""en""),)"),"How is the weather in Seoul today?")</f>
        <v>How is the weather in Seoul today?</v>
      </c>
      <c r="C343" s="4" t="str">
        <f ca="1">IFERROR(__xludf.DUMMYFUNCTION("IFERROR(GOOGLETRANSLATE(B343,""en"",""ja""),)"),"今日のソウルの天気はどうですか？")</f>
        <v>今日のソウルの天気はどうですか？</v>
      </c>
      <c r="D343" s="4" t="str">
        <f ca="1">IFERROR(__xludf.DUMMYFUNCTION("IFERROR(GOOGLETRANSLATE(B343,""en"",""zh-TW""),)"),"今天首爾天氣怎麼樣？")</f>
        <v>今天首爾天氣怎麼樣？</v>
      </c>
      <c r="E343" s="4" t="str">
        <f ca="1">IFERROR(__xludf.DUMMYFUNCTION("IFERROR(GOOGLETRANSLATE(B343,""en"",""zh-CN""),)"),"今天首尔天气怎么样？")</f>
        <v>今天首尔天气怎么样？</v>
      </c>
    </row>
    <row r="344" spans="1:5">
      <c r="A344" s="5" t="s">
        <v>1738</v>
      </c>
      <c r="B344" s="4" t="str">
        <f ca="1">IFERROR(__xludf.DUMMYFUNCTION("IFERROR(GOOGLETRANSLATE(A344,""ko"",""en""),)"),"It's a bit cold today because it's very windy.")</f>
        <v>It's a bit cold today because it's very windy.</v>
      </c>
      <c r="C344" s="4" t="str">
        <f ca="1">IFERROR(__xludf.DUMMYFUNCTION("IFERROR(GOOGLETRANSLATE(B344,""en"",""ja""),)"),"今日は風が強いので、少し寒いです。")</f>
        <v>今日は風が強いので、少し寒いです。</v>
      </c>
      <c r="D344" s="4" t="str">
        <f ca="1">IFERROR(__xludf.DUMMYFUNCTION("IFERROR(GOOGLETRANSLATE(B344,""en"",""zh-TW""),)"),"今天有點冷，因為風很大。")</f>
        <v>今天有點冷，因為風很大。</v>
      </c>
      <c r="E344" s="4" t="str">
        <f ca="1">IFERROR(__xludf.DUMMYFUNCTION("IFERROR(GOOGLETRANSLATE(B344,""en"",""zh-CN""),)"),"今天有点冷，因为风很大。")</f>
        <v>今天有点冷，因为风很大。</v>
      </c>
    </row>
    <row r="345" spans="1:5">
      <c r="A345" s="3" t="s">
        <v>1742</v>
      </c>
      <c r="B345" s="4" t="str">
        <f ca="1">IFERROR(__xludf.DUMMYFUNCTION("IFERROR(GOOGLETRANSLATE(A345,""ko"",""en""),)"),"Do you watch movies often?")</f>
        <v>Do you watch movies often?</v>
      </c>
      <c r="C345" s="4" t="str">
        <f ca="1">IFERROR(__xludf.DUMMYFUNCTION("IFERROR(GOOGLETRANSLATE(B345,""en"",""ja""),)"),"あなたはよく映画を見ますか？")</f>
        <v>あなたはよく映画を見ますか？</v>
      </c>
      <c r="D345" s="4" t="str">
        <f ca="1">IFERROR(__xludf.DUMMYFUNCTION("IFERROR(GOOGLETRANSLATE(B345,""en"",""zh-TW""),)"),"你常看電影嗎？")</f>
        <v>你常看電影嗎？</v>
      </c>
      <c r="E345" s="4" t="str">
        <f ca="1">IFERROR(__xludf.DUMMYFUNCTION("IFERROR(GOOGLETRANSLATE(B345,""en"",""zh-CN""),)"),"你经常看电影吗？")</f>
        <v>你经常看电影吗？</v>
      </c>
    </row>
    <row r="346" spans="1:5">
      <c r="A346" s="3" t="s">
        <v>1746</v>
      </c>
      <c r="B346" s="4" t="str">
        <f ca="1">IFERROR(__xludf.DUMMYFUNCTION("IFERROR(GOOGLETRANSLATE(A346,""ko"",""en""),)"),"Yes, I like movies, so I watch them often.")</f>
        <v>Yes, I like movies, so I watch them often.</v>
      </c>
      <c r="C346" s="4" t="str">
        <f ca="1">IFERROR(__xludf.DUMMYFUNCTION("IFERROR(GOOGLETRANSLATE(B346,""en"",""ja""),)"),"はい、私は映画が好きなので、よく観ます。")</f>
        <v>はい、私は映画が好きなので、よく観ます。</v>
      </c>
      <c r="D346" s="4" t="str">
        <f ca="1">IFERROR(__xludf.DUMMYFUNCTION("IFERROR(GOOGLETRANSLATE(B346,""en"",""zh-TW""),)"),"是的，我喜歡電影，所以常常看。")</f>
        <v>是的，我喜歡電影，所以常常看。</v>
      </c>
      <c r="E346" s="4" t="str">
        <f ca="1">IFERROR(__xludf.DUMMYFUNCTION("IFERROR(GOOGLETRANSLATE(B346,""en"",""zh-CN""),)"),"是的，我喜欢电影，所以经常看。")</f>
        <v>是的，我喜欢电影，所以经常看。</v>
      </c>
    </row>
    <row r="347" spans="1:5">
      <c r="A347" s="3" t="s">
        <v>1749</v>
      </c>
      <c r="B347" s="4" t="str">
        <f ca="1">IFERROR(__xludf.DUMMYFUNCTION("IFERROR(GOOGLETRANSLATE(A347,""ko"",""en""),)"),"Why didn't you buy clothes?")</f>
        <v>Why didn't you buy clothes?</v>
      </c>
      <c r="C347" s="4" t="str">
        <f ca="1">IFERROR(__xludf.DUMMYFUNCTION("IFERROR(GOOGLETRANSLATE(B347,""en"",""ja""),)"),"なぜ服を買わなかったのですか？")</f>
        <v>なぜ服を買わなかったのですか？</v>
      </c>
      <c r="D347" s="4" t="str">
        <f ca="1">IFERROR(__xludf.DUMMYFUNCTION("IFERROR(GOOGLETRANSLATE(B347,""en"",""zh-TW""),)"),"為什麼不買衣服？")</f>
        <v>為什麼不買衣服？</v>
      </c>
      <c r="E347" s="4" t="str">
        <f ca="1">IFERROR(__xludf.DUMMYFUNCTION("IFERROR(GOOGLETRANSLATE(B347,""en"",""zh-CN""),)"),"你为什么不买衣服？")</f>
        <v>你为什么不买衣服？</v>
      </c>
    </row>
    <row r="348" spans="1:5">
      <c r="A348" s="3" t="s">
        <v>1752</v>
      </c>
      <c r="B348" s="4" t="str">
        <f ca="1">IFERROR(__xludf.DUMMYFUNCTION("IFERROR(GOOGLETRANSLATE(A348,""ko"",""en""),)"),"I didn't buy it because it was a bit expensive.")</f>
        <v>I didn't buy it because it was a bit expensive.</v>
      </c>
      <c r="C348" s="4" t="str">
        <f ca="1">IFERROR(__xludf.DUMMYFUNCTION("IFERROR(GOOGLETRANSLATE(B348,""en"",""ja""),)"),"値段が少し高かったので買いませんでした。")</f>
        <v>値段が少し高かったので買いませんでした。</v>
      </c>
      <c r="D348" s="4" t="str">
        <f ca="1">IFERROR(__xludf.DUMMYFUNCTION("IFERROR(GOOGLETRANSLATE(B348,""en"",""zh-TW""),)"),"我沒買，因為它有點貴。")</f>
        <v>我沒買，因為它有點貴。</v>
      </c>
      <c r="E348" s="4" t="str">
        <f ca="1">IFERROR(__xludf.DUMMYFUNCTION("IFERROR(GOOGLETRANSLATE(B348,""en"",""zh-CN""),)"),"我没买，因为它有点贵。")</f>
        <v>我没买，因为它有点贵。</v>
      </c>
    </row>
    <row r="349" spans="1:5">
      <c r="A349" s="3" t="s">
        <v>1756</v>
      </c>
      <c r="B349" s="4" t="str">
        <f ca="1">IFERROR(__xludf.DUMMYFUNCTION("IFERROR(GOOGLETRANSLATE(A349,""ko"",""en""),)"),"Why are you still at the company?")</f>
        <v>Why are you still at the company?</v>
      </c>
      <c r="C349" s="4" t="str">
        <f ca="1">IFERROR(__xludf.DUMMYFUNCTION("IFERROR(GOOGLETRANSLATE(B349,""en"",""ja""),)"),"なぜあなたはまだその会社にいるのですか？")</f>
        <v>なぜあなたはまだその会社にいるのですか？</v>
      </c>
      <c r="D349" s="4" t="str">
        <f ca="1">IFERROR(__xludf.DUMMYFUNCTION("IFERROR(GOOGLETRANSLATE(B349,""en"",""zh-TW""),)"),"為什麼還要留在公司？")</f>
        <v>為什麼還要留在公司？</v>
      </c>
      <c r="E349" s="4" t="str">
        <f ca="1">IFERROR(__xludf.DUMMYFUNCTION("IFERROR(GOOGLETRANSLATE(B349,""en"",""zh-CN""),)"),"你为什么还留在公司？")</f>
        <v>你为什么还留在公司？</v>
      </c>
    </row>
    <row r="350" spans="1:5">
      <c r="A350" s="3" t="s">
        <v>1761</v>
      </c>
      <c r="B350" s="4" t="str">
        <f ca="1">IFERROR(__xludf.DUMMYFUNCTION("IFERROR(GOOGLETRANSLATE(A350,""ko"",""en""),)"),"I'm at the office because I have a lot of work.")</f>
        <v>I'm at the office because I have a lot of work.</v>
      </c>
      <c r="C350" s="4" t="str">
        <f ca="1">IFERROR(__xludf.DUMMYFUNCTION("IFERROR(GOOGLETRANSLATE(B350,""en"",""ja""),)"),"仕事がたくさんあるので、オフィスにいます。")</f>
        <v>仕事がたくさんあるので、オフィスにいます。</v>
      </c>
      <c r="D350" s="4" t="str">
        <f ca="1">IFERROR(__xludf.DUMMYFUNCTION("IFERROR(GOOGLETRANSLATE(B350,""en"",""zh-TW""),)"),"我來辦公室是因為我有很多工作要做。")</f>
        <v>我來辦公室是因為我有很多工作要做。</v>
      </c>
      <c r="E350" s="4" t="str">
        <f ca="1">IFERROR(__xludf.DUMMYFUNCTION("IFERROR(GOOGLETRANSLATE(B350,""en"",""zh-CN""),)"),"我来办公室是因为我有很多工作要做。")</f>
        <v>我来办公室是因为我有很多工作要做。</v>
      </c>
    </row>
    <row r="351" spans="1:5">
      <c r="A351" s="3" t="s">
        <v>1767</v>
      </c>
      <c r="B351" s="4" t="str">
        <f ca="1">IFERROR(__xludf.DUMMYFUNCTION("IFERROR(GOOGLETRANSLATE(A351,""ko"",""en""),)"),"Where are you going?")</f>
        <v>Where are you going?</v>
      </c>
      <c r="C351" s="4" t="str">
        <f ca="1">IFERROR(__xludf.DUMMYFUNCTION("IFERROR(GOOGLETRANSLATE(B351,""en"",""ja""),)"),"どこに行くの？")</f>
        <v>どこに行くの？</v>
      </c>
      <c r="D351" s="4" t="str">
        <f ca="1">IFERROR(__xludf.DUMMYFUNCTION("IFERROR(GOOGLETRANSLATE(B351,""en"",""zh-TW""),)"),"你要去哪裡？")</f>
        <v>你要去哪裡？</v>
      </c>
      <c r="E351" s="4" t="str">
        <f ca="1">IFERROR(__xludf.DUMMYFUNCTION("IFERROR(GOOGLETRANSLATE(B351,""en"",""zh-CN""),)"),"你要去哪里？")</f>
        <v>你要去哪里？</v>
      </c>
    </row>
    <row r="352" spans="1:5">
      <c r="A352" s="3" t="s">
        <v>1773</v>
      </c>
      <c r="B352" s="4" t="str">
        <f ca="1">IFERROR(__xludf.DUMMYFUNCTION("IFERROR(GOOGLETRANSLATE(A352,""ko"",""en""),)"),"I'm going to my friend's house because it's their birthday.")</f>
        <v>I'm going to my friend's house because it's their birthday.</v>
      </c>
      <c r="C352" s="4" t="str">
        <f ca="1">IFERROR(__xludf.DUMMYFUNCTION("IFERROR(GOOGLETRANSLATE(B352,""en"",""ja""),)"),"今日は友達の誕生日なので、友達の家に行く予定です。")</f>
        <v>今日は友達の誕生日なので、友達の家に行く予定です。</v>
      </c>
      <c r="D352" s="4" t="str">
        <f ca="1">IFERROR(__xludf.DUMMYFUNCTION("IFERROR(GOOGLETRANSLATE(B352,""en"",""zh-TW""),)"),"我要去朋友家，因為今天是他的生日。")</f>
        <v>我要去朋友家，因為今天是他的生日。</v>
      </c>
      <c r="E352" s="4" t="str">
        <f ca="1">IFERROR(__xludf.DUMMYFUNCTION("IFERROR(GOOGLETRANSLATE(B352,""en"",""zh-CN""),)"),"我要去朋友家，因为今天是他的生日。")</f>
        <v>我要去朋友家，因为今天是他的生日。</v>
      </c>
    </row>
    <row r="353" spans="1:5">
      <c r="A353" s="3" t="s">
        <v>1778</v>
      </c>
      <c r="B353" s="4" t="str">
        <f ca="1">IFERROR(__xludf.DUMMYFUNCTION("IFERROR(GOOGLETRANSLATE(A353,""ko"",""en""),)"),"I am going to my friend's house for a birthday party.")</f>
        <v>I am going to my friend's house for a birthday party.</v>
      </c>
      <c r="C353" s="4" t="str">
        <f ca="1">IFERROR(__xludf.DUMMYFUNCTION("IFERROR(GOOGLETRANSLATE(B353,""en"",""ja""),)"),"友達の家で誕生日パーティーに行く予定です。")</f>
        <v>友達の家で誕生日パーティーに行く予定です。</v>
      </c>
      <c r="D353" s="4" t="str">
        <f ca="1">IFERROR(__xludf.DUMMYFUNCTION("IFERROR(GOOGLETRANSLATE(B353,""en"",""zh-TW""),)"),"我要去朋友家參加生日派對。")</f>
        <v>我要去朋友家參加生日派對。</v>
      </c>
      <c r="E353" s="4" t="str">
        <f ca="1">IFERROR(__xludf.DUMMYFUNCTION("IFERROR(GOOGLETRANSLATE(B353,""en"",""zh-CN""),)"),"我要去朋友家参加生日聚会。")</f>
        <v>我要去朋友家参加生日聚会。</v>
      </c>
    </row>
    <row r="354" spans="1:5">
      <c r="A354" s="3" t="s">
        <v>1782</v>
      </c>
      <c r="B354" s="4" t="str">
        <f ca="1">IFERROR(__xludf.DUMMYFUNCTION("IFERROR(GOOGLETRANSLATE(A354,""ko"",""en""),)"),"Why couldn't you go hiking yesterday?")</f>
        <v>Why couldn't you go hiking yesterday?</v>
      </c>
      <c r="C354" s="4" t="str">
        <f ca="1">IFERROR(__xludf.DUMMYFUNCTION("IFERROR(GOOGLETRANSLATE(B354,""en"",""ja""),)"),"昨日ハイキングに行けなかったのはなぜですか？")</f>
        <v>昨日ハイキングに行けなかったのはなぜですか？</v>
      </c>
      <c r="D354" s="4" t="str">
        <f ca="1">IFERROR(__xludf.DUMMYFUNCTION("IFERROR(GOOGLETRANSLATE(B354,""en"",""zh-TW""),)"),"你昨天為什麼沒能去健行？")</f>
        <v>你昨天為什麼沒能去健行？</v>
      </c>
      <c r="E354" s="4" t="str">
        <f ca="1">IFERROR(__xludf.DUMMYFUNCTION("IFERROR(GOOGLETRANSLATE(B354,""en"",""zh-CN""),)"),"你昨天为什么没能去徒步旅行？")</f>
        <v>你昨天为什么没能去徒步旅行？</v>
      </c>
    </row>
    <row r="355" spans="1:5">
      <c r="A355" s="3" t="s">
        <v>1786</v>
      </c>
      <c r="B355" s="4" t="str">
        <f ca="1">IFERROR(__xludf.DUMMYFUNCTION("IFERROR(GOOGLETRANSLATE(A355,""ko"",""en""),)"),"I stayed home because it was raining.")</f>
        <v>I stayed home because it was raining.</v>
      </c>
      <c r="C355" s="4" t="str">
        <f ca="1">IFERROR(__xludf.DUMMYFUNCTION("IFERROR(GOOGLETRANSLATE(B355,""en"",""ja""),)"),"雨が降っていたので家にいました。")</f>
        <v>雨が降っていたので家にいました。</v>
      </c>
      <c r="D355" s="4" t="str">
        <f ca="1">IFERROR(__xludf.DUMMYFUNCTION("IFERROR(GOOGLETRANSLATE(B355,""en"",""zh-TW""),)"),"因為下雨，所以我待在家裡。")</f>
        <v>因為下雨，所以我待在家裡。</v>
      </c>
      <c r="E355" s="4" t="str">
        <f ca="1">IFERROR(__xludf.DUMMYFUNCTION("IFERROR(GOOGLETRANSLATE(B355,""en"",""zh-CN""),)"),"因为下雨，所以我待在家里。")</f>
        <v>因为下雨，所以我待在家里。</v>
      </c>
    </row>
    <row r="356" spans="1:5">
      <c r="A356" s="3" t="s">
        <v>1791</v>
      </c>
      <c r="B356" s="4" t="str">
        <f ca="1">IFERROR(__xludf.DUMMYFUNCTION("IFERROR(GOOGLETRANSLATE(A356,""ko"",""en""),)"),"It was very windy, so I stayed home.")</f>
        <v>It was very windy, so I stayed home.</v>
      </c>
      <c r="C356" s="4" t="str">
        <f ca="1">IFERROR(__xludf.DUMMYFUNCTION("IFERROR(GOOGLETRANSLATE(B356,""en"",""ja""),)"),"風がとても強かったので、家にいました。")</f>
        <v>風がとても強かったので、家にいました。</v>
      </c>
      <c r="D356" s="4" t="str">
        <f ca="1">IFERROR(__xludf.DUMMYFUNCTION("IFERROR(GOOGLETRANSLATE(B356,""en"",""zh-TW""),)"),"風很大，所以我待在家裡。")</f>
        <v>風很大，所以我待在家裡。</v>
      </c>
      <c r="E356" s="4" t="str">
        <f ca="1">IFERROR(__xludf.DUMMYFUNCTION("IFERROR(GOOGLETRANSLATE(B356,""en"",""zh-CN""),)"),"风很大，所以我待在家里。")</f>
        <v>风很大，所以我待在家里。</v>
      </c>
    </row>
    <row r="357" spans="1:5">
      <c r="A357" s="3" t="s">
        <v>1795</v>
      </c>
      <c r="B357" s="4" t="str">
        <f ca="1">IFERROR(__xludf.DUMMYFUNCTION("IFERROR(GOOGLETRANSLATE(A357,""ko"",""en""),)"),"Do you like kimchi?")</f>
        <v>Do you like kimchi?</v>
      </c>
      <c r="C357" s="4" t="str">
        <f ca="1">IFERROR(__xludf.DUMMYFUNCTION("IFERROR(GOOGLETRANSLATE(B357,""en"",""ja""),)"),"キムチはお好きですか？")</f>
        <v>キムチはお好きですか？</v>
      </c>
      <c r="D357" s="4" t="str">
        <f ca="1">IFERROR(__xludf.DUMMYFUNCTION("IFERROR(GOOGLETRANSLATE(B357,""en"",""zh-TW""),)"),"你喜歡泡菜嗎？")</f>
        <v>你喜歡泡菜嗎？</v>
      </c>
      <c r="E357" s="4" t="str">
        <f ca="1">IFERROR(__xludf.DUMMYFUNCTION("IFERROR(GOOGLETRANSLATE(B357,""en"",""zh-CN""),)"),"你喜欢泡菜吗？")</f>
        <v>你喜欢泡菜吗？</v>
      </c>
    </row>
    <row r="358" spans="1:5">
      <c r="A358" s="3" t="s">
        <v>1800</v>
      </c>
      <c r="B358" s="4" t="str">
        <f ca="1">IFERROR(__xludf.DUMMYFUNCTION("IFERROR(GOOGLETRANSLATE(A358,""ko"",""en""),)"),"Yes, I like kimchi, so I eat it often.")</f>
        <v>Yes, I like kimchi, so I eat it often.</v>
      </c>
      <c r="C358" s="4" t="str">
        <f ca="1">IFERROR(__xludf.DUMMYFUNCTION("IFERROR(GOOGLETRANSLATE(B358,""en"",""ja""),)"),"はい、キムチが好きなのでよく食べます。")</f>
        <v>はい、キムチが好きなのでよく食べます。</v>
      </c>
      <c r="D358" s="4" t="str">
        <f ca="1">IFERROR(__xludf.DUMMYFUNCTION("IFERROR(GOOGLETRANSLATE(B358,""en"",""zh-TW""),)"),"是的，我喜歡泡菜，所以我經常吃。")</f>
        <v>是的，我喜歡泡菜，所以我經常吃。</v>
      </c>
      <c r="E358" s="4" t="str">
        <f ca="1">IFERROR(__xludf.DUMMYFUNCTION("IFERROR(GOOGLETRANSLATE(B358,""en"",""zh-CN""),)"),"是的，我喜欢泡菜，所以经常吃。")</f>
        <v>是的，我喜欢泡菜，所以经常吃。</v>
      </c>
    </row>
    <row r="359" spans="1:5">
      <c r="A359" s="3" t="s">
        <v>1804</v>
      </c>
      <c r="B359" s="4" t="str">
        <f ca="1">IFERROR(__xludf.DUMMYFUNCTION("IFERROR(GOOGLETRANSLATE(A359,""ko"",""en""),)"),"Why do you study Korean?")</f>
        <v>Why do you study Korean?</v>
      </c>
      <c r="C359" s="4" t="str">
        <f ca="1">IFERROR(__xludf.DUMMYFUNCTION("IFERROR(GOOGLETRANSLATE(B359,""en"",""ja""),)"),"なぜ韓国語を勉強しているのですか？")</f>
        <v>なぜ韓国語を勉強しているのですか？</v>
      </c>
      <c r="D359" s="4" t="str">
        <f ca="1">IFERROR(__xludf.DUMMYFUNCTION("IFERROR(GOOGLETRANSLATE(B359,""en"",""zh-TW""),)"),"為什麼學習韓語？")</f>
        <v>為什麼學習韓語？</v>
      </c>
      <c r="E359" s="4" t="str">
        <f ca="1">IFERROR(__xludf.DUMMYFUNCTION("IFERROR(GOOGLETRANSLATE(B359,""en"",""zh-CN""),)"),"你为什么学习韩语？")</f>
        <v>你为什么学习韩语？</v>
      </c>
    </row>
    <row r="360" spans="1:5">
      <c r="A360" s="3" t="s">
        <v>1809</v>
      </c>
      <c r="B360" s="4" t="str">
        <f ca="1">IFERROR(__xludf.DUMMYFUNCTION("IFERROR(GOOGLETRANSLATE(A360,""ko"",""en""),)"),"I am studying Korean because I am interested in Korean culture.")</f>
        <v>I am studying Korean because I am interested in Korean culture.</v>
      </c>
      <c r="C360" s="4" t="str">
        <f ca="1">IFERROR(__xludf.DUMMYFUNCTION("IFERROR(GOOGLETRANSLATE(B360,""en"",""ja""),)"),"私は韓国文化に興味があるので、韓国語を勉強しています。")</f>
        <v>私は韓国文化に興味があるので、韓国語を勉強しています。</v>
      </c>
      <c r="D360" s="4" t="str">
        <f ca="1">IFERROR(__xludf.DUMMYFUNCTION("IFERROR(GOOGLETRANSLATE(B360,""en"",""zh-TW""),)"),"我學習韓語是因為我對韓國文化很有興趣。")</f>
        <v>我學習韓語是因為我對韓國文化很有興趣。</v>
      </c>
      <c r="E360" s="4" t="str">
        <f ca="1">IFERROR(__xludf.DUMMYFUNCTION("IFERROR(GOOGLETRANSLATE(B360,""en"",""zh-CN""),)"),"我学习韩语是因为我对韩国文化很感兴趣。")</f>
        <v>我学习韩语是因为我对韩国文化很感兴趣。</v>
      </c>
    </row>
    <row r="361" spans="1:5">
      <c r="A361" s="3" t="s">
        <v>1813</v>
      </c>
      <c r="B361" s="4" t="str">
        <f ca="1">IFERROR(__xludf.DUMMYFUNCTION("IFERROR(GOOGLETRANSLATE(A361,""ko"",""en""),)"),"I am studying Korean because I want to talk to my husband's family.")</f>
        <v>I am studying Korean because I want to talk to my husband's family.</v>
      </c>
      <c r="C361" s="4" t="str">
        <f ca="1">IFERROR(__xludf.DUMMYFUNCTION("IFERROR(GOOGLETRANSLATE(B361,""en"",""ja""),)"),"夫の家族と話したいので、韓国語を勉強しています。")</f>
        <v>夫の家族と話したいので、韓国語を勉強しています。</v>
      </c>
      <c r="D361" s="4" t="str">
        <f ca="1">IFERROR(__xludf.DUMMYFUNCTION("IFERROR(GOOGLETRANSLATE(B361,""en"",""zh-TW""),)"),"我學習韓語是因為我想和先生的家人交流。")</f>
        <v>我學習韓語是因為我想和先生的家人交流。</v>
      </c>
      <c r="E361" s="4" t="str">
        <f ca="1">IFERROR(__xludf.DUMMYFUNCTION("IFERROR(GOOGLETRANSLATE(B361,""en"",""zh-CN""),)"),"我学习韩语是因为我想和丈夫的家人交流。")</f>
        <v>我学习韩语是因为我想和丈夫的家人交流。</v>
      </c>
    </row>
    <row r="362" spans="1:5">
      <c r="A362" s="3" t="s">
        <v>1818</v>
      </c>
      <c r="B362" s="4" t="str">
        <f ca="1">IFERROR(__xludf.DUMMYFUNCTION("IFERROR(GOOGLETRANSLATE(A362,""ko"",""en""),)"),"I am studying Korean because I want to travel.")</f>
        <v>I am studying Korean because I want to travel.</v>
      </c>
      <c r="C362" s="4" t="str">
        <f ca="1">IFERROR(__xludf.DUMMYFUNCTION("IFERROR(GOOGLETRANSLATE(B362,""en"",""ja""),)"),"旅行したいので、韓国語を勉強しています。")</f>
        <v>旅行したいので、韓国語を勉強しています。</v>
      </c>
      <c r="D362" s="4" t="str">
        <f ca="1">IFERROR(__xludf.DUMMYFUNCTION("IFERROR(GOOGLETRANSLATE(B362,""en"",""zh-TW""),)"),"我學習韓語是因為我想去旅行。")</f>
        <v>我學習韓語是因為我想去旅行。</v>
      </c>
      <c r="E362" s="4" t="str">
        <f ca="1">IFERROR(__xludf.DUMMYFUNCTION("IFERROR(GOOGLETRANSLATE(B362,""en"",""zh-CN""),)"),"我学习韩语是因为我想去旅行。")</f>
        <v>我学习韩语是因为我想去旅行。</v>
      </c>
    </row>
    <row r="363" spans="1:5">
      <c r="A363" s="3" t="s">
        <v>1823</v>
      </c>
      <c r="B363" s="4" t="str">
        <f ca="1">IFERROR(__xludf.DUMMYFUNCTION("IFERROR(GOOGLETRANSLATE(A363,""ko"",""en""),)"),"I am studying Korean because I want to study another language.")</f>
        <v>I am studying Korean because I want to study another language.</v>
      </c>
      <c r="C363" s="4" t="str">
        <f ca="1">IFERROR(__xludf.DUMMYFUNCTION("IFERROR(GOOGLETRANSLATE(B363,""en"",""ja""),)"),"私は別の言語を学びたいので、韓国語を勉強しています。")</f>
        <v>私は別の言語を学びたいので、韓国語を勉強しています。</v>
      </c>
      <c r="D363" s="4" t="str">
        <f ca="1">IFERROR(__xludf.DUMMYFUNCTION("IFERROR(GOOGLETRANSLATE(B363,""en"",""zh-TW""),)"),"我學習韓語是因為我想學習另一門語言。")</f>
        <v>我學習韓語是因為我想學習另一門語言。</v>
      </c>
      <c r="E363" s="4" t="str">
        <f ca="1">IFERROR(__xludf.DUMMYFUNCTION("IFERROR(GOOGLETRANSLATE(B363,""en"",""zh-CN""),)"),"我学习韩语是因为我想学习另一门语言。")</f>
        <v>我学习韩语是因为我想学习另一门语言。</v>
      </c>
    </row>
    <row r="364" spans="1:5">
      <c r="A364" s="3" t="s">
        <v>1826</v>
      </c>
      <c r="B364" s="4" t="str">
        <f ca="1">IFERROR(__xludf.DUMMYFUNCTION("IFERROR(GOOGLETRANSLATE(A364,""ko"",""en""),)"),"I am studying Korean because I have a Korean friend.")</f>
        <v>I am studying Korean because I have a Korean friend.</v>
      </c>
      <c r="C364" s="4" t="str">
        <f ca="1">IFERROR(__xludf.DUMMYFUNCTION("IFERROR(GOOGLETRANSLATE(B364,""en"",""ja""),)"),"韓国人の友達がいるので、韓国語を勉強しています。")</f>
        <v>韓国人の友達がいるので、韓国語を勉強しています。</v>
      </c>
      <c r="D364" s="4" t="str">
        <f ca="1">IFERROR(__xludf.DUMMYFUNCTION("IFERROR(GOOGLETRANSLATE(B364,""en"",""zh-TW""),)"),"我學習韓語是因為我有一個韓國朋友。")</f>
        <v>我學習韓語是因為我有一個韓國朋友。</v>
      </c>
      <c r="E364" s="4" t="str">
        <f ca="1">IFERROR(__xludf.DUMMYFUNCTION("IFERROR(GOOGLETRANSLATE(B364,""en"",""zh-CN""),)"),"我学习韩语是因为我有一个韩国朋友。")</f>
        <v>我学习韩语是因为我有一个韩国朋友。</v>
      </c>
    </row>
    <row r="365" spans="1:5">
      <c r="A365" s="3" t="s">
        <v>1831</v>
      </c>
      <c r="B365" s="4" t="str">
        <f ca="1">IFERROR(__xludf.DUMMYFUNCTION("IFERROR(GOOGLETRANSLATE(A365,""ko"",""en""),)"),"I'm going to read a book in the evening.")</f>
        <v>I'm going to read a book in the evening.</v>
      </c>
      <c r="C365" s="4" t="str">
        <f ca="1">IFERROR(__xludf.DUMMYFUNCTION("IFERROR(GOOGLETRANSLATE(B365,""en"",""ja""),)"),"今晩は本を読むつもりです。")</f>
        <v>今晩は本を読むつもりです。</v>
      </c>
      <c r="D365" s="4" t="str">
        <f ca="1">IFERROR(__xludf.DUMMYFUNCTION("IFERROR(GOOGLETRANSLATE(B365,""en"",""zh-TW""),)"),"我晚上打算看本書。")</f>
        <v>我晚上打算看本書。</v>
      </c>
      <c r="E365" s="4" t="str">
        <f ca="1">IFERROR(__xludf.DUMMYFUNCTION("IFERROR(GOOGLETRANSLATE(B365,""en"",""zh-CN""),)"),"我晚上打算看本书。")</f>
        <v>我晚上打算看本书。</v>
      </c>
    </row>
    <row r="366" spans="1:5">
      <c r="A366" s="3" t="s">
        <v>1835</v>
      </c>
      <c r="B366" s="4" t="str">
        <f ca="1">IFERROR(__xludf.DUMMYFUNCTION("IFERROR(GOOGLETRANSLATE(A366,""ko"",""en""),)"),"No, I'm going to ride a bike in the park.")</f>
        <v>No, I'm going to ride a bike in the park.</v>
      </c>
      <c r="C366" s="4" t="str">
        <f ca="1">IFERROR(__xludf.DUMMYFUNCTION("IFERROR(GOOGLETRANSLATE(B366,""en"",""ja""),)"),"いいえ、公園で自転車に乗るつもりです。")</f>
        <v>いいえ、公園で自転車に乗るつもりです。</v>
      </c>
      <c r="D366" s="4" t="str">
        <f ca="1">IFERROR(__xludf.DUMMYFUNCTION("IFERROR(GOOGLETRANSLATE(B366,""en"",""zh-TW""),)"),"不，我要去公園騎腳踏車。")</f>
        <v>不，我要去公園騎腳踏車。</v>
      </c>
      <c r="E366" s="4" t="str">
        <f ca="1">IFERROR(__xludf.DUMMYFUNCTION("IFERROR(GOOGLETRANSLATE(B366,""en"",""zh-CN""),)"),"不，我要去公园骑自行车。")</f>
        <v>不，我要去公园骑自行车。</v>
      </c>
    </row>
    <row r="367" spans="1:5">
      <c r="A367" s="3" t="s">
        <v>58</v>
      </c>
      <c r="B367" s="4" t="str">
        <f ca="1">IFERROR(__xludf.DUMMYFUNCTION("IFERROR(GOOGLETRANSLATE(A367,""ko"",""en""),)"),"What are you going to do this weekend?")</f>
        <v>What are you going to do this weekend?</v>
      </c>
      <c r="C367" s="4" t="str">
        <f ca="1">IFERROR(__xludf.DUMMYFUNCTION("IFERROR(GOOGLETRANSLATE(B367,""en"",""ja""),)"),"今週末は何をする予定ですか？")</f>
        <v>今週末は何をする予定ですか？</v>
      </c>
      <c r="D367" s="4" t="str">
        <f ca="1">IFERROR(__xludf.DUMMYFUNCTION("IFERROR(GOOGLETRANSLATE(B367,""en"",""zh-TW""),)"),"你這個週末打算做什麼？")</f>
        <v>你這個週末打算做什麼？</v>
      </c>
      <c r="E367" s="4" t="str">
        <f ca="1">IFERROR(__xludf.DUMMYFUNCTION("IFERROR(GOOGLETRANSLATE(B367,""en"",""zh-CN""),)"),"你这个周末打算做什么？")</f>
        <v>你这个周末打算做什么？</v>
      </c>
    </row>
    <row r="368" spans="1:5">
      <c r="A368" s="3" t="s">
        <v>1844</v>
      </c>
      <c r="B368" s="4" t="str">
        <f ca="1">IFERROR(__xludf.DUMMYFUNCTION("IFERROR(GOOGLETRANSLATE(A368,""ko"",""en""),)"),"I'm going to shop at a department store.")</f>
        <v>I'm going to shop at a department store.</v>
      </c>
      <c r="C368" s="4" t="str">
        <f ca="1">IFERROR(__xludf.DUMMYFUNCTION("IFERROR(GOOGLETRANSLATE(B368,""en"",""ja""),)"),"デパートで買い物をするつもりです。")</f>
        <v>デパートで買い物をするつもりです。</v>
      </c>
      <c r="D368" s="4" t="str">
        <f ca="1">IFERROR(__xludf.DUMMYFUNCTION("IFERROR(GOOGLETRANSLATE(B368,""en"",""zh-TW""),)"),"我要去百貨公司購物。")</f>
        <v>我要去百貨公司購物。</v>
      </c>
      <c r="E368" s="4" t="str">
        <f ca="1">IFERROR(__xludf.DUMMYFUNCTION("IFERROR(GOOGLETRANSLATE(B368,""en"",""zh-CN""),)"),"我要去百货商店购物。")</f>
        <v>我要去百货商店购物。</v>
      </c>
    </row>
    <row r="369" spans="1:5">
      <c r="A369" s="3" t="s">
        <v>1849</v>
      </c>
      <c r="B369" s="4" t="str">
        <f ca="1">IFERROR(__xludf.DUMMYFUNCTION("IFERROR(GOOGLETRANSLATE(A369,""ko"",""en""),)"),"I'm going to eat")</f>
        <v>I'm going to eat</v>
      </c>
      <c r="C369" s="4" t="str">
        <f ca="1">IFERROR(__xludf.DUMMYFUNCTION("IFERROR(GOOGLETRANSLATE(B369,""en"",""ja""),)"),"食べに行きます")</f>
        <v>食べに行きます</v>
      </c>
      <c r="D369" s="4" t="str">
        <f ca="1">IFERROR(__xludf.DUMMYFUNCTION("IFERROR(GOOGLETRANSLATE(B369,""en"",""zh-TW""),)"),"我要去吃飯了")</f>
        <v>我要去吃飯了</v>
      </c>
      <c r="E369" s="4" t="str">
        <f ca="1">IFERROR(__xludf.DUMMYFUNCTION("IFERROR(GOOGLETRANSLATE(B369,""en"",""zh-CN""),)"),"我要去吃饭了")</f>
        <v>我要去吃饭了</v>
      </c>
    </row>
    <row r="370" spans="1:5">
      <c r="A370" s="3" t="s">
        <v>1855</v>
      </c>
      <c r="B370" s="4" t="str">
        <f ca="1">IFERROR(__xludf.DUMMYFUNCTION("IFERROR(GOOGLETRANSLATE(A370,""ko"",""en""),)"),"I'm going to wear them.")</f>
        <v>I'm going to wear them.</v>
      </c>
      <c r="C370" s="4" t="str">
        <f ca="1">IFERROR(__xludf.DUMMYFUNCTION("IFERROR(GOOGLETRANSLATE(B370,""en"",""ja""),)"),"私はそれを着るつもりです。")</f>
        <v>私はそれを着るつもりです。</v>
      </c>
      <c r="D370" s="4" t="str">
        <f ca="1">IFERROR(__xludf.DUMMYFUNCTION("IFERROR(GOOGLETRANSLATE(B370,""en"",""zh-TW""),)"),"我打算穿它們。")</f>
        <v>我打算穿它們。</v>
      </c>
      <c r="E370" s="4" t="str">
        <f ca="1">IFERROR(__xludf.DUMMYFUNCTION("IFERROR(GOOGLETRANSLATE(B370,""en"",""zh-CN""),)"),"我打算穿它们。")</f>
        <v>我打算穿它们。</v>
      </c>
    </row>
    <row r="371" spans="1:5">
      <c r="A371" s="3" t="s">
        <v>1860</v>
      </c>
      <c r="B371" s="4" t="str">
        <f ca="1">IFERROR(__xludf.DUMMYFUNCTION("IFERROR(GOOGLETRANSLATE(A371,""ko"",""en""),)"),"I'm going to read it")</f>
        <v>I'm going to read it</v>
      </c>
      <c r="C371" s="4" t="str">
        <f ca="1">IFERROR(__xludf.DUMMYFUNCTION("IFERROR(GOOGLETRANSLATE(B371,""en"",""ja""),)"),"読んでみます")</f>
        <v>読んでみます</v>
      </c>
      <c r="D371" s="4" t="str">
        <f ca="1">IFERROR(__xludf.DUMMYFUNCTION("IFERROR(GOOGLETRANSLATE(B371,""en"",""zh-TW""),)"),"我打算讀它。")</f>
        <v>我打算讀它。</v>
      </c>
      <c r="E371" s="4" t="str">
        <f ca="1">IFERROR(__xludf.DUMMYFUNCTION("IFERROR(GOOGLETRANSLATE(B371,""en"",""zh-CN""),)"),"我打算读它。")</f>
        <v>我打算读它。</v>
      </c>
    </row>
    <row r="372" spans="1:5">
      <c r="A372" s="3" t="s">
        <v>1864</v>
      </c>
      <c r="B372" s="4" t="str">
        <f ca="1">IFERROR(__xludf.DUMMYFUNCTION("IFERROR(GOOGLETRANSLATE(A372,""ko"",""en""),)"),"I'm going to listen.")</f>
        <v>I'm going to listen.</v>
      </c>
      <c r="C372" s="4" t="str">
        <f ca="1">IFERROR(__xludf.DUMMYFUNCTION("IFERROR(GOOGLETRANSLATE(B372,""en"",""ja""),)"),"聞いてみます。")</f>
        <v>聞いてみます。</v>
      </c>
      <c r="D372" s="4" t="str">
        <f ca="1">IFERROR(__xludf.DUMMYFUNCTION("IFERROR(GOOGLETRANSLATE(B372,""en"",""zh-TW""),)"),"我會聽的。")</f>
        <v>我會聽的。</v>
      </c>
      <c r="E372" s="4" t="str">
        <f ca="1">IFERROR(__xludf.DUMMYFUNCTION("IFERROR(GOOGLETRANSLATE(B372,""en"",""zh-CN""),)"),"我会听的。")</f>
        <v>我会听的。</v>
      </c>
    </row>
    <row r="373" spans="1:5">
      <c r="A373" s="3" t="s">
        <v>1869</v>
      </c>
      <c r="B373" s="4" t="str">
        <f ca="1">IFERROR(__xludf.DUMMYFUNCTION("IFERROR(GOOGLETRANSLATE(A373,""ko"",""en""),)"),"I'm going.")</f>
        <v>I'm going.</v>
      </c>
      <c r="C373" s="4" t="str">
        <f ca="1">IFERROR(__xludf.DUMMYFUNCTION("IFERROR(GOOGLETRANSLATE(B373,""en"",""ja""),)"),"私は行きます。")</f>
        <v>私は行きます。</v>
      </c>
      <c r="D373" s="4" t="str">
        <f ca="1">IFERROR(__xludf.DUMMYFUNCTION("IFERROR(GOOGLETRANSLATE(B373,""en"",""zh-TW""),)"),"我要去。")</f>
        <v>我要去。</v>
      </c>
      <c r="E373" s="4" t="str">
        <f ca="1">IFERROR(__xludf.DUMMYFUNCTION("IFERROR(GOOGLETRANSLATE(B373,""en"",""zh-CN""),)"),"我要去。")</f>
        <v>我要去。</v>
      </c>
    </row>
    <row r="374" spans="1:5">
      <c r="A374" s="3" t="s">
        <v>1872</v>
      </c>
      <c r="B374" s="4" t="str">
        <f ca="1">IFERROR(__xludf.DUMMYFUNCTION("IFERROR(GOOGLETRANSLATE(A374,""ko"",""en""),)"),"I'm going to watch")</f>
        <v>I'm going to watch</v>
      </c>
      <c r="C374" s="4" t="str">
        <f ca="1">IFERROR(__xludf.DUMMYFUNCTION("IFERROR(GOOGLETRANSLATE(B374,""en"",""ja""),)"),"観るつもりです")</f>
        <v>観るつもりです</v>
      </c>
      <c r="D374" s="4" t="str">
        <f ca="1">IFERROR(__xludf.DUMMYFUNCTION("IFERROR(GOOGLETRANSLATE(B374,""en"",""zh-TW""),)"),"我要去看")</f>
        <v>我要去看</v>
      </c>
      <c r="E374" s="4" t="str">
        <f ca="1">IFERROR(__xludf.DUMMYFUNCTION("IFERROR(GOOGLETRANSLATE(B374,""en"",""zh-CN""),)"),"我要去看")</f>
        <v>我要去看</v>
      </c>
    </row>
    <row r="375" spans="1:5">
      <c r="A375" s="3" t="s">
        <v>1877</v>
      </c>
      <c r="B375" s="4" t="str">
        <f ca="1">IFERROR(__xludf.DUMMYFUNCTION("IFERROR(GOOGLETRANSLATE(A375,""ko"",""en""),)"),"I'm going to study")</f>
        <v>I'm going to study</v>
      </c>
      <c r="C375" s="4" t="str">
        <f ca="1">IFERROR(__xludf.DUMMYFUNCTION("IFERROR(GOOGLETRANSLATE(B375,""en"",""ja""),)"),"私は勉強するつもりです")</f>
        <v>私は勉強するつもりです</v>
      </c>
      <c r="D375" s="4" t="str">
        <f ca="1">IFERROR(__xludf.DUMMYFUNCTION("IFERROR(GOOGLETRANSLATE(B375,""en"",""zh-TW""),)"),"我要去學習")</f>
        <v>我要去學習</v>
      </c>
      <c r="E375" s="4" t="str">
        <f ca="1">IFERROR(__xludf.DUMMYFUNCTION("IFERROR(GOOGLETRANSLATE(B375,""en"",""zh-CN""),)"),"我要去学习")</f>
        <v>我要去学习</v>
      </c>
    </row>
    <row r="376" spans="1:5">
      <c r="A376" s="3" t="s">
        <v>1882</v>
      </c>
      <c r="B376" s="4" t="str">
        <f ca="1">IFERROR(__xludf.DUMMYFUNCTION("IFERROR(GOOGLETRANSLATE(A376,""ko"",""en""),)"),"I'm going to make it")</f>
        <v>I'm going to make it</v>
      </c>
      <c r="C376" s="4" t="str">
        <f ca="1">IFERROR(__xludf.DUMMYFUNCTION("IFERROR(GOOGLETRANSLATE(B376,""en"",""ja""),)"),"私はそれを実現させるつもりだ")</f>
        <v>私はそれを実現させるつもりだ</v>
      </c>
      <c r="D376" s="4" t="str">
        <f ca="1">IFERROR(__xludf.DUMMYFUNCTION("IFERROR(GOOGLETRANSLATE(B376,""en"",""zh-TW""),)"),"我一定會成功的")</f>
        <v>我一定會成功的</v>
      </c>
      <c r="E376" s="4" t="str">
        <f ca="1">IFERROR(__xludf.DUMMYFUNCTION("IFERROR(GOOGLETRANSLATE(B376,""en"",""zh-CN""),)"),"我一定会成功的")</f>
        <v>我一定会成功的</v>
      </c>
    </row>
    <row r="377" spans="1:5">
      <c r="A377" s="3" t="s">
        <v>1885</v>
      </c>
      <c r="B377" s="4" t="str">
        <f ca="1">IFERROR(__xludf.DUMMYFUNCTION("IFERROR(GOOGLETRANSLATE(A377,""ko"",""en""),)"),"Look at the picture and complete the sentence.")</f>
        <v>Look at the picture and complete the sentence.</v>
      </c>
      <c r="C377" s="4" t="str">
        <f ca="1">IFERROR(__xludf.DUMMYFUNCTION("IFERROR(GOOGLETRANSLATE(B377,""en"",""ja""),)"),"絵を見て、文を完成させなさい。")</f>
        <v>絵を見て、文を完成させなさい。</v>
      </c>
      <c r="D377" s="4" t="str">
        <f ca="1">IFERROR(__xludf.DUMMYFUNCTION("IFERROR(GOOGLETRANSLATE(B377,""en"",""zh-TW""),)"),"看圖完成句子。")</f>
        <v>看圖完成句子。</v>
      </c>
      <c r="E377" s="4" t="str">
        <f ca="1">IFERROR(__xludf.DUMMYFUNCTION("IFERROR(GOOGLETRANSLATE(B377,""en"",""zh-CN""),)"),"看图完成句子。")</f>
        <v>看图完成句子。</v>
      </c>
    </row>
    <row r="378" spans="1:5">
      <c r="A378" s="3" t="s">
        <v>1889</v>
      </c>
      <c r="B378" s="4" t="str">
        <f ca="1">IFERROR(__xludf.DUMMYFUNCTION("IFERROR(GOOGLETRANSLATE(A378,""ko"",""en""),)"),"My Week")</f>
        <v>My Week</v>
      </c>
      <c r="C378" s="4" t="str">
        <f ca="1">IFERROR(__xludf.DUMMYFUNCTION("IFERROR(GOOGLETRANSLATE(B378,""en"",""ja""),)"),"私の1週間")</f>
        <v>私の1週間</v>
      </c>
      <c r="D378" s="4" t="str">
        <f ca="1">IFERROR(__xludf.DUMMYFUNCTION("IFERROR(GOOGLETRANSLATE(B378,""en"",""zh-TW""),)"),"我的一周")</f>
        <v>我的一周</v>
      </c>
      <c r="E378" s="4" t="str">
        <f ca="1">IFERROR(__xludf.DUMMYFUNCTION("IFERROR(GOOGLETRANSLATE(B378,""en"",""zh-CN""),)"),"我的一周")</f>
        <v>我的一周</v>
      </c>
    </row>
    <row r="379" spans="1:5">
      <c r="A379" s="3" t="s">
        <v>1893</v>
      </c>
      <c r="B379" s="4" t="str">
        <f ca="1">IFERROR(__xludf.DUMMYFUNCTION("IFERROR(GOOGLETRANSLATE(A379,""ko"",""en""),)"),"I'm going to watch a movie on Monday.")</f>
        <v>I'm going to watch a movie on Monday.</v>
      </c>
      <c r="C379" s="4" t="str">
        <f ca="1">IFERROR(__xludf.DUMMYFUNCTION("IFERROR(GOOGLETRANSLATE(B379,""en"",""ja""),)"),"月曜日に映画を観る予定です。")</f>
        <v>月曜日に映画を観る予定です。</v>
      </c>
      <c r="D379" s="4" t="str">
        <f ca="1">IFERROR(__xludf.DUMMYFUNCTION("IFERROR(GOOGLETRANSLATE(B379,""en"",""zh-TW""),)"),"我打算星期一去看電影。")</f>
        <v>我打算星期一去看電影。</v>
      </c>
      <c r="E379" s="4" t="str">
        <f ca="1">IFERROR(__xludf.DUMMYFUNCTION("IFERROR(GOOGLETRANSLATE(B379,""en"",""zh-CN""),)"),"我打算星期一去看电影。")</f>
        <v>我打算星期一去看电影。</v>
      </c>
    </row>
    <row r="380" spans="1:5">
      <c r="A380" s="3" t="s">
        <v>1897</v>
      </c>
      <c r="B380" s="4" t="str">
        <f ca="1">IFERROR(__xludf.DUMMYFUNCTION("IFERROR(GOOGLETRANSLATE(A380,""ko"",""en""),)"),"I'm going to study at the library on Tuesday.")</f>
        <v>I'm going to study at the library on Tuesday.</v>
      </c>
      <c r="C380" s="4" t="str">
        <f ca="1">IFERROR(__xludf.DUMMYFUNCTION("IFERROR(GOOGLETRANSLATE(B380,""en"",""ja""),)"),"私は火曜日に図書館で勉強するつもりです。")</f>
        <v>私は火曜日に図書館で勉強するつもりです。</v>
      </c>
      <c r="D380" s="4" t="str">
        <f ca="1">IFERROR(__xludf.DUMMYFUNCTION("IFERROR(GOOGLETRANSLATE(B380,""en"",""zh-TW""),)"),"我星期二要去圖書館學習。")</f>
        <v>我星期二要去圖書館學習。</v>
      </c>
      <c r="E380" s="4" t="str">
        <f ca="1">IFERROR(__xludf.DUMMYFUNCTION("IFERROR(GOOGLETRANSLATE(B380,""en"",""zh-CN""),)"),"我周二要去图书馆学习。")</f>
        <v>我周二要去图书馆学习。</v>
      </c>
    </row>
    <row r="381" spans="1:5">
      <c r="A381" s="3" t="s">
        <v>1900</v>
      </c>
      <c r="B381" s="4" t="str">
        <f ca="1">IFERROR(__xludf.DUMMYFUNCTION("IFERROR(GOOGLETRANSLATE(A381,""ko"",""en""),)"),"I'm going to play soccer at the park on Wednesday.")</f>
        <v>I'm going to play soccer at the park on Wednesday.</v>
      </c>
      <c r="C381" s="4" t="str">
        <f ca="1">IFERROR(__xludf.DUMMYFUNCTION("IFERROR(GOOGLETRANSLATE(B381,""en"",""ja""),)"),"水曜日に公園でサッカーをする予定です。")</f>
        <v>水曜日に公園でサッカーをする予定です。</v>
      </c>
      <c r="D381" s="4" t="str">
        <f ca="1">IFERROR(__xludf.DUMMYFUNCTION("IFERROR(GOOGLETRANSLATE(B381,""en"",""zh-TW""),)"),"我周三要去公園踢足球。")</f>
        <v>我周三要去公園踢足球。</v>
      </c>
      <c r="E381" s="4" t="str">
        <f ca="1">IFERROR(__xludf.DUMMYFUNCTION("IFERROR(GOOGLETRANSLATE(B381,""en"",""zh-CN""),)"),"我周三要去公园踢足球。")</f>
        <v>我周三要去公园踢足球。</v>
      </c>
    </row>
    <row r="382" spans="1:5">
      <c r="A382" s="3" t="s">
        <v>1903</v>
      </c>
      <c r="B382" s="4" t="str">
        <f ca="1">IFERROR(__xludf.DUMMYFUNCTION("IFERROR(GOOGLETRANSLATE(A382,""ko"",""en""),)"),"I'm going to shop for clothes at the store on Thursday.")</f>
        <v>I'm going to shop for clothes at the store on Thursday.</v>
      </c>
      <c r="C382" s="4" t="str">
        <f ca="1">IFERROR(__xludf.DUMMYFUNCTION("IFERROR(GOOGLETRANSLATE(B382,""en"",""ja""),)"),"木曜日に服を買いにお店に行く予定です。")</f>
        <v>木曜日に服を買いにお店に行く予定です。</v>
      </c>
      <c r="D382" s="4" t="str">
        <f ca="1">IFERROR(__xludf.DUMMYFUNCTION("IFERROR(GOOGLETRANSLATE(B382,""en"",""zh-TW""),)"),"我打算週四去商店買衣服。")</f>
        <v>我打算週四去商店買衣服。</v>
      </c>
      <c r="E382" s="4" t="str">
        <f ca="1">IFERROR(__xludf.DUMMYFUNCTION("IFERROR(GOOGLETRANSLATE(B382,""en"",""zh-CN""),)"),"我打算周四去商店买衣服。")</f>
        <v>我打算周四去商店买衣服。</v>
      </c>
    </row>
    <row r="383" spans="1:5">
      <c r="A383" s="3" t="s">
        <v>1906</v>
      </c>
      <c r="B383" s="4" t="str">
        <f ca="1">IFERROR(__xludf.DUMMYFUNCTION("IFERROR(GOOGLETRANSLATE(A383,""ko"",""en""),)"),"I'm going to meet a friend at the ice cream shop on Friday.")</f>
        <v>I'm going to meet a friend at the ice cream shop on Friday.</v>
      </c>
      <c r="C383" s="4" t="str">
        <f ca="1">IFERROR(__xludf.DUMMYFUNCTION("IFERROR(GOOGLETRANSLATE(B383,""en"",""ja""),)"),"金曜日にアイスクリーム屋さんで友達と会う予定です。")</f>
        <v>金曜日にアイスクリーム屋さんで友達と会う予定です。</v>
      </c>
      <c r="D383" s="4" t="str">
        <f ca="1">IFERROR(__xludf.DUMMYFUNCTION("IFERROR(GOOGLETRANSLATE(B383,""en"",""zh-TW""),)"),"我星期五要去冰淇淋店和朋友見面。")</f>
        <v>我星期五要去冰淇淋店和朋友見面。</v>
      </c>
      <c r="E383" s="4" t="str">
        <f ca="1">IFERROR(__xludf.DUMMYFUNCTION("IFERROR(GOOGLETRANSLATE(B383,""en"",""zh-CN""),)"),"我周五要去冰淇淋店和朋友见面。")</f>
        <v>我周五要去冰淇淋店和朋友见面。</v>
      </c>
    </row>
    <row r="384" spans="1:5">
      <c r="A384" s="3" t="s">
        <v>1910</v>
      </c>
      <c r="B384" s="4" t="str">
        <f ca="1">IFERROR(__xludf.DUMMYFUNCTION("IFERROR(GOOGLETRANSLATE(A384,""ko"",""en""),)"),"Anna, what are you going to buy?")</f>
        <v>Anna, what are you going to buy?</v>
      </c>
      <c r="C384" s="4" t="str">
        <f ca="1">IFERROR(__xludf.DUMMYFUNCTION("IFERROR(GOOGLETRANSLATE(B384,""en"",""ja""),)"),"アンナ、何を買うつもり？")</f>
        <v>アンナ、何を買うつもり？</v>
      </c>
      <c r="D384" s="4" t="str">
        <f ca="1">IFERROR(__xludf.DUMMYFUNCTION("IFERROR(GOOGLETRANSLATE(B384,""en"",""zh-TW""),)"),"安娜，你打算買什麼？")</f>
        <v>安娜，你打算買什麼？</v>
      </c>
      <c r="E384" s="4" t="str">
        <f ca="1">IFERROR(__xludf.DUMMYFUNCTION("IFERROR(GOOGLETRANSLATE(B384,""en"",""zh-CN""),)"),"安娜，你打算买什么？")</f>
        <v>安娜，你打算买什么？</v>
      </c>
    </row>
    <row r="385" spans="1:5">
      <c r="A385" s="3" t="s">
        <v>1914</v>
      </c>
      <c r="B385" s="4" t="str">
        <f ca="1">IFERROR(__xludf.DUMMYFUNCTION("IFERROR(GOOGLETRANSLATE(A385,""ko"",""en""),)"),"I'm going to buy a T-shirt.")</f>
        <v>I'm going to buy a T-shirt.</v>
      </c>
      <c r="C385" s="4" t="str">
        <f ca="1">IFERROR(__xludf.DUMMYFUNCTION("IFERROR(GOOGLETRANSLATE(B385,""en"",""ja""),)"),"Tシャツを買うつもりです。")</f>
        <v>Tシャツを買うつもりです。</v>
      </c>
      <c r="D385" s="4" t="str">
        <f ca="1">IFERROR(__xludf.DUMMYFUNCTION("IFERROR(GOOGLETRANSLATE(B385,""en"",""zh-TW""),)"),"我打算買一件T卹。")</f>
        <v>我打算買一件T卹。</v>
      </c>
      <c r="E385" s="4" t="str">
        <f ca="1">IFERROR(__xludf.DUMMYFUNCTION("IFERROR(GOOGLETRANSLATE(B385,""en"",""zh-CN""),)"),"我打算买一件T恤。")</f>
        <v>我打算买一件T恤。</v>
      </c>
    </row>
    <row r="386" spans="1:5">
      <c r="A386" s="3" t="s">
        <v>1918</v>
      </c>
      <c r="B386" s="4" t="str">
        <f ca="1">IFERROR(__xludf.DUMMYFUNCTION("IFERROR(GOOGLETRANSLATE(A386,""ko"",""en""),)"),"What are you going to eat?")</f>
        <v>What are you going to eat?</v>
      </c>
      <c r="C386" s="4" t="str">
        <f ca="1">IFERROR(__xludf.DUMMYFUNCTION("IFERROR(GOOGLETRANSLATE(B386,""en"",""ja""),)"),"何を食べる予定ですか？")</f>
        <v>何を食べる予定ですか？</v>
      </c>
      <c r="D386" s="4" t="str">
        <f ca="1">IFERROR(__xludf.DUMMYFUNCTION("IFERROR(GOOGLETRANSLATE(B386,""en"",""zh-TW""),)"),"你打算吃什麼？")</f>
        <v>你打算吃什麼？</v>
      </c>
      <c r="E386" s="4" t="str">
        <f ca="1">IFERROR(__xludf.DUMMYFUNCTION("IFERROR(GOOGLETRANSLATE(B386,""en"",""zh-CN""),)"),"你打算吃什么？")</f>
        <v>你打算吃什么？</v>
      </c>
    </row>
    <row r="387" spans="1:5">
      <c r="A387" s="3" t="s">
        <v>1923</v>
      </c>
      <c r="B387" s="4" t="str">
        <f ca="1">IFERROR(__xludf.DUMMYFUNCTION("IFERROR(GOOGLETRANSLATE(A387,""ko"",""en""),)"),"I'm going to eat fried rice.")</f>
        <v>I'm going to eat fried rice.</v>
      </c>
      <c r="C387" s="4" t="str">
        <f ca="1">IFERROR(__xludf.DUMMYFUNCTION("IFERROR(GOOGLETRANSLATE(B387,""en"",""ja""),)"),"チャーハンを食べようと思います。")</f>
        <v>チャーハンを食べようと思います。</v>
      </c>
      <c r="D387" s="4" t="str">
        <f ca="1">IFERROR(__xludf.DUMMYFUNCTION("IFERROR(GOOGLETRANSLATE(B387,""en"",""zh-TW""),)"),"我要去吃炒飯。")</f>
        <v>我要去吃炒飯。</v>
      </c>
      <c r="E387" s="4" t="str">
        <f ca="1">IFERROR(__xludf.DUMMYFUNCTION("IFERROR(GOOGLETRANSLATE(B387,""en"",""zh-CN""),)"),"我要去吃炒饭。")</f>
        <v>我要去吃炒饭。</v>
      </c>
    </row>
    <row r="388" spans="1:5">
      <c r="A388" s="3" t="s">
        <v>1927</v>
      </c>
      <c r="B388" s="4" t="str">
        <f ca="1">IFERROR(__xludf.DUMMYFUNCTION("IFERROR(GOOGLETRANSLATE(A388,""ko"",""en""),)"),"Are you going to drink coffee?")</f>
        <v>Are you going to drink coffee?</v>
      </c>
      <c r="C388" s="4" t="str">
        <f ca="1">IFERROR(__xludf.DUMMYFUNCTION("IFERROR(GOOGLETRANSLATE(B388,""en"",""ja""),)"),"コーヒーを飲む予定ですか？")</f>
        <v>コーヒーを飲む予定ですか？</v>
      </c>
      <c r="D388" s="4" t="str">
        <f ca="1">IFERROR(__xludf.DUMMYFUNCTION("IFERROR(GOOGLETRANSLATE(B388,""en"",""zh-TW""),)"),"你打算喝咖啡嗎？")</f>
        <v>你打算喝咖啡嗎？</v>
      </c>
      <c r="E388" s="4" t="str">
        <f ca="1">IFERROR(__xludf.DUMMYFUNCTION("IFERROR(GOOGLETRANSLATE(B388,""en"",""zh-CN""),)"),"你打算喝咖啡吗？")</f>
        <v>你打算喝咖啡吗？</v>
      </c>
    </row>
    <row r="389" spans="1:5">
      <c r="A389" s="3" t="s">
        <v>1932</v>
      </c>
      <c r="B389" s="4" t="str">
        <f ca="1">IFERROR(__xludf.DUMMYFUNCTION("IFERROR(GOOGLETRANSLATE(A389,""ko"",""en""),)"),"No, I'm going to drink black tea.")</f>
        <v>No, I'm going to drink black tea.</v>
      </c>
      <c r="C389" s="4" t="str">
        <f ca="1">IFERROR(__xludf.DUMMYFUNCTION("IFERROR(GOOGLETRANSLATE(B389,""en"",""ja""),)"),"いいえ、私は紅茶を飲みます。")</f>
        <v>いいえ、私は紅茶を飲みます。</v>
      </c>
      <c r="D389" s="4" t="str">
        <f ca="1">IFERROR(__xludf.DUMMYFUNCTION("IFERROR(GOOGLETRANSLATE(B389,""en"",""zh-TW""),)"),"不，我要喝紅茶。")</f>
        <v>不，我要喝紅茶。</v>
      </c>
      <c r="E389" s="4" t="str">
        <f ca="1">IFERROR(__xludf.DUMMYFUNCTION("IFERROR(GOOGLETRANSLATE(B389,""en"",""zh-CN""),)"),"不，我要喝红茶。")</f>
        <v>不，我要喝红茶。</v>
      </c>
    </row>
    <row r="390" spans="1:5">
      <c r="A390" s="3" t="s">
        <v>1938</v>
      </c>
      <c r="B390" s="4" t="str">
        <f ca="1">IFERROR(__xludf.DUMMYFUNCTION("IFERROR(GOOGLETRANSLATE(A390,""ko"",""en""),)"),"What are you going to do at the park?")</f>
        <v>What are you going to do at the park?</v>
      </c>
      <c r="C390" s="4" t="str">
        <f ca="1">IFERROR(__xludf.DUMMYFUNCTION("IFERROR(GOOGLETRANSLATE(B390,""en"",""ja""),)"),"公園では何をする予定ですか？")</f>
        <v>公園では何をする予定ですか？</v>
      </c>
      <c r="D390" s="4" t="str">
        <f ca="1">IFERROR(__xludf.DUMMYFUNCTION("IFERROR(GOOGLETRANSLATE(B390,""en"",""zh-TW""),)"),"你打算在公園裡做什麼？")</f>
        <v>你打算在公園裡做什麼？</v>
      </c>
      <c r="E390" s="4" t="str">
        <f ca="1">IFERROR(__xludf.DUMMYFUNCTION("IFERROR(GOOGLETRANSLATE(B390,""en"",""zh-CN""),)"),"你打算在公园里做什么？")</f>
        <v>你打算在公园里做什么？</v>
      </c>
    </row>
    <row r="391" spans="1:5">
      <c r="A391" s="3" t="s">
        <v>1943</v>
      </c>
      <c r="B391" s="4" t="str">
        <f ca="1">IFERROR(__xludf.DUMMYFUNCTION("IFERROR(GOOGLETRANSLATE(A391,""ko"",""en""),)"),"I'm going to ride a bicycle.")</f>
        <v>I'm going to ride a bicycle.</v>
      </c>
      <c r="C391" s="4" t="str">
        <f ca="1">IFERROR(__xludf.DUMMYFUNCTION("IFERROR(GOOGLETRANSLATE(B391,""en"",""ja""),)"),"私は自転車に乗るつもりです。")</f>
        <v>私は自転車に乗るつもりです。</v>
      </c>
      <c r="D391" s="4" t="str">
        <f ca="1">IFERROR(__xludf.DUMMYFUNCTION("IFERROR(GOOGLETRANSLATE(B391,""en"",""zh-TW""),)"),"我要騎自行車。")</f>
        <v>我要騎自行車。</v>
      </c>
      <c r="E391" s="4" t="str">
        <f ca="1">IFERROR(__xludf.DUMMYFUNCTION("IFERROR(GOOGLETRANSLATE(B391,""en"",""zh-CN""),)"),"我要骑自行车。")</f>
        <v>我要骑自行车。</v>
      </c>
    </row>
    <row r="392" spans="1:5">
      <c r="A392" s="3" t="s">
        <v>1947</v>
      </c>
      <c r="B392" s="4" t="str">
        <f ca="1">IFERROR(__xludf.DUMMYFUNCTION("IFERROR(GOOGLETRANSLATE(A392,""ko"",""en""),)"),"Where are you going during vacation?")</f>
        <v>Where are you going during vacation?</v>
      </c>
      <c r="C392" s="4" t="str">
        <f ca="1">IFERROR(__xludf.DUMMYFUNCTION("IFERROR(GOOGLETRANSLATE(B392,""en"",""ja""),)"),"休暇中はどこへ行く予定ですか？")</f>
        <v>休暇中はどこへ行く予定ですか？</v>
      </c>
      <c r="D392" s="4" t="str">
        <f ca="1">IFERROR(__xludf.DUMMYFUNCTION("IFERROR(GOOGLETRANSLATE(B392,""en"",""zh-TW""),)"),"你假期要去哪裡？")</f>
        <v>你假期要去哪裡？</v>
      </c>
      <c r="E392" s="4" t="str">
        <f ca="1">IFERROR(__xludf.DUMMYFUNCTION("IFERROR(GOOGLETRANSLATE(B392,""en"",""zh-CN""),)"),"你假期要去哪里？")</f>
        <v>你假期要去哪里？</v>
      </c>
    </row>
    <row r="393" spans="1:5">
      <c r="A393" s="3" t="s">
        <v>1951</v>
      </c>
      <c r="B393" s="4" t="str">
        <f ca="1">IFERROR(__xludf.DUMMYFUNCTION("IFERROR(GOOGLETRANSLATE(A393,""ko"",""en""),)"),"I'm going to Jeju Island.")</f>
        <v>I'm going to Jeju Island.</v>
      </c>
      <c r="C393" s="4" t="str">
        <f ca="1">IFERROR(__xludf.DUMMYFUNCTION("IFERROR(GOOGLETRANSLATE(B393,""en"",""ja""),)"),"済州島に行く予定です。")</f>
        <v>済州島に行く予定です。</v>
      </c>
      <c r="D393" s="4" t="str">
        <f ca="1">IFERROR(__xludf.DUMMYFUNCTION("IFERROR(GOOGLETRANSLATE(B393,""en"",""zh-TW""),)"),"我要去濟州島。")</f>
        <v>我要去濟州島。</v>
      </c>
      <c r="E393" s="4" t="str">
        <f ca="1">IFERROR(__xludf.DUMMYFUNCTION("IFERROR(GOOGLETRANSLATE(B393,""en"",""zh-CN""),)"),"我要去济州岛。")</f>
        <v>我要去济州岛。</v>
      </c>
    </row>
    <row r="394" spans="1:5">
      <c r="A394" s="3" t="s">
        <v>264</v>
      </c>
      <c r="B394" s="4" t="str">
        <f ca="1">IFERROR(__xludf.DUMMYFUNCTION("IFERROR(GOOGLETRANSLATE(A394,""ko"",""en""),)"),"What are you going to do this afternoon?")</f>
        <v>What are you going to do this afternoon?</v>
      </c>
      <c r="C394" s="4" t="str">
        <f ca="1">IFERROR(__xludf.DUMMYFUNCTION("IFERROR(GOOGLETRANSLATE(B394,""en"",""ja""),)"),"今日の午後は何をする予定ですか？")</f>
        <v>今日の午後は何をする予定ですか？</v>
      </c>
      <c r="D394" s="4" t="str">
        <f ca="1">IFERROR(__xludf.DUMMYFUNCTION("IFERROR(GOOGLETRANSLATE(B394,""en"",""zh-TW""),)"),"你今天下午打算做什麼？")</f>
        <v>你今天下午打算做什麼？</v>
      </c>
      <c r="E394" s="4" t="str">
        <f ca="1">IFERROR(__xludf.DUMMYFUNCTION("IFERROR(GOOGLETRANSLATE(B394,""en"",""zh-CN""),)"),"你今天下午打算做什么？")</f>
        <v>你今天下午打算做什么？</v>
      </c>
    </row>
    <row r="395" spans="1:5">
      <c r="A395" s="3" t="s">
        <v>1958</v>
      </c>
      <c r="B395" s="4" t="str">
        <f ca="1">IFERROR(__xludf.DUMMYFUNCTION("IFERROR(GOOGLETRANSLATE(A395,""ko"",""en""),)"),"I'm going to watch a movie.")</f>
        <v>I'm going to watch a movie.</v>
      </c>
      <c r="C395" s="4" t="str">
        <f ca="1">IFERROR(__xludf.DUMMYFUNCTION("IFERROR(GOOGLETRANSLATE(B395,""en"",""ja""),)"),"映画を見に行くよ。")</f>
        <v>映画を見に行くよ。</v>
      </c>
      <c r="D395" s="4" t="str">
        <f ca="1">IFERROR(__xludf.DUMMYFUNCTION("IFERROR(GOOGLETRANSLATE(B395,""en"",""zh-TW""),)"),"我要去看電影。")</f>
        <v>我要去看電影。</v>
      </c>
      <c r="E395" s="4" t="str">
        <f ca="1">IFERROR(__xludf.DUMMYFUNCTION("IFERROR(GOOGLETRANSLATE(B395,""en"",""zh-CN""),)"),"我要去看电影。")</f>
        <v>我要去看电影。</v>
      </c>
    </row>
    <row r="396" spans="1:5">
      <c r="A396" s="3" t="s">
        <v>1963</v>
      </c>
      <c r="B396" s="4" t="str">
        <f ca="1">IFERROR(__xludf.DUMMYFUNCTION("IFERROR(GOOGLETRANSLATE(A396,""ko"",""en""),)"),"What are you going to do for dinner?")</f>
        <v>What are you going to do for dinner?</v>
      </c>
      <c r="C396" s="4" t="str">
        <f ca="1">IFERROR(__xludf.DUMMYFUNCTION("IFERROR(GOOGLETRANSLATE(B396,""en"",""ja""),)"),"夕食は何にする予定ですか？")</f>
        <v>夕食は何にする予定ですか？</v>
      </c>
      <c r="D396" s="4" t="str">
        <f ca="1">IFERROR(__xludf.DUMMYFUNCTION("IFERROR(GOOGLETRANSLATE(B396,""en"",""zh-TW""),)"),"你晚餐打算吃什麼？")</f>
        <v>你晚餐打算吃什麼？</v>
      </c>
      <c r="E396" s="4" t="str">
        <f ca="1">IFERROR(__xludf.DUMMYFUNCTION("IFERROR(GOOGLETRANSLATE(B396,""en"",""zh-CN""),)"),"你晚饭打算吃什么？")</f>
        <v>你晚饭打算吃什么？</v>
      </c>
    </row>
    <row r="397" spans="1:5">
      <c r="A397" s="3" t="s">
        <v>1966</v>
      </c>
      <c r="B397" s="4" t="str">
        <f ca="1">IFERROR(__xludf.DUMMYFUNCTION("IFERROR(GOOGLETRANSLATE(A397,""ko"",""en""),)"),"I'm going to eat Korean food.")</f>
        <v>I'm going to eat Korean food.</v>
      </c>
      <c r="C397" s="4" t="str">
        <f ca="1">IFERROR(__xludf.DUMMYFUNCTION("IFERROR(GOOGLETRANSLATE(B397,""en"",""ja""),)"),"韓国料理を食べに行きます。")</f>
        <v>韓国料理を食べに行きます。</v>
      </c>
      <c r="D397" s="4" t="str">
        <f ca="1">IFERROR(__xludf.DUMMYFUNCTION("IFERROR(GOOGLETRANSLATE(B397,""en"",""zh-TW""),)"),"我要去吃韓國菜。")</f>
        <v>我要去吃韓國菜。</v>
      </c>
      <c r="E397" s="4" t="str">
        <f ca="1">IFERROR(__xludf.DUMMYFUNCTION("IFERROR(GOOGLETRANSLATE(B397,""en"",""zh-CN""),)"),"我要去吃韩国菜。")</f>
        <v>我要去吃韩国菜。</v>
      </c>
    </row>
    <row r="398" spans="1:5">
      <c r="A398" s="3" t="s">
        <v>1973</v>
      </c>
      <c r="B398" s="4" t="str">
        <f ca="1">IFERROR(__xludf.DUMMYFUNCTION("IFERROR(GOOGLETRANSLATE(A398,""ko"",""en""),)"),"What are you going to do tomorrow?")</f>
        <v>What are you going to do tomorrow?</v>
      </c>
      <c r="C398" s="4" t="str">
        <f ca="1">IFERROR(__xludf.DUMMYFUNCTION("IFERROR(GOOGLETRANSLATE(B398,""en"",""ja""),)"),"明日は何をする予定ですか？")</f>
        <v>明日は何をする予定ですか？</v>
      </c>
      <c r="D398" s="4" t="str">
        <f ca="1">IFERROR(__xludf.DUMMYFUNCTION("IFERROR(GOOGLETRANSLATE(B398,""en"",""zh-TW""),)"),"你明天打算做什麼？")</f>
        <v>你明天打算做什麼？</v>
      </c>
      <c r="E398" s="4" t="str">
        <f ca="1">IFERROR(__xludf.DUMMYFUNCTION("IFERROR(GOOGLETRANSLATE(B398,""en"",""zh-CN""),)"),"你明天打算做什么？")</f>
        <v>你明天打算做什么？</v>
      </c>
    </row>
    <row r="399" spans="1:5">
      <c r="A399" s="3" t="s">
        <v>1979</v>
      </c>
      <c r="B399" s="4" t="str">
        <f ca="1">IFERROR(__xludf.DUMMYFUNCTION("IFERROR(GOOGLETRANSLATE(A399,""ko"",""en""),)"),"I'm going to buy shoes.")</f>
        <v>I'm going to buy shoes.</v>
      </c>
      <c r="C399" s="4" t="str">
        <f ca="1">IFERROR(__xludf.DUMMYFUNCTION("IFERROR(GOOGLETRANSLATE(B399,""en"",""ja""),)"),"靴を買いに行くつもりです。")</f>
        <v>靴を買いに行くつもりです。</v>
      </c>
      <c r="D399" s="4" t="str">
        <f ca="1">IFERROR(__xludf.DUMMYFUNCTION("IFERROR(GOOGLETRANSLATE(B399,""en"",""zh-TW""),)"),"我打算去買鞋。")</f>
        <v>我打算去買鞋。</v>
      </c>
      <c r="E399" s="4" t="str">
        <f ca="1">IFERROR(__xludf.DUMMYFUNCTION("IFERROR(GOOGLETRANSLATE(B399,""en"",""zh-CN""),)"),"我打算去买鞋。")</f>
        <v>我打算去买鞋。</v>
      </c>
    </row>
    <row r="400" spans="1:5">
      <c r="A400" s="3" t="s">
        <v>178</v>
      </c>
      <c r="B400" s="4" t="str">
        <f ca="1">IFERROR(__xludf.DUMMYFUNCTION("IFERROR(GOOGLETRANSLATE(A400,""ko"",""en""),)"),"What are you going to do this weekend?")</f>
        <v>What are you going to do this weekend?</v>
      </c>
      <c r="C400" s="4" t="str">
        <f ca="1">IFERROR(__xludf.DUMMYFUNCTION("IFERROR(GOOGLETRANSLATE(B400,""en"",""ja""),)"),"今週末は何をする予定ですか？")</f>
        <v>今週末は何をする予定ですか？</v>
      </c>
      <c r="D400" s="4" t="str">
        <f ca="1">IFERROR(__xludf.DUMMYFUNCTION("IFERROR(GOOGLETRANSLATE(B400,""en"",""zh-TW""),)"),"你這個週末打算做什麼？")</f>
        <v>你這個週末打算做什麼？</v>
      </c>
      <c r="E400" s="4" t="str">
        <f ca="1">IFERROR(__xludf.DUMMYFUNCTION("IFERROR(GOOGLETRANSLATE(B400,""en"",""zh-CN""),)"),"你这个周末打算做什么？")</f>
        <v>你这个周末打算做什么？</v>
      </c>
    </row>
    <row r="401" spans="1:5">
      <c r="A401" s="3" t="s">
        <v>1988</v>
      </c>
      <c r="B401" s="4" t="str">
        <f ca="1">IFERROR(__xludf.DUMMYFUNCTION("IFERROR(GOOGLETRANSLATE(A401,""ko"",""en""),)"),"I'm going to swim in the sea.")</f>
        <v>I'm going to swim in the sea.</v>
      </c>
      <c r="C401" s="4" t="str">
        <f ca="1">IFERROR(__xludf.DUMMYFUNCTION("IFERROR(GOOGLETRANSLATE(B401,""en"",""ja""),)"),"私は海で泳ぐつもりです。")</f>
        <v>私は海で泳ぐつもりです。</v>
      </c>
      <c r="D401" s="4" t="str">
        <f ca="1">IFERROR(__xludf.DUMMYFUNCTION("IFERROR(GOOGLETRANSLATE(B401,""en"",""zh-TW""),)"),"我要去海裡游泳。")</f>
        <v>我要去海裡游泳。</v>
      </c>
      <c r="E401" s="4" t="str">
        <f ca="1">IFERROR(__xludf.DUMMYFUNCTION("IFERROR(GOOGLETRANSLATE(B401,""en"",""zh-CN""),)"),"我要去海里游泳。")</f>
        <v>我要去海里游泳。</v>
      </c>
    </row>
    <row r="402" spans="1:5">
      <c r="A402" s="3" t="s">
        <v>1992</v>
      </c>
      <c r="B402" s="4" t="str">
        <f ca="1">IFERROR(__xludf.DUMMYFUNCTION("IFERROR(GOOGLETRANSLATE(A402,""ko"",""en""),)"),"What are you going to do later?")</f>
        <v>What are you going to do later?</v>
      </c>
      <c r="C402" s="4" t="str">
        <f ca="1">IFERROR(__xludf.DUMMYFUNCTION("IFERROR(GOOGLETRANSLATE(B402,""en"",""ja""),)"),"後で何をする予定ですか？")</f>
        <v>後で何をする予定ですか？</v>
      </c>
      <c r="D402" s="4" t="str">
        <f ca="1">IFERROR(__xludf.DUMMYFUNCTION("IFERROR(GOOGLETRANSLATE(B402,""en"",""zh-TW""),)"),"之後你打算做什麼？")</f>
        <v>之後你打算做什麼？</v>
      </c>
      <c r="E402" s="4" t="str">
        <f ca="1">IFERROR(__xludf.DUMMYFUNCTION("IFERROR(GOOGLETRANSLATE(B402,""en"",""zh-CN""),)"),"你之后打算做什么？")</f>
        <v>你之后打算做什么？</v>
      </c>
    </row>
    <row r="403" spans="1:5">
      <c r="A403" s="3" t="s">
        <v>1997</v>
      </c>
      <c r="B403" s="4" t="str">
        <f ca="1">IFERROR(__xludf.DUMMYFUNCTION("IFERROR(GOOGLETRANSLATE(A403,""ko"",""en""),)"),"I'm going to read a book at home.")</f>
        <v>I'm going to read a book at home.</v>
      </c>
      <c r="C403" s="4" t="str">
        <f ca="1">IFERROR(__xludf.DUMMYFUNCTION("IFERROR(GOOGLETRANSLATE(B403,""en"",""ja""),)"),"家で本を読もうと思います。")</f>
        <v>家で本を読もうと思います。</v>
      </c>
      <c r="D403" s="4" t="str">
        <f ca="1">IFERROR(__xludf.DUMMYFUNCTION("IFERROR(GOOGLETRANSLATE(B403,""en"",""zh-TW""),)"),"我打算回家看書。")</f>
        <v>我打算回家看書。</v>
      </c>
      <c r="E403" s="4" t="str">
        <f ca="1">IFERROR(__xludf.DUMMYFUNCTION("IFERROR(GOOGLETRANSLATE(B403,""en"",""zh-CN""),)"),"我打算回家看书。")</f>
        <v>我打算回家看书。</v>
      </c>
    </row>
    <row r="404" spans="1:5">
      <c r="A404" s="3" t="s">
        <v>2002</v>
      </c>
      <c r="B404" s="4" t="str">
        <f ca="1">IFERROR(__xludf.DUMMYFUNCTION("IFERROR(GOOGLETRANSLATE(A404,""ko"",""en""),)"),"Anna and Juno are talking about shopping plans. What are they talking about?")</f>
        <v>Anna and Juno are talking about shopping plans. What are they talking about?</v>
      </c>
      <c r="C404" s="4" t="str">
        <f ca="1">IFERROR(__xludf.DUMMYFUNCTION("IFERROR(GOOGLETRANSLATE(B404,""en"",""ja""),)"),"アンナとジュノは買い物の計画について話しています。彼女たちは何について話しているのでしょうか？")</f>
        <v>アンナとジュノは買い物の計画について話しています。彼女たちは何について話しているのでしょうか？</v>
      </c>
      <c r="D404" s="4" t="str">
        <f ca="1">IFERROR(__xludf.DUMMYFUNCTION("IFERROR(GOOGLETRANSLATE(B404,""en"",""zh-TW""),)"),"安娜和朱諾正在討論購物計畫。她們在聊什麼呢？")</f>
        <v>安娜和朱諾正在討論購物計畫。她們在聊什麼呢？</v>
      </c>
      <c r="E404" s="4" t="str">
        <f ca="1">IFERROR(__xludf.DUMMYFUNCTION("IFERROR(GOOGLETRANSLATE(B404,""en"",""zh-CN""),)"),"安娜和朱诺正在讨论购物计划。她们在聊什么呢？")</f>
        <v>安娜和朱诺正在讨论购物计划。她们在聊什么呢？</v>
      </c>
    </row>
    <row r="405" spans="1:5">
      <c r="A405" s="3" t="s">
        <v>2007</v>
      </c>
      <c r="B405" s="4" t="str">
        <f ca="1">IFERROR(__xludf.DUMMYFUNCTION("IFERROR(GOOGLETRANSLATE(A405,""ko"",""en""),)"),"Juno, what are you going to do tomorrow?")</f>
        <v>Juno, what are you going to do tomorrow?</v>
      </c>
      <c r="C405" s="4" t="str">
        <f ca="1">IFERROR(__xludf.DUMMYFUNCTION("IFERROR(GOOGLETRANSLATE(B405,""en"",""ja""),)"),"ジュノ、明日は何をする予定？")</f>
        <v>ジュノ、明日は何をする予定？</v>
      </c>
      <c r="D405" s="4" t="str">
        <f ca="1">IFERROR(__xludf.DUMMYFUNCTION("IFERROR(GOOGLETRANSLATE(B405,""en"",""zh-TW""),)"),"朱諾，你明天打算做什麼？")</f>
        <v>朱諾，你明天打算做什麼？</v>
      </c>
      <c r="E405" s="4" t="str">
        <f ca="1">IFERROR(__xludf.DUMMYFUNCTION("IFERROR(GOOGLETRANSLATE(B405,""en"",""zh-CN""),)"),"朱诺，你明天打算做什么？")</f>
        <v>朱诺，你明天打算做什么？</v>
      </c>
    </row>
    <row r="406" spans="1:5">
      <c r="A406" s="3" t="s">
        <v>2011</v>
      </c>
      <c r="B406" s="4" t="str">
        <f ca="1">IFERROR(__xludf.DUMMYFUNCTION("IFERROR(GOOGLETRANSLATE(A406,""ko"",""en""),)"),"I'm going to shop.")</f>
        <v>I'm going to shop.</v>
      </c>
      <c r="C406" s="4" t="str">
        <f ca="1">IFERROR(__xludf.DUMMYFUNCTION("IFERROR(GOOGLETRANSLATE(B406,""en"",""ja""),)"),"買い物に行くよ。")</f>
        <v>買い物に行くよ。</v>
      </c>
      <c r="D406" s="4" t="str">
        <f ca="1">IFERROR(__xludf.DUMMYFUNCTION("IFERROR(GOOGLETRANSLATE(B406,""en"",""zh-TW""),)"),"我要去購物。")</f>
        <v>我要去購物。</v>
      </c>
      <c r="E406" s="4" t="str">
        <f ca="1">IFERROR(__xludf.DUMMYFUNCTION("IFERROR(GOOGLETRANSLATE(B406,""en"",""zh-CN""),)"),"我要去购物。")</f>
        <v>我要去购物。</v>
      </c>
    </row>
    <row r="407" spans="1:5">
      <c r="A407" s="3" t="s">
        <v>2018</v>
      </c>
      <c r="B407" s="4" t="str">
        <f ca="1">IFERROR(__xludf.DUMMYFUNCTION("IFERROR(GOOGLETRANSLATE(A407,""ko"",""en""),)"),"What are you going to buy?")</f>
        <v>What are you going to buy?</v>
      </c>
      <c r="C407" s="4" t="str">
        <f ca="1">IFERROR(__xludf.DUMMYFUNCTION("IFERROR(GOOGLETRANSLATE(B407,""en"",""ja""),)"),"何を買う予定ですか？")</f>
        <v>何を買う予定ですか？</v>
      </c>
      <c r="D407" s="4" t="str">
        <f ca="1">IFERROR(__xludf.DUMMYFUNCTION("IFERROR(GOOGLETRANSLATE(B407,""en"",""zh-TW""),)"),"你打算買什麼？")</f>
        <v>你打算買什麼？</v>
      </c>
      <c r="E407" s="4" t="str">
        <f ca="1">IFERROR(__xludf.DUMMYFUNCTION("IFERROR(GOOGLETRANSLATE(B407,""en"",""zh-CN""),)"),"你打算买什么？")</f>
        <v>你打算买什么？</v>
      </c>
    </row>
    <row r="408" spans="1:5">
      <c r="A408" s="3" t="s">
        <v>2021</v>
      </c>
      <c r="B408" s="4" t="str">
        <f ca="1">IFERROR(__xludf.DUMMYFUNCTION("IFERROR(GOOGLETRANSLATE(A408,""ko"",""en""),)"),"I'm going to buy a suit because I have a friend's wedding on Saturday.")</f>
        <v>I'm going to buy a suit because I have a friend's wedding on Saturday.</v>
      </c>
      <c r="C408" s="4" t="str">
        <f ca="1">IFERROR(__xludf.DUMMYFUNCTION("IFERROR(GOOGLETRANSLATE(B408,""en"",""ja""),)"),"土曜日に友人の結婚式があるので、スーツを買うつもりです。")</f>
        <v>土曜日に友人の結婚式があるので、スーツを買うつもりです。</v>
      </c>
      <c r="D408" s="4" t="str">
        <f ca="1">IFERROR(__xludf.DUMMYFUNCTION("IFERROR(GOOGLETRANSLATE(B408,""en"",""zh-TW""),)"),"我打算買一套西裝，因為週六我要參加朋友的婚禮。")</f>
        <v>我打算買一套西裝，因為週六我要參加朋友的婚禮。</v>
      </c>
      <c r="E408" s="4" t="str">
        <f ca="1">IFERROR(__xludf.DUMMYFUNCTION("IFERROR(GOOGLETRANSLATE(B408,""en"",""zh-CN""),)"),"我打算买一套西装，因为周六我要参加朋友的婚礼。")</f>
        <v>我打算买一套西装，因为周六我要参加朋友的婚礼。</v>
      </c>
    </row>
    <row r="409" spans="1:5">
      <c r="A409" s="3" t="s">
        <v>2027</v>
      </c>
      <c r="B409" s="4" t="str">
        <f ca="1">IFERROR(__xludf.DUMMYFUNCTION("IFERROR(GOOGLETRANSLATE(A409,""ko"",""en""),)"),"Where will you live?")</f>
        <v>Where will you live?</v>
      </c>
      <c r="C409" s="4" t="str">
        <f ca="1">IFERROR(__xludf.DUMMYFUNCTION("IFERROR(GOOGLETRANSLATE(B409,""en"",""ja""),)"),"あなたはどこに住む予定ですか？")</f>
        <v>あなたはどこに住む予定ですか？</v>
      </c>
      <c r="D409" s="4"/>
      <c r="E409" s="4"/>
    </row>
    <row r="410" spans="1:5">
      <c r="A410" s="3" t="s">
        <v>2027</v>
      </c>
      <c r="B410" s="4" t="s">
        <v>2031</v>
      </c>
      <c r="C410" s="4" t="str">
        <f ca="1">IFERROR(__xludf.DUMMYFUNCTION("IFERROR(GOOGLETRANSLATE(B410,""en"",""ja""),)"),"どこで購入する予定ですか？")</f>
        <v>どこで購入する予定ですか？</v>
      </c>
      <c r="D410" s="4" t="str">
        <f ca="1">IFERROR(__xludf.DUMMYFUNCTION("IFERROR(GOOGLETRANSLATE(B410,""en"",""zh-TW""),)"),"你打算在哪裡購買？")</f>
        <v>你打算在哪裡購買？</v>
      </c>
      <c r="E410" s="4" t="str">
        <f ca="1">IFERROR(__xludf.DUMMYFUNCTION("IFERROR(GOOGLETRANSLATE(B410,""en"",""zh-CN""),)"),"你打算在哪里购买？")</f>
        <v>你打算在哪里购买？</v>
      </c>
    </row>
    <row r="411" spans="1:5">
      <c r="A411" s="3" t="s">
        <v>2035</v>
      </c>
      <c r="B411" s="4" t="str">
        <f ca="1">IFERROR(__xludf.DUMMYFUNCTION("IFERROR(GOOGLETRANSLATE(A411,""ko"",""en""),)"),"I'm going to buy it at a department store.")</f>
        <v>I'm going to buy it at a department store.</v>
      </c>
      <c r="C411" s="4" t="str">
        <f ca="1">IFERROR(__xludf.DUMMYFUNCTION("IFERROR(GOOGLETRANSLATE(B411,""en"",""ja""),)"),"デパートで買うつもりです。")</f>
        <v>デパートで買うつもりです。</v>
      </c>
      <c r="D411" s="4" t="str">
        <f ca="1">IFERROR(__xludf.DUMMYFUNCTION("IFERROR(GOOGLETRANSLATE(B411,""en"",""zh-TW""),)"),"我打算去百貨公司買。")</f>
        <v>我打算去百貨公司買。</v>
      </c>
      <c r="E411" s="4" t="str">
        <f ca="1">IFERROR(__xludf.DUMMYFUNCTION("IFERROR(GOOGLETRANSLATE(B411,""en"",""zh-CN""),)"),"我打算去百货商店买。")</f>
        <v>我打算去百货商店买。</v>
      </c>
    </row>
    <row r="412" spans="1:5">
      <c r="A412" s="3" t="s">
        <v>2041</v>
      </c>
      <c r="B412" s="4" t="str">
        <f ca="1">IFERROR(__xludf.DUMMYFUNCTION("IFERROR(GOOGLETRANSLATE(A412,""ko"",""en""),)"),"shopping mall")</f>
        <v>shopping mall</v>
      </c>
      <c r="C412" s="4" t="str">
        <f ca="1">IFERROR(__xludf.DUMMYFUNCTION("IFERROR(GOOGLETRANSLATE(B412,""en"",""ja""),)"),"ショッピングモール")</f>
        <v>ショッピングモール</v>
      </c>
      <c r="D412" s="4" t="str">
        <f ca="1">IFERROR(__xludf.DUMMYFUNCTION("IFERROR(GOOGLETRANSLATE(B412,""en"",""zh-TW""),)"),"購物中心")</f>
        <v>購物中心</v>
      </c>
      <c r="E412" s="4" t="str">
        <f ca="1">IFERROR(__xludf.DUMMYFUNCTION("IFERROR(GOOGLETRANSLATE(B412,""en"",""zh-CN""),)"),"购物中心")</f>
        <v>购物中心</v>
      </c>
    </row>
    <row r="413" spans="1:5">
      <c r="A413" s="3" t="s">
        <v>2045</v>
      </c>
      <c r="B413" s="4" t="str">
        <f ca="1">IFERROR(__xludf.DUMMYFUNCTION("IFERROR(GOOGLETRANSLATE(A413,""ko"",""en""),)"),"Do you not have a larger size?")</f>
        <v>Do you not have a larger size?</v>
      </c>
      <c r="C413" s="4" t="str">
        <f ca="1">IFERROR(__xludf.DUMMYFUNCTION("IFERROR(GOOGLETRANSLATE(B413,""en"",""ja""),)"),"もっと大きいサイズはありませんか？")</f>
        <v>もっと大きいサイズはありませんか？</v>
      </c>
      <c r="D413" s="4" t="str">
        <f ca="1">IFERROR(__xludf.DUMMYFUNCTION("IFERROR(GOOGLETRANSLATE(B413,""en"",""zh-TW""),)"),"沒有更大尺寸的嗎？")</f>
        <v>沒有更大尺寸的嗎？</v>
      </c>
      <c r="E413" s="4" t="str">
        <f ca="1">IFERROR(__xludf.DUMMYFUNCTION("IFERROR(GOOGLETRANSLATE(B413,""en"",""zh-CN""),)"),"没有更大尺寸的吗？")</f>
        <v>没有更大尺寸的吗？</v>
      </c>
    </row>
    <row r="414" spans="1:5">
      <c r="A414" s="3" t="s">
        <v>2049</v>
      </c>
      <c r="B414" s="4" t="str">
        <f ca="1">IFERROR(__xludf.DUMMYFUNCTION("IFERROR(GOOGLETRANSLATE(A414,""ko"",""en""),)"),"It's big")</f>
        <v>It's big</v>
      </c>
      <c r="C414" s="4" t="str">
        <f ca="1">IFERROR(__xludf.DUMMYFUNCTION("IFERROR(GOOGLETRANSLATE(B414,""en"",""ja""),)"),"大きい")</f>
        <v>大きい</v>
      </c>
      <c r="D414" s="4" t="str">
        <f ca="1">IFERROR(__xludf.DUMMYFUNCTION("IFERROR(GOOGLETRANSLATE(B414,""en"",""zh-TW""),)"),"它很大")</f>
        <v>它很大</v>
      </c>
      <c r="E414" s="4" t="str">
        <f ca="1">IFERROR(__xludf.DUMMYFUNCTION("IFERROR(GOOGLETRANSLATE(B414,""en"",""zh-CN""),)"),"它很大")</f>
        <v>它很大</v>
      </c>
    </row>
    <row r="415" spans="1:5">
      <c r="A415" s="3" t="s">
        <v>2052</v>
      </c>
      <c r="B415" s="4" t="str">
        <f ca="1">IFERROR(__xludf.DUMMYFUNCTION("IFERROR(GOOGLETRANSLATE(A415,""ko"",""en""),)"),"It's small")</f>
        <v>It's small</v>
      </c>
      <c r="C415" s="4" t="str">
        <f ca="1">IFERROR(__xludf.DUMMYFUNCTION("IFERROR(GOOGLETRANSLATE(B415,""en"",""ja""),)"),"小さい")</f>
        <v>小さい</v>
      </c>
      <c r="D415" s="4" t="str">
        <f ca="1">IFERROR(__xludf.DUMMYFUNCTION("IFERROR(GOOGLETRANSLATE(B415,""en"",""zh-TW""),)"),"它很小")</f>
        <v>它很小</v>
      </c>
      <c r="E415" s="4" t="str">
        <f ca="1">IFERROR(__xludf.DUMMYFUNCTION("IFERROR(GOOGLETRANSLATE(B415,""en"",""zh-CN""),)"),"它很小")</f>
        <v>它很小</v>
      </c>
    </row>
    <row r="416" spans="1:5">
      <c r="A416" s="3" t="s">
        <v>2055</v>
      </c>
      <c r="B416" s="4" t="str">
        <f ca="1">IFERROR(__xludf.DUMMYFUNCTION("IFERROR(GOOGLETRANSLATE(A416,""ko"",""en""),)"),"It's spacious.")</f>
        <v>It's spacious.</v>
      </c>
      <c r="C416" s="4" t="str">
        <f ca="1">IFERROR(__xludf.DUMMYFUNCTION("IFERROR(GOOGLETRANSLATE(B416,""en"",""ja""),)"),"広々としている。")</f>
        <v>広々としている。</v>
      </c>
      <c r="D416" s="4" t="str">
        <f ca="1">IFERROR(__xludf.DUMMYFUNCTION("IFERROR(GOOGLETRANSLATE(B416,""en"",""zh-TW""),)"),"它很寬敞。")</f>
        <v>它很寬敞。</v>
      </c>
      <c r="E416" s="4" t="str">
        <f ca="1">IFERROR(__xludf.DUMMYFUNCTION("IFERROR(GOOGLETRANSLATE(B416,""en"",""zh-CN""),)"),"它很宽敞。")</f>
        <v>它很宽敞。</v>
      </c>
    </row>
    <row r="417" spans="1:5">
      <c r="A417" s="5" t="s">
        <v>2059</v>
      </c>
      <c r="B417" s="4" t="str">
        <f ca="1">IFERROR(__xludf.DUMMYFUNCTION("IFERROR(GOOGLETRANSLATE(A417,""ko"",""en""),)"),"It's narrow.")</f>
        <v>It's narrow.</v>
      </c>
      <c r="C417" s="4" t="str">
        <f ca="1">IFERROR(__xludf.DUMMYFUNCTION("IFERROR(GOOGLETRANSLATE(B417,""en"",""ja""),)"),"狭い。")</f>
        <v>狭い。</v>
      </c>
      <c r="D417" s="4" t="str">
        <f ca="1">IFERROR(__xludf.DUMMYFUNCTION("IFERROR(GOOGLETRANSLATE(B417,""en"",""zh-TW""),)"),"它很窄。")</f>
        <v>它很窄。</v>
      </c>
      <c r="E417" s="4" t="str">
        <f ca="1">IFERROR(__xludf.DUMMYFUNCTION("IFERROR(GOOGLETRANSLATE(B417,""en"",""zh-CN""),)"),"它很窄。")</f>
        <v>它很窄。</v>
      </c>
    </row>
    <row r="418" spans="1:5">
      <c r="A418" s="3" t="s">
        <v>2062</v>
      </c>
      <c r="B418" s="4" t="str">
        <f ca="1">IFERROR(__xludf.DUMMYFUNCTION("IFERROR(GOOGLETRANSLATE(A418,""ko"",""en""),)"),"It's high")</f>
        <v>It's high</v>
      </c>
      <c r="C418" s="4" t="str">
        <f ca="1">IFERROR(__xludf.DUMMYFUNCTION("IFERROR(GOOGLETRANSLATE(B418,""en"",""ja""),)"),"高い")</f>
        <v>高い</v>
      </c>
      <c r="D418" s="4" t="str">
        <f ca="1">IFERROR(__xludf.DUMMYFUNCTION("IFERROR(GOOGLETRANSLATE(B418,""en"",""zh-TW""),)"),"很高")</f>
        <v>很高</v>
      </c>
      <c r="E418" s="4" t="str">
        <f ca="1">IFERROR(__xludf.DUMMYFUNCTION("IFERROR(GOOGLETRANSLATE(B418,""en"",""zh-CN""),)"),"很高")</f>
        <v>很高</v>
      </c>
    </row>
    <row r="419" spans="1:5">
      <c r="A419" s="3" t="s">
        <v>2065</v>
      </c>
      <c r="B419" s="4" t="str">
        <f ca="1">IFERROR(__xludf.DUMMYFUNCTION("IFERROR(GOOGLETRANSLATE(A419,""ko"",""en""),)"),"It's low")</f>
        <v>It's low</v>
      </c>
      <c r="C419" s="4" t="str">
        <f ca="1">IFERROR(__xludf.DUMMYFUNCTION("IFERROR(GOOGLETRANSLATE(B419,""en"",""ja""),)"),"低い")</f>
        <v>低い</v>
      </c>
      <c r="D419" s="4" t="str">
        <f ca="1">IFERROR(__xludf.DUMMYFUNCTION("IFERROR(GOOGLETRANSLATE(B419,""en"",""zh-TW""),)"),"很低")</f>
        <v>很低</v>
      </c>
      <c r="E419" s="4" t="str">
        <f ca="1">IFERROR(__xludf.DUMMYFUNCTION("IFERROR(GOOGLETRANSLATE(B419,""en"",""zh-CN""),)"),"很低")</f>
        <v>很低</v>
      </c>
    </row>
    <row r="420" spans="1:5">
      <c r="A420" s="3" t="s">
        <v>2072</v>
      </c>
      <c r="B420" s="4" t="str">
        <f ca="1">IFERROR(__xludf.DUMMYFUNCTION("IFERROR(GOOGLETRANSLATE(A420,""ko"",""en""),)"),"It's long.")</f>
        <v>It's long.</v>
      </c>
      <c r="C420" s="4" t="str">
        <f ca="1">IFERROR(__xludf.DUMMYFUNCTION("IFERROR(GOOGLETRANSLATE(B420,""en"",""ja""),)"),"長いですね。")</f>
        <v>長いですね。</v>
      </c>
      <c r="D420" s="4" t="str">
        <f ca="1">IFERROR(__xludf.DUMMYFUNCTION("IFERROR(GOOGLETRANSLATE(B420,""en"",""zh-TW""),)"),"很長。")</f>
        <v>很長。</v>
      </c>
      <c r="E420" s="4" t="str">
        <f ca="1">IFERROR(__xludf.DUMMYFUNCTION("IFERROR(GOOGLETRANSLATE(B420,""en"",""zh-CN""),)"),"很长。")</f>
        <v>很长。</v>
      </c>
    </row>
    <row r="421" spans="1:5">
      <c r="A421" s="5" t="s">
        <v>2074</v>
      </c>
      <c r="B421" s="4" t="str">
        <f ca="1">IFERROR(__xludf.DUMMYFUNCTION("IFERROR(GOOGLETRANSLATE(A421,""ko"",""en""),)"),"It's short")</f>
        <v>It's short</v>
      </c>
      <c r="C421" s="4" t="str">
        <f ca="1">IFERROR(__xludf.DUMMYFUNCTION("IFERROR(GOOGLETRANSLATE(B421,""en"",""ja""),)"),"短い")</f>
        <v>短い</v>
      </c>
      <c r="D421" s="4" t="str">
        <f ca="1">IFERROR(__xludf.DUMMYFUNCTION("IFERROR(GOOGLETRANSLATE(B421,""en"",""zh-TW""),)"),"它很短")</f>
        <v>它很短</v>
      </c>
      <c r="E421" s="4" t="str">
        <f ca="1">IFERROR(__xludf.DUMMYFUNCTION("IFERROR(GOOGLETRANSLATE(B421,""en"",""zh-CN""),)"),"它很短")</f>
        <v>它很短</v>
      </c>
    </row>
    <row r="422" spans="1:5">
      <c r="A422" s="3" t="s">
        <v>1248</v>
      </c>
      <c r="B422" s="4" t="str">
        <f ca="1">IFERROR(__xludf.DUMMYFUNCTION("IFERROR(GOOGLETRANSLATE(A422,""ko"",""en""),)"),"It's expensive")</f>
        <v>It's expensive</v>
      </c>
      <c r="C422" s="4" t="str">
        <f ca="1">IFERROR(__xludf.DUMMYFUNCTION("IFERROR(GOOGLETRANSLATE(B422,""en"",""ja""),)"),"高価です")</f>
        <v>高価です</v>
      </c>
      <c r="D422" s="4" t="str">
        <f ca="1">IFERROR(__xludf.DUMMYFUNCTION("IFERROR(GOOGLETRANSLATE(B422,""en"",""zh-TW""),)"),"它很貴。")</f>
        <v>它很貴。</v>
      </c>
      <c r="E422" s="4" t="str">
        <f ca="1">IFERROR(__xludf.DUMMYFUNCTION("IFERROR(GOOGLETRANSLATE(B422,""en"",""zh-CN""),)"),"它很贵。")</f>
        <v>它很贵。</v>
      </c>
    </row>
    <row r="423" spans="1:5">
      <c r="A423" s="3" t="s">
        <v>1244</v>
      </c>
      <c r="B423" s="4" t="str">
        <f ca="1">IFERROR(__xludf.DUMMYFUNCTION("IFERROR(GOOGLETRANSLATE(A423,""ko"",""en""),)"),"It's cheap")</f>
        <v>It's cheap</v>
      </c>
      <c r="C423" s="4" t="str">
        <f ca="1">IFERROR(__xludf.DUMMYFUNCTION("IFERROR(GOOGLETRANSLATE(B423,""en"",""ja""),)"),"安い")</f>
        <v>安い</v>
      </c>
      <c r="D423" s="4" t="str">
        <f ca="1">IFERROR(__xludf.DUMMYFUNCTION("IFERROR(GOOGLETRANSLATE(B423,""en"",""zh-TW""),)"),"它很便宜。")</f>
        <v>它很便宜。</v>
      </c>
      <c r="E423" s="4" t="str">
        <f ca="1">IFERROR(__xludf.DUMMYFUNCTION("IFERROR(GOOGLETRANSLATE(B423,""en"",""zh-CN""),)"),"它很便宜。")</f>
        <v>它很便宜。</v>
      </c>
    </row>
    <row r="424" spans="1:5">
      <c r="A424" s="3" t="s">
        <v>2084</v>
      </c>
      <c r="B424" s="4" t="str">
        <f ca="1">IFERROR(__xludf.DUMMYFUNCTION("IFERROR(GOOGLETRANSLATE(A424,""ko"",""en""),)"),"It's comfortable.")</f>
        <v>It's comfortable.</v>
      </c>
      <c r="C424" s="4" t="str">
        <f ca="1">IFERROR(__xludf.DUMMYFUNCTION("IFERROR(GOOGLETRANSLATE(B424,""en"",""ja""),)"),"快適です。")</f>
        <v>快適です。</v>
      </c>
      <c r="D424" s="4" t="str">
        <f ca="1">IFERROR(__xludf.DUMMYFUNCTION("IFERROR(GOOGLETRANSLATE(B424,""en"",""zh-TW""),)"),"它很舒服。")</f>
        <v>它很舒服。</v>
      </c>
      <c r="E424" s="4" t="str">
        <f ca="1">IFERROR(__xludf.DUMMYFUNCTION("IFERROR(GOOGLETRANSLATE(B424,""en"",""zh-CN""),)"),"它很舒服。")</f>
        <v>它很舒服。</v>
      </c>
    </row>
    <row r="425" spans="1:5">
      <c r="A425" s="5" t="s">
        <v>2087</v>
      </c>
      <c r="B425" s="4" t="str">
        <f ca="1">IFERROR(__xludf.DUMMYFUNCTION("IFERROR(GOOGLETRANSLATE(A425,""ko"",""en""),)"),"It's uncomfortable.")</f>
        <v>It's uncomfortable.</v>
      </c>
      <c r="C425" s="4" t="str">
        <f ca="1">IFERROR(__xludf.DUMMYFUNCTION("IFERROR(GOOGLETRANSLATE(B425,""en"",""ja""),)"),"不快だ。")</f>
        <v>不快だ。</v>
      </c>
      <c r="D425" s="4" t="str">
        <f ca="1">IFERROR(__xludf.DUMMYFUNCTION("IFERROR(GOOGLETRANSLATE(B425,""en"",""zh-TW""),)"),"這讓人很不舒服。")</f>
        <v>這讓人很不舒服。</v>
      </c>
      <c r="E425" s="4" t="str">
        <f ca="1">IFERROR(__xludf.DUMMYFUNCTION("IFERROR(GOOGLETRANSLATE(B425,""en"",""zh-CN""),)"),"这让人很不舒服。")</f>
        <v>这让人很不舒服。</v>
      </c>
    </row>
    <row r="426" spans="1:5">
      <c r="A426" s="3" t="s">
        <v>2091</v>
      </c>
      <c r="B426" s="4" t="str">
        <f ca="1">IFERROR(__xludf.DUMMYFUNCTION("IFERROR(GOOGLETRANSLATE(A426,""ko"",""en""),)"),"Complete the sentence by filling in the blanks with the appropriate words.")</f>
        <v>Complete the sentence by filling in the blanks with the appropriate words.</v>
      </c>
      <c r="C426" s="4" t="str">
        <f ca="1">IFERROR(__xludf.DUMMYFUNCTION("IFERROR(GOOGLETRANSLATE(B426,""en"",""ja""),)"),"空欄に適切な語句を入れて文を完成させなさい。")</f>
        <v>空欄に適切な語句を入れて文を完成させなさい。</v>
      </c>
      <c r="D426" s="4" t="str">
        <f ca="1">IFERROR(__xludf.DUMMYFUNCTION("IFERROR(GOOGLETRANSLATE(B426,""en"",""zh-TW""),)"),"請用適當的字填空，完成句子。")</f>
        <v>請用適當的字填空，完成句子。</v>
      </c>
      <c r="E426" s="4" t="str">
        <f ca="1">IFERROR(__xludf.DUMMYFUNCTION("IFERROR(GOOGLETRANSLATE(B426,""en"",""zh-CN""),)"),"请用合适的词语填空，完成句子。")</f>
        <v>请用合适的词语填空，完成句子。</v>
      </c>
    </row>
    <row r="427" spans="1:5">
      <c r="A427" s="3" t="s">
        <v>2095</v>
      </c>
      <c r="B427" s="4" t="str">
        <f ca="1">IFERROR(__xludf.DUMMYFUNCTION("IFERROR(GOOGLETRANSLATE(A427,""ko"",""en""),)"),"This bag is a little expensive.")</f>
        <v>This bag is a little expensive.</v>
      </c>
      <c r="C427" s="4" t="str">
        <f ca="1">IFERROR(__xludf.DUMMYFUNCTION("IFERROR(GOOGLETRANSLATE(B427,""en"",""ja""),)"),"このバッグは少し値段が高い。")</f>
        <v>このバッグは少し値段が高い。</v>
      </c>
      <c r="D427" s="4" t="str">
        <f ca="1">IFERROR(__xludf.DUMMYFUNCTION("IFERROR(GOOGLETRANSLATE(B427,""en"",""zh-TW""),)"),"這款包有點貴。")</f>
        <v>這款包有點貴。</v>
      </c>
      <c r="E427" s="4" t="str">
        <f ca="1">IFERROR(__xludf.DUMMYFUNCTION("IFERROR(GOOGLETRANSLATE(B427,""en"",""zh-CN""),)"),"这款包有点贵。")</f>
        <v>这款包有点贵。</v>
      </c>
    </row>
    <row r="428" spans="1:5">
      <c r="A428" s="2" t="s">
        <v>2099</v>
      </c>
      <c r="B428" s="4" t="str">
        <f ca="1">IFERROR(__xludf.DUMMYFUNCTION("IFERROR(GOOGLETRANSLATE(A428,""ko"",""en""),)"),"That watermelon is really big.")</f>
        <v>That watermelon is really big.</v>
      </c>
      <c r="C428" s="4" t="str">
        <f ca="1">IFERROR(__xludf.DUMMYFUNCTION("IFERROR(GOOGLETRANSLATE(B428,""en"",""ja""),)"),"あのスイカ、すごく大きいね。")</f>
        <v>あのスイカ、すごく大きいね。</v>
      </c>
      <c r="D428" s="4" t="str">
        <f ca="1">IFERROR(__xludf.DUMMYFUNCTION("IFERROR(GOOGLETRANSLATE(B428,""en"",""zh-TW""),)"),"這個西瓜真大。")</f>
        <v>這個西瓜真大。</v>
      </c>
      <c r="E428" s="4" t="str">
        <f ca="1">IFERROR(__xludf.DUMMYFUNCTION("IFERROR(GOOGLETRANSLATE(B428,""en"",""zh-CN""),)"),"这个西瓜真大。")</f>
        <v>这个西瓜真大。</v>
      </c>
    </row>
    <row r="429" spans="1:5">
      <c r="A429" s="3" t="s">
        <v>2102</v>
      </c>
      <c r="B429" s="4" t="str">
        <f ca="1">IFERROR(__xludf.DUMMYFUNCTION("IFERROR(GOOGLETRANSLATE(A429,""ko"",""en""),)"),"The Sejong Institute classroom is spacious.")</f>
        <v>The Sejong Institute classroom is spacious.</v>
      </c>
      <c r="C429" s="4" t="str">
        <f ca="1">IFERROR(__xludf.DUMMYFUNCTION("IFERROR(GOOGLETRANSLATE(B429,""en"",""ja""),)"),"世宗学院の教室は広々としている。")</f>
        <v>世宗学院の教室は広々としている。</v>
      </c>
      <c r="D429" s="4" t="str">
        <f ca="1">IFERROR(__xludf.DUMMYFUNCTION("IFERROR(GOOGLETRANSLATE(B429,""en"",""zh-TW""),)"),"世宗學院的教室很寬敞。")</f>
        <v>世宗學院的教室很寬敞。</v>
      </c>
      <c r="E429" s="4" t="str">
        <f ca="1">IFERROR(__xludf.DUMMYFUNCTION("IFERROR(GOOGLETRANSLATE(B429,""en"",""zh-CN""),)"),"世宗学院的教室很宽敞。")</f>
        <v>世宗学院的教室很宽敞。</v>
      </c>
    </row>
    <row r="430" spans="1:5">
      <c r="A430" s="3" t="s">
        <v>2107</v>
      </c>
      <c r="B430" s="4" t="str">
        <f ca="1">IFERROR(__xludf.DUMMYFUNCTION("IFERROR(GOOGLETRANSLATE(A430,""ko"",""en""),)"),"My friend's hair is really long.")</f>
        <v>My friend's hair is really long.</v>
      </c>
      <c r="C430" s="4" t="str">
        <f ca="1">IFERROR(__xludf.DUMMYFUNCTION("IFERROR(GOOGLETRANSLATE(B430,""en"",""ja""),)"),"私の友達の髪は本当に長い。")</f>
        <v>私の友達の髪は本当に長い。</v>
      </c>
      <c r="D430" s="4" t="str">
        <f ca="1">IFERROR(__xludf.DUMMYFUNCTION("IFERROR(GOOGLETRANSLATE(B430,""en"",""zh-TW""),)"),"我朋友的頭髮很長。")</f>
        <v>我朋友的頭髮很長。</v>
      </c>
      <c r="E430" s="4" t="str">
        <f ca="1">IFERROR(__xludf.DUMMYFUNCTION("IFERROR(GOOGLETRANSLATE(B430,""en"",""zh-CN""),)"),"我朋友的头发很长。")</f>
        <v>我朋友的头发很长。</v>
      </c>
    </row>
    <row r="431" spans="1:5">
      <c r="A431" s="3" t="s">
        <v>2111</v>
      </c>
      <c r="B431" s="4" t="str">
        <f ca="1">IFERROR(__xludf.DUMMYFUNCTION("IFERROR(GOOGLETRANSLATE(A431,""ko"",""en""),)"),"My friend's head is really small.")</f>
        <v>My friend's head is really small.</v>
      </c>
      <c r="C431" s="4" t="str">
        <f ca="1">IFERROR(__xludf.DUMMYFUNCTION("IFERROR(GOOGLETRANSLATE(B431,""en"",""ja""),)"),"私の友達の頭は本当に小さい。")</f>
        <v>私の友達の頭は本当に小さい。</v>
      </c>
      <c r="D431" s="4" t="str">
        <f ca="1">IFERROR(__xludf.DUMMYFUNCTION("IFERROR(GOOGLETRANSLATE(B431,""en"",""zh-TW""),)"),"我朋友的頭很小。")</f>
        <v>我朋友的頭很小。</v>
      </c>
      <c r="E431" s="4" t="str">
        <f ca="1">IFERROR(__xludf.DUMMYFUNCTION("IFERROR(GOOGLETRANSLATE(B431,""en"",""zh-CN""),)"),"我朋友的头很小。")</f>
        <v>我朋友的头很小。</v>
      </c>
    </row>
    <row r="432" spans="1:5">
      <c r="A432" s="3" t="s">
        <v>2116</v>
      </c>
      <c r="B432" s="4" t="s">
        <v>2117</v>
      </c>
      <c r="C432" s="4" t="str">
        <f ca="1">IFERROR(__xludf.DUMMYFUNCTION("IFERROR(GOOGLETRANSLATE(B432,""en"",""ja""),)"),"私の友人は頭がいい。")</f>
        <v>私の友人は頭がいい。</v>
      </c>
      <c r="D432" s="4" t="str">
        <f ca="1">IFERROR(__xludf.DUMMYFUNCTION("IFERROR(GOOGLETRANSLATE(B432,""en"",""zh-TW""),)"),"我的朋友很聰明。")</f>
        <v>我的朋友很聰明。</v>
      </c>
      <c r="E432" s="4" t="str">
        <f ca="1">IFERROR(__xludf.DUMMYFUNCTION("IFERROR(GOOGLETRANSLATE(B432,""en"",""zh-CN""),)"),"我的朋友很聪明。")</f>
        <v>我的朋友很聪明。</v>
      </c>
    </row>
    <row r="433" spans="1:5">
      <c r="A433" s="3" t="s">
        <v>2121</v>
      </c>
      <c r="B433" s="4" t="s">
        <v>2122</v>
      </c>
      <c r="C433" s="4" t="str">
        <f ca="1">IFERROR(__xludf.DUMMYFUNCTION("IFERROR(GOOGLETRANSLATE(B433,""en"",""ja""),)"),"私の友人は頭が良くない。")</f>
        <v>私の友人は頭が良くない。</v>
      </c>
      <c r="D433" s="4" t="str">
        <f ca="1">IFERROR(__xludf.DUMMYFUNCTION("IFERROR(GOOGLETRANSLATE(B433,""en"",""zh-TW""),)"),"我的朋友不聰明。")</f>
        <v>我的朋友不聰明。</v>
      </c>
      <c r="E433" s="4" t="str">
        <f ca="1">IFERROR(__xludf.DUMMYFUNCTION("IFERROR(GOOGLETRANSLATE(B433,""en"",""zh-CN""),)"),"我的朋友不聪明。")</f>
        <v>我的朋友不聪明。</v>
      </c>
    </row>
    <row r="434" spans="1:5">
      <c r="A434" s="5" t="s">
        <v>2126</v>
      </c>
      <c r="B434" s="4" t="str">
        <f ca="1">IFERROR(__xludf.DUMMYFUNCTION("IFERROR(GOOGLETRANSLATE(A434,""ko"",""en""),)"),"I am tall.")</f>
        <v>I am tall.</v>
      </c>
      <c r="C434" s="4" t="str">
        <f ca="1">IFERROR(__xludf.DUMMYFUNCTION("IFERROR(GOOGLETRANSLATE(B434,""en"",""ja""),)"),"私は背が高い。")</f>
        <v>私は背が高い。</v>
      </c>
      <c r="D434" s="4" t="str">
        <f ca="1">IFERROR(__xludf.DUMMYFUNCTION("IFERROR(GOOGLETRANSLATE(B434,""en"",""zh-TW""),)"),"我很高。")</f>
        <v>我很高。</v>
      </c>
      <c r="E434" s="4" t="str">
        <f ca="1">IFERROR(__xludf.DUMMYFUNCTION("IFERROR(GOOGLETRANSLATE(B434,""en"",""zh-CN""),)"),"我很高。")</f>
        <v>我很高。</v>
      </c>
    </row>
    <row r="435" spans="1:5">
      <c r="A435" s="3" t="s">
        <v>2130</v>
      </c>
      <c r="B435" s="4" t="str">
        <f ca="1">IFERROR(__xludf.DUMMYFUNCTION("IFERROR(GOOGLETRANSLATE(A435,""ko"",""en""),)"),"I am short.")</f>
        <v>I am short.</v>
      </c>
      <c r="C435" s="4" t="str">
        <f ca="1">IFERROR(__xludf.DUMMYFUNCTION("IFERROR(GOOGLETRANSLATE(B435,""en"",""ja""),)"),"私は背が低い。")</f>
        <v>私は背が低い。</v>
      </c>
      <c r="D435" s="4" t="str">
        <f ca="1">IFERROR(__xludf.DUMMYFUNCTION("IFERROR(GOOGLETRANSLATE(B435,""en"",""zh-TW""),)"),"我很矮。")</f>
        <v>我很矮。</v>
      </c>
      <c r="E435" s="4" t="str">
        <f ca="1">IFERROR(__xludf.DUMMYFUNCTION("IFERROR(GOOGLETRANSLATE(B435,""en"",""zh-CN""),)"),"我很矮。")</f>
        <v>我很矮。</v>
      </c>
    </row>
    <row r="436" spans="1:5">
      <c r="A436" s="5" t="s">
        <v>1193</v>
      </c>
      <c r="B436" s="4" t="str">
        <f ca="1">IFERROR(__xludf.DUMMYFUNCTION("IFERROR(GOOGLETRANSLATE(A436,""ko"",""en""),)"),"They are kind.")</f>
        <v>They are kind.</v>
      </c>
      <c r="C436" s="4" t="str">
        <f ca="1">IFERROR(__xludf.DUMMYFUNCTION("IFERROR(GOOGLETRANSLATE(B436,""en"",""ja""),)"),"彼らは親切だ。")</f>
        <v>彼らは親切だ。</v>
      </c>
      <c r="D436" s="4" t="str">
        <f ca="1">IFERROR(__xludf.DUMMYFUNCTION("IFERROR(GOOGLETRANSLATE(B436,""en"",""zh-TW""),)"),"他們很善良。")</f>
        <v>他們很善良。</v>
      </c>
      <c r="E436" s="4" t="str">
        <f ca="1">IFERROR(__xludf.DUMMYFUNCTION("IFERROR(GOOGLETRANSLATE(B436,""en"",""zh-CN""),)"),"他们很善良。")</f>
        <v>他们很善良。</v>
      </c>
    </row>
    <row r="437" spans="1:5">
      <c r="A437" s="3" t="s">
        <v>2138</v>
      </c>
      <c r="B437" s="4" t="str">
        <f ca="1">IFERROR(__xludf.DUMMYFUNCTION("IFERROR(GOOGLETRANSLATE(A437,""ko"",""en""),)"),"They are unfriendly.")</f>
        <v>They are unfriendly.</v>
      </c>
      <c r="C437" s="4" t="str">
        <f ca="1">IFERROR(__xludf.DUMMYFUNCTION("IFERROR(GOOGLETRANSLATE(B437,""en"",""ja""),)"),"彼らは非友好的だ。")</f>
        <v>彼らは非友好的だ。</v>
      </c>
      <c r="D437" s="4" t="str">
        <f ca="1">IFERROR(__xludf.DUMMYFUNCTION("IFERROR(GOOGLETRANSLATE(B437,""en"",""zh-TW""),)"),"他們很不友善。")</f>
        <v>他們很不友善。</v>
      </c>
      <c r="E437" s="4" t="str">
        <f ca="1">IFERROR(__xludf.DUMMYFUNCTION("IFERROR(GOOGLETRANSLATE(B437,""en"",""zh-CN""),)"),"他们很不友好。")</f>
        <v>他们很不友好。</v>
      </c>
    </row>
    <row r="438" spans="1:5">
      <c r="A438" s="3" t="s">
        <v>2143</v>
      </c>
      <c r="B438" s="4" t="str">
        <f ca="1">IFERROR(__xludf.DUMMYFUNCTION("IFERROR(GOOGLETRANSLATE(A438,""ko"",""en""),)"),"How about these pants?")</f>
        <v>How about these pants?</v>
      </c>
      <c r="C438" s="4" t="str">
        <f ca="1">IFERROR(__xludf.DUMMYFUNCTION("IFERROR(GOOGLETRANSLATE(B438,""en"",""ja""),)"),"このパンツはどうですか？")</f>
        <v>このパンツはどうですか？</v>
      </c>
      <c r="D438" s="4" t="str">
        <f ca="1">IFERROR(__xludf.DUMMYFUNCTION("IFERROR(GOOGLETRANSLATE(B438,""en"",""zh-TW""),)"),"這條褲子怎麼樣？")</f>
        <v>這條褲子怎麼樣？</v>
      </c>
      <c r="E438" s="4" t="str">
        <f ca="1">IFERROR(__xludf.DUMMYFUNCTION("IFERROR(GOOGLETRANSLATE(B438,""en"",""zh-CN""),)"),"这条裤子怎么样？")</f>
        <v>这条裤子怎么样？</v>
      </c>
    </row>
    <row r="439" spans="1:5">
      <c r="A439" s="3" t="s">
        <v>2148</v>
      </c>
      <c r="B439" s="4" t="str">
        <f ca="1">IFERROR(__xludf.DUMMYFUNCTION("IFERROR(GOOGLETRANSLATE(A439,""ko"",""en""),)"),"These pants are big.")</f>
        <v>These pants are big.</v>
      </c>
      <c r="C439" s="4" t="str">
        <f ca="1">IFERROR(__xludf.DUMMYFUNCTION("IFERROR(GOOGLETRANSLATE(B439,""en"",""ja""),)"),"このズボンは大きい。")</f>
        <v>このズボンは大きい。</v>
      </c>
      <c r="D439" s="4" t="str">
        <f ca="1">IFERROR(__xludf.DUMMYFUNCTION("IFERROR(GOOGLETRANSLATE(B439,""en"",""zh-TW""),)"),"這條褲子太大了。")</f>
        <v>這條褲子太大了。</v>
      </c>
      <c r="E439" s="4" t="str">
        <f ca="1">IFERROR(__xludf.DUMMYFUNCTION("IFERROR(GOOGLETRANSLATE(B439,""en"",""zh-CN""),)"),"这条裤子太大了。")</f>
        <v>这条裤子太大了。</v>
      </c>
    </row>
    <row r="440" spans="1:5">
      <c r="A440" s="3" t="s">
        <v>2153</v>
      </c>
      <c r="B440" s="4" t="str">
        <f ca="1">IFERROR(__xludf.DUMMYFUNCTION("IFERROR(GOOGLETRANSLATE(A440,""ko"",""en""),)"),"How about this T-shirt?")</f>
        <v>How about this T-shirt?</v>
      </c>
      <c r="C440" s="4" t="str">
        <f ca="1">IFERROR(__xludf.DUMMYFUNCTION("IFERROR(GOOGLETRANSLATE(B440,""en"",""ja""),)"),"このTシャツはいかがですか？")</f>
        <v>このTシャツはいかがですか？</v>
      </c>
      <c r="D440" s="4" t="str">
        <f ca="1">IFERROR(__xludf.DUMMYFUNCTION("IFERROR(GOOGLETRANSLATE(B440,""en"",""zh-TW""),)"),"這件T卹怎麼樣？")</f>
        <v>這件T卹怎麼樣？</v>
      </c>
      <c r="E440" s="4" t="str">
        <f ca="1">IFERROR(__xludf.DUMMYFUNCTION("IFERROR(GOOGLETRANSLATE(B440,""en"",""zh-CN""),)"),"这件T恤怎么样？")</f>
        <v>这件T恤怎么样？</v>
      </c>
    </row>
    <row r="441" spans="1:5">
      <c r="A441" s="3" t="s">
        <v>2161</v>
      </c>
      <c r="B441" s="4" t="str">
        <f ca="1">IFERROR(__xludf.DUMMYFUNCTION("IFERROR(GOOGLETRANSLATE(A441,""ko"",""en""),)"),"This T-shirt is short.")</f>
        <v>This T-shirt is short.</v>
      </c>
      <c r="C441" s="4" t="str">
        <f ca="1">IFERROR(__xludf.DUMMYFUNCTION("IFERROR(GOOGLETRANSLATE(B441,""en"",""ja""),)"),"このTシャツは丈が短い。")</f>
        <v>このTシャツは丈が短い。</v>
      </c>
      <c r="D441" s="4" t="str">
        <f ca="1">IFERROR(__xludf.DUMMYFUNCTION("IFERROR(GOOGLETRANSLATE(B441,""en"",""zh-TW""),)"),"這件T卹太短了。")</f>
        <v>這件T卹太短了。</v>
      </c>
      <c r="E441" s="4" t="str">
        <f ca="1">IFERROR(__xludf.DUMMYFUNCTION("IFERROR(GOOGLETRANSLATE(B441,""en"",""zh-CN""),)"),"这件T恤太短了。")</f>
        <v>这件T恤太短了。</v>
      </c>
    </row>
    <row r="442" spans="1:5">
      <c r="A442" s="3" t="s">
        <v>2166</v>
      </c>
      <c r="B442" s="4" t="str">
        <f ca="1">IFERROR(__xludf.DUMMYFUNCTION("IFERROR(GOOGLETRANSLATE(A442,""ko"",""en""),)"),"How about these shoes?")</f>
        <v>How about these shoes?</v>
      </c>
      <c r="C442" s="4" t="str">
        <f ca="1">IFERROR(__xludf.DUMMYFUNCTION("IFERROR(GOOGLETRANSLATE(B442,""en"",""ja""),)"),"この靴はどうですか？")</f>
        <v>この靴はどうですか？</v>
      </c>
      <c r="D442" s="4" t="str">
        <f ca="1">IFERROR(__xludf.DUMMYFUNCTION("IFERROR(GOOGLETRANSLATE(B442,""en"",""zh-TW""),)"),"這雙鞋怎麼樣？")</f>
        <v>這雙鞋怎麼樣？</v>
      </c>
      <c r="E442" s="4" t="str">
        <f ca="1">IFERROR(__xludf.DUMMYFUNCTION("IFERROR(GOOGLETRANSLATE(B442,""en"",""zh-CN""),)"),"这双鞋怎么样？")</f>
        <v>这双鞋怎么样？</v>
      </c>
    </row>
    <row r="443" spans="1:5">
      <c r="A443" s="3" t="s">
        <v>2170</v>
      </c>
      <c r="B443" s="4" t="str">
        <f ca="1">IFERROR(__xludf.DUMMYFUNCTION("IFERROR(GOOGLETRANSLATE(A443,""ko"",""en""),)"),"It's a little expensive.")</f>
        <v>It's a little expensive.</v>
      </c>
      <c r="C443" s="4" t="str">
        <f ca="1">IFERROR(__xludf.DUMMYFUNCTION("IFERROR(GOOGLETRANSLATE(B443,""en"",""ja""),)"),"少し値段が高いですね。")</f>
        <v>少し値段が高いですね。</v>
      </c>
      <c r="D443" s="4" t="str">
        <f ca="1">IFERROR(__xludf.DUMMYFUNCTION("IFERROR(GOOGLETRANSLATE(B443,""en"",""zh-TW""),)"),"有點貴。")</f>
        <v>有點貴。</v>
      </c>
      <c r="E443" s="4" t="str">
        <f ca="1">IFERROR(__xludf.DUMMYFUNCTION("IFERROR(GOOGLETRANSLATE(B443,""en"",""zh-CN""),)"),"有点贵。")</f>
        <v>有点贵。</v>
      </c>
    </row>
    <row r="444" spans="1:5">
      <c r="A444" s="3" t="s">
        <v>2174</v>
      </c>
      <c r="B444" s="4" t="str">
        <f ca="1">IFERROR(__xludf.DUMMYFUNCTION("IFERROR(GOOGLETRANSLATE(A444,""ko"",""en""),)"),"How about this chair?")</f>
        <v>How about this chair?</v>
      </c>
      <c r="C444" s="4" t="str">
        <f ca="1">IFERROR(__xludf.DUMMYFUNCTION("IFERROR(GOOGLETRANSLATE(B444,""en"",""ja""),)"),"この椅子はいかがですか？")</f>
        <v>この椅子はいかがですか？</v>
      </c>
      <c r="D444" s="4" t="str">
        <f ca="1">IFERROR(__xludf.DUMMYFUNCTION("IFERROR(GOOGLETRANSLATE(B444,""en"",""zh-TW""),)"),"這張椅子怎麼樣？")</f>
        <v>這張椅子怎麼樣？</v>
      </c>
      <c r="E444" s="4" t="str">
        <f ca="1">IFERROR(__xludf.DUMMYFUNCTION("IFERROR(GOOGLETRANSLATE(B444,""en"",""zh-CN""),)"),"这张椅子怎么样？")</f>
        <v>这张椅子怎么样？</v>
      </c>
    </row>
    <row r="445" spans="1:5">
      <c r="A445" s="3" t="s">
        <v>2179</v>
      </c>
      <c r="B445" s="4" t="str">
        <f ca="1">IFERROR(__xludf.DUMMYFUNCTION("IFERROR(GOOGLETRANSLATE(A445,""ko"",""en""),)"),"It's really comfortable.")</f>
        <v>It's really comfortable.</v>
      </c>
      <c r="C445" s="4" t="str">
        <f ca="1">IFERROR(__xludf.DUMMYFUNCTION("IFERROR(GOOGLETRANSLATE(B445,""en"",""ja""),)"),"本当に快適です。")</f>
        <v>本当に快適です。</v>
      </c>
      <c r="D445" s="4" t="str">
        <f ca="1">IFERROR(__xludf.DUMMYFUNCTION("IFERROR(GOOGLETRANSLATE(B445,""en"",""zh-TW""),)"),"它真的很舒服。")</f>
        <v>它真的很舒服。</v>
      </c>
      <c r="E445" s="4" t="str">
        <f ca="1">IFERROR(__xludf.DUMMYFUNCTION("IFERROR(GOOGLETRANSLATE(B445,""en"",""zh-CN""),)"),"它真的很舒服。")</f>
        <v>它真的很舒服。</v>
      </c>
    </row>
    <row r="446" spans="1:5">
      <c r="A446" s="3" t="s">
        <v>2186</v>
      </c>
      <c r="B446" s="4" t="str">
        <f ca="1">IFERROR(__xludf.DUMMYFUNCTION("IFERROR(GOOGLETRANSLATE(A446,""ko"",""en""),)"),"How was the hike?")</f>
        <v>How was the hike?</v>
      </c>
      <c r="C446" s="4" t="str">
        <f ca="1">IFERROR(__xludf.DUMMYFUNCTION("IFERROR(GOOGLETRANSLATE(B446,""en"",""ja""),)"),"ハイキングはどうでしたか？")</f>
        <v>ハイキングはどうでしたか？</v>
      </c>
      <c r="D446" s="4" t="str">
        <f ca="1">IFERROR(__xludf.DUMMYFUNCTION("IFERROR(GOOGLETRANSLATE(B446,""en"",""zh-TW""),)"),"徒步旅行怎麼樣？")</f>
        <v>徒步旅行怎麼樣？</v>
      </c>
      <c r="E446" s="4" t="str">
        <f ca="1">IFERROR(__xludf.DUMMYFUNCTION("IFERROR(GOOGLETRANSLATE(B446,""en"",""zh-CN""),)"),"徒步旅行怎么样？")</f>
        <v>徒步旅行怎么样？</v>
      </c>
    </row>
    <row r="447" spans="1:5">
      <c r="A447" s="3" t="s">
        <v>2190</v>
      </c>
      <c r="B447" s="4" t="str">
        <f ca="1">IFERROR(__xludf.DUMMYFUNCTION("IFERROR(GOOGLETRANSLATE(A447,""ko"",""en""),)"),"It was tough because the mountain was very high.")</f>
        <v>It was tough because the mountain was very high.</v>
      </c>
      <c r="C447" s="4" t="str">
        <f ca="1">IFERROR(__xludf.DUMMYFUNCTION("IFERROR(GOOGLETRANSLATE(B447,""en"",""ja""),)"),"山がとても高かったので大変だった。")</f>
        <v>山がとても高かったので大変だった。</v>
      </c>
      <c r="D447" s="4" t="str">
        <f ca="1">IFERROR(__xludf.DUMMYFUNCTION("IFERROR(GOOGLETRANSLATE(B447,""en"",""zh-TW""),)"),"因為山很高，所以攀登起來很艱難。")</f>
        <v>因為山很高，所以攀登起來很艱難。</v>
      </c>
      <c r="E447" s="4" t="str">
        <f ca="1">IFERROR(__xludf.DUMMYFUNCTION("IFERROR(GOOGLETRANSLATE(B447,""en"",""zh-CN""),)"),"因为山很高，所以攀登起来很艰难。")</f>
        <v>因为山很高，所以攀登起来很艰难。</v>
      </c>
    </row>
    <row r="448" spans="1:5">
      <c r="A448" s="3" t="s">
        <v>2195</v>
      </c>
      <c r="B448" s="4" t="str">
        <f ca="1">IFERROR(__xludf.DUMMYFUNCTION("IFERROR(GOOGLETRANSLATE(A448,""ko"",""en""),)"),"How is Anna's house?")</f>
        <v>How is Anna's house?</v>
      </c>
      <c r="C448" s="4" t="str">
        <f ca="1">IFERROR(__xludf.DUMMYFUNCTION("IFERROR(GOOGLETRANSLATE(B448,""en"",""ja""),)"),"アンナの家はどうですか？")</f>
        <v>アンナの家はどうですか？</v>
      </c>
      <c r="D448" s="4" t="str">
        <f ca="1">IFERROR(__xludf.DUMMYFUNCTION("IFERROR(GOOGLETRANSLATE(B448,""en"",""zh-TW""),)"),"安娜的家怎麼樣？")</f>
        <v>安娜的家怎麼樣？</v>
      </c>
      <c r="E448" s="4" t="str">
        <f ca="1">IFERROR(__xludf.DUMMYFUNCTION("IFERROR(GOOGLETRANSLATE(B448,""en"",""zh-CN""),)"),"安娜的家怎么样？")</f>
        <v>安娜的家怎么样？</v>
      </c>
    </row>
    <row r="449" spans="1:5">
      <c r="A449" s="3" t="s">
        <v>2198</v>
      </c>
      <c r="B449" s="4" t="s">
        <v>2200</v>
      </c>
      <c r="C449" s="4" t="str">
        <f ca="1">IFERROR(__xludf.DUMMYFUNCTION("IFERROR(GOOGLETRANSLATE(B449,""en"",""ja""),)"),"部屋が広いので気に入っています。")</f>
        <v>部屋が広いので気に入っています。</v>
      </c>
      <c r="D449" s="4" t="str">
        <f ca="1">IFERROR(__xludf.DUMMYFUNCTION("IFERROR(GOOGLETRANSLATE(B449,""en"",""zh-TW""),)"),"我喜歡這間房間，因為它很寬敞。")</f>
        <v>我喜歡這間房間，因為它很寬敞。</v>
      </c>
      <c r="E449" s="4" t="str">
        <f ca="1">IFERROR(__xludf.DUMMYFUNCTION("IFERROR(GOOGLETRANSLATE(B449,""en"",""zh-CN""),)"),"我喜欢这间房间，因为它很宽敞。")</f>
        <v>我喜欢这间房间，因为它很宽敞。</v>
      </c>
    </row>
    <row r="450" spans="1:5">
      <c r="A450" s="3" t="s">
        <v>1767</v>
      </c>
      <c r="B450" s="4" t="str">
        <f ca="1">IFERROR(__xludf.DUMMYFUNCTION("IFERROR(GOOGLETRANSLATE(A450,""ko"",""en""),)"),"Where are you going?")</f>
        <v>Where are you going?</v>
      </c>
      <c r="C450" s="4" t="str">
        <f ca="1">IFERROR(__xludf.DUMMYFUNCTION("IFERROR(GOOGLETRANSLATE(B450,""en"",""ja""),)"),"どこに行くの？")</f>
        <v>どこに行くの？</v>
      </c>
      <c r="D450" s="4" t="str">
        <f ca="1">IFERROR(__xludf.DUMMYFUNCTION("IFERROR(GOOGLETRANSLATE(B450,""en"",""zh-TW""),)"),"你要去哪裡？")</f>
        <v>你要去哪裡？</v>
      </c>
      <c r="E450" s="4" t="str">
        <f ca="1">IFERROR(__xludf.DUMMYFUNCTION("IFERROR(GOOGLETRANSLATE(B450,""en"",""zh-CN""),)"),"你要去哪里？")</f>
        <v>你要去哪里？</v>
      </c>
    </row>
    <row r="451" spans="1:5">
      <c r="A451" s="5" t="s">
        <v>2204</v>
      </c>
      <c r="B451" s="4" t="str">
        <f ca="1">IFERROR(__xludf.DUMMYFUNCTION("IFERROR(GOOGLETRANSLATE(A451,""ko"",""en""),)"),"I'm going to the hair salon. My hair is long, so I want to cut it a bit.")</f>
        <v>I'm going to the hair salon. My hair is long, so I want to cut it a bit.</v>
      </c>
      <c r="C451" s="4" t="str">
        <f ca="1">IFERROR(__xludf.DUMMYFUNCTION("IFERROR(GOOGLETRANSLATE(B451,""en"",""ja""),)"),"美容院に行くんです。髪が長いので、少し切ってもらいたいんです。")</f>
        <v>美容院に行くんです。髪が長いので、少し切ってもらいたいんです。</v>
      </c>
      <c r="D451" s="4" t="str">
        <f ca="1">IFERROR(__xludf.DUMMYFUNCTION("IFERROR(GOOGLETRANSLATE(B451,""en"",""zh-TW""),)"),"我要去理髮店。我的頭髮很長，所以我想剪短一點。")</f>
        <v>我要去理髮店。我的頭髮很長，所以我想剪短一點。</v>
      </c>
      <c r="E451" s="4" t="str">
        <f ca="1">IFERROR(__xludf.DUMMYFUNCTION("IFERROR(GOOGLETRANSLATE(B451,""en"",""zh-CN""),)"),"我要去理发店。我的头发很长，所以我想剪短一点。")</f>
        <v>我要去理发店。我的头发很长，所以我想剪短一点。</v>
      </c>
    </row>
    <row r="452" spans="1:5">
      <c r="A452" s="3" t="s">
        <v>2207</v>
      </c>
      <c r="B452" s="4" t="str">
        <f ca="1">IFERROR(__xludf.DUMMYFUNCTION("IFERROR(GOOGLETRANSLATE(A452,""ko"",""en""),)"),"What are you going to buy?")</f>
        <v>What are you going to buy?</v>
      </c>
      <c r="C452" s="4" t="str">
        <f ca="1">IFERROR(__xludf.DUMMYFUNCTION("IFERROR(GOOGLETRANSLATE(B452,""en"",""ja""),)"),"何を買う予定ですか？")</f>
        <v>何を買う予定ですか？</v>
      </c>
      <c r="D452" s="4" t="str">
        <f ca="1">IFERROR(__xludf.DUMMYFUNCTION("IFERROR(GOOGLETRANSLATE(B452,""en"",""zh-TW""),)"),"你打算買什麼？")</f>
        <v>你打算買什麼？</v>
      </c>
      <c r="E452" s="4" t="str">
        <f ca="1">IFERROR(__xludf.DUMMYFUNCTION("IFERROR(GOOGLETRANSLATE(B452,""en"",""zh-CN""),)"),"你打算买什么？")</f>
        <v>你打算买什么？</v>
      </c>
    </row>
    <row r="453" spans="1:5">
      <c r="A453" s="3" t="s">
        <v>2210</v>
      </c>
      <c r="B453" s="4" t="str">
        <f ca="1">IFERROR(__xludf.DUMMYFUNCTION("IFERROR(GOOGLETRANSLATE(A453,""ko"",""en""),)"),"My dress shoes are a bit uncomfortable, so I want to buy sneakers.")</f>
        <v>My dress shoes are a bit uncomfortable, so I want to buy sneakers.</v>
      </c>
      <c r="C453" s="4" t="str">
        <f ca="1">IFERROR(__xludf.DUMMYFUNCTION("IFERROR(GOOGLETRANSLATE(B453,""en"",""ja""),)"),"私の革靴は少し履き心地が悪いので、スニーカーを買いたいです。")</f>
        <v>私の革靴は少し履き心地が悪いので、スニーカーを買いたいです。</v>
      </c>
      <c r="D453" s="4" t="str">
        <f ca="1">IFERROR(__xludf.DUMMYFUNCTION("IFERROR(GOOGLETRANSLATE(B453,""en"",""zh-TW""),)"),"我的皮鞋有點不舒服，所以我想買雙運動鞋。")</f>
        <v>我的皮鞋有點不舒服，所以我想買雙運動鞋。</v>
      </c>
      <c r="E453" s="4" t="str">
        <f ca="1">IFERROR(__xludf.DUMMYFUNCTION("IFERROR(GOOGLETRANSLATE(B453,""en"",""zh-CN""),)"),"我的皮鞋有点不舒服，所以我想买双运动鞋。")</f>
        <v>我的皮鞋有点不舒服，所以我想买双运动鞋。</v>
      </c>
    </row>
    <row r="454" spans="1:5">
      <c r="A454" s="3" t="s">
        <v>2214</v>
      </c>
      <c r="B454" s="4" t="str">
        <f ca="1">IFERROR(__xludf.DUMMYFUNCTION("IFERROR(GOOGLETRANSLATE(A454,""ko"",""en""),)"),"Good house")</f>
        <v>Good house</v>
      </c>
      <c r="C454" s="4" t="str">
        <f ca="1">IFERROR(__xludf.DUMMYFUNCTION("IFERROR(GOOGLETRANSLATE(B454,""en"",""ja""),)"),"良い家")</f>
        <v>良い家</v>
      </c>
      <c r="D454" s="4" t="str">
        <f ca="1">IFERROR(__xludf.DUMMYFUNCTION("IFERROR(GOOGLETRANSLATE(B454,""en"",""zh-TW""),)"),"好房子")</f>
        <v>好房子</v>
      </c>
      <c r="E454" s="4" t="str">
        <f ca="1">IFERROR(__xludf.DUMMYFUNCTION("IFERROR(GOOGLETRANSLATE(B454,""en"",""zh-CN""),)"),"好房子")</f>
        <v>好房子</v>
      </c>
    </row>
    <row r="455" spans="1:5">
      <c r="A455" s="3" t="s">
        <v>2217</v>
      </c>
      <c r="B455" s="4" t="str">
        <f ca="1">IFERROR(__xludf.DUMMYFUNCTION("IFERROR(GOOGLETRANSLATE(A455,""ko"",""en""),)"),"Cheap clothes")</f>
        <v>Cheap clothes</v>
      </c>
      <c r="C455" s="4" t="str">
        <f ca="1">IFERROR(__xludf.DUMMYFUNCTION("IFERROR(GOOGLETRANSLATE(B455,""en"",""ja""),)"),"安い服")</f>
        <v>安い服</v>
      </c>
      <c r="D455" s="4" t="str">
        <f ca="1">IFERROR(__xludf.DUMMYFUNCTION("IFERROR(GOOGLETRANSLATE(B455,""en"",""zh-TW""),)"),"廉價服裝")</f>
        <v>廉價服裝</v>
      </c>
      <c r="E455" s="4" t="str">
        <f ca="1">IFERROR(__xludf.DUMMYFUNCTION("IFERROR(GOOGLETRANSLATE(B455,""en"",""zh-CN""),)"),"廉价服装")</f>
        <v>廉价服装</v>
      </c>
    </row>
    <row r="456" spans="1:5">
      <c r="A456" s="3" t="s">
        <v>2220</v>
      </c>
      <c r="B456" s="4" t="str">
        <f ca="1">IFERROR(__xludf.DUMMYFUNCTION("IFERROR(GOOGLETRANSLATE(A456,""ko"",""en""),)"),"large bag")</f>
        <v>large bag</v>
      </c>
      <c r="C456" s="4" t="str">
        <f ca="1">IFERROR(__xludf.DUMMYFUNCTION("IFERROR(GOOGLETRANSLATE(B456,""en"",""ja""),)"),"大きなバッグ")</f>
        <v>大きなバッグ</v>
      </c>
      <c r="D456" s="4" t="str">
        <f ca="1">IFERROR(__xludf.DUMMYFUNCTION("IFERROR(GOOGLETRANSLATE(B456,""en"",""zh-TW""),)"),"大包")</f>
        <v>大包</v>
      </c>
      <c r="E456" s="4" t="str">
        <f ca="1">IFERROR(__xludf.DUMMYFUNCTION("IFERROR(GOOGLETRANSLATE(B456,""en"",""zh-CN""),)"),"大包")</f>
        <v>大包</v>
      </c>
    </row>
    <row r="457" spans="1:5">
      <c r="A457" s="3" t="s">
        <v>2223</v>
      </c>
      <c r="B457" s="4" t="str">
        <f ca="1">IFERROR(__xludf.DUMMYFUNCTION("IFERROR(GOOGLETRANSLATE(A457,""ko"",""en""),)"),"difficult test")</f>
        <v>difficult test</v>
      </c>
      <c r="C457" s="4" t="str">
        <f ca="1">IFERROR(__xludf.DUMMYFUNCTION("IFERROR(GOOGLETRANSLATE(B457,""en"",""ja""),)"),"難しいテスト")</f>
        <v>難しいテスト</v>
      </c>
      <c r="D457" s="4" t="str">
        <f ca="1">IFERROR(__xludf.DUMMYFUNCTION("IFERROR(GOOGLETRANSLATE(B457,""en"",""zh-TW""),)"),"困難的測試")</f>
        <v>困難的測試</v>
      </c>
      <c r="E457" s="4" t="str">
        <f ca="1">IFERROR(__xludf.DUMMYFUNCTION("IFERROR(GOOGLETRANSLATE(B457,""en"",""zh-CN""),)"),"困难的测试")</f>
        <v>困难的测试</v>
      </c>
    </row>
    <row r="458" spans="1:5">
      <c r="A458" s="3" t="s">
        <v>2226</v>
      </c>
      <c r="B458" s="4" t="str">
        <f ca="1">IFERROR(__xludf.DUMMYFUNCTION("IFERROR(GOOGLETRANSLATE(A458,""ko"",""en""),)"),"short hair")</f>
        <v>short hair</v>
      </c>
      <c r="C458" s="4" t="str">
        <f ca="1">IFERROR(__xludf.DUMMYFUNCTION("IFERROR(GOOGLETRANSLATE(B458,""en"",""ja""),)"),"ショートヘア")</f>
        <v>ショートヘア</v>
      </c>
      <c r="D458" s="4" t="str">
        <f ca="1">IFERROR(__xludf.DUMMYFUNCTION("IFERROR(GOOGLETRANSLATE(B458,""en"",""zh-TW""),)"),"短髮")</f>
        <v>短髮</v>
      </c>
      <c r="E458" s="4" t="str">
        <f ca="1">IFERROR(__xludf.DUMMYFUNCTION("IFERROR(GOOGLETRANSLATE(B458,""en"",""zh-CN""),)"),"短发")</f>
        <v>短发</v>
      </c>
    </row>
    <row r="459" spans="1:5">
      <c r="A459" s="3" t="s">
        <v>2229</v>
      </c>
      <c r="B459" s="4" t="str">
        <f ca="1">IFERROR(__xludf.DUMMYFUNCTION("IFERROR(GOOGLETRANSLATE(A459,""ko"",""en""),)"),"Spicy kimchi")</f>
        <v>Spicy kimchi</v>
      </c>
      <c r="C459" s="4" t="str">
        <f ca="1">IFERROR(__xludf.DUMMYFUNCTION("IFERROR(GOOGLETRANSLATE(B459,""en"",""ja""),)"),"辛いキムチ")</f>
        <v>辛いキムチ</v>
      </c>
      <c r="D459" s="4" t="str">
        <f ca="1">IFERROR(__xludf.DUMMYFUNCTION("IFERROR(GOOGLETRANSLATE(B459,""en"",""zh-TW""),)"),"辣泡菜")</f>
        <v>辣泡菜</v>
      </c>
      <c r="E459" s="4" t="str">
        <f ca="1">IFERROR(__xludf.DUMMYFUNCTION("IFERROR(GOOGLETRANSLATE(B459,""en"",""zh-CN""),)"),"辣泡菜")</f>
        <v>辣泡菜</v>
      </c>
    </row>
    <row r="460" spans="1:5">
      <c r="A460" s="3" t="s">
        <v>2232</v>
      </c>
      <c r="B460" s="4" t="str">
        <f ca="1">IFERROR(__xludf.DUMMYFUNCTION("IFERROR(GOOGLETRANSLATE(A460,""ko"",""en""),)"),"cold winter")</f>
        <v>cold winter</v>
      </c>
      <c r="C460" s="4" t="str">
        <f ca="1">IFERROR(__xludf.DUMMYFUNCTION("IFERROR(GOOGLETRANSLATE(B460,""en"",""ja""),)"),"寒い冬")</f>
        <v>寒い冬</v>
      </c>
      <c r="D460" s="4" t="str">
        <f ca="1">IFERROR(__xludf.DUMMYFUNCTION("IFERROR(GOOGLETRANSLATE(B460,""en"",""zh-TW""),)"),"寒冷的冬天")</f>
        <v>寒冷的冬天</v>
      </c>
      <c r="E460" s="4" t="str">
        <f ca="1">IFERROR(__xludf.DUMMYFUNCTION("IFERROR(GOOGLETRANSLATE(B460,""en"",""zh-CN""),)"),"寒冷的冬天")</f>
        <v>寒冷的冬天</v>
      </c>
    </row>
    <row r="461" spans="1:5">
      <c r="A461" s="3" t="s">
        <v>2235</v>
      </c>
      <c r="B461" s="4" t="str">
        <f ca="1">IFERROR(__xludf.DUMMYFUNCTION("IFERROR(GOOGLETRANSLATE(A461,""ko"",""en""),)"),"Easy test")</f>
        <v>Easy test</v>
      </c>
      <c r="C461" s="4" t="str">
        <f ca="1">IFERROR(__xludf.DUMMYFUNCTION("IFERROR(GOOGLETRANSLATE(B461,""en"",""ja""),)"),"簡単なテスト")</f>
        <v>簡単なテスト</v>
      </c>
      <c r="D461" s="4" t="str">
        <f ca="1">IFERROR(__xludf.DUMMYFUNCTION("IFERROR(GOOGLETRANSLATE(B461,""en"",""zh-TW""),)"),"簡單測試")</f>
        <v>簡單測試</v>
      </c>
      <c r="E461" s="4" t="str">
        <f ca="1">IFERROR(__xludf.DUMMYFUNCTION("IFERROR(GOOGLETRANSLATE(B461,""en"",""zh-CN""),)"),"简单测试")</f>
        <v>简单测试</v>
      </c>
    </row>
    <row r="462" spans="1:5">
      <c r="A462" s="3" t="s">
        <v>2239</v>
      </c>
      <c r="B462" s="4" t="str">
        <f ca="1">IFERROR(__xludf.DUMMYFUNCTION("IFERROR(GOOGLETRANSLATE(A462,""ko"",""en""),)"),"difficult Korean")</f>
        <v>difficult Korean</v>
      </c>
      <c r="C462" s="4" t="str">
        <f ca="1">IFERROR(__xludf.DUMMYFUNCTION("IFERROR(GOOGLETRANSLATE(B462,""en"",""ja""),)"),"難しい韓国語")</f>
        <v>難しい韓国語</v>
      </c>
      <c r="D462" s="4" t="str">
        <f ca="1">IFERROR(__xludf.DUMMYFUNCTION("IFERROR(GOOGLETRANSLATE(B462,""en"",""zh-TW""),)"),"困難的韓語")</f>
        <v>困難的韓語</v>
      </c>
      <c r="E462" s="4" t="str">
        <f ca="1">IFERROR(__xludf.DUMMYFUNCTION("IFERROR(GOOGLETRANSLATE(B462,""en"",""zh-CN""),)"),"困难的韩语")</f>
        <v>困难的韩语</v>
      </c>
    </row>
    <row r="463" spans="1:5">
      <c r="A463" s="5" t="s">
        <v>2241</v>
      </c>
      <c r="B463" s="4" t="str">
        <f ca="1">IFERROR(__xludf.DUMMYFUNCTION("IFERROR(GOOGLETRANSLATE(A463,""ko"",""en""),)"),"Welcome guest")</f>
        <v>Welcome guest</v>
      </c>
      <c r="C463" s="4" t="str">
        <f ca="1">IFERROR(__xludf.DUMMYFUNCTION("IFERROR(GOOGLETRANSLATE(B463,""en"",""ja""),)"),"ようこそ、お客様。")</f>
        <v>ようこそ、お客様。</v>
      </c>
      <c r="D463" s="4" t="str">
        <f ca="1">IFERROR(__xludf.DUMMYFUNCTION("IFERROR(GOOGLETRANSLATE(B463,""en"",""zh-TW""),)"),"歡迎各位賓客")</f>
        <v>歡迎各位賓客</v>
      </c>
      <c r="E463" s="4" t="str">
        <f ca="1">IFERROR(__xludf.DUMMYFUNCTION("IFERROR(GOOGLETRANSLATE(B463,""en"",""zh-CN""),)"),"欢迎各位宾客")</f>
        <v>欢迎各位宾客</v>
      </c>
    </row>
    <row r="464" spans="1:5">
      <c r="A464" s="3" t="s">
        <v>2244</v>
      </c>
      <c r="B464" s="4" t="str">
        <f ca="1">IFERROR(__xludf.DUMMYFUNCTION("IFERROR(GOOGLETRANSLATE(A464,""ko"",""en""),)"),"hot summer")</f>
        <v>hot summer</v>
      </c>
      <c r="C464" s="4" t="str">
        <f ca="1">IFERROR(__xludf.DUMMYFUNCTION("IFERROR(GOOGLETRANSLATE(B464,""en"",""ja""),)"),"暑い夏")</f>
        <v>暑い夏</v>
      </c>
      <c r="D464" s="4" t="str">
        <f ca="1">IFERROR(__xludf.DUMMYFUNCTION("IFERROR(GOOGLETRANSLATE(B464,""en"",""zh-TW""),)"),"炎熱的夏天")</f>
        <v>炎熱的夏天</v>
      </c>
      <c r="E464" s="4" t="str">
        <f ca="1">IFERROR(__xludf.DUMMYFUNCTION("IFERROR(GOOGLETRANSLATE(B464,""en"",""zh-CN""),)"),"炎热的夏天")</f>
        <v>炎热的夏天</v>
      </c>
    </row>
    <row r="465" spans="1:5">
      <c r="A465" s="5" t="s">
        <v>2247</v>
      </c>
      <c r="B465" s="4" t="str">
        <f ca="1">IFERROR(__xludf.DUMMYFUNCTION("IFERROR(GOOGLETRANSLATE(A465,""ko"",""en""),)"),"Loud song")</f>
        <v>Loud song</v>
      </c>
      <c r="C465" s="4" t="str">
        <f ca="1">IFERROR(__xludf.DUMMYFUNCTION("IFERROR(GOOGLETRANSLATE(B465,""en"",""ja""),)"),"大声で歌う")</f>
        <v>大声で歌う</v>
      </c>
      <c r="D465" s="4" t="str">
        <f ca="1">IFERROR(__xludf.DUMMYFUNCTION("IFERROR(GOOGLETRANSLATE(B465,""en"",""zh-TW""),)"),"大聲唱歌")</f>
        <v>大聲唱歌</v>
      </c>
      <c r="E465" s="4" t="str">
        <f ca="1">IFERROR(__xludf.DUMMYFUNCTION("IFERROR(GOOGLETRANSLATE(B465,""en"",""zh-CN""),)"),"大声唱歌")</f>
        <v>大声唱歌</v>
      </c>
    </row>
    <row r="466" spans="1:5">
      <c r="A466" s="5" t="s">
        <v>2250</v>
      </c>
      <c r="B466" s="4" t="str">
        <f ca="1">IFERROR(__xludf.DUMMYFUNCTION("IFERROR(GOOGLETRANSLATE(A466,""ko"",""en""),)"),"Cute doll")</f>
        <v>Cute doll</v>
      </c>
      <c r="C466" s="4" t="str">
        <f ca="1">IFERROR(__xludf.DUMMYFUNCTION("IFERROR(GOOGLETRANSLATE(B466,""en"",""ja""),)"),"かわいい人形")</f>
        <v>かわいい人形</v>
      </c>
      <c r="D466" s="4" t="str">
        <f ca="1">IFERROR(__xludf.DUMMYFUNCTION("IFERROR(GOOGLETRANSLATE(B466,""en"",""zh-TW""),)"),"可愛的娃娃")</f>
        <v>可愛的娃娃</v>
      </c>
      <c r="E466" s="4" t="str">
        <f ca="1">IFERROR(__xludf.DUMMYFUNCTION("IFERROR(GOOGLETRANSLATE(B466,""en"",""zh-CN""),)"),"可爱的娃娃")</f>
        <v>可爱的娃娃</v>
      </c>
    </row>
    <row r="467" spans="1:5">
      <c r="A467" s="3" t="s">
        <v>2253</v>
      </c>
      <c r="B467" s="4" t="str">
        <f ca="1">IFERROR(__xludf.DUMMYFUNCTION("IFERROR(GOOGLETRANSLATE(A467,""ko"",""en""),)"),"distance")</f>
        <v>distance</v>
      </c>
      <c r="C467" s="4" t="str">
        <f ca="1">IFERROR(__xludf.DUMMYFUNCTION("IFERROR(GOOGLETRANSLATE(B467,""en"",""ja""),)"),"距離")</f>
        <v>距離</v>
      </c>
      <c r="D467" s="4" t="str">
        <f ca="1">IFERROR(__xludf.DUMMYFUNCTION("IFERROR(GOOGLETRANSLATE(B467,""en"",""zh-TW""),)"),"距離")</f>
        <v>距離</v>
      </c>
      <c r="E467" s="4" t="str">
        <f ca="1">IFERROR(__xludf.DUMMYFUNCTION("IFERROR(GOOGLETRANSLATE(B467,""en"",""zh-CN""),)"),"距离")</f>
        <v>距离</v>
      </c>
    </row>
    <row r="468" spans="1:5">
      <c r="A468" s="3" t="s">
        <v>2256</v>
      </c>
      <c r="B468" s="4" t="str">
        <f ca="1">IFERROR(__xludf.DUMMYFUNCTION("IFERROR(GOOGLETRANSLATE(A468,""ko"",""en""),)"),"long hair")</f>
        <v>long hair</v>
      </c>
      <c r="C468" s="4" t="str">
        <f ca="1">IFERROR(__xludf.DUMMYFUNCTION("IFERROR(GOOGLETRANSLATE(B468,""en"",""ja""),)"),"長い髪")</f>
        <v>長い髪</v>
      </c>
      <c r="D468" s="4" t="str">
        <f ca="1">IFERROR(__xludf.DUMMYFUNCTION("IFERROR(GOOGLETRANSLATE(B468,""en"",""zh-TW""),)"),"長髮")</f>
        <v>長髮</v>
      </c>
      <c r="E468" s="4" t="str">
        <f ca="1">IFERROR(__xludf.DUMMYFUNCTION("IFERROR(GOOGLETRANSLATE(B468,""en"",""zh-CN""),)"),"长发")</f>
        <v>长发</v>
      </c>
    </row>
    <row r="469" spans="1:5">
      <c r="A469" s="5" t="s">
        <v>2257</v>
      </c>
      <c r="B469" s="4" t="str">
        <f ca="1">IFERROR(__xludf.DUMMYFUNCTION("IFERROR(GOOGLETRANSLATE(A469,""ko"",""en""),)"),"A fun movie")</f>
        <v>A fun movie</v>
      </c>
      <c r="C469" s="4" t="str">
        <f ca="1">IFERROR(__xludf.DUMMYFUNCTION("IFERROR(GOOGLETRANSLATE(B469,""en"",""ja""),)"),"楽しい映画")</f>
        <v>楽しい映画</v>
      </c>
      <c r="D469" s="4" t="str">
        <f ca="1">IFERROR(__xludf.DUMMYFUNCTION("IFERROR(GOOGLETRANSLATE(B469,""en"",""zh-TW""),)"),"一部有趣的電影")</f>
        <v>一部有趣的電影</v>
      </c>
      <c r="E469" s="4" t="str">
        <f ca="1">IFERROR(__xludf.DUMMYFUNCTION("IFERROR(GOOGLETRANSLATE(B469,""en"",""zh-CN""),)"),"一部有趣的电影")</f>
        <v>一部有趣的电影</v>
      </c>
    </row>
    <row r="470" spans="1:5">
      <c r="A470" s="5" t="s">
        <v>2260</v>
      </c>
      <c r="B470" s="4" t="str">
        <f ca="1">IFERROR(__xludf.DUMMYFUNCTION("IFERROR(GOOGLETRANSLATE(A470,""ko"",""en""),)"),"Tasteless pizza")</f>
        <v>Tasteless pizza</v>
      </c>
      <c r="C470" s="4" t="str">
        <f ca="1">IFERROR(__xludf.DUMMYFUNCTION("IFERROR(GOOGLETRANSLATE(B470,""en"",""ja""),)"),"味のないピザ")</f>
        <v>味のないピザ</v>
      </c>
      <c r="D470" s="4" t="str">
        <f ca="1">IFERROR(__xludf.DUMMYFUNCTION("IFERROR(GOOGLETRANSLATE(B470,""en"",""zh-TW""),)"),"難吃的披薩")</f>
        <v>難吃的披薩</v>
      </c>
      <c r="E470" s="4" t="str">
        <f ca="1">IFERROR(__xludf.DUMMYFUNCTION("IFERROR(GOOGLETRANSLATE(B470,""en"",""zh-CN""),)"),"难吃的披萨")</f>
        <v>难吃的披萨</v>
      </c>
    </row>
    <row r="471" spans="1:5">
      <c r="A471" s="3" t="s">
        <v>2262</v>
      </c>
      <c r="B471" s="4" t="str">
        <f ca="1">IFERROR(__xludf.DUMMYFUNCTION("IFERROR(GOOGLETRANSLATE(A471,""ko"",""en""),)"),"low")</f>
        <v>low</v>
      </c>
      <c r="C471" s="4" t="str">
        <f ca="1">IFERROR(__xludf.DUMMYFUNCTION("IFERROR(GOOGLETRANSLATE(B471,""en"",""ja""),)"),"低い")</f>
        <v>低い</v>
      </c>
      <c r="D471" s="4" t="str">
        <f ca="1">IFERROR(__xludf.DUMMYFUNCTION("IFERROR(GOOGLETRANSLATE(B471,""en"",""zh-TW""),)"),"低的")</f>
        <v>低的</v>
      </c>
      <c r="E471" s="4" t="str">
        <f ca="1">IFERROR(__xludf.DUMMYFUNCTION("IFERROR(GOOGLETRANSLATE(B471,""en"",""zh-CN""),)"),"低的")</f>
        <v>低的</v>
      </c>
    </row>
    <row r="472" spans="1:5">
      <c r="A472" s="5" t="s">
        <v>2265</v>
      </c>
      <c r="B472" s="4" t="str">
        <f ca="1">IFERROR(__xludf.DUMMYFUNCTION("IFERROR(GOOGLETRANSLATE(A472,""ko"",""en""),)"),"wide")</f>
        <v>wide</v>
      </c>
      <c r="C472" s="4" t="str">
        <f ca="1">IFERROR(__xludf.DUMMYFUNCTION("IFERROR(GOOGLETRANSLATE(B472,""en"",""ja""),)"),"広い")</f>
        <v>広い</v>
      </c>
      <c r="D472" s="4" t="str">
        <f ca="1">IFERROR(__xludf.DUMMYFUNCTION("IFERROR(GOOGLETRANSLATE(B472,""en"",""zh-TW""),)"),"寬的")</f>
        <v>寬的</v>
      </c>
      <c r="E472" s="4" t="str">
        <f ca="1">IFERROR(__xludf.DUMMYFUNCTION("IFERROR(GOOGLETRANSLATE(B472,""en"",""zh-CN""),)"),"宽的")</f>
        <v>宽的</v>
      </c>
    </row>
    <row r="473" spans="1:5">
      <c r="A473" s="3" t="s">
        <v>2267</v>
      </c>
      <c r="B473" s="4" t="str">
        <f ca="1">IFERROR(__xludf.DUMMYFUNCTION("IFERROR(GOOGLETRANSLATE(A473,""ko"",""en""),)"),"small")</f>
        <v>small</v>
      </c>
      <c r="C473" s="4" t="str">
        <f ca="1">IFERROR(__xludf.DUMMYFUNCTION("IFERROR(GOOGLETRANSLATE(B473,""en"",""ja""),)"),"小さい")</f>
        <v>小さい</v>
      </c>
      <c r="D473" s="4" t="str">
        <f ca="1">IFERROR(__xludf.DUMMYFUNCTION("IFERROR(GOOGLETRANSLATE(B473,""en"",""zh-TW""),)"),"小的")</f>
        <v>小的</v>
      </c>
      <c r="E473" s="4" t="str">
        <f ca="1">IFERROR(__xludf.DUMMYFUNCTION("IFERROR(GOOGLETRANSLATE(B473,""en"",""zh-CN""),)"),"小的")</f>
        <v>小的</v>
      </c>
    </row>
    <row r="474" spans="1:5">
      <c r="A474" s="3" t="s">
        <v>2270</v>
      </c>
      <c r="B474" s="4" t="s">
        <v>2271</v>
      </c>
      <c r="C474" s="4" t="str">
        <f ca="1">IFERROR(__xludf.DUMMYFUNCTION("IFERROR(GOOGLETRANSLATE(B474,""en"",""ja""),)"),"辛い")</f>
        <v>辛い</v>
      </c>
      <c r="D474" s="4" t="str">
        <f ca="1">IFERROR(__xludf.DUMMYFUNCTION("IFERROR(GOOGLETRANSLATE(B474,""en"",""zh-TW""),)"),"辛辣的")</f>
        <v>辛辣的</v>
      </c>
      <c r="E474" s="4" t="str">
        <f ca="1">IFERROR(__xludf.DUMMYFUNCTION("IFERROR(GOOGLETRANSLATE(B474,""en"",""zh-CN""),)"),"辛辣的")</f>
        <v>辛辣的</v>
      </c>
    </row>
    <row r="475" spans="1:5">
      <c r="A475" s="3" t="s">
        <v>2274</v>
      </c>
      <c r="B475" s="4" t="str">
        <f ca="1">IFERROR(__xludf.DUMMYFUNCTION("IFERROR(GOOGLETRANSLATE(A475,""ko"",""en""),)"),"delicious")</f>
        <v>delicious</v>
      </c>
      <c r="C475" s="4" t="str">
        <f ca="1">IFERROR(__xludf.DUMMYFUNCTION("IFERROR(GOOGLETRANSLATE(B475,""en"",""ja""),)"),"美味しい")</f>
        <v>美味しい</v>
      </c>
      <c r="D475" s="4" t="str">
        <f ca="1">IFERROR(__xludf.DUMMYFUNCTION("IFERROR(GOOGLETRANSLATE(B475,""en"",""zh-TW""),)"),"可口的")</f>
        <v>可口的</v>
      </c>
      <c r="E475" s="4" t="str">
        <f ca="1">IFERROR(__xludf.DUMMYFUNCTION("IFERROR(GOOGLETRANSLATE(B475,""en"",""zh-CN""),)"),"可口的")</f>
        <v>可口的</v>
      </c>
    </row>
    <row r="476" spans="1:5">
      <c r="A476" s="3" t="s">
        <v>2276</v>
      </c>
      <c r="B476" s="4" t="str">
        <f ca="1">IFERROR(__xludf.DUMMYFUNCTION("IFERROR(GOOGLETRANSLATE(A476,""ko"",""en""),)"),"cheap")</f>
        <v>cheap</v>
      </c>
      <c r="C476" s="4" t="str">
        <f ca="1">IFERROR(__xludf.DUMMYFUNCTION("IFERROR(GOOGLETRANSLATE(B476,""en"",""ja""),)"),"安い")</f>
        <v>安い</v>
      </c>
      <c r="D476" s="4" t="str">
        <f ca="1">IFERROR(__xludf.DUMMYFUNCTION("IFERROR(GOOGLETRANSLATE(B476,""en"",""zh-TW""),)"),"便宜的")</f>
        <v>便宜的</v>
      </c>
      <c r="E476" s="4" t="str">
        <f ca="1">IFERROR(__xludf.DUMMYFUNCTION("IFERROR(GOOGLETRANSLATE(B476,""en"",""zh-CN""),)"),"便宜的")</f>
        <v>便宜的</v>
      </c>
    </row>
    <row r="477" spans="1:5">
      <c r="A477" s="3" t="s">
        <v>2280</v>
      </c>
      <c r="B477" s="4" t="str">
        <f ca="1">IFERROR(__xludf.DUMMYFUNCTION("IFERROR(GOOGLETRANSLATE(A477,""ko"",""en""),)"),"big")</f>
        <v>big</v>
      </c>
      <c r="C477" s="4" t="str">
        <f ca="1">IFERROR(__xludf.DUMMYFUNCTION("IFERROR(GOOGLETRANSLATE(B477,""en"",""ja""),)"),"大きい")</f>
        <v>大きい</v>
      </c>
      <c r="D477" s="4" t="str">
        <f ca="1">IFERROR(__xludf.DUMMYFUNCTION("IFERROR(GOOGLETRANSLATE(B477,""en"",""zh-TW""),)"),"大的")</f>
        <v>大的</v>
      </c>
      <c r="E477" s="4" t="str">
        <f ca="1">IFERROR(__xludf.DUMMYFUNCTION("IFERROR(GOOGLETRANSLATE(B477,""en"",""zh-CN""),)"),"大的")</f>
        <v>大的</v>
      </c>
    </row>
    <row r="478" spans="1:5">
      <c r="A478" s="3" t="s">
        <v>2283</v>
      </c>
      <c r="B478" s="4" t="str">
        <f ca="1">IFERROR(__xludf.DUMMYFUNCTION("IFERROR(GOOGLETRANSLATE(A478,""ko"",""en""),)"),"expensive")</f>
        <v>expensive</v>
      </c>
      <c r="C478" s="4" t="str">
        <f ca="1">IFERROR(__xludf.DUMMYFUNCTION("IFERROR(GOOGLETRANSLATE(B478,""en"",""ja""),)"),"高い")</f>
        <v>高い</v>
      </c>
      <c r="D478" s="4" t="str">
        <f ca="1">IFERROR(__xludf.DUMMYFUNCTION("IFERROR(GOOGLETRANSLATE(B478,""en"",""zh-TW""),)"),"昂貴的")</f>
        <v>昂貴的</v>
      </c>
      <c r="E478" s="4" t="str">
        <f ca="1">IFERROR(__xludf.DUMMYFUNCTION("IFERROR(GOOGLETRANSLATE(B478,""en"",""zh-CN""),)"),"昂贵的")</f>
        <v>昂贵的</v>
      </c>
    </row>
    <row r="479" spans="1:5">
      <c r="A479" s="3" t="s">
        <v>2286</v>
      </c>
      <c r="B479" s="4" t="s">
        <v>2287</v>
      </c>
      <c r="C479" s="4" t="str">
        <f ca="1">IFERROR(__xludf.DUMMYFUNCTION("IFERROR(GOOGLETRANSLATE(B479,""en"",""ja""),)"),"快適")</f>
        <v>快適</v>
      </c>
      <c r="D479" s="4" t="str">
        <f ca="1">IFERROR(__xludf.DUMMYFUNCTION("IFERROR(GOOGLETRANSLATE(B479,""en"",""zh-TW""),)"),"舒服的")</f>
        <v>舒服的</v>
      </c>
      <c r="E479" s="4" t="str">
        <f ca="1">IFERROR(__xludf.DUMMYFUNCTION("IFERROR(GOOGLETRANSLATE(B479,""en"",""zh-CN""),)"),"舒服的")</f>
        <v>舒服的</v>
      </c>
    </row>
    <row r="480" spans="1:5">
      <c r="A480" s="3" t="s">
        <v>2289</v>
      </c>
      <c r="B480" s="4" t="str">
        <f ca="1">IFERROR(__xludf.DUMMYFUNCTION("IFERROR(GOOGLETRANSLATE(A480,""ko"",""en""),)"),"long")</f>
        <v>long</v>
      </c>
      <c r="C480" s="4" t="str">
        <f ca="1">IFERROR(__xludf.DUMMYFUNCTION("IFERROR(GOOGLETRANSLATE(B480,""en"",""ja""),)"),"長さ")</f>
        <v>長さ</v>
      </c>
      <c r="D480" s="4" t="str">
        <f ca="1">IFERROR(__xludf.DUMMYFUNCTION("IFERROR(GOOGLETRANSLATE(B480,""en"",""zh-TW""),)"),"長的")</f>
        <v>長的</v>
      </c>
      <c r="E480" s="4" t="str">
        <f ca="1">IFERROR(__xludf.DUMMYFUNCTION("IFERROR(GOOGLETRANSLATE(B480,""en"",""zh-CN""),)"),"长的")</f>
        <v>长的</v>
      </c>
    </row>
    <row r="481" spans="1:5">
      <c r="A481" s="3" t="s">
        <v>2292</v>
      </c>
      <c r="B481" s="4" t="str">
        <f ca="1">IFERROR(__xludf.DUMMYFUNCTION("IFERROR(GOOGLETRANSLATE(A481,""ko"",""en""),)"),"Suzy bought a very big bag.")</f>
        <v>Suzy bought a very big bag.</v>
      </c>
      <c r="C481" s="4" t="str">
        <f ca="1">IFERROR(__xludf.DUMMYFUNCTION("IFERROR(GOOGLETRANSLATE(B481,""en"",""ja""),)"),"スージーはとても大きなバッグを買った。")</f>
        <v>スージーはとても大きなバッグを買った。</v>
      </c>
      <c r="D481" s="4" t="str">
        <f ca="1">IFERROR(__xludf.DUMMYFUNCTION("IFERROR(GOOGLETRANSLATE(B481,""en"",""zh-TW""),)"),"蘇西買了一個很大的包包。")</f>
        <v>蘇西買了一個很大的包包。</v>
      </c>
      <c r="E481" s="4" t="str">
        <f ca="1">IFERROR(__xludf.DUMMYFUNCTION("IFERROR(GOOGLETRANSLATE(B481,""en"",""zh-CN""),)"),"苏西买了一个很大的包。")</f>
        <v>苏西买了一个很大的包。</v>
      </c>
    </row>
    <row r="482" spans="1:5">
      <c r="A482" s="3" t="s">
        <v>2294</v>
      </c>
      <c r="B482" s="4" t="str">
        <f ca="1">IFERROR(__xludf.DUMMYFUNCTION("IFERROR(GOOGLETRANSLATE(A482,""ko"",""en""),)"),"Marie wore a pretty T-shirt.")</f>
        <v>Marie wore a pretty T-shirt.</v>
      </c>
      <c r="C482" s="4" t="str">
        <f ca="1">IFERROR(__xludf.DUMMYFUNCTION("IFERROR(GOOGLETRANSLATE(B482,""en"",""ja""),)"),"マリーは可愛いTシャツを着ていた。")</f>
        <v>マリーは可愛いTシャツを着ていた。</v>
      </c>
      <c r="D482" s="4" t="str">
        <f ca="1">IFERROR(__xludf.DUMMYFUNCTION("IFERROR(GOOGLETRANSLATE(B482,""en"",""zh-TW""),)"),"瑪莉穿了一件漂亮的T卹。")</f>
        <v>瑪莉穿了一件漂亮的T卹。</v>
      </c>
      <c r="E482" s="4" t="str">
        <f ca="1">IFERROR(__xludf.DUMMYFUNCTION("IFERROR(GOOGLETRANSLATE(B482,""en"",""zh-CN""),)"),"玛丽穿了一件漂亮的T恤。")</f>
        <v>玛丽穿了一件漂亮的T恤。</v>
      </c>
    </row>
    <row r="483" spans="1:5">
      <c r="A483" s="3" t="s">
        <v>2296</v>
      </c>
      <c r="B483" s="4" t="s">
        <v>2297</v>
      </c>
      <c r="C483" s="4" t="str">
        <f ca="1">IFERROR(__xludf.DUMMYFUNCTION("IFERROR(GOOGLETRANSLATE(B483,""en"",""ja""),)"),"アンナは温かいコーヒーを飲む。")</f>
        <v>アンナは温かいコーヒーを飲む。</v>
      </c>
      <c r="D483" s="4" t="str">
        <f ca="1">IFERROR(__xludf.DUMMYFUNCTION("IFERROR(GOOGLETRANSLATE(B483,""en"",""zh-TW""),)"),"安娜喝著熱咖啡。")</f>
        <v>安娜喝著熱咖啡。</v>
      </c>
      <c r="E483" s="4" t="str">
        <f ca="1">IFERROR(__xludf.DUMMYFUNCTION("IFERROR(GOOGLETRANSLATE(B483,""en"",""zh-CN""),)"),"安娜喝着热咖啡。")</f>
        <v>安娜喝着热咖啡。</v>
      </c>
    </row>
    <row r="484" spans="1:5">
      <c r="A484" s="3" t="s">
        <v>2300</v>
      </c>
      <c r="B484" s="4" t="str">
        <f ca="1">IFERROR(__xludf.DUMMYFUNCTION("IFERROR(GOOGLETRANSLATE(A484,""ko"",""en""),)"),"Jaemin sat in an uncomfortable chair.")</f>
        <v>Jaemin sat in an uncomfortable chair.</v>
      </c>
      <c r="C484" s="4" t="str">
        <f ca="1">IFERROR(__xludf.DUMMYFUNCTION("IFERROR(GOOGLETRANSLATE(B484,""en"",""ja""),)"),"ジェミンは座り心地の悪い椅子に座っていた。")</f>
        <v>ジェミンは座り心地の悪い椅子に座っていた。</v>
      </c>
      <c r="D484" s="4" t="str">
        <f ca="1">IFERROR(__xludf.DUMMYFUNCTION("IFERROR(GOOGLETRANSLATE(B484,""en"",""zh-TW""),)"),"渽民坐在一張不舒服的椅子上。")</f>
        <v>渽民坐在一張不舒服的椅子上。</v>
      </c>
      <c r="E484" s="4" t="str">
        <f ca="1">IFERROR(__xludf.DUMMYFUNCTION("IFERROR(GOOGLETRANSLATE(B484,""en"",""zh-CN""),)"),"渽民坐在一张不舒服的椅子上。")</f>
        <v>渽民坐在一张不舒服的椅子上。</v>
      </c>
    </row>
    <row r="485" spans="1:5">
      <c r="A485" s="3" t="s">
        <v>2304</v>
      </c>
      <c r="B485" s="4" t="str">
        <f ca="1">IFERROR(__xludf.DUMMYFUNCTION("IFERROR(GOOGLETRANSLATE(A485,""ko"",""en""),)"),"Juno is eating a delicious apple.")</f>
        <v>Juno is eating a delicious apple.</v>
      </c>
      <c r="C485" s="4" t="str">
        <f ca="1">IFERROR(__xludf.DUMMYFUNCTION("IFERROR(GOOGLETRANSLATE(B485,""en"",""ja""),)"),"ジュノはおいしいリンゴを食べている。")</f>
        <v>ジュノはおいしいリンゴを食べている。</v>
      </c>
      <c r="D485" s="4" t="str">
        <f ca="1">IFERROR(__xludf.DUMMYFUNCTION("IFERROR(GOOGLETRANSLATE(B485,""en"",""zh-TW""),)"),"朱諾正在吃一個美味的蘋果。")</f>
        <v>朱諾正在吃一個美味的蘋果。</v>
      </c>
      <c r="E485" s="4" t="str">
        <f ca="1">IFERROR(__xludf.DUMMYFUNCTION("IFERROR(GOOGLETRANSLATE(B485,""en"",""zh-CN""),)"),"朱诺正在吃一个美味的苹果。")</f>
        <v>朱诺正在吃一个美味的苹果。</v>
      </c>
    </row>
    <row r="486" spans="1:5">
      <c r="A486" s="3" t="s">
        <v>2306</v>
      </c>
      <c r="B486" s="4" t="str">
        <f ca="1">IFERROR(__xludf.DUMMYFUNCTION("IFERROR(GOOGLETRANSLATE(A486,""ko"",""en""),)"),"Jaemin likes cool weather.")</f>
        <v>Jaemin likes cool weather.</v>
      </c>
      <c r="C486" s="4" t="str">
        <f ca="1">IFERROR(__xludf.DUMMYFUNCTION("IFERROR(GOOGLETRANSLATE(B486,""en"",""ja""),)"),"ジェミンは涼しい気候が好きだ。")</f>
        <v>ジェミンは涼しい気候が好きだ。</v>
      </c>
      <c r="D486" s="4" t="str">
        <f ca="1">IFERROR(__xludf.DUMMYFUNCTION("IFERROR(GOOGLETRANSLATE(B486,""en"",""zh-TW""),)"),"渽民喜歡涼爽的天氣。")</f>
        <v>渽民喜歡涼爽的天氣。</v>
      </c>
      <c r="E486" s="4" t="str">
        <f ca="1">IFERROR(__xludf.DUMMYFUNCTION("IFERROR(GOOGLETRANSLATE(B486,""en"",""zh-CN""),)"),"渽民喜欢凉爽的天气。")</f>
        <v>渽民喜欢凉爽的天气。</v>
      </c>
    </row>
    <row r="487" spans="1:5">
      <c r="A487" s="3" t="s">
        <v>2308</v>
      </c>
      <c r="B487" s="4" t="str">
        <f ca="1">IFERROR(__xludf.DUMMYFUNCTION("IFERROR(GOOGLETRANSLATE(A487,""ko"",""en""),)"),"Seoul is the largest city in Korea.")</f>
        <v>Seoul is the largest city in Korea.</v>
      </c>
      <c r="C487" s="4" t="str">
        <f ca="1">IFERROR(__xludf.DUMMYFUNCTION("IFERROR(GOOGLETRANSLATE(B487,""en"",""ja""),)"),"ソウルは韓国最大の都市です。")</f>
        <v>ソウルは韓国最大の都市です。</v>
      </c>
      <c r="D487" s="4" t="str">
        <f ca="1">IFERROR(__xludf.DUMMYFUNCTION("IFERROR(GOOGLETRANSLATE(B487,""en"",""zh-TW""),)"),"首爾是韓國最大的城市。")</f>
        <v>首爾是韓國最大的城市。</v>
      </c>
      <c r="E487" s="4" t="str">
        <f ca="1">IFERROR(__xludf.DUMMYFUNCTION("IFERROR(GOOGLETRANSLATE(B487,""en"",""zh-CN""),)"),"首尔是韩国最大的城市。")</f>
        <v>首尔是韩国最大的城市。</v>
      </c>
    </row>
    <row r="488" spans="1:5">
      <c r="A488" s="3" t="s">
        <v>2311</v>
      </c>
      <c r="B488" s="4" t="str">
        <f ca="1">IFERROR(__xludf.DUMMYFUNCTION("IFERROR(GOOGLETRANSLATE(A488,""ko"",""en""),)"),"Hallasan is a high mountain.")</f>
        <v>Hallasan is a high mountain.</v>
      </c>
      <c r="C488" s="4" t="str">
        <f ca="1">IFERROR(__xludf.DUMMYFUNCTION("IFERROR(GOOGLETRANSLATE(B488,""en"",""ja""),)"),"漢拏山は高い山です。")</f>
        <v>漢拏山は高い山です。</v>
      </c>
      <c r="D488" s="4" t="str">
        <f ca="1">IFERROR(__xludf.DUMMYFUNCTION("IFERROR(GOOGLETRANSLATE(B488,""en"",""zh-TW""),)"),"漢拿山是一座高山。")</f>
        <v>漢拿山是一座高山。</v>
      </c>
      <c r="E488" s="4" t="str">
        <f ca="1">IFERROR(__xludf.DUMMYFUNCTION("IFERROR(GOOGLETRANSLATE(B488,""en"",""zh-CN""),)"),"汉拿山是一座高山。")</f>
        <v>汉拿山是一座高山。</v>
      </c>
    </row>
    <row r="489" spans="1:5">
      <c r="A489" s="3" t="s">
        <v>2313</v>
      </c>
      <c r="B489" s="4" t="str">
        <f ca="1">IFERROR(__xludf.DUMMYFUNCTION("IFERROR(GOOGLETRANSLATE(A489,""ko"",""en""),)"),"Bulgogi is a delicious Korean food.")</f>
        <v>Bulgogi is a delicious Korean food.</v>
      </c>
      <c r="C489" s="4" t="str">
        <f ca="1">IFERROR(__xludf.DUMMYFUNCTION("IFERROR(GOOGLETRANSLATE(B489,""en"",""ja""),)"),"プルコギは美味しい韓国料理です。")</f>
        <v>プルコギは美味しい韓国料理です。</v>
      </c>
      <c r="D489" s="4" t="str">
        <f ca="1">IFERROR(__xludf.DUMMYFUNCTION("IFERROR(GOOGLETRANSLATE(B489,""en"",""zh-TW""),)"),"烤肉是韓國的美味食物。")</f>
        <v>烤肉是韓國的美味食物。</v>
      </c>
      <c r="E489" s="4" t="str">
        <f ca="1">IFERROR(__xludf.DUMMYFUNCTION("IFERROR(GOOGLETRANSLATE(B489,""en"",""zh-CN""),)"),"烤肉是韩国的一种美味食物。")</f>
        <v>烤肉是韩国的一种美味食物。</v>
      </c>
    </row>
    <row r="490" spans="1:5">
      <c r="A490" s="3" t="s">
        <v>2316</v>
      </c>
      <c r="B490" s="4" t="str">
        <f ca="1">IFERROR(__xludf.DUMMYFUNCTION("IFERROR(GOOGLETRANSLATE(A490,""ko"",""en""),)"),"Anna wants to watch a fun movie.")</f>
        <v>Anna wants to watch a fun movie.</v>
      </c>
      <c r="C490" s="4" t="str">
        <f ca="1">IFERROR(__xludf.DUMMYFUNCTION("IFERROR(GOOGLETRANSLATE(B490,""en"",""ja""),)"),"アンナは楽しい映画を見たいと思っています。")</f>
        <v>アンナは楽しい映画を見たいと思っています。</v>
      </c>
      <c r="D490" s="4" t="str">
        <f ca="1">IFERROR(__xludf.DUMMYFUNCTION("IFERROR(GOOGLETRANSLATE(B490,""en"",""zh-TW""),)"),"安娜想看一部輕鬆有趣的電影。")</f>
        <v>安娜想看一部輕鬆有趣的電影。</v>
      </c>
      <c r="E490" s="4" t="str">
        <f ca="1">IFERROR(__xludf.DUMMYFUNCTION("IFERROR(GOOGLETRANSLATE(B490,""en"",""zh-CN""),)"),"安娜想看一部轻松有趣的电影。")</f>
        <v>安娜想看一部轻松有趣的电影。</v>
      </c>
    </row>
    <row r="491" spans="1:5">
      <c r="A491" s="3" t="s">
        <v>2319</v>
      </c>
      <c r="B491" s="4" t="str">
        <f ca="1">IFERROR(__xludf.DUMMYFUNCTION("IFERROR(GOOGLETRANSLATE(A491,""ko"",""en""),)"),"Do you have a big bag?")</f>
        <v>Do you have a big bag?</v>
      </c>
      <c r="C491" s="4" t="str">
        <f ca="1">IFERROR(__xludf.DUMMYFUNCTION("IFERROR(GOOGLETRANSLATE(B491,""en"",""ja""),)"),"大きなバッグをお持ちですか？")</f>
        <v>大きなバッグをお持ちですか？</v>
      </c>
      <c r="D491" s="4" t="str">
        <f ca="1">IFERROR(__xludf.DUMMYFUNCTION("IFERROR(GOOGLETRANSLATE(B491,""en"",""zh-TW""),)"),"你有大包嗎？")</f>
        <v>你有大包嗎？</v>
      </c>
      <c r="E491" s="4" t="str">
        <f ca="1">IFERROR(__xludf.DUMMYFUNCTION("IFERROR(GOOGLETRANSLATE(B491,""en"",""zh-CN""),)"),"你有大包吗？")</f>
        <v>你有大包吗？</v>
      </c>
    </row>
    <row r="492" spans="1:5">
      <c r="A492" s="3" t="s">
        <v>2323</v>
      </c>
      <c r="B492" s="4" t="str">
        <f ca="1">IFERROR(__xludf.DUMMYFUNCTION("IFERROR(GOOGLETRANSLATE(A492,""ko"",""en""),)"),"Yes, here it is.")</f>
        <v>Yes, here it is.</v>
      </c>
      <c r="C492" s="4" t="str">
        <f ca="1">IFERROR(__xludf.DUMMYFUNCTION("IFERROR(GOOGLETRANSLATE(B492,""en"",""ja""),)"),"はい、こちらです。")</f>
        <v>はい、こちらです。</v>
      </c>
      <c r="D492" s="4" t="str">
        <f ca="1">IFERROR(__xludf.DUMMYFUNCTION("IFERROR(GOOGLETRANSLATE(B492,""en"",""zh-TW""),)"),"是的，就是這裡。")</f>
        <v>是的，就是這裡。</v>
      </c>
      <c r="E492" s="4" t="str">
        <f ca="1">IFERROR(__xludf.DUMMYFUNCTION("IFERROR(GOOGLETRANSLATE(B492,""en"",""zh-CN""),)"),"是的，就是这里。")</f>
        <v>是的，就是这里。</v>
      </c>
    </row>
    <row r="493" spans="1:5">
      <c r="A493" s="3" t="s">
        <v>2326</v>
      </c>
      <c r="B493" s="4" t="str">
        <f ca="1">IFERROR(__xludf.DUMMYFUNCTION("IFERROR(GOOGLETRANSLATE(A493,""ko"",""en""),)"),"What time is today's meeting?")</f>
        <v>What time is today's meeting?</v>
      </c>
      <c r="C493" s="4" t="str">
        <f ca="1">IFERROR(__xludf.DUMMYFUNCTION("IFERROR(GOOGLETRANSLATE(B493,""en"",""ja""),)"),"今日の会議は何時ですか？")</f>
        <v>今日の会議は何時ですか？</v>
      </c>
      <c r="D493" s="4" t="str">
        <f ca="1">IFERROR(__xludf.DUMMYFUNCTION("IFERROR(GOOGLETRANSLATE(B493,""en"",""zh-TW""),)"),"今天的會議幾點開始？")</f>
        <v>今天的會議幾點開始？</v>
      </c>
      <c r="E493" s="4" t="str">
        <f ca="1">IFERROR(__xludf.DUMMYFUNCTION("IFERROR(GOOGLETRANSLATE(B493,""en"",""zh-CN""),)"),"今天的会议几点开始？")</f>
        <v>今天的会议几点开始？</v>
      </c>
    </row>
    <row r="494" spans="1:5">
      <c r="A494" s="2" t="s">
        <v>2328</v>
      </c>
      <c r="B494" s="4" t="str">
        <f ca="1">IFERROR(__xludf.DUMMYFUNCTION("IFERROR(GOOGLETRANSLATE(A494,""ko"",""en""),)"),"It is at five o'clock.")</f>
        <v>It is at five o'clock.</v>
      </c>
      <c r="C494" s="4" t="str">
        <f ca="1">IFERROR(__xludf.DUMMYFUNCTION("IFERROR(GOOGLETRANSLATE(B494,""en"",""ja""),)"),"時刻は5時です。")</f>
        <v>時刻は5時です。</v>
      </c>
      <c r="D494" s="4" t="str">
        <f ca="1">IFERROR(__xludf.DUMMYFUNCTION("IFERROR(GOOGLETRANSLATE(B494,""en"",""zh-TW""),)"),"現在是五點方向。")</f>
        <v>現在是五點方向。</v>
      </c>
      <c r="E494" s="4" t="str">
        <f ca="1">IFERROR(__xludf.DUMMYFUNCTION("IFERROR(GOOGLETRANSLATE(B494,""en"",""zh-CN""),)"),"现在是五点钟方向。")</f>
        <v>现在是五点钟方向。</v>
      </c>
    </row>
    <row r="495" spans="1:5">
      <c r="A495" s="3" t="s">
        <v>2329</v>
      </c>
      <c r="B495" s="4" t="str">
        <f ca="1">IFERROR(__xludf.DUMMYFUNCTION("IFERROR(GOOGLETRANSLATE(A495,""ko"",""en""),)"),"I listen")</f>
        <v>I listen</v>
      </c>
      <c r="C495" s="4" t="str">
        <f ca="1">IFERROR(__xludf.DUMMYFUNCTION("IFERROR(GOOGLETRANSLATE(B495,""en"",""ja""),)"),"私は聞いています")</f>
        <v>私は聞いています</v>
      </c>
      <c r="D495" s="4" t="str">
        <f ca="1">IFERROR(__xludf.DUMMYFUNCTION("IFERROR(GOOGLETRANSLATE(B495,""en"",""zh-TW""),)"),"我聽著")</f>
        <v>我聽著</v>
      </c>
      <c r="E495" s="4" t="str">
        <f ca="1">IFERROR(__xludf.DUMMYFUNCTION("IFERROR(GOOGLETRANSLATE(B495,""en"",""zh-CN""),)"),"我听着")</f>
        <v>我听着</v>
      </c>
    </row>
    <row r="496" spans="1:5">
      <c r="A496" s="3" t="s">
        <v>2331</v>
      </c>
      <c r="B496" s="4" t="str">
        <f ca="1">IFERROR(__xludf.DUMMYFUNCTION("IFERROR(GOOGLETRANSLATE(A496,""ko"",""en""),)"),"I eat")</f>
        <v>I eat</v>
      </c>
      <c r="C496" s="4" t="str">
        <f ca="1">IFERROR(__xludf.DUMMYFUNCTION("IFERROR(GOOGLETRANSLATE(B496,""en"",""ja""),)"),"私は食べる")</f>
        <v>私は食べる</v>
      </c>
      <c r="D496" s="4" t="str">
        <f ca="1">IFERROR(__xludf.DUMMYFUNCTION("IFERROR(GOOGLETRANSLATE(B496,""en"",""zh-TW""),)"),"我吃")</f>
        <v>我吃</v>
      </c>
      <c r="E496" s="4" t="str">
        <f ca="1">IFERROR(__xludf.DUMMYFUNCTION("IFERROR(GOOGLETRANSLATE(B496,""en"",""zh-CN""),)"),"我吃")</f>
        <v>我吃</v>
      </c>
    </row>
    <row r="497" spans="1:26">
      <c r="A497" s="3" t="s">
        <v>2334</v>
      </c>
      <c r="B497" s="4" t="str">
        <f ca="1">IFERROR(__xludf.DUMMYFUNCTION("IFERROR(GOOGLETRANSLATE(A497,""ko"",""en""),)"),"I read")</f>
        <v>I read</v>
      </c>
      <c r="C497" s="4" t="str">
        <f ca="1">IFERROR(__xludf.DUMMYFUNCTION("IFERROR(GOOGLETRANSLATE(B497,""en"",""ja""),)"),"私は読む")</f>
        <v>私は読む</v>
      </c>
      <c r="D497" s="4" t="str">
        <f ca="1">IFERROR(__xludf.DUMMYFUNCTION("IFERROR(GOOGLETRANSLATE(B497,""en"",""zh-TW""),)"),"我讀")</f>
        <v>我讀</v>
      </c>
      <c r="E497" s="4" t="str">
        <f ca="1">IFERROR(__xludf.DUMMYFUNCTION("IFERROR(GOOGLETRANSLATE(B497,""en"",""zh-CN""),)"),"我读")</f>
        <v>我读</v>
      </c>
    </row>
    <row r="498" spans="1:26">
      <c r="A498" s="3" t="s">
        <v>2337</v>
      </c>
      <c r="B498" s="4" t="str">
        <f ca="1">IFERROR(__xludf.DUMMYFUNCTION("IFERROR(GOOGLETRANSLATE(A498,""ko"",""en""),)"),"It is low")</f>
        <v>It is low</v>
      </c>
      <c r="C498" s="4" t="str">
        <f ca="1">IFERROR(__xludf.DUMMYFUNCTION("IFERROR(GOOGLETRANSLATE(B498,""en"",""ja""),)"),"低い")</f>
        <v>低い</v>
      </c>
      <c r="D498" s="4" t="str">
        <f ca="1">IFERROR(__xludf.DUMMYFUNCTION("IFERROR(GOOGLETRANSLATE(B498,""en"",""zh-TW""),)"),"很低")</f>
        <v>很低</v>
      </c>
      <c r="E498" s="4" t="str">
        <f ca="1">IFERROR(__xludf.DUMMYFUNCTION("IFERROR(GOOGLETRANSLATE(B498,""en"",""zh-CN""),)"),"很低")</f>
        <v>很低</v>
      </c>
    </row>
    <row r="499" spans="1:26">
      <c r="A499" s="3" t="s">
        <v>2340</v>
      </c>
      <c r="B499" s="4" t="str">
        <f ca="1">IFERROR(__xludf.DUMMYFUNCTION("IFERROR(GOOGLETRANSLATE(A499,""ko"",""en""),)"),"It is short")</f>
        <v>It is short</v>
      </c>
      <c r="C499" s="4" t="str">
        <f ca="1">IFERROR(__xludf.DUMMYFUNCTION("IFERROR(GOOGLETRANSLATE(B499,""en"",""ja""),)"),"短い")</f>
        <v>短い</v>
      </c>
      <c r="D499" s="4" t="str">
        <f ca="1">IFERROR(__xludf.DUMMYFUNCTION("IFERROR(GOOGLETRANSLATE(B499,""en"",""zh-TW""),)"),"它很短")</f>
        <v>它很短</v>
      </c>
      <c r="E499" s="4" t="str">
        <f ca="1">IFERROR(__xludf.DUMMYFUNCTION("IFERROR(GOOGLETRANSLATE(B499,""en"",""zh-CN""),)"),"它很短")</f>
        <v>它很短</v>
      </c>
    </row>
    <row r="500" spans="1:26">
      <c r="A500" s="3" t="s">
        <v>2344</v>
      </c>
      <c r="B500" s="4" t="str">
        <f ca="1">IFERROR(__xludf.DUMMYFUNCTION("IFERROR(GOOGLETRANSLATE(A500,""ko"",""en""),)"),"I'm going")</f>
        <v>I'm going</v>
      </c>
      <c r="C500" s="4" t="str">
        <f ca="1">IFERROR(__xludf.DUMMYFUNCTION("IFERROR(GOOGLETRANSLATE(B500,""en"",""ja""),)"),"私は行きます")</f>
        <v>私は行きます</v>
      </c>
      <c r="D500" s="4" t="str">
        <f ca="1">IFERROR(__xludf.DUMMYFUNCTION("IFERROR(GOOGLETRANSLATE(B500,""en"",""zh-TW""),)"),"我要去")</f>
        <v>我要去</v>
      </c>
      <c r="E500" s="4" t="str">
        <f ca="1">IFERROR(__xludf.DUMMYFUNCTION("IFERROR(GOOGLETRANSLATE(B500,""en"",""zh-CN""),)"),"我要去")</f>
        <v>我要去</v>
      </c>
    </row>
    <row r="501" spans="1:26">
      <c r="A501" s="2" t="s">
        <v>2347</v>
      </c>
      <c r="B501" s="11" t="str">
        <f ca="1">IFERROR(__xludf.DUMMYFUNCTION("IFERROR(GOOGLETRANSLATE(A501,""ko"",""en""),)"),"We meet")</f>
        <v>We meet</v>
      </c>
      <c r="C501" s="11" t="str">
        <f ca="1">IFERROR(__xludf.DUMMYFUNCTION("IFERROR(GOOGLETRANSLATE(B501,""en"",""ja""),)"),"私たちは会う")</f>
        <v>私たちは会う</v>
      </c>
      <c r="D501" s="11" t="str">
        <f ca="1">IFERROR(__xludf.DUMMYFUNCTION("IFERROR(GOOGLETRANSLATE(B501,""en"",""zh-TW""),)"),"我們相遇")</f>
        <v>我們相遇</v>
      </c>
      <c r="E501" s="11" t="str">
        <f ca="1">IFERROR(__xludf.DUMMYFUNCTION("IFERROR(GOOGLETRANSLATE(B501,""en"",""zh-CN""),)"),"我们相遇")</f>
        <v>我们相遇</v>
      </c>
      <c r="F501" s="12"/>
      <c r="G501" s="12"/>
      <c r="H501" s="12"/>
      <c r="I501" s="12"/>
      <c r="J501" s="12"/>
      <c r="K501" s="12"/>
      <c r="L501" s="12"/>
      <c r="M501" s="12"/>
      <c r="N501" s="12"/>
      <c r="O501" s="12"/>
      <c r="P501" s="12"/>
      <c r="Q501" s="12"/>
      <c r="R501" s="12"/>
      <c r="S501" s="12"/>
      <c r="T501" s="12"/>
      <c r="U501" s="12"/>
      <c r="V501" s="12"/>
      <c r="W501" s="12"/>
      <c r="X501" s="12"/>
      <c r="Y501" s="12"/>
      <c r="Z501" s="12"/>
    </row>
    <row r="502" spans="1:26">
      <c r="A502" s="3" t="s">
        <v>2350</v>
      </c>
      <c r="B502" s="4" t="str">
        <f ca="1">IFERROR(__xludf.DUMMYFUNCTION("IFERROR(GOOGLETRANSLATE(A502,""ko"",""en""),)"),"I study")</f>
        <v>I study</v>
      </c>
      <c r="C502" s="4" t="str">
        <f ca="1">IFERROR(__xludf.DUMMYFUNCTION("IFERROR(GOOGLETRANSLATE(B502,""en"",""ja""),)"),"私は勉強します")</f>
        <v>私は勉強します</v>
      </c>
      <c r="D502" s="4" t="str">
        <f ca="1">IFERROR(__xludf.DUMMYFUNCTION("IFERROR(GOOGLETRANSLATE(B502,""en"",""zh-TW""),)"),"我學習")</f>
        <v>我學習</v>
      </c>
      <c r="E502" s="4" t="str">
        <f ca="1">IFERROR(__xludf.DUMMYFUNCTION("IFERROR(GOOGLETRANSLATE(B502,""en"",""zh-CN""),)"),"我学习")</f>
        <v>我学习</v>
      </c>
    </row>
    <row r="503" spans="1:26">
      <c r="A503" s="3" t="s">
        <v>2353</v>
      </c>
      <c r="B503" s="4" t="str">
        <f ca="1">IFERROR(__xludf.DUMMYFUNCTION("IFERROR(GOOGLETRANSLATE(A503,""ko"",""en""),)"),"It is big.")</f>
        <v>It is big.</v>
      </c>
      <c r="C503" s="4" t="str">
        <f ca="1">IFERROR(__xludf.DUMMYFUNCTION("IFERROR(GOOGLETRANSLATE(B503,""en"",""ja""),)"),"それは大きい。")</f>
        <v>それは大きい。</v>
      </c>
      <c r="D503" s="4" t="str">
        <f ca="1">IFERROR(__xludf.DUMMYFUNCTION("IFERROR(GOOGLETRANSLATE(B503,""en"",""zh-TW""),)"),"它很大。")</f>
        <v>它很大。</v>
      </c>
      <c r="E503" s="4" t="str">
        <f ca="1">IFERROR(__xludf.DUMMYFUNCTION("IFERROR(GOOGLETRANSLATE(B503,""en"",""zh-CN""),)"),"它很大。")</f>
        <v>它很大。</v>
      </c>
    </row>
    <row r="504" spans="1:26">
      <c r="A504" s="3" t="s">
        <v>2355</v>
      </c>
      <c r="B504" s="4" t="str">
        <f ca="1">IFERROR(__xludf.DUMMYFUNCTION("IFERROR(GOOGLETRANSLATE(A504,""ko"",""en""),)"),"It is long")</f>
        <v>It is long</v>
      </c>
      <c r="C504" s="4" t="str">
        <f ca="1">IFERROR(__xludf.DUMMYFUNCTION("IFERROR(GOOGLETRANSLATE(B504,""en"",""ja""),)"),"長い")</f>
        <v>長い</v>
      </c>
      <c r="D504" s="4" t="str">
        <f ca="1">IFERROR(__xludf.DUMMYFUNCTION("IFERROR(GOOGLETRANSLATE(B504,""en"",""zh-TW""),)"),"很長")</f>
        <v>很長</v>
      </c>
      <c r="E504" s="4" t="str">
        <f ca="1">IFERROR(__xludf.DUMMYFUNCTION("IFERROR(GOOGLETRANSLATE(B504,""en"",""zh-CN""),)"),"很长")</f>
        <v>很长</v>
      </c>
    </row>
    <row r="505" spans="1:26">
      <c r="A505" s="3" t="s">
        <v>2357</v>
      </c>
      <c r="B505" s="4" t="str">
        <f ca="1">IFERROR(__xludf.DUMMYFUNCTION("IFERROR(GOOGLETRANSLATE(A505,""ko"",""en""),)"),"What do you do?")</f>
        <v>What do you do?</v>
      </c>
      <c r="C505" s="4" t="str">
        <f ca="1">IFERROR(__xludf.DUMMYFUNCTION("IFERROR(GOOGLETRANSLATE(B505,""en"",""ja""),)"),"職業はなんですか？")</f>
        <v>職業はなんですか？</v>
      </c>
      <c r="D505" s="4" t="str">
        <f ca="1">IFERROR(__xludf.DUMMYFUNCTION("IFERROR(GOOGLETRANSLATE(B505,""en"",""zh-TW""),)"),"你做什麼工作？")</f>
        <v>你做什麼工作？</v>
      </c>
      <c r="E505" s="4" t="str">
        <f ca="1">IFERROR(__xludf.DUMMYFUNCTION("IFERROR(GOOGLETRANSLATE(B505,""en"",""zh-CN""),)"),"你做什么工作？")</f>
        <v>你做什么工作？</v>
      </c>
    </row>
    <row r="506" spans="1:26">
      <c r="A506" s="3" t="s">
        <v>2360</v>
      </c>
      <c r="B506" s="4" t="str">
        <f ca="1">IFERROR(__xludf.DUMMYFUNCTION("IFERROR(GOOGLETRANSLATE(A506,""ko"",""en""),)"),"I eat rice.")</f>
        <v>I eat rice.</v>
      </c>
      <c r="C506" s="4" t="str">
        <f ca="1">IFERROR(__xludf.DUMMYFUNCTION("IFERROR(GOOGLETRANSLATE(B506,""en"",""ja""),)"),"私はご飯を食べます。")</f>
        <v>私はご飯を食べます。</v>
      </c>
      <c r="D506" s="4" t="str">
        <f ca="1">IFERROR(__xludf.DUMMYFUNCTION("IFERROR(GOOGLETRANSLATE(B506,""en"",""zh-TW""),)"),"我吃米飯。")</f>
        <v>我吃米飯。</v>
      </c>
      <c r="E506" s="4" t="str">
        <f ca="1">IFERROR(__xludf.DUMMYFUNCTION("IFERROR(GOOGLETRANSLATE(B506,""en"",""zh-CN""),)"),"我吃米饭。")</f>
        <v>我吃米饭。</v>
      </c>
    </row>
    <row r="507" spans="1:26">
      <c r="A507" s="3" t="s">
        <v>2362</v>
      </c>
      <c r="B507" s="4" t="str">
        <f ca="1">IFERROR(__xludf.DUMMYFUNCTION("IFERROR(GOOGLETRANSLATE(A507,""ko"",""en""),)"),"I sleep.")</f>
        <v>I sleep.</v>
      </c>
      <c r="C507" s="4" t="str">
        <f ca="1">IFERROR(__xludf.DUMMYFUNCTION("IFERROR(GOOGLETRANSLATE(B507,""en"",""ja""),)"),"私は眠る。")</f>
        <v>私は眠る。</v>
      </c>
      <c r="D507" s="4" t="str">
        <f ca="1">IFERROR(__xludf.DUMMYFUNCTION("IFERROR(GOOGLETRANSLATE(B507,""en"",""zh-TW""),)"),"我睡著了。")</f>
        <v>我睡著了。</v>
      </c>
      <c r="E507" s="4" t="str">
        <f ca="1">IFERROR(__xludf.DUMMYFUNCTION("IFERROR(GOOGLETRANSLATE(B507,""en"",""zh-CN""),)"),"我睡着了。")</f>
        <v>我睡着了。</v>
      </c>
    </row>
    <row r="508" spans="1:26">
      <c r="A508" s="3" t="s">
        <v>2363</v>
      </c>
      <c r="B508" s="4" t="str">
        <f ca="1">IFERROR(__xludf.DUMMYFUNCTION("IFERROR(GOOGLETRANSLATE(A508,""ko"",""en""),)"),"I read a book.")</f>
        <v>I read a book.</v>
      </c>
      <c r="C508" s="4" t="str">
        <f ca="1">IFERROR(__xludf.DUMMYFUNCTION("IFERROR(GOOGLETRANSLATE(B508,""en"",""ja""),)"),"私は本を​​読んだ。")</f>
        <v>私は本を​​読んだ。</v>
      </c>
      <c r="D508" s="4" t="str">
        <f ca="1">IFERROR(__xludf.DUMMYFUNCTION("IFERROR(GOOGLETRANSLATE(B508,""en"",""zh-TW""),)"),"我讀了一本書。")</f>
        <v>我讀了一本書。</v>
      </c>
      <c r="E508" s="4" t="str">
        <f ca="1">IFERROR(__xludf.DUMMYFUNCTION("IFERROR(GOOGLETRANSLATE(B508,""en"",""zh-CN""),)"),"我读了一本书。")</f>
        <v>我读了一本书。</v>
      </c>
    </row>
    <row r="509" spans="1:26">
      <c r="A509" s="3" t="s">
        <v>2366</v>
      </c>
      <c r="B509" s="4" t="str">
        <f ca="1">IFERROR(__xludf.DUMMYFUNCTION("IFERROR(GOOGLETRANSLATE(A509,""ko"",""en""),)"),"I listen to music.")</f>
        <v>I listen to music.</v>
      </c>
      <c r="C509" s="4" t="str">
        <f ca="1">IFERROR(__xludf.DUMMYFUNCTION("IFERROR(GOOGLETRANSLATE(B509,""en"",""ja""),)"),"私は音楽を聴きます。")</f>
        <v>私は音楽を聴きます。</v>
      </c>
      <c r="D509" s="4" t="str">
        <f ca="1">IFERROR(__xludf.DUMMYFUNCTION("IFERROR(GOOGLETRANSLATE(B509,""en"",""zh-TW""),)"),"我喜歡聽音樂。")</f>
        <v>我喜歡聽音樂。</v>
      </c>
      <c r="E509" s="4" t="str">
        <f ca="1">IFERROR(__xludf.DUMMYFUNCTION("IFERROR(GOOGLETRANSLATE(B509,""en"",""zh-CN""),)"),"我喜欢听音乐。")</f>
        <v>我喜欢听音乐。</v>
      </c>
    </row>
    <row r="510" spans="1:26">
      <c r="A510" s="3" t="s">
        <v>2369</v>
      </c>
      <c r="B510" s="4" t="str">
        <f ca="1">IFERROR(__xludf.DUMMYFUNCTION("IFERROR(GOOGLETRANSLATE(A510,""ko"",""en""),)"),"I make bread.")</f>
        <v>I make bread.</v>
      </c>
      <c r="C510" s="4" t="str">
        <f ca="1">IFERROR(__xludf.DUMMYFUNCTION("IFERROR(GOOGLETRANSLATE(B510,""en"",""ja""),)"),"私はパンを焼きます。")</f>
        <v>私はパンを焼きます。</v>
      </c>
      <c r="D510" s="4" t="str">
        <f ca="1">IFERROR(__xludf.DUMMYFUNCTION("IFERROR(GOOGLETRANSLATE(B510,""en"",""zh-TW""),)"),"我做麵包。")</f>
        <v>我做麵包。</v>
      </c>
      <c r="E510" s="4" t="str">
        <f ca="1">IFERROR(__xludf.DUMMYFUNCTION("IFERROR(GOOGLETRANSLATE(B510,""en"",""zh-CN""),)"),"我做面包。")</f>
        <v>我做面包。</v>
      </c>
    </row>
    <row r="511" spans="1:26">
      <c r="A511" s="3" t="s">
        <v>2372</v>
      </c>
      <c r="B511" s="4" t="str">
        <f ca="1">IFERROR(__xludf.DUMMYFUNCTION("IFERROR(GOOGLETRANSLATE(A511,""ko"",""en""),)"),"Where is Suzy?")</f>
        <v>Where is Suzy?</v>
      </c>
      <c r="C511" s="4" t="str">
        <f ca="1">IFERROR(__xludf.DUMMYFUNCTION("IFERROR(GOOGLETRANSLATE(B511,""en"",""ja""),)"),"スージーはどこにいますか？")</f>
        <v>スージーはどこにいますか？</v>
      </c>
      <c r="D511" s="4" t="str">
        <f ca="1">IFERROR(__xludf.DUMMYFUNCTION("IFERROR(GOOGLETRANSLATE(B511,""en"",""zh-TW""),)"),"蘇西在哪裡？")</f>
        <v>蘇西在哪裡？</v>
      </c>
      <c r="E511" s="4" t="str">
        <f ca="1">IFERROR(__xludf.DUMMYFUNCTION("IFERROR(GOOGLETRANSLATE(B511,""en"",""zh-CN""),)"),"苏西在哪里？")</f>
        <v>苏西在哪里？</v>
      </c>
    </row>
    <row r="512" spans="1:26">
      <c r="A512" s="3" t="s">
        <v>2376</v>
      </c>
      <c r="B512" s="4" t="str">
        <f ca="1">IFERROR(__xludf.DUMMYFUNCTION("IFERROR(GOOGLETRANSLATE(A512,""ko"",""en""),)"),"I am at a cafe right now.")</f>
        <v>I am at a cafe right now.</v>
      </c>
      <c r="C512" s="4" t="str">
        <f ca="1">IFERROR(__xludf.DUMMYFUNCTION("IFERROR(GOOGLETRANSLATE(B512,""en"",""ja""),)"),"私は今、カフェにいます。")</f>
        <v>私は今、カフェにいます。</v>
      </c>
      <c r="D512" s="4" t="str">
        <f ca="1">IFERROR(__xludf.DUMMYFUNCTION("IFERROR(GOOGLETRANSLATE(B512,""en"",""zh-TW""),)"),"我現在在咖啡館。")</f>
        <v>我現在在咖啡館。</v>
      </c>
      <c r="E512" s="4" t="str">
        <f ca="1">IFERROR(__xludf.DUMMYFUNCTION("IFERROR(GOOGLETRANSLATE(B512,""en"",""zh-CN""),)"),"我现在在咖啡馆。")</f>
        <v>我现在在咖啡馆。</v>
      </c>
    </row>
    <row r="513" spans="1:5">
      <c r="A513" s="3" t="s">
        <v>2378</v>
      </c>
      <c r="B513" s="4" t="str">
        <f ca="1">IFERROR(__xludf.DUMMYFUNCTION("IFERROR(GOOGLETRANSLATE(A513,""ko"",""en""),)"),"What does Yujin do?")</f>
        <v>What does Yujin do?</v>
      </c>
      <c r="C513" s="4" t="str">
        <f ca="1">IFERROR(__xludf.DUMMYFUNCTION("IFERROR(GOOGLETRANSLATE(B513,""en"",""ja""),)"),"ユジンは何をしていますか？")</f>
        <v>ユジンは何をしていますか？</v>
      </c>
      <c r="D513" s="4" t="str">
        <f ca="1">IFERROR(__xludf.DUMMYFUNCTION("IFERROR(GOOGLETRANSLATE(B513,""en"",""zh-TW""),)"),"Yujin是做什麼的？")</f>
        <v>Yujin是做什麼的？</v>
      </c>
      <c r="E513" s="4" t="str">
        <f ca="1">IFERROR(__xludf.DUMMYFUNCTION("IFERROR(GOOGLETRANSLATE(B513,""en"",""zh-CN""),)"),"Yujin是做什么的？")</f>
        <v>Yujin是做什么的？</v>
      </c>
    </row>
    <row r="514" spans="1:5">
      <c r="A514" s="3" t="s">
        <v>2379</v>
      </c>
      <c r="B514" s="4" t="str">
        <f ca="1">IFERROR(__xludf.DUMMYFUNCTION("IFERROR(GOOGLETRANSLATE(A514,""ko"",""en""),)"),"I watch television.")</f>
        <v>I watch television.</v>
      </c>
      <c r="C514" s="4" t="str">
        <f ca="1">IFERROR(__xludf.DUMMYFUNCTION("IFERROR(GOOGLETRANSLATE(B514,""en"",""ja""),)"),"私はテレビを見る。")</f>
        <v>私はテレビを見る。</v>
      </c>
      <c r="D514" s="4" t="str">
        <f ca="1">IFERROR(__xludf.DUMMYFUNCTION("IFERROR(GOOGLETRANSLATE(B514,""en"",""zh-TW""),)"),"我看電視。")</f>
        <v>我看電視。</v>
      </c>
      <c r="E514" s="4" t="str">
        <f ca="1">IFERROR(__xludf.DUMMYFUNCTION("IFERROR(GOOGLETRANSLATE(B514,""en"",""zh-CN""),)"),"我看电视。")</f>
        <v>我看电视。</v>
      </c>
    </row>
    <row r="515" spans="1:5">
      <c r="A515" s="3" t="s">
        <v>2382</v>
      </c>
      <c r="B515" s="4" t="str">
        <f ca="1">IFERROR(__xludf.DUMMYFUNCTION("IFERROR(GOOGLETRANSLATE(A515,""ko"",""en""),)"),"Do you like exercising?")</f>
        <v>Do you like exercising?</v>
      </c>
      <c r="C515" s="4" t="str">
        <f ca="1">IFERROR(__xludf.DUMMYFUNCTION("IFERROR(GOOGLETRANSLATE(B515,""en"",""ja""),)"),"あなたは運動が好きですか？")</f>
        <v>あなたは運動が好きですか？</v>
      </c>
      <c r="D515" s="4" t="str">
        <f ca="1">IFERROR(__xludf.DUMMYFUNCTION("IFERROR(GOOGLETRANSLATE(B515,""en"",""zh-TW""),)"),"你喜歡運動嗎？")</f>
        <v>你喜歡運動嗎？</v>
      </c>
      <c r="E515" s="4" t="str">
        <f ca="1">IFERROR(__xludf.DUMMYFUNCTION("IFERROR(GOOGLETRANSLATE(B515,""en"",""zh-CN""),)"),"你喜欢运动吗？")</f>
        <v>你喜欢运动吗？</v>
      </c>
    </row>
    <row r="516" spans="1:5">
      <c r="A516" s="3" t="s">
        <v>2385</v>
      </c>
      <c r="B516" s="4" t="str">
        <f ca="1">IFERROR(__xludf.DUMMYFUNCTION("IFERROR(GOOGLETRANSLATE(A516,""ko"",""en""),)"),"Yes, I like exercising.")</f>
        <v>Yes, I like exercising.</v>
      </c>
      <c r="C516" s="4" t="str">
        <f ca="1">IFERROR(__xludf.DUMMYFUNCTION("IFERROR(GOOGLETRANSLATE(B516,""en"",""ja""),)"),"はい、運動は好きです。")</f>
        <v>はい、運動は好きです。</v>
      </c>
      <c r="D516" s="4" t="str">
        <f ca="1">IFERROR(__xludf.DUMMYFUNCTION("IFERROR(GOOGLETRANSLATE(B516,""en"",""zh-TW""),)"),"是的，我喜歡運動。")</f>
        <v>是的，我喜歡運動。</v>
      </c>
      <c r="E516" s="4" t="str">
        <f ca="1">IFERROR(__xludf.DUMMYFUNCTION("IFERROR(GOOGLETRANSLATE(B516,""en"",""zh-CN""),)"),"是的，我喜欢运动。")</f>
        <v>是的，我喜欢运动。</v>
      </c>
    </row>
    <row r="517" spans="1:5">
      <c r="A517" s="3" t="s">
        <v>2388</v>
      </c>
      <c r="B517" s="4" t="str">
        <f ca="1">IFERROR(__xludf.DUMMYFUNCTION("IFERROR(GOOGLETRANSLATE(A517,""ko"",""en""),)"),"How much is this hat?")</f>
        <v>How much is this hat?</v>
      </c>
      <c r="C517" s="4" t="str">
        <f ca="1">IFERROR(__xludf.DUMMYFUNCTION("IFERROR(GOOGLETRANSLATE(B517,""en"",""ja""),)"),"この帽子はいくらですか？")</f>
        <v>この帽子はいくらですか？</v>
      </c>
      <c r="D517" s="4" t="str">
        <f ca="1">IFERROR(__xludf.DUMMYFUNCTION("IFERROR(GOOGLETRANSLATE(B517,""en"",""zh-TW""),)"),"這頂帽子多少錢？")</f>
        <v>這頂帽子多少錢？</v>
      </c>
      <c r="E517" s="4" t="str">
        <f ca="1">IFERROR(__xludf.DUMMYFUNCTION("IFERROR(GOOGLETRANSLATE(B517,""en"",""zh-CN""),)"),"这顶帽子多少钱？")</f>
        <v>这顶帽子多少钱？</v>
      </c>
    </row>
    <row r="518" spans="1:5">
      <c r="A518" s="3" t="s">
        <v>2390</v>
      </c>
      <c r="B518" s="4" t="str">
        <f ca="1">IFERROR(__xludf.DUMMYFUNCTION("IFERROR(GOOGLETRANSLATE(A518,""ko"",""en""),)"),"It is 20,000 won.")</f>
        <v>It is 20,000 won.</v>
      </c>
      <c r="C518" s="4" t="str">
        <f ca="1">IFERROR(__xludf.DUMMYFUNCTION("IFERROR(GOOGLETRANSLATE(B518,""en"",""ja""),)"),"2万ウォンです。")</f>
        <v>2万ウォンです。</v>
      </c>
      <c r="D518" s="4" t="str">
        <f ca="1">IFERROR(__xludf.DUMMYFUNCTION("IFERROR(GOOGLETRANSLATE(B518,""en"",""zh-TW""),)"),"是20000韓元。")</f>
        <v>是20000韓元。</v>
      </c>
      <c r="E518" s="4" t="str">
        <f ca="1">IFERROR(__xludf.DUMMYFUNCTION("IFERROR(GOOGLETRANSLATE(B518,""en"",""zh-CN""),)"),"是20000韩元。")</f>
        <v>是20000韩元。</v>
      </c>
    </row>
    <row r="519" spans="1:5">
      <c r="A519" s="3" t="s">
        <v>2392</v>
      </c>
      <c r="B519" s="4" t="str">
        <f ca="1">IFERROR(__xludf.DUMMYFUNCTION("IFERROR(GOOGLETRANSLATE(A519,""ko"",""en""),)"),"Did you have lunch?")</f>
        <v>Did you have lunch?</v>
      </c>
      <c r="C519" s="4" t="str">
        <f ca="1">IFERROR(__xludf.DUMMYFUNCTION("IFERROR(GOOGLETRANSLATE(B519,""en"",""ja""),)"),"昼食は食べましたか？")</f>
        <v>昼食は食べましたか？</v>
      </c>
      <c r="D519" s="4" t="str">
        <f ca="1">IFERROR(__xludf.DUMMYFUNCTION("IFERROR(GOOGLETRANSLATE(B519,""en"",""zh-TW""),)"),"你吃午餐了嗎？")</f>
        <v>你吃午餐了嗎？</v>
      </c>
      <c r="E519" s="4" t="str">
        <f ca="1">IFERROR(__xludf.DUMMYFUNCTION("IFERROR(GOOGLETRANSLATE(B519,""en"",""zh-CN""),)"),"你吃午饭了吗？")</f>
        <v>你吃午饭了吗？</v>
      </c>
    </row>
    <row r="520" spans="1:5">
      <c r="A520" s="3" t="s">
        <v>2395</v>
      </c>
      <c r="B520" s="4" t="str">
        <f ca="1">IFERROR(__xludf.DUMMYFUNCTION("IFERROR(GOOGLETRANSLATE(A520,""ko"",""en""),)"),"Yes, I ate at a Korean restaurant today.")</f>
        <v>Yes, I ate at a Korean restaurant today.</v>
      </c>
      <c r="C520" s="4" t="str">
        <f ca="1">IFERROR(__xludf.DUMMYFUNCTION("IFERROR(GOOGLETRANSLATE(B520,""en"",""ja""),)"),"はい、今日は韓国料理店で食事をしました。")</f>
        <v>はい、今日は韓国料理店で食事をしました。</v>
      </c>
      <c r="D520" s="4" t="str">
        <f ca="1">IFERROR(__xludf.DUMMYFUNCTION("IFERROR(GOOGLETRANSLATE(B520,""en"",""zh-TW""),)"),"是的，我今天在一家韓國餐廳吃了飯。")</f>
        <v>是的，我今天在一家韓國餐廳吃了飯。</v>
      </c>
      <c r="E520" s="4" t="str">
        <f ca="1">IFERROR(__xludf.DUMMYFUNCTION("IFERROR(GOOGLETRANSLATE(B520,""en"",""zh-CN""),)"),"是的，我今天在一家韩国餐馆吃了饭。")</f>
        <v>是的，我今天在一家韩国餐馆吃了饭。</v>
      </c>
    </row>
    <row r="521" spans="1:5">
      <c r="A521" s="5" t="s">
        <v>2398</v>
      </c>
      <c r="B521" s="4" t="str">
        <f ca="1">IFERROR(__xludf.DUMMYFUNCTION("IFERROR(GOOGLETRANSLATE(A521,""ko"",""en""),)"),"I will read it")</f>
        <v>I will read it</v>
      </c>
      <c r="C521" s="4" t="str">
        <f ca="1">IFERROR(__xludf.DUMMYFUNCTION("IFERROR(GOOGLETRANSLATE(B521,""en"",""ja""),)"),"読んでみます")</f>
        <v>読んでみます</v>
      </c>
      <c r="D521" s="4" t="str">
        <f ca="1">IFERROR(__xludf.DUMMYFUNCTION("IFERROR(GOOGLETRANSLATE(B521,""en"",""zh-TW""),)"),"我會讀的。")</f>
        <v>我會讀的。</v>
      </c>
      <c r="E521" s="4" t="str">
        <f ca="1">IFERROR(__xludf.DUMMYFUNCTION("IFERROR(GOOGLETRANSLATE(B521,""en"",""zh-CN""),)"),"我会读的。")</f>
        <v>我会读的。</v>
      </c>
    </row>
    <row r="522" spans="1:5">
      <c r="A522" s="5" t="s">
        <v>2402</v>
      </c>
      <c r="B522" s="4" t="str">
        <f ca="1">IFERROR(__xludf.DUMMYFUNCTION("IFERROR(GOOGLETRANSLATE(A522,""ko"",""en""),)"),"I will use it.")</f>
        <v>I will use it.</v>
      </c>
      <c r="C522" s="4" t="str">
        <f ca="1">IFERROR(__xludf.DUMMYFUNCTION("IFERROR(GOOGLETRANSLATE(B522,""en"",""ja""),)"),"使います。")</f>
        <v>使います。</v>
      </c>
      <c r="D522" s="4" t="str">
        <f ca="1">IFERROR(__xludf.DUMMYFUNCTION("IFERROR(GOOGLETRANSLATE(B522,""en"",""zh-TW""),)"),"我會用它。")</f>
        <v>我會用它。</v>
      </c>
      <c r="E522" s="4" t="str">
        <f ca="1">IFERROR(__xludf.DUMMYFUNCTION("IFERROR(GOOGLETRANSLATE(B522,""en"",""zh-CN""),)"),"我会用它。")</f>
        <v>我会用它。</v>
      </c>
    </row>
    <row r="523" spans="1:5">
      <c r="A523" s="3" t="s">
        <v>2406</v>
      </c>
      <c r="B523" s="4" t="str">
        <f ca="1">IFERROR(__xludf.DUMMYFUNCTION("IFERROR(GOOGLETRANSLATE(A523,""ko"",""en""),)"),"Anna meets a Korean friend on the weekend.")</f>
        <v>Anna meets a Korean friend on the weekend.</v>
      </c>
      <c r="C523" s="4" t="str">
        <f ca="1">IFERROR(__xludf.DUMMYFUNCTION("IFERROR(GOOGLETRANSLATE(B523,""en"",""ja""),)"),"アンナは週末に韓国人の友人と会う。")</f>
        <v>アンナは週末に韓国人の友人と会う。</v>
      </c>
      <c r="D523" s="4" t="str">
        <f ca="1">IFERROR(__xludf.DUMMYFUNCTION("IFERROR(GOOGLETRANSLATE(B523,""en"",""zh-TW""),)"),"安娜週末會見一位韓國朋友。")</f>
        <v>安娜週末會見一位韓國朋友。</v>
      </c>
      <c r="E523" s="4" t="str">
        <f ca="1">IFERROR(__xludf.DUMMYFUNCTION("IFERROR(GOOGLETRANSLATE(B523,""en"",""zh-CN""),)"),"安娜周末会见一位韩国朋友。")</f>
        <v>安娜周末会见一位韩国朋友。</v>
      </c>
    </row>
    <row r="524" spans="1:5">
      <c r="A524" s="3" t="s">
        <v>2407</v>
      </c>
      <c r="B524" s="4" t="str">
        <f ca="1">IFERROR(__xludf.DUMMYFUNCTION("IFERROR(GOOGLETRANSLATE(A524,""ko"",""en""),)"),"I am going to a Korean restaurant with a friend.")</f>
        <v>I am going to a Korean restaurant with a friend.</v>
      </c>
      <c r="C524" s="4" t="str">
        <f ca="1">IFERROR(__xludf.DUMMYFUNCTION("IFERROR(GOOGLETRANSLATE(B524,""en"",""ja""),)"),"友達と韓国料理店に行く予定です。")</f>
        <v>友達と韓国料理店に行く予定です。</v>
      </c>
      <c r="D524" s="4" t="str">
        <f ca="1">IFERROR(__xludf.DUMMYFUNCTION("IFERROR(GOOGLETRANSLATE(B524,""en"",""zh-TW""),)"),"我要和朋友去一家韓國餐廳。")</f>
        <v>我要和朋友去一家韓國餐廳。</v>
      </c>
      <c r="E524" s="4" t="str">
        <f ca="1">IFERROR(__xludf.DUMMYFUNCTION("IFERROR(GOOGLETRANSLATE(B524,""en"",""zh-CN""),)"),"我要和朋友去一家韩国餐厅。")</f>
        <v>我要和朋友去一家韩国餐厅。</v>
      </c>
    </row>
    <row r="525" spans="1:5">
      <c r="A525" s="3" t="s">
        <v>2409</v>
      </c>
      <c r="B525" s="4" t="str">
        <f ca="1">IFERROR(__xludf.DUMMYFUNCTION("IFERROR(GOOGLETRANSLATE(A525,""ko"",""en""),)"),"My Korean friend eats bibimbap. Anna eats tteokbokki.")</f>
        <v>My Korean friend eats bibimbap. Anna eats tteokbokki.</v>
      </c>
      <c r="C525" s="4" t="str">
        <f ca="1">IFERROR(__xludf.DUMMYFUNCTION("IFERROR(GOOGLETRANSLATE(B525,""en"",""ja""),)"),"私の韓国人の友達はビビンバを食べます。アンナはトッポッキを食べます。")</f>
        <v>私の韓国人の友達はビビンバを食べます。アンナはトッポッキを食べます。</v>
      </c>
      <c r="D525" s="4" t="str">
        <f ca="1">IFERROR(__xludf.DUMMYFUNCTION("IFERROR(GOOGLETRANSLATE(B525,""en"",""zh-TW""),)"),"我的韓國朋友喜歡吃拌飯。安娜喜歡吃炒年糕。")</f>
        <v>我的韓國朋友喜歡吃拌飯。安娜喜歡吃炒年糕。</v>
      </c>
      <c r="E525" s="4" t="str">
        <f ca="1">IFERROR(__xludf.DUMMYFUNCTION("IFERROR(GOOGLETRANSLATE(B525,""en"",""zh-CN""),)"),"我的韩国朋友喜欢吃拌饭。安娜喜欢吃炒年糕。")</f>
        <v>我的韩国朋友喜欢吃拌饭。安娜喜欢吃炒年糕。</v>
      </c>
    </row>
    <row r="526" spans="1:5">
      <c r="A526" s="3" t="s">
        <v>2411</v>
      </c>
      <c r="B526" s="4" t="str">
        <f ca="1">IFERROR(__xludf.DUMMYFUNCTION("IFERROR(GOOGLETRANSLATE(A526,""ko"",""en""),)"),"Tteokbokki is a little spicy. (or spicy)")</f>
        <v>Tteokbokki is a little spicy. (or spicy)</v>
      </c>
      <c r="C526" s="4" t="str">
        <f ca="1">IFERROR(__xludf.DUMMYFUNCTION("IFERROR(GOOGLETRANSLATE(B526,""en"",""ja""),)"),"トッポッキは少し辛いです。（もしくは辛い）")</f>
        <v>トッポッキは少し辛いです。（もしくは辛い）</v>
      </c>
      <c r="D526" s="4" t="str">
        <f ca="1">IFERROR(__xludf.DUMMYFUNCTION("IFERROR(GOOGLETRANSLATE(B526,""en"",""zh-TW""),)"),"炒年糕有點辣。 （或者說辣）")</f>
        <v>炒年糕有點辣。 （或者說辣）</v>
      </c>
      <c r="E526" s="4" t="str">
        <f ca="1">IFERROR(__xludf.DUMMYFUNCTION("IFERROR(GOOGLETRANSLATE(B526,""en"",""zh-CN""),)"),"炒年糕有点辣。（或者说辣）")</f>
        <v>炒年糕有点辣。（或者说辣）</v>
      </c>
    </row>
    <row r="527" spans="1:5">
      <c r="A527" s="3" t="s">
        <v>2414</v>
      </c>
      <c r="B527" s="4" t="str">
        <f ca="1">IFERROR(__xludf.DUMMYFUNCTION("IFERROR(GOOGLETRANSLATE(A527,""ko"",""en""),)"),"But it is very delicious. That is why Anna likes tteokbokki.")</f>
        <v>But it is very delicious. That is why Anna likes tteokbokki.</v>
      </c>
      <c r="C527" s="4" t="str">
        <f ca="1">IFERROR(__xludf.DUMMYFUNCTION("IFERROR(GOOGLETRANSLATE(B527,""en"",""ja""),)"),"でも、とても美味しいんです。だからアンナはトッポッキが好きなんです。")</f>
        <v>でも、とても美味しいんです。だからアンナはトッポッキが好きなんです。</v>
      </c>
      <c r="D527" s="4" t="str">
        <f ca="1">IFERROR(__xludf.DUMMYFUNCTION("IFERROR(GOOGLETRANSLATE(B527,""en"",""zh-TW""),)"),"但它真的很好吃。這就是安娜喜歡炒年糕的原因。")</f>
        <v>但它真的很好吃。這就是安娜喜歡炒年糕的原因。</v>
      </c>
      <c r="E527" s="4" t="str">
        <f ca="1">IFERROR(__xludf.DUMMYFUNCTION("IFERROR(GOOGLETRANSLATE(B527,""en"",""zh-CN""),)"),"但它真的很好吃。这就是安娜喜欢炒年糕的原因。")</f>
        <v>但它真的很好吃。这就是安娜喜欢炒年糕的原因。</v>
      </c>
    </row>
    <row r="528" spans="1:5">
      <c r="A528" s="5" t="s">
        <v>2416</v>
      </c>
      <c r="B528" s="4" t="str">
        <f ca="1">IFERROR(__xludf.DUMMYFUNCTION("IFERROR(GOOGLETRANSLATE(A528,""ko"",""en""),)"),"Yujin went to a clothing store. What will Yujin and the clerk talk about?")</f>
        <v>Yujin went to a clothing store. What will Yujin and the clerk talk about?</v>
      </c>
      <c r="C528" s="4" t="str">
        <f ca="1">IFERROR(__xludf.DUMMYFUNCTION("IFERROR(GOOGLETRANSLATE(B528,""en"",""ja""),)"),"ユジンは服屋に行きました。ユジンと店員はどんな話をするでしょうか？")</f>
        <v>ユジンは服屋に行きました。ユジンと店員はどんな話をするでしょうか？</v>
      </c>
      <c r="D528" s="4" t="str">
        <f ca="1">IFERROR(__xludf.DUMMYFUNCTION("IFERROR(GOOGLETRANSLATE(B528,""en"",""zh-TW""),)"),"裕真去了服飾店。裕真和店員會聊些什麼呢？")</f>
        <v>裕真去了服飾店。裕真和店員會聊些什麼呢？</v>
      </c>
      <c r="E528" s="4" t="str">
        <f ca="1">IFERROR(__xludf.DUMMYFUNCTION("IFERROR(GOOGLETRANSLATE(B528,""en"",""zh-CN""),)"),"裕真去了一家服装店。裕真和店员会聊些什么呢？")</f>
        <v>裕真去了一家服装店。裕真和店员会聊些什么呢？</v>
      </c>
    </row>
    <row r="529" spans="1:5">
      <c r="A529" s="5" t="s">
        <v>411</v>
      </c>
      <c r="B529" s="4" t="str">
        <f ca="1">IFERROR(__xludf.DUMMYFUNCTION("IFERROR(GOOGLETRANSLATE(A529,""ko"",""en""),)"),"sorry")</f>
        <v>sorry</v>
      </c>
      <c r="C529" s="4" t="str">
        <f ca="1">IFERROR(__xludf.DUMMYFUNCTION("IFERROR(GOOGLETRANSLATE(B529,""en"",""ja""),)"),"ごめん")</f>
        <v>ごめん</v>
      </c>
      <c r="D529" s="4" t="str">
        <f ca="1">IFERROR(__xludf.DUMMYFUNCTION("IFERROR(GOOGLETRANSLATE(B529,""en"",""zh-TW""),)"),"對不起")</f>
        <v>對不起</v>
      </c>
      <c r="E529" s="4" t="str">
        <f ca="1">IFERROR(__xludf.DUMMYFUNCTION("IFERROR(GOOGLETRANSLATE(B529,""en"",""zh-CN""),)"),"对不起")</f>
        <v>对不起</v>
      </c>
    </row>
    <row r="530" spans="1:5">
      <c r="A530" s="3" t="s">
        <v>2419</v>
      </c>
      <c r="B530" s="4" t="str">
        <f ca="1">IFERROR(__xludf.DUMMYFUNCTION("IFERROR(GOOGLETRANSLATE(A530,""ko"",""en""),)"),"That's")</f>
        <v>That's</v>
      </c>
      <c r="C530" s="4" t="str">
        <f ca="1">IFERROR(__xludf.DUMMYFUNCTION("IFERROR(GOOGLETRANSLATE(B530,""en"",""ja""),)"),"それは")</f>
        <v>それは</v>
      </c>
      <c r="D530" s="4" t="str">
        <f ca="1">IFERROR(__xludf.DUMMYFUNCTION("IFERROR(GOOGLETRANSLATE(B530,""en"",""zh-TW""),)"),"那是")</f>
        <v>那是</v>
      </c>
      <c r="E530" s="4" t="str">
        <f ca="1">IFERROR(__xludf.DUMMYFUNCTION("IFERROR(GOOGLETRANSLATE(B530,""en"",""zh-CN""),)"),"那是")</f>
        <v>那是</v>
      </c>
    </row>
    <row r="531" spans="1:5">
      <c r="A531" s="3" t="s">
        <v>2423</v>
      </c>
      <c r="B531" s="4" t="str">
        <f ca="1">IFERROR(__xludf.DUMMYFUNCTION("IFERROR(GOOGLETRANSLATE(A531,""ko"",""en""),)"),"for a moment")</f>
        <v>for a moment</v>
      </c>
      <c r="C531" s="4" t="str">
        <f ca="1">IFERROR(__xludf.DUMMYFUNCTION("IFERROR(GOOGLETRANSLATE(B531,""en"",""ja""),)"),"一瞬")</f>
        <v>一瞬</v>
      </c>
      <c r="D531" s="4" t="str">
        <f ca="1">IFERROR(__xludf.DUMMYFUNCTION("IFERROR(GOOGLETRANSLATE(B531,""en"",""zh-TW""),)"),"片刻")</f>
        <v>片刻</v>
      </c>
      <c r="E531" s="4" t="str">
        <f ca="1">IFERROR(__xludf.DUMMYFUNCTION("IFERROR(GOOGLETRANSLATE(B531,""en"",""zh-CN""),)"),"片刻")</f>
        <v>片刻</v>
      </c>
    </row>
    <row r="532" spans="1:5">
      <c r="A532" s="3" t="s">
        <v>2424</v>
      </c>
      <c r="B532" s="4" t="str">
        <f ca="1">IFERROR(__xludf.DUMMYFUNCTION("IFERROR(GOOGLETRANSLATE(A532,""ko"",""en""),)"),"Please wait")</f>
        <v>Please wait</v>
      </c>
      <c r="C532" s="4" t="str">
        <f ca="1">IFERROR(__xludf.DUMMYFUNCTION("IFERROR(GOOGLETRANSLATE(B532,""en"",""ja""),)"),"お待ちください")</f>
        <v>お待ちください</v>
      </c>
      <c r="D532" s="4" t="str">
        <f ca="1">IFERROR(__xludf.DUMMYFUNCTION("IFERROR(GOOGLETRANSLATE(B532,""en"",""zh-TW""),)"),"請稍等")</f>
        <v>請稍等</v>
      </c>
      <c r="E532" s="4" t="str">
        <f ca="1">IFERROR(__xludf.DUMMYFUNCTION("IFERROR(GOOGLETRANSLATE(B532,""en"",""zh-CN""),)"),"请稍等")</f>
        <v>请稍等</v>
      </c>
    </row>
    <row r="533" spans="1:5">
      <c r="A533" s="3" t="s">
        <v>2427</v>
      </c>
      <c r="B533" s="4" t="str">
        <f ca="1">IFERROR(__xludf.DUMMYFUNCTION("IFERROR(GOOGLETRANSLATE(A533,""ko"",""en""),)"),"Try on the pants")</f>
        <v>Try on the pants</v>
      </c>
      <c r="C533" s="4" t="str">
        <f ca="1">IFERROR(__xludf.DUMMYFUNCTION("IFERROR(GOOGLETRANSLATE(B533,""en"",""ja""),)"),"ズボンを試着してみましょう")</f>
        <v>ズボンを試着してみましょう</v>
      </c>
      <c r="D533" s="4" t="str">
        <f ca="1">IFERROR(__xludf.DUMMYFUNCTION("IFERROR(GOOGLETRANSLATE(B533,""en"",""zh-TW""),)"),"試穿褲子")</f>
        <v>試穿褲子</v>
      </c>
      <c r="E533" s="4" t="str">
        <f ca="1">IFERROR(__xludf.DUMMYFUNCTION("IFERROR(GOOGLETRANSLATE(B533,""en"",""zh-CN""),)"),"试穿裤子")</f>
        <v>试穿裤子</v>
      </c>
    </row>
    <row r="534" spans="1:5">
      <c r="A534" s="3" t="s">
        <v>2429</v>
      </c>
      <c r="B534" s="4" t="str">
        <f ca="1">IFERROR(__xludf.DUMMYFUNCTION("IFERROR(GOOGLETRANSLATE(A534,""ko"",""en""),)"),"It was a bit small.")</f>
        <v>It was a bit small.</v>
      </c>
      <c r="C534" s="4" t="str">
        <f ca="1">IFERROR(__xludf.DUMMYFUNCTION("IFERROR(GOOGLETRANSLATE(B534,""en"",""ja""),)"),"少し小さかった。")</f>
        <v>少し小さかった。</v>
      </c>
      <c r="D534" s="4" t="str">
        <f ca="1">IFERROR(__xludf.DUMMYFUNCTION("IFERROR(GOOGLETRANSLATE(B534,""en"",""zh-TW""),)"),"它有點小。")</f>
        <v>它有點小。</v>
      </c>
      <c r="E534" s="4" t="str">
        <f ca="1">IFERROR(__xludf.DUMMYFUNCTION("IFERROR(GOOGLETRANSLATE(B534,""en"",""zh-CN""),)"),"它有点小。")</f>
        <v>它有点小。</v>
      </c>
    </row>
    <row r="535" spans="1:5">
      <c r="A535" s="3" t="s">
        <v>2432</v>
      </c>
      <c r="B535" s="4" t="str">
        <f ca="1">IFERROR(__xludf.DUMMYFUNCTION("IFERROR(GOOGLETRANSLATE(A535,""ko"",""en""),)"),"The song was really good.")</f>
        <v>The song was really good.</v>
      </c>
      <c r="C535" s="4" t="str">
        <f ca="1">IFERROR(__xludf.DUMMYFUNCTION("IFERROR(GOOGLETRANSLATE(B535,""en"",""ja""),)"),"その曲は本当に良かった。")</f>
        <v>その曲は本当に良かった。</v>
      </c>
      <c r="D535" s="4" t="str">
        <f ca="1">IFERROR(__xludf.DUMMYFUNCTION("IFERROR(GOOGLETRANSLATE(B535,""en"",""zh-TW""),)"),"這首歌真的很好聽。")</f>
        <v>這首歌真的很好聽。</v>
      </c>
      <c r="E535" s="4" t="str">
        <f ca="1">IFERROR(__xludf.DUMMYFUNCTION("IFERROR(GOOGLETRANSLATE(B535,""en"",""zh-CN""),)"),"这首歌真的很好听。")</f>
        <v>这首歌真的很好听。</v>
      </c>
    </row>
    <row r="536" spans="1:5">
      <c r="A536" s="5" t="s">
        <v>2435</v>
      </c>
      <c r="B536" s="4" t="str">
        <f ca="1">IFERROR(__xludf.DUMMYFUNCTION("IFERROR(GOOGLETRANSLATE(A536,""ko"",""en""),)"),"The singers danced well, too.")</f>
        <v>The singers danced well, too.</v>
      </c>
      <c r="C536" s="4" t="str">
        <f ca="1">IFERROR(__xludf.DUMMYFUNCTION("IFERROR(GOOGLETRANSLATE(B536,""en"",""ja""),)"),"歌手たちのダンスも素晴らしかった。")</f>
        <v>歌手たちのダンスも素晴らしかった。</v>
      </c>
      <c r="D536" s="4" t="str">
        <f ca="1">IFERROR(__xludf.DUMMYFUNCTION("IFERROR(GOOGLETRANSLATE(B536,""en"",""zh-TW""),)"),"歌手們的舞蹈也跳得很好。")</f>
        <v>歌手們的舞蹈也跳得很好。</v>
      </c>
      <c r="E536" s="4" t="str">
        <f ca="1">IFERROR(__xludf.DUMMYFUNCTION("IFERROR(GOOGLETRANSLATE(B536,""en"",""zh-CN""),)"),"歌手们的舞蹈也跳得很好。")</f>
        <v>歌手们的舞蹈也跳得很好。</v>
      </c>
    </row>
    <row r="537" spans="1:5">
      <c r="A537" s="3" t="s">
        <v>2438</v>
      </c>
      <c r="B537" s="4" t="str">
        <f ca="1">IFERROR(__xludf.DUMMYFUNCTION("IFERROR(GOOGLETRANSLATE(A537,""ko"",""en""),)"),"It was really cool.")</f>
        <v>It was really cool.</v>
      </c>
      <c r="C537" s="4" t="str">
        <f ca="1">IFERROR(__xludf.DUMMYFUNCTION("IFERROR(GOOGLETRANSLATE(B537,""en"",""ja""),)"),"本当に素晴らしかった。")</f>
        <v>本当に素晴らしかった。</v>
      </c>
      <c r="D537" s="4" t="str">
        <f ca="1">IFERROR(__xludf.DUMMYFUNCTION("IFERROR(GOOGLETRANSLATE(B537,""en"",""zh-TW""),)"),"真是太棒了。")</f>
        <v>真是太棒了。</v>
      </c>
      <c r="E537" s="4" t="str">
        <f ca="1">IFERROR(__xludf.DUMMYFUNCTION("IFERROR(GOOGLETRANSLATE(B537,""en"",""zh-CN""),)"),"真是太棒了。")</f>
        <v>真是太棒了。</v>
      </c>
    </row>
    <row r="538" spans="1:5">
      <c r="A538" s="3" t="s">
        <v>2440</v>
      </c>
      <c r="B538" s="4" t="str">
        <f ca="1">IFERROR(__xludf.DUMMYFUNCTION("IFERROR(GOOGLETRANSLATE(A538,""ko"",""en""),)"),"dance")</f>
        <v>dance</v>
      </c>
      <c r="C538" s="4" t="str">
        <f ca="1">IFERROR(__xludf.DUMMYFUNCTION("IFERROR(GOOGLETRANSLATE(B538,""en"",""ja""),)"),"ダンス")</f>
        <v>ダンス</v>
      </c>
      <c r="D538" s="4" t="str">
        <f ca="1">IFERROR(__xludf.DUMMYFUNCTION("IFERROR(GOOGLETRANSLATE(B538,""en"",""zh-TW""),)"),"舞蹈")</f>
        <v>舞蹈</v>
      </c>
      <c r="E538" s="4" t="str">
        <f ca="1">IFERROR(__xludf.DUMMYFUNCTION("IFERROR(GOOGLETRANSLATE(B538,""en"",""zh-CN""),)"),"舞蹈")</f>
        <v>舞蹈</v>
      </c>
    </row>
    <row r="539" spans="1:5">
      <c r="A539" s="3" t="s">
        <v>2444</v>
      </c>
      <c r="B539" s="4" t="str">
        <f ca="1">IFERROR(__xludf.DUMMYFUNCTION("IFERROR(GOOGLETRANSLATE(A539,""ko"",""en""),)"),"Let's dance")</f>
        <v>Let's dance</v>
      </c>
      <c r="C539" s="4" t="str">
        <f ca="1">IFERROR(__xludf.DUMMYFUNCTION("IFERROR(GOOGLETRANSLATE(B539,""en"",""ja""),)"),"踊ろう")</f>
        <v>踊ろう</v>
      </c>
      <c r="D539" s="4" t="str">
        <f ca="1">IFERROR(__xludf.DUMMYFUNCTION("IFERROR(GOOGLETRANSLATE(B539,""en"",""zh-TW""),)"),"來跳舞吧")</f>
        <v>來跳舞吧</v>
      </c>
      <c r="E539" s="4" t="str">
        <f ca="1">IFERROR(__xludf.DUMMYFUNCTION("IFERROR(GOOGLETRANSLATE(B539,""en"",""zh-CN""),)"),"来跳舞吧")</f>
        <v>来跳舞吧</v>
      </c>
    </row>
    <row r="540" spans="1:5">
      <c r="A540" s="3" t="s">
        <v>2446</v>
      </c>
      <c r="B540" s="4" t="str">
        <f ca="1">IFERROR(__xludf.DUMMYFUNCTION("IFERROR(GOOGLETRANSLATE(A540,""ko"",""en""),)"),"I danced")</f>
        <v>I danced</v>
      </c>
      <c r="C540" s="4" t="str">
        <f ca="1">IFERROR(__xludf.DUMMYFUNCTION("IFERROR(GOOGLETRANSLATE(B540,""en"",""ja""),)"),"私は踊った")</f>
        <v>私は踊った</v>
      </c>
      <c r="D540" s="4" t="str">
        <f ca="1">IFERROR(__xludf.DUMMYFUNCTION("IFERROR(GOOGLETRANSLATE(B540,""en"",""zh-TW""),)"),"我跳舞了")</f>
        <v>我跳舞了</v>
      </c>
      <c r="E540" s="4" t="str">
        <f ca="1">IFERROR(__xludf.DUMMYFUNCTION("IFERROR(GOOGLETRANSLATE(B540,""en"",""zh-CN""),)"),"我跳舞了")</f>
        <v>我跳舞了</v>
      </c>
    </row>
    <row r="541" spans="1:5">
      <c r="A541" s="3" t="s">
        <v>2447</v>
      </c>
      <c r="B541" s="4" t="str">
        <f ca="1">IFERROR(__xludf.DUMMYFUNCTION("IFERROR(GOOGLETRANSLATE(A541,""ko"",""en""),)"),"My sister is going to buy a hiking hat.")</f>
        <v>My sister is going to buy a hiking hat.</v>
      </c>
      <c r="C541" s="4" t="str">
        <f ca="1">IFERROR(__xludf.DUMMYFUNCTION("IFERROR(GOOGLETRANSLATE(B541,""en"",""ja""),)"),"妹はハイキング用の帽子を買う予定です。")</f>
        <v>妹はハイキング用の帽子を買う予定です。</v>
      </c>
      <c r="D541" s="4" t="str">
        <f ca="1">IFERROR(__xludf.DUMMYFUNCTION("IFERROR(GOOGLETRANSLATE(B541,""en"",""zh-TW""),)"),"我姐姐打算買一頂登山帽。")</f>
        <v>我姐姐打算買一頂登山帽。</v>
      </c>
      <c r="E541" s="4" t="str">
        <f ca="1">IFERROR(__xludf.DUMMYFUNCTION("IFERROR(GOOGLETRANSLATE(B541,""en"",""zh-CN""),)"),"我姐姐打算买一顶登山帽。")</f>
        <v>我姐姐打算买一顶登山帽。</v>
      </c>
    </row>
    <row r="542" spans="1:5">
      <c r="A542" s="3" t="s">
        <v>2449</v>
      </c>
      <c r="B542" s="4" t="str">
        <f ca="1">IFERROR(__xludf.DUMMYFUNCTION("IFERROR(GOOGLETRANSLATE(A542,""ko"",""en""),)"),"My house")</f>
        <v>My house</v>
      </c>
      <c r="C542" s="4" t="str">
        <f ca="1">IFERROR(__xludf.DUMMYFUNCTION("IFERROR(GOOGLETRANSLATE(B542,""en"",""ja""),)"),"私の家")</f>
        <v>私の家</v>
      </c>
      <c r="D542" s="4" t="str">
        <f ca="1">IFERROR(__xludf.DUMMYFUNCTION("IFERROR(GOOGLETRANSLATE(B542,""en"",""zh-TW""),)"),"我的房子")</f>
        <v>我的房子</v>
      </c>
      <c r="E542" s="4" t="str">
        <f ca="1">IFERROR(__xludf.DUMMYFUNCTION("IFERROR(GOOGLETRANSLATE(B542,""en"",""zh-CN""),)"),"我的房子")</f>
        <v>我的房子</v>
      </c>
    </row>
    <row r="543" spans="1:5">
      <c r="A543" s="5" t="s">
        <v>2451</v>
      </c>
      <c r="B543" s="4" t="str">
        <f ca="1">IFERROR(__xludf.DUMMYFUNCTION("IFERROR(GOOGLETRANSLATE(A543,""ko"",""en""),)"),"I go to that store often because the fruit is cheap.")</f>
        <v>I go to that store often because the fruit is cheap.</v>
      </c>
      <c r="C543" s="4" t="str">
        <f ca="1">IFERROR(__xludf.DUMMYFUNCTION("IFERROR(GOOGLETRANSLATE(B543,""en"",""ja""),)"),"あの店は果物が安いので、よく行きます。")</f>
        <v>あの店は果物が安いので、よく行きます。</v>
      </c>
      <c r="D543" s="4" t="str">
        <f ca="1">IFERROR(__xludf.DUMMYFUNCTION("IFERROR(GOOGLETRANSLATE(B543,""en"",""zh-TW""),)"),"我常去那家店，因為那裡的水果很便宜。")</f>
        <v>我常去那家店，因為那裡的水果很便宜。</v>
      </c>
      <c r="E543" s="4" t="str">
        <f ca="1">IFERROR(__xludf.DUMMYFUNCTION("IFERROR(GOOGLETRANSLATE(B543,""en"",""zh-CN""),)"),"我经常去那家店，因为那里的水果很便宜。")</f>
        <v>我经常去那家店，因为那里的水果很便宜。</v>
      </c>
    </row>
    <row r="544" spans="1:5">
      <c r="A544" s="3" t="s">
        <v>2453</v>
      </c>
      <c r="B544" s="4" t="str">
        <f ca="1">IFERROR(__xludf.DUMMYFUNCTION("IFERROR(GOOGLETRANSLATE(A544,""ko"",""en""),)"),"There is a very large fruit store near my house.")</f>
        <v>There is a very large fruit store near my house.</v>
      </c>
      <c r="C544" s="4" t="str">
        <f ca="1">IFERROR(__xludf.DUMMYFUNCTION("IFERROR(GOOGLETRANSLATE(B544,""en"",""ja""),)"),"私の家の近くにはとても大きな果物屋があります。")</f>
        <v>私の家の近くにはとても大きな果物屋があります。</v>
      </c>
      <c r="D544" s="4" t="str">
        <f ca="1">IFERROR(__xludf.DUMMYFUNCTION("IFERROR(GOOGLETRANSLATE(B544,""en"",""zh-TW""),)"),"我家附近有一家非常大的水果店。")</f>
        <v>我家附近有一家非常大的水果店。</v>
      </c>
      <c r="E544" s="4" t="str">
        <f ca="1">IFERROR(__xludf.DUMMYFUNCTION("IFERROR(GOOGLETRANSLATE(B544,""en"",""zh-CN""),)"),"我家附近有一家非常大的水果店。")</f>
        <v>我家附近有一家非常大的水果店。</v>
      </c>
    </row>
    <row r="545" spans="1:5">
      <c r="A545" s="3" t="s">
        <v>2456</v>
      </c>
      <c r="B545" s="4" t="str">
        <f ca="1">IFERROR(__xludf.DUMMYFUNCTION("IFERROR(GOOGLETRANSLATE(A545,""ko"",""en""),)"),"Where is Sejong Restaurant?")</f>
        <v>Where is Sejong Restaurant?</v>
      </c>
      <c r="C545" s="4" t="str">
        <f ca="1">IFERROR(__xludf.DUMMYFUNCTION("IFERROR(GOOGLETRANSLATE(B545,""en"",""ja""),)"),"世宗レストランはどこにありますか？")</f>
        <v>世宗レストランはどこにありますか？</v>
      </c>
      <c r="D545" s="4" t="str">
        <f ca="1">IFERROR(__xludf.DUMMYFUNCTION("IFERROR(GOOGLETRANSLATE(B545,""en"",""zh-TW""),)"),"世宗餐廳在哪裡？")</f>
        <v>世宗餐廳在哪裡？</v>
      </c>
      <c r="E545" s="4" t="str">
        <f ca="1">IFERROR(__xludf.DUMMYFUNCTION("IFERROR(GOOGLETRANSLATE(B545,""en"",""zh-CN""),)"),"世宗餐厅在哪里？")</f>
        <v>世宗餐厅在哪里？</v>
      </c>
    </row>
    <row r="546" spans="1:5">
      <c r="A546" s="5" t="s">
        <v>2459</v>
      </c>
      <c r="B546" s="4" t="str">
        <f ca="1">IFERROR(__xludf.DUMMYFUNCTION("IFERROR(GOOGLETRANSLATE(A546,""ko"",""en""),)"),"You can ask for directions and get an answer.")</f>
        <v>You can ask for directions and get an answer.</v>
      </c>
      <c r="C546" s="4" t="str">
        <f ca="1">IFERROR(__xludf.DUMMYFUNCTION("IFERROR(GOOGLETRANSLATE(B546,""en"",""ja""),)"),"道順を尋ねれば、答えが得られます。")</f>
        <v>道順を尋ねれば、答えが得られます。</v>
      </c>
      <c r="D546" s="4" t="str">
        <f ca="1">IFERROR(__xludf.DUMMYFUNCTION("IFERROR(GOOGLETRANSLATE(B546,""en"",""zh-TW""),)"),"你可以問路並得到答案。")</f>
        <v>你可以問路並得到答案。</v>
      </c>
      <c r="E546" s="4" t="str">
        <f ca="1">IFERROR(__xludf.DUMMYFUNCTION("IFERROR(GOOGLETRANSLATE(B546,""en"",""zh-CN""),)"),"你可以问路并得到答案。")</f>
        <v>你可以问路并得到答案。</v>
      </c>
    </row>
    <row r="547" spans="1:5">
      <c r="A547" s="3" t="s">
        <v>2461</v>
      </c>
      <c r="B547" s="4" t="str">
        <f ca="1">IFERROR(__xludf.DUMMYFUNCTION("IFERROR(GOOGLETRANSLATE(A547,""ko"",""en""),)"),"Go up")</f>
        <v>Go up</v>
      </c>
      <c r="C547" s="4" t="str">
        <f ca="1">IFERROR(__xludf.DUMMYFUNCTION("IFERROR(GOOGLETRANSLATE(B547,""en"",""ja""),)"),"上へ")</f>
        <v>上へ</v>
      </c>
      <c r="D547" s="4" t="str">
        <f ca="1">IFERROR(__xludf.DUMMYFUNCTION("IFERROR(GOOGLETRANSLATE(B547,""en"",""zh-TW""),)"),"上")</f>
        <v>上</v>
      </c>
      <c r="E547" s="4" t="str">
        <f ca="1">IFERROR(__xludf.DUMMYFUNCTION("IFERROR(GOOGLETRANSLATE(B547,""en"",""zh-CN""),)"),"上")</f>
        <v>上</v>
      </c>
    </row>
    <row r="548" spans="1:5">
      <c r="A548" s="3" t="s">
        <v>2462</v>
      </c>
      <c r="B548" s="4" t="str">
        <f ca="1">IFERROR(__xludf.DUMMYFUNCTION("IFERROR(GOOGLETRANSLATE(A548,""ko"",""en""),)"),"Go down")</f>
        <v>Go down</v>
      </c>
      <c r="C548" s="4" t="str">
        <f ca="1">IFERROR(__xludf.DUMMYFUNCTION("IFERROR(GOOGLETRANSLATE(B548,""en"",""ja""),)"),"下へ")</f>
        <v>下へ</v>
      </c>
      <c r="D548" s="4" t="str">
        <f ca="1">IFERROR(__xludf.DUMMYFUNCTION("IFERROR(GOOGLETRANSLATE(B548,""en"",""zh-TW""),)"),"下去")</f>
        <v>下去</v>
      </c>
      <c r="E548" s="4" t="str">
        <f ca="1">IFERROR(__xludf.DUMMYFUNCTION("IFERROR(GOOGLETRANSLATE(B548,""en"",""zh-CN""),)"),"下去")</f>
        <v>下去</v>
      </c>
    </row>
    <row r="549" spans="1:5">
      <c r="A549" s="3" t="s">
        <v>2463</v>
      </c>
      <c r="B549" s="4" t="str">
        <f ca="1">IFERROR(__xludf.DUMMYFUNCTION("IFERROR(GOOGLETRANSLATE(A549,""ko"",""en""),)"),"I'm leaving")</f>
        <v>I'm leaving</v>
      </c>
      <c r="C549" s="4" t="str">
        <f ca="1">IFERROR(__xludf.DUMMYFUNCTION("IFERROR(GOOGLETRANSLATE(B549,""en"",""ja""),)"),"私は行きます")</f>
        <v>私は行きます</v>
      </c>
      <c r="D549" s="4" t="str">
        <f ca="1">IFERROR(__xludf.DUMMYFUNCTION("IFERROR(GOOGLETRANSLATE(B549,""en"",""zh-TW""),)"),"我要走了")</f>
        <v>我要走了</v>
      </c>
      <c r="E549" s="4" t="str">
        <f ca="1">IFERROR(__xludf.DUMMYFUNCTION("IFERROR(GOOGLETRANSLATE(B549,""en"",""zh-CN""),)"),"我要走了")</f>
        <v>我要走了</v>
      </c>
    </row>
    <row r="550" spans="1:5">
      <c r="A550" s="3" t="s">
        <v>2466</v>
      </c>
      <c r="B550" s="4" t="str">
        <f ca="1">IFERROR(__xludf.DUMMYFUNCTION("IFERROR(GOOGLETRANSLATE(A550,""ko"",""en""),)"),"I'm going in.")</f>
        <v>I'm going in.</v>
      </c>
      <c r="C550" s="4" t="str">
        <f ca="1">IFERROR(__xludf.DUMMYFUNCTION("IFERROR(GOOGLETRANSLATE(B550,""en"",""ja""),)"),"入るよ。")</f>
        <v>入るよ。</v>
      </c>
      <c r="D550" s="4" t="str">
        <f ca="1">IFERROR(__xludf.DUMMYFUNCTION("IFERROR(GOOGLETRANSLATE(B550,""en"",""zh-TW""),)"),"我要進去了。")</f>
        <v>我要進去了。</v>
      </c>
      <c r="E550" s="4" t="str">
        <f ca="1">IFERROR(__xludf.DUMMYFUNCTION("IFERROR(GOOGLETRANSLATE(B550,""en"",""zh-CN""),)"),"我要进去了。")</f>
        <v>我要进去了。</v>
      </c>
    </row>
    <row r="551" spans="1:5">
      <c r="A551" s="5" t="s">
        <v>2468</v>
      </c>
      <c r="B551" s="4" t="str">
        <f ca="1">IFERROR(__xludf.DUMMYFUNCTION("IFERROR(GOOGLETRANSLATE(A551,""ko"",""en""),)"),"Go straight")</f>
        <v>Go straight</v>
      </c>
      <c r="C551" s="4" t="str">
        <f ca="1">IFERROR(__xludf.DUMMYFUNCTION("IFERROR(GOOGLETRANSLATE(B551,""en"",""ja""),)"),"真っ直ぐ進んで下さい")</f>
        <v>真っ直ぐ進んで下さい</v>
      </c>
      <c r="D551" s="4" t="str">
        <f ca="1">IFERROR(__xludf.DUMMYFUNCTION("IFERROR(GOOGLETRANSLATE(B551,""en"",""zh-TW""),)"),"直行")</f>
        <v>直行</v>
      </c>
      <c r="E551" s="4" t="str">
        <f ca="1">IFERROR(__xludf.DUMMYFUNCTION("IFERROR(GOOGLETRANSLATE(B551,""en"",""zh-CN""),)"),"直行")</f>
        <v>直行</v>
      </c>
    </row>
    <row r="552" spans="1:5">
      <c r="A552" s="5" t="s">
        <v>2469</v>
      </c>
      <c r="B552" s="4" t="str">
        <f ca="1">IFERROR(__xludf.DUMMYFUNCTION("IFERROR(GOOGLETRANSLATE(A552,""ko"",""en""),)"),"Go back")</f>
        <v>Go back</v>
      </c>
      <c r="C552" s="4" t="str">
        <f ca="1">IFERROR(__xludf.DUMMYFUNCTION("IFERROR(GOOGLETRANSLATE(B552,""en"",""ja""),)"),"戻る")</f>
        <v>戻る</v>
      </c>
      <c r="D552" s="4" t="str">
        <f ca="1">IFERROR(__xludf.DUMMYFUNCTION("IFERROR(GOOGLETRANSLATE(B552,""en"",""zh-TW""),)"),"回去")</f>
        <v>回去</v>
      </c>
      <c r="E552" s="4" t="str">
        <f ca="1">IFERROR(__xludf.DUMMYFUNCTION("IFERROR(GOOGLETRANSLATE(B552,""en"",""zh-CN""),)"),"回去")</f>
        <v>回去</v>
      </c>
    </row>
    <row r="553" spans="1:5">
      <c r="A553" s="3" t="s">
        <v>2471</v>
      </c>
      <c r="B553" s="4" t="str">
        <f ca="1">IFERROR(__xludf.DUMMYFUNCTION("IFERROR(GOOGLETRANSLATE(A553,""ko"",""en""),)"),"Let's cross over.")</f>
        <v>Let's cross over.</v>
      </c>
      <c r="C553" s="4" t="str">
        <f ca="1">IFERROR(__xludf.DUMMYFUNCTION("IFERROR(GOOGLETRANSLATE(B553,""en"",""ja""),)"),"向こう岸へ渡りましょう。")</f>
        <v>向こう岸へ渡りましょう。</v>
      </c>
      <c r="D553" s="4" t="str">
        <f ca="1">IFERROR(__xludf.DUMMYFUNCTION("IFERROR(GOOGLETRANSLATE(B553,""en"",""zh-TW""),)"),"我們過河吧。")</f>
        <v>我們過河吧。</v>
      </c>
      <c r="E553" s="4" t="str">
        <f ca="1">IFERROR(__xludf.DUMMYFUNCTION("IFERROR(GOOGLETRANSLATE(B553,""en"",""zh-CN""),)"),"我们过河吧。")</f>
        <v>我们过河吧。</v>
      </c>
    </row>
    <row r="554" spans="1:5">
      <c r="A554" s="5" t="s">
        <v>2475</v>
      </c>
      <c r="B554" s="4" t="str">
        <f ca="1">IFERROR(__xludf.DUMMYFUNCTION("IFERROR(GOOGLETRANSLATE(A554,""ko"",""en""),)"),"Jina")</f>
        <v>Jina</v>
      </c>
      <c r="C554" s="4" t="str">
        <f ca="1">IFERROR(__xludf.DUMMYFUNCTION("IFERROR(GOOGLETRANSLATE(B554,""en"",""ja""),)"),"ジナ")</f>
        <v>ジナ</v>
      </c>
      <c r="D554" s="4" t="str">
        <f ca="1">IFERROR(__xludf.DUMMYFUNCTION("IFERROR(GOOGLETRANSLATE(B554,""en"",""zh-TW""),)"),"吉納")</f>
        <v>吉納</v>
      </c>
      <c r="E554" s="4" t="str">
        <f ca="1">IFERROR(__xludf.DUMMYFUNCTION("IFERROR(GOOGLETRANSLATE(B554,""en"",""zh-CN""),)"),"吉纳")</f>
        <v>吉纳</v>
      </c>
    </row>
    <row r="555" spans="1:5">
      <c r="A555" s="5" t="s">
        <v>2478</v>
      </c>
      <c r="B555" s="4" t="s">
        <v>2479</v>
      </c>
      <c r="C555" s="4" t="str">
        <f ca="1">IFERROR(__xludf.DUMMYFUNCTION("IFERROR(GOOGLETRANSLATE(B555,""en"",""ja""),)"),"（自分より下の立場の人に）上がっていく")</f>
        <v>（自分より下の立場の人に）上がっていく</v>
      </c>
      <c r="D555" s="4" t="str">
        <f ca="1">IFERROR(__xludf.DUMMYFUNCTION("IFERROR(GOOGLETRANSLATE(B555,""en"",""zh-TW""),)"),"上前（對下屬）")</f>
        <v>上前（對下屬）</v>
      </c>
      <c r="E555" s="4" t="str">
        <f ca="1">IFERROR(__xludf.DUMMYFUNCTION("IFERROR(GOOGLETRANSLATE(B555,""en"",""zh-CN""),)"),"上前（对下属）")</f>
        <v>上前（对下属）</v>
      </c>
    </row>
    <row r="556" spans="1:5">
      <c r="A556" s="3" t="s">
        <v>2482</v>
      </c>
      <c r="B556" s="4" t="str">
        <f ca="1">IFERROR(__xludf.DUMMYFUNCTION("IFERROR(GOOGLETRANSLATE(A556,""ko"",""en""),)"),"The parking lot is behind the building. Please go around.")</f>
        <v>The parking lot is behind the building. Please go around.</v>
      </c>
      <c r="C556" s="4" t="str">
        <f ca="1">IFERROR(__xludf.DUMMYFUNCTION("IFERROR(GOOGLETRANSLATE(B556,""en"",""ja""),)"),"駐車場は建物の裏手にあります。迂回してください。")</f>
        <v>駐車場は建物の裏手にあります。迂回してください。</v>
      </c>
      <c r="D556" s="4" t="str">
        <f ca="1">IFERROR(__xludf.DUMMYFUNCTION("IFERROR(GOOGLETRANSLATE(B556,""en"",""zh-TW""),)"),"停車場在樓後，請繞行。")</f>
        <v>停車場在樓後，請繞行。</v>
      </c>
      <c r="E556" s="4" t="str">
        <f ca="1">IFERROR(__xludf.DUMMYFUNCTION("IFERROR(GOOGLETRANSLATE(B556,""en"",""zh-CN""),)"),"停车场在楼后，请绕行。")</f>
        <v>停车场在楼后，请绕行。</v>
      </c>
    </row>
    <row r="557" spans="1:5">
      <c r="A557" s="3" t="s">
        <v>2484</v>
      </c>
      <c r="B557" s="4" t="str">
        <f ca="1">IFERROR(__xludf.DUMMYFUNCTION("IFERROR(GOOGLETRANSLATE(A557,""ko"",""en""),)"),"The restaurant is in the basement. Please go down.")</f>
        <v>The restaurant is in the basement. Please go down.</v>
      </c>
      <c r="C557" s="4" t="str">
        <f ca="1">IFERROR(__xludf.DUMMYFUNCTION("IFERROR(GOOGLETRANSLATE(B557,""en"",""ja""),)"),"レストランは地下にあります。下に降りてください。")</f>
        <v>レストランは地下にあります。下に降りてください。</v>
      </c>
      <c r="D557" s="4" t="str">
        <f ca="1">IFERROR(__xludf.DUMMYFUNCTION("IFERROR(GOOGLETRANSLATE(B557,""en"",""zh-TW""),)"),"餐廳在地下室，請下樓。")</f>
        <v>餐廳在地下室，請下樓。</v>
      </c>
      <c r="E557" s="4" t="str">
        <f ca="1">IFERROR(__xludf.DUMMYFUNCTION("IFERROR(GOOGLETRANSLATE(B557,""en"",""zh-CN""),)"),"餐厅在地下室，请下楼。")</f>
        <v>餐厅在地下室，请下楼。</v>
      </c>
    </row>
    <row r="558" spans="1:5">
      <c r="A558" s="3" t="s">
        <v>2487</v>
      </c>
      <c r="B558" s="4" t="str">
        <f ca="1">IFERROR(__xludf.DUMMYFUNCTION("IFERROR(GOOGLETRANSLATE(A558,""ko"",""en""),)"),"There is a convenience store outside. Please go out.")</f>
        <v>There is a convenience store outside. Please go out.</v>
      </c>
      <c r="C558" s="4" t="str">
        <f ca="1">IFERROR(__xludf.DUMMYFUNCTION("IFERROR(GOOGLETRANSLATE(B558,""en"",""ja""),)"),"外にコンビニがあります。外に出てください。")</f>
        <v>外にコンビニがあります。外に出てください。</v>
      </c>
      <c r="D558" s="4" t="str">
        <f ca="1">IFERROR(__xludf.DUMMYFUNCTION("IFERROR(GOOGLETRANSLATE(B558,""en"",""zh-TW""),)"),"外面有便利商店，請出去。")</f>
        <v>外面有便利商店，請出去。</v>
      </c>
      <c r="E558" s="4" t="str">
        <f ca="1">IFERROR(__xludf.DUMMYFUNCTION("IFERROR(GOOGLETRANSLATE(B558,""en"",""zh-CN""),)"),"外面有家便利店，请出去。")</f>
        <v>外面有家便利店，请出去。</v>
      </c>
    </row>
    <row r="559" spans="1:5">
      <c r="A559" s="3" t="s">
        <v>2490</v>
      </c>
      <c r="B559" s="4" t="str">
        <f ca="1">IFERROR(__xludf.DUMMYFUNCTION("IFERROR(GOOGLETRANSLATE(A559,""ko"",""en""),)"),"The classroom is on the second floor. Please go up.")</f>
        <v>The classroom is on the second floor. Please go up.</v>
      </c>
      <c r="C559" s="4" t="str">
        <f ca="1">IFERROR(__xludf.DUMMYFUNCTION("IFERROR(GOOGLETRANSLATE(B559,""en"",""ja""),)"),"教室は2階です。上がってください。")</f>
        <v>教室は2階です。上がってください。</v>
      </c>
      <c r="D559" s="4" t="str">
        <f ca="1">IFERROR(__xludf.DUMMYFUNCTION("IFERROR(GOOGLETRANSLATE(B559,""en"",""zh-TW""),)"),"教室在二樓，請上去。")</f>
        <v>教室在二樓，請上去。</v>
      </c>
      <c r="E559" s="4" t="str">
        <f ca="1">IFERROR(__xludf.DUMMYFUNCTION("IFERROR(GOOGLETRANSLATE(B559,""en"",""zh-CN""),)"),"教室在二楼，请上去。")</f>
        <v>教室在二楼，请上去。</v>
      </c>
    </row>
    <row r="560" spans="1:5">
      <c r="A560" s="3" t="s">
        <v>2493</v>
      </c>
      <c r="B560" s="4" t="str">
        <f ca="1">IFERROR(__xludf.DUMMYFUNCTION("IFERROR(GOOGLETRANSLATE(A560,""ko"",""en""),)"),"Please go up.")</f>
        <v>Please go up.</v>
      </c>
      <c r="C560" s="4" t="str">
        <f ca="1">IFERROR(__xludf.DUMMYFUNCTION("IFERROR(GOOGLETRANSLATE(B560,""en"",""ja""),)"),"上に上がってください。")</f>
        <v>上に上がってください。</v>
      </c>
      <c r="D560" s="4" t="str">
        <f ca="1">IFERROR(__xludf.DUMMYFUNCTION("IFERROR(GOOGLETRANSLATE(B560,""en"",""zh-TW""),)"),"請上去。")</f>
        <v>請上去。</v>
      </c>
      <c r="E560" s="4" t="str">
        <f ca="1">IFERROR(__xludf.DUMMYFUNCTION("IFERROR(GOOGLETRANSLATE(B560,""en"",""zh-CN""),)"),"请上去。")</f>
        <v>请上去。</v>
      </c>
    </row>
    <row r="561" spans="1:5">
      <c r="A561" s="3" t="s">
        <v>2494</v>
      </c>
      <c r="B561" s="4" t="str">
        <f ca="1">IFERROR(__xludf.DUMMYFUNCTION("IFERROR(GOOGLETRANSLATE(A561,""ko"",""en""),)"),"Please go down.")</f>
        <v>Please go down.</v>
      </c>
      <c r="C561" s="4" t="str">
        <f ca="1">IFERROR(__xludf.DUMMYFUNCTION("IFERROR(GOOGLETRANSLATE(B561,""en"",""ja""),)"),"下に降りてください。")</f>
        <v>下に降りてください。</v>
      </c>
      <c r="D561" s="4" t="str">
        <f ca="1">IFERROR(__xludf.DUMMYFUNCTION("IFERROR(GOOGLETRANSLATE(B561,""en"",""zh-TW""),)"),"請下去。")</f>
        <v>請下去。</v>
      </c>
      <c r="E561" s="4" t="str">
        <f ca="1">IFERROR(__xludf.DUMMYFUNCTION("IFERROR(GOOGLETRANSLATE(B561,""en"",""zh-CN""),)"),"请下去。")</f>
        <v>请下去。</v>
      </c>
    </row>
    <row r="562" spans="1:5">
      <c r="A562" s="3" t="s">
        <v>2495</v>
      </c>
      <c r="B562" s="4" t="str">
        <f ca="1">IFERROR(__xludf.DUMMYFUNCTION("IFERROR(GOOGLETRANSLATE(A562,""ko"",""en""),)"),"Get out.")</f>
        <v>Get out.</v>
      </c>
      <c r="C562" s="4" t="str">
        <f ca="1">IFERROR(__xludf.DUMMYFUNCTION("IFERROR(GOOGLETRANSLATE(B562,""en"",""ja""),)"),"出て行け。")</f>
        <v>出て行け。</v>
      </c>
      <c r="D562" s="4" t="str">
        <f ca="1">IFERROR(__xludf.DUMMYFUNCTION("IFERROR(GOOGLETRANSLATE(B562,""en"",""zh-TW""),)"),"出去。")</f>
        <v>出去。</v>
      </c>
      <c r="E562" s="4" t="str">
        <f ca="1">IFERROR(__xludf.DUMMYFUNCTION("IFERROR(GOOGLETRANSLATE(B562,""en"",""zh-CN""),)"),"出去。")</f>
        <v>出去。</v>
      </c>
    </row>
    <row r="563" spans="1:5">
      <c r="A563" s="3" t="s">
        <v>2496</v>
      </c>
      <c r="B563" s="4" t="str">
        <f ca="1">IFERROR(__xludf.DUMMYFUNCTION("IFERROR(GOOGLETRANSLATE(A563,""ko"",""en""),)"),"Please come in.")</f>
        <v>Please come in.</v>
      </c>
      <c r="C563" s="4" t="str">
        <f ca="1">IFERROR(__xludf.DUMMYFUNCTION("IFERROR(GOOGLETRANSLATE(B563,""en"",""ja""),)"),"どうぞお入りください。")</f>
        <v>どうぞお入りください。</v>
      </c>
      <c r="D563" s="4" t="str">
        <f ca="1">IFERROR(__xludf.DUMMYFUNCTION("IFERROR(GOOGLETRANSLATE(B563,""en"",""zh-TW""),)"),"請進。")</f>
        <v>請進。</v>
      </c>
      <c r="E563" s="4" t="str">
        <f ca="1">IFERROR(__xludf.DUMMYFUNCTION("IFERROR(GOOGLETRANSLATE(B563,""en"",""zh-CN""),)"),"请进。")</f>
        <v>请进。</v>
      </c>
    </row>
    <row r="564" spans="1:5">
      <c r="A564" s="3" t="s">
        <v>2497</v>
      </c>
      <c r="B564" s="4" t="str">
        <f ca="1">IFERROR(__xludf.DUMMYFUNCTION("IFERROR(GOOGLETRANSLATE(A564,""ko"",""en""),)"),"Go straight.")</f>
        <v>Go straight.</v>
      </c>
      <c r="C564" s="4" t="str">
        <f ca="1">IFERROR(__xludf.DUMMYFUNCTION("IFERROR(GOOGLETRANSLATE(B564,""en"",""ja""),)"),"真っ直ぐ進んで下さい。")</f>
        <v>真っ直ぐ進んで下さい。</v>
      </c>
      <c r="D564" s="4" t="str">
        <f ca="1">IFERROR(__xludf.DUMMYFUNCTION("IFERROR(GOOGLETRANSLATE(B564,""en"",""zh-TW""),)"),"直行。")</f>
        <v>直行。</v>
      </c>
      <c r="E564" s="4" t="str">
        <f ca="1">IFERROR(__xludf.DUMMYFUNCTION("IFERROR(GOOGLETRANSLATE(B564,""en"",""zh-CN""),)"),"直行。")</f>
        <v>直行。</v>
      </c>
    </row>
    <row r="565" spans="1:5">
      <c r="A565" s="3" t="s">
        <v>2499</v>
      </c>
      <c r="B565" s="4" t="str">
        <f ca="1">IFERROR(__xludf.DUMMYFUNCTION("IFERROR(GOOGLETRANSLATE(A565,""ko"",""en""),)"),"Go back.")</f>
        <v>Go back.</v>
      </c>
      <c r="C565" s="4" t="str">
        <f ca="1">IFERROR(__xludf.DUMMYFUNCTION("IFERROR(GOOGLETRANSLATE(B565,""en"",""ja""),)"),"戻ってください。")</f>
        <v>戻ってください。</v>
      </c>
      <c r="D565" s="4" t="str">
        <f ca="1">IFERROR(__xludf.DUMMYFUNCTION("IFERROR(GOOGLETRANSLATE(B565,""en"",""zh-TW""),)"),"回去。")</f>
        <v>回去。</v>
      </c>
      <c r="E565" s="4" t="str">
        <f ca="1">IFERROR(__xludf.DUMMYFUNCTION("IFERROR(GOOGLETRANSLATE(B565,""en"",""zh-CN""),)"),"回去。")</f>
        <v>回去。</v>
      </c>
    </row>
    <row r="566" spans="1:5">
      <c r="A566" s="3" t="s">
        <v>2501</v>
      </c>
      <c r="B566" s="4" t="str">
        <f ca="1">IFERROR(__xludf.DUMMYFUNCTION("IFERROR(GOOGLETRANSLATE(A566,""ko"",""en""),)"),"Please cross over.")</f>
        <v>Please cross over.</v>
      </c>
      <c r="C566" s="4" t="str">
        <f ca="1">IFERROR(__xludf.DUMMYFUNCTION("IFERROR(GOOGLETRANSLATE(B566,""en"",""ja""),)"),"向こう側へ渡ってください。")</f>
        <v>向こう側へ渡ってください。</v>
      </c>
      <c r="D566" s="4" t="str">
        <f ca="1">IFERROR(__xludf.DUMMYFUNCTION("IFERROR(GOOGLETRANSLATE(B566,""en"",""zh-TW""),)"),"請過馬路。")</f>
        <v>請過馬路。</v>
      </c>
      <c r="E566" s="4" t="str">
        <f ca="1">IFERROR(__xludf.DUMMYFUNCTION("IFERROR(GOOGLETRANSLATE(B566,""en"",""zh-CN""),)"),"请过马路。")</f>
        <v>请过马路。</v>
      </c>
    </row>
    <row r="567" spans="1:5">
      <c r="A567" s="3" t="s">
        <v>2504</v>
      </c>
      <c r="B567" s="14" t="str">
        <f ca="1">IFERROR(__xludf.DUMMYFUNCTION("IFERROR(GOOGLETRANSLATE(A567,""ko"",""en""),)"),"Please pass by.")</f>
        <v>Please pass by.</v>
      </c>
      <c r="C567" s="4" t="str">
        <f ca="1">IFERROR(__xludf.DUMMYFUNCTION("IFERROR(GOOGLETRANSLATE(B567,""en"",""ja""),)"),"どうぞお通りください。")</f>
        <v>どうぞお通りください。</v>
      </c>
      <c r="D567" s="4" t="str">
        <f ca="1">IFERROR(__xludf.DUMMYFUNCTION("IFERROR(GOOGLETRANSLATE(B567,""en"",""zh-TW""),)"),"請從旁邊經過。")</f>
        <v>請從旁邊經過。</v>
      </c>
      <c r="E567" s="4" t="str">
        <f ca="1">IFERROR(__xludf.DUMMYFUNCTION("IFERROR(GOOGLETRANSLATE(B567,""en"",""zh-CN""),)"),"请从旁边经过。")</f>
        <v>请从旁边经过。</v>
      </c>
    </row>
    <row r="568" spans="1:5">
      <c r="A568" s="3" t="s">
        <v>2508</v>
      </c>
      <c r="B568" s="4" t="str">
        <f ca="1">IFERROR(__xludf.DUMMYFUNCTION("IFERROR(GOOGLETRANSLATE(A568,""ko"",""en""),)"),"Where is the cosmetics store?")</f>
        <v>Where is the cosmetics store?</v>
      </c>
      <c r="C568" s="4" t="str">
        <f ca="1">IFERROR(__xludf.DUMMYFUNCTION("IFERROR(GOOGLETRANSLATE(B568,""en"",""ja""),)"),"化粧品店はどこですか？")</f>
        <v>化粧品店はどこですか？</v>
      </c>
      <c r="D568" s="4" t="str">
        <f ca="1">IFERROR(__xludf.DUMMYFUNCTION("IFERROR(GOOGLETRANSLATE(B568,""en"",""zh-TW""),)"),"化妝品店在哪裡？")</f>
        <v>化妝品店在哪裡？</v>
      </c>
      <c r="E568" s="4" t="str">
        <f ca="1">IFERROR(__xludf.DUMMYFUNCTION("IFERROR(GOOGLETRANSLATE(B568,""en"",""zh-CN""),)"),"化妆品店在哪里？")</f>
        <v>化妆品店在哪里？</v>
      </c>
    </row>
    <row r="569" spans="1:5">
      <c r="A569" s="3" t="s">
        <v>2511</v>
      </c>
      <c r="B569" s="4" t="str">
        <f ca="1">IFERROR(__xludf.DUMMYFUNCTION("IFERROR(GOOGLETRANSLATE(A569,""ko"",""en""),)"),"It's on the first floor. Please go down.")</f>
        <v>It's on the first floor. Please go down.</v>
      </c>
      <c r="C569" s="4" t="str">
        <f ca="1">IFERROR(__xludf.DUMMYFUNCTION("IFERROR(GOOGLETRANSLATE(B569,""en"",""ja""),)"),"1階にあります。降りてください。")</f>
        <v>1階にあります。降りてください。</v>
      </c>
      <c r="D569" s="4" t="str">
        <f ca="1">IFERROR(__xludf.DUMMYFUNCTION("IFERROR(GOOGLETRANSLATE(B569,""en"",""zh-TW""),)"),"它在一樓。請下去。")</f>
        <v>它在一樓。請下去。</v>
      </c>
      <c r="E569" s="4" t="str">
        <f ca="1">IFERROR(__xludf.DUMMYFUNCTION("IFERROR(GOOGLETRANSLATE(B569,""en"",""zh-CN""),)"),"它在一楼。请下去。")</f>
        <v>它在一楼。请下去。</v>
      </c>
    </row>
    <row r="570" spans="1:5">
      <c r="A570" s="3" t="s">
        <v>2456</v>
      </c>
      <c r="B570" s="4" t="str">
        <f ca="1">IFERROR(__xludf.DUMMYFUNCTION("IFERROR(GOOGLETRANSLATE(A570,""ko"",""en""),)"),"Where is Sejong Restaurant?")</f>
        <v>Where is Sejong Restaurant?</v>
      </c>
      <c r="C570" s="4" t="str">
        <f ca="1">IFERROR(__xludf.DUMMYFUNCTION("IFERROR(GOOGLETRANSLATE(B570,""en"",""ja""),)"),"世宗レストランはどこにありますか？")</f>
        <v>世宗レストランはどこにありますか？</v>
      </c>
      <c r="D570" s="4" t="str">
        <f ca="1">IFERROR(__xludf.DUMMYFUNCTION("IFERROR(GOOGLETRANSLATE(B570,""en"",""zh-TW""),)"),"世宗餐廳在哪裡？")</f>
        <v>世宗餐廳在哪裡？</v>
      </c>
      <c r="E570" s="4" t="str">
        <f ca="1">IFERROR(__xludf.DUMMYFUNCTION("IFERROR(GOOGLETRANSLATE(B570,""en"",""zh-CN""),)"),"世宗餐厅在哪里？")</f>
        <v>世宗餐厅在哪里？</v>
      </c>
    </row>
    <row r="571" spans="1:5">
      <c r="A571" s="5" t="s">
        <v>2518</v>
      </c>
      <c r="B571" s="4" t="str">
        <f ca="1">IFERROR(__xludf.DUMMYFUNCTION("IFERROR(GOOGLETRANSLATE(A571,""ko"",""en""),)"),"It's over there. Go straight.")</f>
        <v>It's over there. Go straight.</v>
      </c>
      <c r="C571" s="4" t="str">
        <f ca="1">IFERROR(__xludf.DUMMYFUNCTION("IFERROR(GOOGLETRANSLATE(B571,""en"",""ja""),)"),"あそこです。まっすぐ進んでください。")</f>
        <v>あそこです。まっすぐ進んでください。</v>
      </c>
      <c r="D571" s="4" t="str">
        <f ca="1">IFERROR(__xludf.DUMMYFUNCTION("IFERROR(GOOGLETRANSLATE(B571,""en"",""zh-TW""),)"),"就在那邊。直走。")</f>
        <v>就在那邊。直走。</v>
      </c>
      <c r="E571" s="4" t="str">
        <f ca="1">IFERROR(__xludf.DUMMYFUNCTION("IFERROR(GOOGLETRANSLATE(B571,""en"",""zh-CN""),)"),"就在那边。直走。")</f>
        <v>就在那边。直走。</v>
      </c>
    </row>
    <row r="572" spans="1:5">
      <c r="A572" s="3" t="s">
        <v>2523</v>
      </c>
      <c r="B572" s="4" t="str">
        <f ca="1">IFERROR(__xludf.DUMMYFUNCTION("IFERROR(GOOGLETRANSLATE(A572,""ko"",""en""),)"),"Is there a pharmacy nearby?")</f>
        <v>Is there a pharmacy nearby?</v>
      </c>
      <c r="C572" s="4" t="str">
        <f ca="1">IFERROR(__xludf.DUMMYFUNCTION("IFERROR(GOOGLETRANSLATE(B572,""en"",""ja""),)"),"近くに薬局はありますか？")</f>
        <v>近くに薬局はありますか？</v>
      </c>
      <c r="D572" s="4" t="str">
        <f ca="1">IFERROR(__xludf.DUMMYFUNCTION("IFERROR(GOOGLETRANSLATE(B572,""en"",""zh-TW""),)"),"附近有藥局嗎？")</f>
        <v>附近有藥局嗎？</v>
      </c>
      <c r="E572" s="4" t="str">
        <f ca="1">IFERROR(__xludf.DUMMYFUNCTION("IFERROR(GOOGLETRANSLATE(B572,""en"",""zh-CN""),)"),"附近有药店吗？")</f>
        <v>附近有药店吗？</v>
      </c>
    </row>
    <row r="573" spans="1:5">
      <c r="A573" s="3" t="s">
        <v>2528</v>
      </c>
      <c r="B573" s="4" t="str">
        <f ca="1">IFERROR(__xludf.DUMMYFUNCTION("IFERROR(GOOGLETRANSLATE(A573,""ko"",""en""),)"),"Yes, please cross the road here.")</f>
        <v>Yes, please cross the road here.</v>
      </c>
      <c r="C573" s="4" t="str">
        <f ca="1">IFERROR(__xludf.DUMMYFUNCTION("IFERROR(GOOGLETRANSLATE(B573,""en"",""ja""),)"),"はい、こちらで道路を渡ってください。")</f>
        <v>はい、こちらで道路を渡ってください。</v>
      </c>
      <c r="D573" s="4" t="str">
        <f ca="1">IFERROR(__xludf.DUMMYFUNCTION("IFERROR(GOOGLETRANSLATE(B573,""en"",""zh-TW""),)"),"是的，請從這裡過馬路。")</f>
        <v>是的，請從這裡過馬路。</v>
      </c>
      <c r="E573" s="4" t="str">
        <f ca="1">IFERROR(__xludf.DUMMYFUNCTION("IFERROR(GOOGLETRANSLATE(B573,""en"",""zh-CN""),)"),"是的，请从这里过马路。")</f>
        <v>是的，请从这里过马路。</v>
      </c>
    </row>
    <row r="574" spans="1:5">
      <c r="A574" s="3" t="s">
        <v>2543</v>
      </c>
      <c r="B574" s="4" t="str">
        <f ca="1">IFERROR(__xludf.DUMMYFUNCTION("IFERROR(GOOGLETRANSLATE(A574,""ko"",""en""),)"),"Where is the Sejong Institute?")</f>
        <v>Where is the Sejong Institute?</v>
      </c>
      <c r="C574" s="4" t="str">
        <f ca="1">IFERROR(__xludf.DUMMYFUNCTION("IFERROR(GOOGLETRANSLATE(B574,""en"",""ja""),)"),"世宗学院はどこにありますか？")</f>
        <v>世宗学院はどこにありますか？</v>
      </c>
      <c r="D574" s="4" t="str">
        <f ca="1">IFERROR(__xludf.DUMMYFUNCTION("IFERROR(GOOGLETRANSLATE(B574,""en"",""zh-TW""),)"),"世宗研究所在哪裡？")</f>
        <v>世宗研究所在哪裡？</v>
      </c>
      <c r="E574" s="4" t="str">
        <f ca="1">IFERROR(__xludf.DUMMYFUNCTION("IFERROR(GOOGLETRANSLATE(B574,""en"",""zh-CN""),)"),"世宗研究所在哪里？")</f>
        <v>世宗研究所在哪里？</v>
      </c>
    </row>
    <row r="575" spans="1:5">
      <c r="A575" s="3" t="s">
        <v>2546</v>
      </c>
      <c r="B575" s="4" t="str">
        <f ca="1">IFERROR(__xludf.DUMMYFUNCTION("IFERROR(GOOGLETRANSLATE(A575,""ko"",""en""),)"),"It's inside this building. Please go inside.")</f>
        <v>It's inside this building. Please go inside.</v>
      </c>
      <c r="C575" s="4" t="str">
        <f ca="1">IFERROR(__xludf.DUMMYFUNCTION("IFERROR(GOOGLETRANSLATE(B575,""en"",""ja""),)"),"この建物の中にあります。中に入ってください。")</f>
        <v>この建物の中にあります。中に入ってください。</v>
      </c>
      <c r="D575" s="4" t="str">
        <f ca="1">IFERROR(__xludf.DUMMYFUNCTION("IFERROR(GOOGLETRANSLATE(B575,""en"",""zh-TW""),)"),"就在這棟大樓裡。請進去看看。")</f>
        <v>就在這棟大樓裡。請進去看看。</v>
      </c>
      <c r="E575" s="4" t="str">
        <f ca="1">IFERROR(__xludf.DUMMYFUNCTION("IFERROR(GOOGLETRANSLATE(B575,""en"",""zh-CN""),)"),"就在这栋楼里面。请进去看看。")</f>
        <v>就在这栋楼里面。请进去看看。</v>
      </c>
    </row>
    <row r="576" spans="1:5">
      <c r="A576" s="3" t="s">
        <v>2549</v>
      </c>
      <c r="B576" s="4" t="str">
        <f ca="1">IFERROR(__xludf.DUMMYFUNCTION("IFERROR(GOOGLETRANSLATE(A576,""ko"",""en""),)"),"Where is the bank?")</f>
        <v>Where is the bank?</v>
      </c>
      <c r="C576" s="4" t="str">
        <f ca="1">IFERROR(__xludf.DUMMYFUNCTION("IFERROR(GOOGLETRANSLATE(B576,""en"",""ja""),)"),"銀行はどこですか？")</f>
        <v>銀行はどこですか？</v>
      </c>
      <c r="D576" s="4" t="str">
        <f ca="1">IFERROR(__xludf.DUMMYFUNCTION("IFERROR(GOOGLETRANSLATE(B576,""en"",""zh-TW""),)"),"銀行在哪裡？")</f>
        <v>銀行在哪裡？</v>
      </c>
      <c r="E576" s="4" t="str">
        <f ca="1">IFERROR(__xludf.DUMMYFUNCTION("IFERROR(GOOGLETRANSLATE(B576,""en"",""zh-CN""),)"),"银行在哪里？")</f>
        <v>银行在哪里？</v>
      </c>
    </row>
    <row r="577" spans="1:5">
      <c r="A577" s="3" t="s">
        <v>2554</v>
      </c>
      <c r="B577" s="4" t="str">
        <f ca="1">IFERROR(__xludf.DUMMYFUNCTION("IFERROR(GOOGLETRANSLATE(A577,""ko"",""en""),)"),"It's on the second floor. Please go up.")</f>
        <v>It's on the second floor. Please go up.</v>
      </c>
      <c r="C577" s="4" t="str">
        <f ca="1">IFERROR(__xludf.DUMMYFUNCTION("IFERROR(GOOGLETRANSLATE(B577,""en"",""ja""),)"),"2階にあります。上がってください。")</f>
        <v>2階にあります。上がってください。</v>
      </c>
      <c r="D577" s="4" t="str">
        <f ca="1">IFERROR(__xludf.DUMMYFUNCTION("IFERROR(GOOGLETRANSLATE(B577,""en"",""zh-TW""),)"),"它在二樓。請上去。")</f>
        <v>它在二樓。請上去。</v>
      </c>
      <c r="E577" s="4" t="str">
        <f ca="1">IFERROR(__xludf.DUMMYFUNCTION("IFERROR(GOOGLETRANSLATE(B577,""en"",""zh-CN""),)"),"它在二楼。请上去。")</f>
        <v>它在二楼。请上去。</v>
      </c>
    </row>
    <row r="578" spans="1:5">
      <c r="A578" s="3" t="s">
        <v>2559</v>
      </c>
      <c r="B578" s="4" t="str">
        <f ca="1">IFERROR(__xludf.DUMMYFUNCTION("IFERROR(GOOGLETRANSLATE(A578,""ko"",""en""),)"),"Where is the supermarket?")</f>
        <v>Where is the supermarket?</v>
      </c>
      <c r="C578" s="4" t="str">
        <f ca="1">IFERROR(__xludf.DUMMYFUNCTION("IFERROR(GOOGLETRANSLATE(B578,""en"",""ja""),)"),"スーパーマーケットはどこですか？")</f>
        <v>スーパーマーケットはどこですか？</v>
      </c>
      <c r="D578" s="4" t="str">
        <f ca="1">IFERROR(__xludf.DUMMYFUNCTION("IFERROR(GOOGLETRANSLATE(B578,""en"",""zh-TW""),)"),"超市在哪裡？")</f>
        <v>超市在哪裡？</v>
      </c>
      <c r="E578" s="4" t="str">
        <f ca="1">IFERROR(__xludf.DUMMYFUNCTION("IFERROR(GOOGLETRANSLATE(B578,""en"",""zh-CN""),)"),"超市在哪里？")</f>
        <v>超市在哪里？</v>
      </c>
    </row>
    <row r="579" spans="1:5">
      <c r="A579" s="3" t="s">
        <v>2565</v>
      </c>
      <c r="B579" s="4" t="str">
        <f ca="1">IFERROR(__xludf.DUMMYFUNCTION("IFERROR(GOOGLETRANSLATE(A579,""ko"",""en""),)"),"It's right up ahead. Please cross over.")</f>
        <v>It's right up ahead. Please cross over.</v>
      </c>
      <c r="C579" s="4" t="str">
        <f ca="1">IFERROR(__xludf.DUMMYFUNCTION("IFERROR(GOOGLETRANSLATE(B579,""en"",""ja""),)"),"すぐ先です。向こう側へ渡ってください。")</f>
        <v>すぐ先です。向こう側へ渡ってください。</v>
      </c>
      <c r="D579" s="4" t="str">
        <f ca="1">IFERROR(__xludf.DUMMYFUNCTION("IFERROR(GOOGLETRANSLATE(B579,""en"",""zh-TW""),)"),"就在前面，請過馬路。")</f>
        <v>就在前面，請過馬路。</v>
      </c>
      <c r="E579" s="4" t="str">
        <f ca="1">IFERROR(__xludf.DUMMYFUNCTION("IFERROR(GOOGLETRANSLATE(B579,""en"",""zh-CN""),)"),"就在前面，请过马路。")</f>
        <v>就在前面，请过马路。</v>
      </c>
    </row>
    <row r="580" spans="1:5">
      <c r="A580" s="3" t="s">
        <v>2571</v>
      </c>
      <c r="B580" s="4" t="str">
        <f ca="1">IFERROR(__xludf.DUMMYFUNCTION("IFERROR(GOOGLETRANSLATE(A580,""ko"",""en""),)"),"Is the clothing store on the first floor?")</f>
        <v>Is the clothing store on the first floor?</v>
      </c>
      <c r="C580" s="4" t="str">
        <f ca="1">IFERROR(__xludf.DUMMYFUNCTION("IFERROR(GOOGLETRANSLATE(B580,""en"",""ja""),)"),"洋服店は1階にありますか？")</f>
        <v>洋服店は1階にありますか？</v>
      </c>
      <c r="D580" s="4" t="str">
        <f ca="1">IFERROR(__xludf.DUMMYFUNCTION("IFERROR(GOOGLETRANSLATE(B580,""en"",""zh-TW""),)"),"服飾店在一樓嗎？")</f>
        <v>服飾店在一樓嗎？</v>
      </c>
      <c r="E580" s="4" t="str">
        <f ca="1">IFERROR(__xludf.DUMMYFUNCTION("IFERROR(GOOGLETRANSLATE(B580,""en"",""zh-CN""),)"),"服装店在一楼吗？")</f>
        <v>服装店在一楼吗？</v>
      </c>
    </row>
    <row r="581" spans="1:5">
      <c r="A581" s="3" t="s">
        <v>2575</v>
      </c>
      <c r="B581" s="4" t="str">
        <f ca="1">IFERROR(__xludf.DUMMYFUNCTION("IFERROR(GOOGLETRANSLATE(A581,""ko"",""en""),)"),"No, it's on the 3rd floor. Please go up.")</f>
        <v>No, it's on the 3rd floor. Please go up.</v>
      </c>
      <c r="C581" s="4" t="str">
        <f ca="1">IFERROR(__xludf.DUMMYFUNCTION("IFERROR(GOOGLETRANSLATE(B581,""en"",""ja""),)"),"いいえ、3階です。上がってください。")</f>
        <v>いいえ、3階です。上がってください。</v>
      </c>
      <c r="D581" s="4" t="str">
        <f ca="1">IFERROR(__xludf.DUMMYFUNCTION("IFERROR(GOOGLETRANSLATE(B581,""en"",""zh-TW""),)"),"不，它在三樓。請上去。")</f>
        <v>不，它在三樓。請上去。</v>
      </c>
      <c r="E581" s="4" t="str">
        <f ca="1">IFERROR(__xludf.DUMMYFUNCTION("IFERROR(GOOGLETRANSLATE(B581,""en"",""zh-CN""),)"),"不，它在三楼。请上去。")</f>
        <v>不，它在三楼。请上去。</v>
      </c>
    </row>
    <row r="582" spans="1:5">
      <c r="A582" s="3" t="s">
        <v>2582</v>
      </c>
      <c r="B582" s="4" t="str">
        <f ca="1">IFERROR(__xludf.DUMMYFUNCTION("IFERROR(GOOGLETRANSLATE(A582,""ko"",""en""),)"),"Where is the restroom?")</f>
        <v>Where is the restroom?</v>
      </c>
      <c r="C582" s="4" t="str">
        <f ca="1">IFERROR(__xludf.DUMMYFUNCTION("IFERROR(GOOGLETRANSLATE(B582,""en"",""ja""),)"),"トイレはどこですか？")</f>
        <v>トイレはどこですか？</v>
      </c>
      <c r="D582" s="4" t="str">
        <f ca="1">IFERROR(__xludf.DUMMYFUNCTION("IFERROR(GOOGLETRANSLATE(B582,""en"",""zh-TW""),)"),"洗手間在哪裡？")</f>
        <v>洗手間在哪裡？</v>
      </c>
      <c r="E582" s="4" t="str">
        <f ca="1">IFERROR(__xludf.DUMMYFUNCTION("IFERROR(GOOGLETRANSLATE(B582,""en"",""zh-CN""),)"),"洗手间在哪里？")</f>
        <v>洗手间在哪里？</v>
      </c>
    </row>
    <row r="583" spans="1:5">
      <c r="A583" s="3" t="s">
        <v>2588</v>
      </c>
      <c r="B583" s="4" t="str">
        <f ca="1">IFERROR(__xludf.DUMMYFUNCTION("IFERROR(GOOGLETRANSLATE(A583,""ko"",""en""),)"),"It's in the basement. Please go down.")</f>
        <v>It's in the basement. Please go down.</v>
      </c>
      <c r="C583" s="4" t="str">
        <f ca="1">IFERROR(__xludf.DUMMYFUNCTION("IFERROR(GOOGLETRANSLATE(B583,""en"",""ja""),)"),"地下室にあります。降りてください。")</f>
        <v>地下室にあります。降りてください。</v>
      </c>
      <c r="D583" s="4" t="str">
        <f ca="1">IFERROR(__xludf.DUMMYFUNCTION("IFERROR(GOOGLETRANSLATE(B583,""en"",""zh-TW""),)"),"它在地下室。請下去。")</f>
        <v>它在地下室。請下去。</v>
      </c>
      <c r="E583" s="4" t="str">
        <f ca="1">IFERROR(__xludf.DUMMYFUNCTION("IFERROR(GOOGLETRANSLATE(B583,""en"",""zh-CN""),)"),"它在地下室。请下去。")</f>
        <v>它在地下室。请下去。</v>
      </c>
    </row>
    <row r="584" spans="1:5">
      <c r="A584" s="3" t="s">
        <v>2594</v>
      </c>
      <c r="B584" s="4" t="str">
        <f ca="1">IFERROR(__xludf.DUMMYFUNCTION("IFERROR(GOOGLETRANSLATE(A584,""ko"",""en""),)"),"Is this the Sejong Institute office?")</f>
        <v>Is this the Sejong Institute office?</v>
      </c>
      <c r="C584" s="4" t="str">
        <f ca="1">IFERROR(__xludf.DUMMYFUNCTION("IFERROR(GOOGLETRANSLATE(B584,""en"",""ja""),)"),"ここは世宗研究所の事務所ですか？")</f>
        <v>ここは世宗研究所の事務所ですか？</v>
      </c>
      <c r="D584" s="4" t="str">
        <f ca="1">IFERROR(__xludf.DUMMYFUNCTION("IFERROR(GOOGLETRANSLATE(B584,""en"",""zh-TW""),)"),"這裡是世宗研究所的辦公室嗎？")</f>
        <v>這裡是世宗研究所的辦公室嗎？</v>
      </c>
      <c r="E584" s="4" t="str">
        <f ca="1">IFERROR(__xludf.DUMMYFUNCTION("IFERROR(GOOGLETRANSLATE(B584,""en"",""zh-CN""),)"),"这里是世宗研究所的办公​​室吗？")</f>
        <v>这里是世宗研究所的办公​​室吗？</v>
      </c>
    </row>
    <row r="585" spans="1:5">
      <c r="A585" s="3" t="s">
        <v>2599</v>
      </c>
      <c r="B585" s="4" t="str">
        <f ca="1">IFERROR(__xludf.DUMMYFUNCTION("IFERROR(GOOGLETRANSLATE(A585,""ko"",""en""),)"),"Yes, that's right. Please go in.")</f>
        <v>Yes, that's right. Please go in.</v>
      </c>
      <c r="C585" s="4" t="str">
        <f ca="1">IFERROR(__xludf.DUMMYFUNCTION("IFERROR(GOOGLETRANSLATE(B585,""en"",""ja""),)"),"はい、その通りです。どうぞお入りください。")</f>
        <v>はい、その通りです。どうぞお入りください。</v>
      </c>
      <c r="D585" s="4" t="str">
        <f ca="1">IFERROR(__xludf.DUMMYFUNCTION("IFERROR(GOOGLETRANSLATE(B585,""en"",""zh-TW""),)"),"是的，沒錯。請進去。")</f>
        <v>是的，沒錯。請進去。</v>
      </c>
      <c r="E585" s="4" t="str">
        <f ca="1">IFERROR(__xludf.DUMMYFUNCTION("IFERROR(GOOGLETRANSLATE(B585,""en"",""zh-CN""),)"),"是的，没错。请进去。")</f>
        <v>是的，没错。请进去。</v>
      </c>
    </row>
    <row r="586" spans="1:5">
      <c r="A586" s="3" t="s">
        <v>2604</v>
      </c>
      <c r="B586" s="4" t="str">
        <f ca="1">IFERROR(__xludf.DUMMYFUNCTION("IFERROR(GOOGLETRANSLATE(A586,""ko"",""en""),)"),"suspicious death")</f>
        <v>suspicious death</v>
      </c>
      <c r="C586" s="4" t="str">
        <f ca="1">IFERROR(__xludf.DUMMYFUNCTION("IFERROR(GOOGLETRANSLATE(B586,""en"",""ja""),)"),"不審死")</f>
        <v>不審死</v>
      </c>
      <c r="D586" s="4" t="str">
        <f ca="1">IFERROR(__xludf.DUMMYFUNCTION("IFERROR(GOOGLETRANSLATE(B586,""en"",""zh-TW""),)"),"可疑死亡")</f>
        <v>可疑死亡</v>
      </c>
      <c r="E586" s="4" t="str">
        <f ca="1">IFERROR(__xludf.DUMMYFUNCTION("IFERROR(GOOGLETRANSLATE(B586,""en"",""zh-CN""),)"),"可疑死亡")</f>
        <v>可疑死亡</v>
      </c>
    </row>
    <row r="587" spans="1:5">
      <c r="A587" s="3" t="s">
        <v>2611</v>
      </c>
      <c r="B587" s="4" t="str">
        <f ca="1">IFERROR(__xludf.DUMMYFUNCTION("IFERROR(GOOGLETRANSLATE(A587,""ko"",""en""),)"),"What kind of movies do you like?")</f>
        <v>What kind of movies do you like?</v>
      </c>
      <c r="C587" s="4" t="str">
        <f ca="1">IFERROR(__xludf.DUMMYFUNCTION("IFERROR(GOOGLETRANSLATE(B587,""en"",""ja""),)"),"どんな映画が好きですか？")</f>
        <v>どんな映画が好きですか？</v>
      </c>
      <c r="D587" s="4" t="str">
        <f ca="1">IFERROR(__xludf.DUMMYFUNCTION("IFERROR(GOOGLETRANSLATE(B587,""en"",""zh-TW""),)"),"你喜歡什麼類型的電影？")</f>
        <v>你喜歡什麼類型的電影？</v>
      </c>
      <c r="E587" s="4" t="str">
        <f ca="1">IFERROR(__xludf.DUMMYFUNCTION("IFERROR(GOOGLETRANSLATE(B587,""en"",""zh-CN""),)"),"你喜欢什么类型的电影？")</f>
        <v>你喜欢什么类型的电影？</v>
      </c>
    </row>
    <row r="588" spans="1:5">
      <c r="A588" s="5" t="s">
        <v>2618</v>
      </c>
      <c r="B588" s="4" t="str">
        <f ca="1">IFERROR(__xludf.DUMMYFUNCTION("IFERROR(GOOGLETRANSLATE(A588,""ko"",""en""),)"),"I like scary movies.")</f>
        <v>I like scary movies.</v>
      </c>
      <c r="C588" s="4" t="str">
        <f ca="1">IFERROR(__xludf.DUMMYFUNCTION("IFERROR(GOOGLETRANSLATE(B588,""en"",""ja""),)"),"私はホラー映画が好きです。")</f>
        <v>私はホラー映画が好きです。</v>
      </c>
      <c r="D588" s="4" t="str">
        <f ca="1">IFERROR(__xludf.DUMMYFUNCTION("IFERROR(GOOGLETRANSLATE(B588,""en"",""zh-TW""),)"),"我喜歡恐怖電影。")</f>
        <v>我喜歡恐怖電影。</v>
      </c>
      <c r="E588" s="4" t="str">
        <f ca="1">IFERROR(__xludf.DUMMYFUNCTION("IFERROR(GOOGLETRANSLATE(B588,""en"",""zh-CN""),)"),"我喜欢恐怖电影。")</f>
        <v>我喜欢恐怖电影。</v>
      </c>
    </row>
    <row r="589" spans="1:5">
      <c r="A589" s="5" t="s">
        <v>2623</v>
      </c>
      <c r="B589" s="4" t="str">
        <f ca="1">IFERROR(__xludf.DUMMYFUNCTION("IFERROR(GOOGLETRANSLATE(A589,""ko"",""en""),)"),"How did you learn Spanish?")</f>
        <v>How did you learn Spanish?</v>
      </c>
      <c r="C589" s="4" t="str">
        <f ca="1">IFERROR(__xludf.DUMMYFUNCTION("IFERROR(GOOGLETRANSLATE(B589,""en"",""ja""),)"),"スペイン語はどうやって覚えたのですか？")</f>
        <v>スペイン語はどうやって覚えたのですか？</v>
      </c>
      <c r="D589" s="4" t="str">
        <f ca="1">IFERROR(__xludf.DUMMYFUNCTION("IFERROR(GOOGLETRANSLATE(B589,""en"",""zh-TW""),)"),"你是怎麼學會西班牙語的？")</f>
        <v>你是怎麼學會西班牙語的？</v>
      </c>
      <c r="E589" s="4" t="str">
        <f ca="1">IFERROR(__xludf.DUMMYFUNCTION("IFERROR(GOOGLETRANSLATE(B589,""en"",""zh-CN""),)"),"你是怎么学会西班牙语的？")</f>
        <v>你是怎么学会西班牙语的？</v>
      </c>
    </row>
    <row r="590" spans="1:5">
      <c r="A590" s="3" t="s">
        <v>2629</v>
      </c>
      <c r="B590" s="4" t="str">
        <f ca="1">IFERROR(__xludf.DUMMYFUNCTION("IFERROR(GOOGLETRANSLATE(A590,""ko"",""en""),)"),"I studied alone at home.")</f>
        <v>I studied alone at home.</v>
      </c>
      <c r="C590" s="4" t="str">
        <f ca="1">IFERROR(__xludf.DUMMYFUNCTION("IFERROR(GOOGLETRANSLATE(B590,""en"",""ja""),)"),"私は自宅で一人で勉強しました。")</f>
        <v>私は自宅で一人で勉強しました。</v>
      </c>
      <c r="D590" s="4" t="str">
        <f ca="1">IFERROR(__xludf.DUMMYFUNCTION("IFERROR(GOOGLETRANSLATE(B590,""en"",""zh-TW""),)"),"我獨自在家學習。")</f>
        <v>我獨自在家學習。</v>
      </c>
      <c r="E590" s="4" t="str">
        <f ca="1">IFERROR(__xludf.DUMMYFUNCTION("IFERROR(GOOGLETRANSLATE(B590,""en"",""zh-CN""),)"),"我独自在家学习。")</f>
        <v>我独自在家学习。</v>
      </c>
    </row>
    <row r="591" spans="1:5">
      <c r="A591" s="5" t="s">
        <v>2634</v>
      </c>
      <c r="B591" s="4" t="str">
        <f ca="1">IFERROR(__xludf.DUMMYFUNCTION("IFERROR(GOOGLETRANSLATE(A591,""ko"",""en""),)"),"How long?")</f>
        <v>How long?</v>
      </c>
      <c r="C591" s="4" t="str">
        <f ca="1">IFERROR(__xludf.DUMMYFUNCTION("IFERROR(GOOGLETRANSLATE(B591,""en"",""ja""),)"),"どのぐらいの間？")</f>
        <v>どのぐらいの間？</v>
      </c>
      <c r="D591" s="4" t="str">
        <f ca="1">IFERROR(__xludf.DUMMYFUNCTION("IFERROR(GOOGLETRANSLATE(B591,""en"",""zh-TW""),)"),"多久？")</f>
        <v>多久？</v>
      </c>
      <c r="E591" s="4" t="str">
        <f ca="1">IFERROR(__xludf.DUMMYFUNCTION("IFERROR(GOOGLETRANSLATE(B591,""en"",""zh-CN""),)"),"多久？")</f>
        <v>多久？</v>
      </c>
    </row>
    <row r="592" spans="1:5">
      <c r="A592" s="3" t="s">
        <v>2639</v>
      </c>
      <c r="B592" s="4" t="str">
        <f ca="1">IFERROR(__xludf.DUMMYFUNCTION("IFERROR(GOOGLETRANSLATE(A592,""ko"",""en""),)"),"How do I get to the Sejong Institute?")</f>
        <v>How do I get to the Sejong Institute?</v>
      </c>
      <c r="C592" s="4" t="str">
        <f ca="1">IFERROR(__xludf.DUMMYFUNCTION("IFERROR(GOOGLETRANSLATE(B592,""en"",""ja""),)"),"世宗学院へはどうやって行けばいいですか？")</f>
        <v>世宗学院へはどうやって行けばいいですか？</v>
      </c>
      <c r="D592" s="4" t="str">
        <f ca="1">IFERROR(__xludf.DUMMYFUNCTION("IFERROR(GOOGLETRANSLATE(B592,""en"",""zh-TW""),)"),"我該如何前往世宗研究所？")</f>
        <v>我該如何前往世宗研究所？</v>
      </c>
      <c r="E592" s="4" t="str">
        <f ca="1">IFERROR(__xludf.DUMMYFUNCTION("IFERROR(GOOGLETRANSLATE(B592,""en"",""zh-CN""),)"),"我该如何前往世宗研究所？")</f>
        <v>我该如何前往世宗研究所？</v>
      </c>
    </row>
    <row r="593" spans="1:5">
      <c r="A593" s="5" t="s">
        <v>2645</v>
      </c>
      <c r="B593" s="4" t="str">
        <f ca="1">IFERROR(__xludf.DUMMYFUNCTION("IFERROR(GOOGLETRANSLATE(A593,""ko"",""en""),)"),"It takes about ten hours.")</f>
        <v>It takes about ten hours.</v>
      </c>
      <c r="C593" s="4" t="str">
        <f ca="1">IFERROR(__xludf.DUMMYFUNCTION("IFERROR(GOOGLETRANSLATE(B593,""en"",""ja""),)"),"約10時間かかります。")</f>
        <v>約10時間かかります。</v>
      </c>
      <c r="D593" s="4" t="str">
        <f ca="1">IFERROR(__xludf.DUMMYFUNCTION("IFERROR(GOOGLETRANSLATE(B593,""en"",""zh-TW""),)"),"大約需要十個小時。")</f>
        <v>大約需要十個小時。</v>
      </c>
      <c r="E593" s="4" t="str">
        <f ca="1">IFERROR(__xludf.DUMMYFUNCTION("IFERROR(GOOGLETRANSLATE(B593,""en"",""zh-CN""),)"),"大约需要十个小时。")</f>
        <v>大约需要十个小时。</v>
      </c>
    </row>
    <row r="594" spans="1:5">
      <c r="A594" s="3" t="s">
        <v>2650</v>
      </c>
      <c r="B594" s="4" t="str">
        <f ca="1">IFERROR(__xludf.DUMMYFUNCTION("IFERROR(GOOGLETRANSLATE(A594,""ko"",""en""),)"),"What is your name?")</f>
        <v>What is your name?</v>
      </c>
      <c r="C594" s="4" t="str">
        <f ca="1">IFERROR(__xludf.DUMMYFUNCTION("IFERROR(GOOGLETRANSLATE(B594,""en"",""ja""),)"),"あなたの名前は何ですか？")</f>
        <v>あなたの名前は何ですか？</v>
      </c>
      <c r="D594" s="4" t="str">
        <f ca="1">IFERROR(__xludf.DUMMYFUNCTION("IFERROR(GOOGLETRANSLATE(B594,""en"",""zh-TW""),)"),"你叫什麼名字？")</f>
        <v>你叫什麼名字？</v>
      </c>
      <c r="E594" s="4" t="str">
        <f ca="1">IFERROR(__xludf.DUMMYFUNCTION("IFERROR(GOOGLETRANSLATE(B594,""en"",""zh-CN""),)"),"你叫什么名字？")</f>
        <v>你叫什么名字？</v>
      </c>
    </row>
    <row r="595" spans="1:5">
      <c r="A595" s="3" t="s">
        <v>594</v>
      </c>
      <c r="B595" s="4" t="str">
        <f ca="1">IFERROR(__xludf.DUMMYFUNCTION("IFERROR(GOOGLETRANSLATE(A595,""ko"",""en""),)"),"what's your name?")</f>
        <v>what's your name?</v>
      </c>
      <c r="C595" s="4" t="str">
        <f ca="1">IFERROR(__xludf.DUMMYFUNCTION("IFERROR(GOOGLETRANSLATE(B595,""en"",""ja""),)"),"あなたの名前は何ですか？")</f>
        <v>あなたの名前は何ですか？</v>
      </c>
      <c r="D595" s="4" t="str">
        <f ca="1">IFERROR(__xludf.DUMMYFUNCTION("IFERROR(GOOGLETRANSLATE(B595,""en"",""zh-TW""),)"),"你叫什麼名字？")</f>
        <v>你叫什麼名字？</v>
      </c>
      <c r="E595" s="4" t="str">
        <f ca="1">IFERROR(__xludf.DUMMYFUNCTION("IFERROR(GOOGLETRANSLATE(B595,""en"",""zh-CN""),)"),"你叫什么名字？")</f>
        <v>你叫什么名字？</v>
      </c>
    </row>
    <row r="596" spans="1:5">
      <c r="A596" s="5" t="s">
        <v>2656</v>
      </c>
      <c r="B596" s="4" t="str">
        <f ca="1">IFERROR(__xludf.DUMMYFUNCTION("IFERROR(GOOGLETRANSLATE(A596,""ko"",""en""),)"),"What kind of person is your ideal type?")</f>
        <v>What kind of person is your ideal type?</v>
      </c>
      <c r="C596" s="4" t="str">
        <f ca="1">IFERROR(__xludf.DUMMYFUNCTION("IFERROR(GOOGLETRANSLATE(B596,""en"",""ja""),)"),"あなたにとって理想のタイプはどんな人ですか？")</f>
        <v>あなたにとって理想のタイプはどんな人ですか？</v>
      </c>
      <c r="D596" s="4" t="str">
        <f ca="1">IFERROR(__xludf.DUMMYFUNCTION("IFERROR(GOOGLETRANSLATE(B596,""en"",""zh-TW""),)"),"你理想中的伴侶是什麼樣的？")</f>
        <v>你理想中的伴侶是什麼樣的？</v>
      </c>
      <c r="E596" s="4" t="str">
        <f ca="1">IFERROR(__xludf.DUMMYFUNCTION("IFERROR(GOOGLETRANSLATE(B596,""en"",""zh-CN""),)"),"你理想中的伴侣是什么样的？")</f>
        <v>你理想中的伴侣是什么样的？</v>
      </c>
    </row>
    <row r="597" spans="1:5">
      <c r="A597" s="5" t="s">
        <v>2659</v>
      </c>
      <c r="B597" s="4" t="str">
        <f ca="1">IFERROR(__xludf.DUMMYFUNCTION("IFERROR(GOOGLETRANSLATE(A597,""ko"",""en""),)"),"What kind of personality do you like?")</f>
        <v>What kind of personality do you like?</v>
      </c>
      <c r="C597" s="4" t="str">
        <f ca="1">IFERROR(__xludf.DUMMYFUNCTION("IFERROR(GOOGLETRANSLATE(B597,""en"",""ja""),)"),"あなたはどんな性格の人が好きですか？")</f>
        <v>あなたはどんな性格の人が好きですか？</v>
      </c>
      <c r="D597" s="4" t="str">
        <f ca="1">IFERROR(__xludf.DUMMYFUNCTION("IFERROR(GOOGLETRANSLATE(B597,""en"",""zh-TW""),)"),"你喜歡哪一種性格？")</f>
        <v>你喜歡哪一種性格？</v>
      </c>
      <c r="E597" s="4" t="str">
        <f ca="1">IFERROR(__xludf.DUMMYFUNCTION("IFERROR(GOOGLETRANSLATE(B597,""en"",""zh-CN""),)"),"你喜欢哪种性格？")</f>
        <v>你喜欢哪种性格？</v>
      </c>
    </row>
    <row r="598" spans="1:5">
      <c r="A598" s="3" t="s">
        <v>2663</v>
      </c>
      <c r="B598" s="4" t="str">
        <f ca="1">IFERROR(__xludf.DUMMYFUNCTION("IFERROR(GOOGLETRANSLATE(A598,""ko"",""en""),)"),"How do you feel?")</f>
        <v>How do you feel?</v>
      </c>
      <c r="C598" s="4" t="str">
        <f ca="1">IFERROR(__xludf.DUMMYFUNCTION("IFERROR(GOOGLETRANSLATE(B598,""en"",""ja""),)"),"気分はどうですか？")</f>
        <v>気分はどうですか？</v>
      </c>
      <c r="D598" s="4" t="str">
        <f ca="1">IFERROR(__xludf.DUMMYFUNCTION("IFERROR(GOOGLETRANSLATE(B598,""en"",""zh-TW""),)"),"你感覺如何？")</f>
        <v>你感覺如何？</v>
      </c>
      <c r="E598" s="4" t="str">
        <f ca="1">IFERROR(__xludf.DUMMYFUNCTION("IFERROR(GOOGLETRANSLATE(B598,""en"",""zh-CN""),)"),"你感觉如何？")</f>
        <v>你感觉如何？</v>
      </c>
    </row>
    <row r="599" spans="1:5">
      <c r="A599" s="3" t="s">
        <v>2668</v>
      </c>
      <c r="B599" s="4" t="str">
        <f ca="1">IFERROR(__xludf.DUMMYFUNCTION("IFERROR(GOOGLETRANSLATE(A599,""ko"",""en""),)"),"What do you like?")</f>
        <v>What do you like?</v>
      </c>
      <c r="C599" s="4" t="str">
        <f ca="1">IFERROR(__xludf.DUMMYFUNCTION("IFERROR(GOOGLETRANSLATE(B599,""en"",""ja""),)"),"あなたは何が好きですか？")</f>
        <v>あなたは何が好きですか？</v>
      </c>
      <c r="D599" s="4" t="str">
        <f ca="1">IFERROR(__xludf.DUMMYFUNCTION("IFERROR(GOOGLETRANSLATE(B599,""en"",""zh-TW""),)"),"你喜歡什麼？")</f>
        <v>你喜歡什麼？</v>
      </c>
      <c r="E599" s="4" t="str">
        <f ca="1">IFERROR(__xludf.DUMMYFUNCTION("IFERROR(GOOGLETRANSLATE(B599,""en"",""zh-CN""),)"),"你喜欢什么？")</f>
        <v>你喜欢什么？</v>
      </c>
    </row>
    <row r="600" spans="1:5">
      <c r="A600" s="3" t="s">
        <v>2674</v>
      </c>
      <c r="B600" s="4" t="str">
        <f ca="1">IFERROR(__xludf.DUMMYFUNCTION("IFERROR(GOOGLETRANSLATE(A600,""ko"",""en""),)"),"I like coffee.")</f>
        <v>I like coffee.</v>
      </c>
      <c r="C600" s="4" t="str">
        <f ca="1">IFERROR(__xludf.DUMMYFUNCTION("IFERROR(GOOGLETRANSLATE(B600,""en"",""ja""),)"),"私はコーヒーが好きです。")</f>
        <v>私はコーヒーが好きです。</v>
      </c>
      <c r="D600" s="4" t="str">
        <f ca="1">IFERROR(__xludf.DUMMYFUNCTION("IFERROR(GOOGLETRANSLATE(B600,""en"",""zh-TW""),)"),"我喜歡咖啡。")</f>
        <v>我喜歡咖啡。</v>
      </c>
      <c r="E600" s="4" t="str">
        <f ca="1">IFERROR(__xludf.DUMMYFUNCTION("IFERROR(GOOGLETRANSLATE(B600,""en"",""zh-CN""),)"),"我喜欢咖啡。")</f>
        <v>我喜欢咖啡。</v>
      </c>
    </row>
    <row r="601" spans="1:5">
      <c r="A601" s="3" t="s">
        <v>466</v>
      </c>
      <c r="B601" s="4" t="str">
        <f ca="1">IFERROR(__xludf.DUMMYFUNCTION("IFERROR(GOOGLETRANSLATE(A601,""ko"",""en""),)"),"Who are you meeting today?")</f>
        <v>Who are you meeting today?</v>
      </c>
      <c r="C601" s="4" t="str">
        <f ca="1">IFERROR(__xludf.DUMMYFUNCTION("IFERROR(GOOGLETRANSLATE(B601,""en"",""ja""),)"),"今日は誰と会う予定ですか？")</f>
        <v>今日は誰と会う予定ですか？</v>
      </c>
      <c r="D601" s="4" t="str">
        <f ca="1">IFERROR(__xludf.DUMMYFUNCTION("IFERROR(GOOGLETRANSLATE(B601,""en"",""zh-TW""),)"),"你今天要見誰？")</f>
        <v>你今天要見誰？</v>
      </c>
      <c r="E601" s="4" t="str">
        <f ca="1">IFERROR(__xludf.DUMMYFUNCTION("IFERROR(GOOGLETRANSLATE(B601,""en"",""zh-CN""),)"),"你今天要见谁？")</f>
        <v>你今天要见谁？</v>
      </c>
    </row>
    <row r="602" spans="1:5">
      <c r="A602" s="3" t="s">
        <v>2686</v>
      </c>
      <c r="B602" s="4" t="str">
        <f ca="1">IFERROR(__xludf.DUMMYFUNCTION("IFERROR(GOOGLETRANSLATE(A602,""ko"",""en""),)"),"I'm meeting a friend.")</f>
        <v>I'm meeting a friend.</v>
      </c>
      <c r="C602" s="4" t="str">
        <f ca="1">IFERROR(__xludf.DUMMYFUNCTION("IFERROR(GOOGLETRANSLATE(B602,""en"",""ja""),)"),"友達と会う予定です。")</f>
        <v>友達と会う予定です。</v>
      </c>
      <c r="D602" s="4" t="str">
        <f ca="1">IFERROR(__xludf.DUMMYFUNCTION("IFERROR(GOOGLETRANSLATE(B602,""en"",""zh-TW""),)"),"我要和朋友見面。")</f>
        <v>我要和朋友見面。</v>
      </c>
      <c r="E602" s="4" t="str">
        <f ca="1">IFERROR(__xludf.DUMMYFUNCTION("IFERROR(GOOGLETRANSLATE(B602,""en"",""zh-CN""),)"),"我要和朋友见面。")</f>
        <v>我要和朋友见面。</v>
      </c>
    </row>
    <row r="603" spans="1:5">
      <c r="A603" s="3" t="s">
        <v>1616</v>
      </c>
      <c r="B603" s="4" t="str">
        <f ca="1">IFERROR(__xludf.DUMMYFUNCTION("IFERROR(GOOGLETRANSLATE(A603,""ko"",""en""),)"),"When is your birthday?")</f>
        <v>When is your birthday?</v>
      </c>
      <c r="C603" s="4" t="str">
        <f ca="1">IFERROR(__xludf.DUMMYFUNCTION("IFERROR(GOOGLETRANSLATE(B603,""en"",""ja""),)"),"あなたの誕生日はいつですか？")</f>
        <v>あなたの誕生日はいつですか？</v>
      </c>
      <c r="D603" s="4" t="str">
        <f ca="1">IFERROR(__xludf.DUMMYFUNCTION("IFERROR(GOOGLETRANSLATE(B603,""en"",""zh-TW""),)"),"你的生日是什麼時候？")</f>
        <v>你的生日是什麼時候？</v>
      </c>
      <c r="E603" s="4" t="str">
        <f ca="1">IFERROR(__xludf.DUMMYFUNCTION("IFERROR(GOOGLETRANSLATE(B603,""en"",""zh-CN""),)"),"你的生日是什么时候？")</f>
        <v>你的生日是什么时候？</v>
      </c>
    </row>
    <row r="604" spans="1:5">
      <c r="A604" s="3" t="s">
        <v>2700</v>
      </c>
      <c r="B604" s="4" t="str">
        <f ca="1">IFERROR(__xludf.DUMMYFUNCTION("IFERROR(GOOGLETRANSLATE(A604,""ko"",""en""),)"),"It's December 22nd.")</f>
        <v>It's December 22nd.</v>
      </c>
      <c r="C604" s="4" t="str">
        <f ca="1">IFERROR(__xludf.DUMMYFUNCTION("IFERROR(GOOGLETRANSLATE(B604,""en"",""ja""),)"),"今日は12月22日です。")</f>
        <v>今日は12月22日です。</v>
      </c>
      <c r="D604" s="4" t="str">
        <f ca="1">IFERROR(__xludf.DUMMYFUNCTION("IFERROR(GOOGLETRANSLATE(B604,""en"",""zh-TW""),)"),"今天是12月22日。")</f>
        <v>今天是12月22日。</v>
      </c>
      <c r="E604" s="4" t="str">
        <f ca="1">IFERROR(__xludf.DUMMYFUNCTION("IFERROR(GOOGLETRANSLATE(B604,""en"",""zh-CN""),)"),"今天是12月22日。")</f>
        <v>今天是12月22日。</v>
      </c>
    </row>
    <row r="605" spans="1:5">
      <c r="A605" s="3" t="s">
        <v>2706</v>
      </c>
      <c r="B605" s="4" t="str">
        <f ca="1">IFERROR(__xludf.DUMMYFUNCTION("IFERROR(GOOGLETRANSLATE(A605,""ko"",""en""),)"),"Happy belated birthday!")</f>
        <v>Happy belated birthday!</v>
      </c>
      <c r="C605" s="4" t="str">
        <f ca="1">IFERROR(__xludf.DUMMYFUNCTION("IFERROR(GOOGLETRANSLATE(B605,""en"",""ja""),)"),"誕生日おめでとうございます！（少し遅れてしまいましたが！）")</f>
        <v>誕生日おめでとうございます！（少し遅れてしまいましたが！）</v>
      </c>
      <c r="D605" s="4" t="str">
        <f ca="1">IFERROR(__xludf.DUMMYFUNCTION("IFERROR(GOOGLETRANSLATE(B605,""en"",""zh-TW""),)"),"生日快樂！")</f>
        <v>生日快樂！</v>
      </c>
      <c r="E605" s="4" t="str">
        <f ca="1">IFERROR(__xludf.DUMMYFUNCTION("IFERROR(GOOGLETRANSLATE(B605,""en"",""zh-CN""),)"),"生日快乐！")</f>
        <v>生日快乐！</v>
      </c>
    </row>
    <row r="606" spans="1:5">
      <c r="A606" s="5" t="s">
        <v>2711</v>
      </c>
      <c r="B606" s="4" t="str">
        <f ca="1">IFERROR(__xludf.DUMMYFUNCTION("IFERROR(GOOGLETRANSLATE(A606,""ko"",""en""),)"),"How long does it take?")</f>
        <v>How long does it take?</v>
      </c>
      <c r="C606" s="4" t="str">
        <f ca="1">IFERROR(__xludf.DUMMYFUNCTION("IFERROR(GOOGLETRANSLATE(B606,""en"",""ja""),)"),"どのくらいかかりますか？")</f>
        <v>どのくらいかかりますか？</v>
      </c>
      <c r="D606" s="4" t="str">
        <f ca="1">IFERROR(__xludf.DUMMYFUNCTION("IFERROR(GOOGLETRANSLATE(B606,""en"",""zh-TW""),)"),"多久時間？")</f>
        <v>多久時間？</v>
      </c>
      <c r="E606" s="4" t="str">
        <f ca="1">IFERROR(__xludf.DUMMYFUNCTION("IFERROR(GOOGLETRANSLATE(B606,""en"",""zh-CN""),)"),"多久时间？")</f>
        <v>多久时间？</v>
      </c>
    </row>
    <row r="607" spans="1:5">
      <c r="A607" s="3" t="s">
        <v>2719</v>
      </c>
      <c r="B607" s="4" t="str">
        <f ca="1">IFERROR(__xludf.DUMMYFUNCTION("IFERROR(GOOGLETRANSLATE(A607,""ko"",""en""),)"),"It takes about an hour.")</f>
        <v>It takes about an hour.</v>
      </c>
      <c r="C607" s="4" t="str">
        <f ca="1">IFERROR(__xludf.DUMMYFUNCTION("IFERROR(GOOGLETRANSLATE(B607,""en"",""ja""),)"),"約1時間かかります。")</f>
        <v>約1時間かかります。</v>
      </c>
      <c r="D607" s="4" t="str">
        <f ca="1">IFERROR(__xludf.DUMMYFUNCTION("IFERROR(GOOGLETRANSLATE(B607,""en"",""zh-TW""),)"),"大約需要一個小時。")</f>
        <v>大約需要一個小時。</v>
      </c>
      <c r="E607" s="4" t="str">
        <f ca="1">IFERROR(__xludf.DUMMYFUNCTION("IFERROR(GOOGLETRANSLATE(B607,""en"",""zh-CN""),)"),"大约需要一个小时。")</f>
        <v>大约需要一个小时。</v>
      </c>
    </row>
    <row r="608" spans="1:5">
      <c r="A608" s="3" t="s">
        <v>81</v>
      </c>
      <c r="B608" s="4" t="str">
        <f ca="1">IFERROR(__xludf.DUMMYFUNCTION("IFERROR(GOOGLETRANSLATE(A608,""ko"",""en""),)"),"What kind of food do you like?")</f>
        <v>What kind of food do you like?</v>
      </c>
      <c r="C608" s="4" t="str">
        <f ca="1">IFERROR(__xludf.DUMMYFUNCTION("IFERROR(GOOGLETRANSLATE(B608,""en"",""ja""),)"),"あなたはどんな食べ物が好きですか？")</f>
        <v>あなたはどんな食べ物が好きですか？</v>
      </c>
      <c r="D608" s="4" t="str">
        <f ca="1">IFERROR(__xludf.DUMMYFUNCTION("IFERROR(GOOGLETRANSLATE(B608,""en"",""zh-TW""),)"),"你喜歡吃什麼樣的食物？")</f>
        <v>你喜歡吃什麼樣的食物？</v>
      </c>
      <c r="E608" s="4" t="str">
        <f ca="1">IFERROR(__xludf.DUMMYFUNCTION("IFERROR(GOOGLETRANSLATE(B608,""en"",""zh-CN""),)"),"你喜欢吃什么样的食物？")</f>
        <v>你喜欢吃什么样的食物？</v>
      </c>
    </row>
    <row r="609" spans="1:26">
      <c r="A609" s="3" t="s">
        <v>2730</v>
      </c>
      <c r="B609" s="4" t="str">
        <f ca="1">IFERROR(__xludf.DUMMYFUNCTION("IFERROR(GOOGLETRANSLATE(A609,""ko"",""en""),)"),"I like spicy food.")</f>
        <v>I like spicy food.</v>
      </c>
      <c r="C609" s="4" t="str">
        <f ca="1">IFERROR(__xludf.DUMMYFUNCTION("IFERROR(GOOGLETRANSLATE(B609,""en"",""ja""),)"),"私は辛い食べ物が好きです。")</f>
        <v>私は辛い食べ物が好きです。</v>
      </c>
      <c r="D609" s="4" t="str">
        <f ca="1">IFERROR(__xludf.DUMMYFUNCTION("IFERROR(GOOGLETRANSLATE(B609,""en"",""zh-TW""),)"),"我喜歡吃辣的。")</f>
        <v>我喜歡吃辣的。</v>
      </c>
      <c r="E609" s="4" t="str">
        <f ca="1">IFERROR(__xludf.DUMMYFUNCTION("IFERROR(GOOGLETRANSLATE(B609,""en"",""zh-CN""),)"),"我喜欢吃辣的。")</f>
        <v>我喜欢吃辣的。</v>
      </c>
    </row>
    <row r="610" spans="1:26">
      <c r="A610" s="3" t="s">
        <v>2738</v>
      </c>
      <c r="B610" s="4" t="str">
        <f ca="1">IFERROR(__xludf.DUMMYFUNCTION("IFERROR(GOOGLETRANSLATE(A610,""ko"",""en""),)"),"What are your hobbies?")</f>
        <v>What are your hobbies?</v>
      </c>
      <c r="C610" s="4" t="str">
        <f ca="1">IFERROR(__xludf.DUMMYFUNCTION("IFERROR(GOOGLETRANSLATE(B610,""en"",""ja""),)"),"あなたの趣味は何ですか？")</f>
        <v>あなたの趣味は何ですか？</v>
      </c>
      <c r="D610" s="4" t="str">
        <f ca="1">IFERROR(__xludf.DUMMYFUNCTION("IFERROR(GOOGLETRANSLATE(B610,""en"",""zh-TW""),)"),"你有什麼嗜好？")</f>
        <v>你有什麼嗜好？</v>
      </c>
      <c r="E610" s="4" t="str">
        <f ca="1">IFERROR(__xludf.DUMMYFUNCTION("IFERROR(GOOGLETRANSLATE(B610,""en"",""zh-CN""),)"),"你有什么爱好？")</f>
        <v>你有什么爱好？</v>
      </c>
    </row>
    <row r="611" spans="1:26">
      <c r="A611" s="3" t="s">
        <v>2745</v>
      </c>
      <c r="B611" s="4" t="str">
        <f ca="1">IFERROR(__xludf.DUMMYFUNCTION("IFERROR(GOOGLETRANSLATE(A611,""ko"",""en""),)"),"I like tennis.")</f>
        <v>I like tennis.</v>
      </c>
      <c r="C611" s="4" t="str">
        <f ca="1">IFERROR(__xludf.DUMMYFUNCTION("IFERROR(GOOGLETRANSLATE(B611,""en"",""ja""),)"),"私はテニスが好きです。")</f>
        <v>私はテニスが好きです。</v>
      </c>
      <c r="D611" s="4" t="str">
        <f ca="1">IFERROR(__xludf.DUMMYFUNCTION("IFERROR(GOOGLETRANSLATE(B611,""en"",""zh-TW""),)"),"我喜歡網球。")</f>
        <v>我喜歡網球。</v>
      </c>
      <c r="E611" s="4" t="str">
        <f ca="1">IFERROR(__xludf.DUMMYFUNCTION("IFERROR(GOOGLETRANSLATE(B611,""en"",""zh-CN""),)"),"我喜欢网球。")</f>
        <v>我喜欢网球。</v>
      </c>
    </row>
    <row r="612" spans="1:26">
      <c r="A612" s="2" t="s">
        <v>2753</v>
      </c>
      <c r="B612" s="4" t="str">
        <f ca="1">IFERROR(__xludf.DUMMYFUNCTION("IFERROR(GOOGLETRANSLATE(A612,""ko"",""en""),)"),"How long have you been learning tennis?")</f>
        <v>How long have you been learning tennis?</v>
      </c>
      <c r="C612" s="4" t="str">
        <f ca="1">IFERROR(__xludf.DUMMYFUNCTION("IFERROR(GOOGLETRANSLATE(B612,""en"",""ja""),)"),"テニスを始めてどれくらいになりますか？")</f>
        <v>テニスを始めてどれくらいになりますか？</v>
      </c>
      <c r="D612" s="4" t="str">
        <f ca="1">IFERROR(__xludf.DUMMYFUNCTION("IFERROR(GOOGLETRANSLATE(B612,""en"",""zh-TW""),)"),"你學習網球多久了？")</f>
        <v>你學習網球多久了？</v>
      </c>
      <c r="E612" s="4" t="str">
        <f ca="1">IFERROR(__xludf.DUMMYFUNCTION("IFERROR(GOOGLETRANSLATE(B612,""en"",""zh-CN""),)"),"你学习网球多久了？")</f>
        <v>你学习网球多久了？</v>
      </c>
    </row>
    <row r="613" spans="1:26">
      <c r="A613" s="3" t="s">
        <v>2756</v>
      </c>
      <c r="B613" s="4" t="str">
        <f ca="1">IFERROR(__xludf.DUMMYFUNCTION("IFERROR(GOOGLETRANSLATE(A613,""ko"",""en""),)"),"I learned for a year.")</f>
        <v>I learned for a year.</v>
      </c>
      <c r="C613" s="4" t="str">
        <f ca="1">IFERROR(__xludf.DUMMYFUNCTION("IFERROR(GOOGLETRANSLATE(B613,""en"",""ja""),)"),"私は1年間勉強しました。")</f>
        <v>私は1年間勉強しました。</v>
      </c>
      <c r="D613" s="4" t="str">
        <f ca="1">IFERROR(__xludf.DUMMYFUNCTION("IFERROR(GOOGLETRANSLATE(B613,""en"",""zh-TW""),)"),"我學習了一年。")</f>
        <v>我學習了一年。</v>
      </c>
      <c r="E613" s="4" t="str">
        <f ca="1">IFERROR(__xludf.DUMMYFUNCTION("IFERROR(GOOGLETRANSLATE(B613,""en"",""zh-CN""),)"),"我学习了一年。")</f>
        <v>我学习了一年。</v>
      </c>
    </row>
    <row r="614" spans="1:26">
      <c r="A614" s="3" t="s">
        <v>2767</v>
      </c>
      <c r="B614" s="4" t="str">
        <f ca="1">IFERROR(__xludf.DUMMYFUNCTION("IFERROR(GOOGLETRANSLATE(A614,""ko"",""en""),)"),"How often do you play?")</f>
        <v>How often do you play?</v>
      </c>
      <c r="C614" s="4" t="str">
        <f ca="1">IFERROR(__xludf.DUMMYFUNCTION("IFERROR(GOOGLETRANSLATE(B614,""en"",""ja""),)"),"どれくらいの頻度でプレイしますか？")</f>
        <v>どれくらいの頻度でプレイしますか？</v>
      </c>
      <c r="D614" s="4" t="str">
        <f ca="1">IFERROR(__xludf.DUMMYFUNCTION("IFERROR(GOOGLETRANSLATE(B614,""en"",""zh-TW""),)"),"你多久玩一次？")</f>
        <v>你多久玩一次？</v>
      </c>
      <c r="E614" s="4" t="str">
        <f ca="1">IFERROR(__xludf.DUMMYFUNCTION("IFERROR(GOOGLETRANSLATE(B614,""en"",""zh-CN""),)"),"你多久玩一次？")</f>
        <v>你多久玩一次？</v>
      </c>
    </row>
    <row r="615" spans="1:26">
      <c r="A615" s="3" t="s">
        <v>2775</v>
      </c>
      <c r="B615" s="4" t="str">
        <f ca="1">IFERROR(__xludf.DUMMYFUNCTION("IFERROR(GOOGLETRANSLATE(A615,""ko"",""en""),)"),"I play twice a week.")</f>
        <v>I play twice a week.</v>
      </c>
      <c r="C615" s="4" t="str">
        <f ca="1">IFERROR(__xludf.DUMMYFUNCTION("IFERROR(GOOGLETRANSLATE(B615,""en"",""ja""),)"),"私は週に2回プレーします。")</f>
        <v>私は週に2回プレーします。</v>
      </c>
      <c r="D615" s="4" t="str">
        <f ca="1">IFERROR(__xludf.DUMMYFUNCTION("IFERROR(GOOGLETRANSLATE(B615,""en"",""zh-TW""),)"),"我每週玩兩次。")</f>
        <v>我每週玩兩次。</v>
      </c>
      <c r="E615" s="4" t="str">
        <f ca="1">IFERROR(__xludf.DUMMYFUNCTION("IFERROR(GOOGLETRANSLATE(B615,""en"",""zh-CN""),)"),"我每周玩两次。")</f>
        <v>我每周玩两次。</v>
      </c>
    </row>
    <row r="616" spans="1:26">
      <c r="A616" s="3" t="s">
        <v>2783</v>
      </c>
      <c r="B616" s="4" t="str">
        <f ca="1">IFERROR(__xludf.DUMMYFUNCTION("IFERROR(GOOGLETRANSLATE(A616,""ko"",""en""),)"),"Who do you play with?")</f>
        <v>Who do you play with?</v>
      </c>
      <c r="C616" s="4" t="str">
        <f ca="1">IFERROR(__xludf.DUMMYFUNCTION("IFERROR(GOOGLETRANSLATE(B616,""en"",""ja""),)"),"あなたは誰と遊んでいますか？")</f>
        <v>あなたは誰と遊んでいますか？</v>
      </c>
      <c r="D616" s="4" t="str">
        <f ca="1">IFERROR(__xludf.DUMMYFUNCTION("IFERROR(GOOGLETRANSLATE(B616,""en"",""zh-TW""),)"),"你和誰一起玩？")</f>
        <v>你和誰一起玩？</v>
      </c>
      <c r="E616" s="4" t="str">
        <f ca="1">IFERROR(__xludf.DUMMYFUNCTION("IFERROR(GOOGLETRANSLATE(B616,""en"",""zh-CN""),)"),"你和谁一起玩？")</f>
        <v>你和谁一起玩？</v>
      </c>
    </row>
    <row r="617" spans="1:26">
      <c r="A617" s="2" t="s">
        <v>2790</v>
      </c>
      <c r="B617" s="11" t="str">
        <f ca="1">IFERROR(__xludf.DUMMYFUNCTION("IFERROR(GOOGLETRANSLATE(A617,""ko"",""en""),)"),"I play with a friend.")</f>
        <v>I play with a friend.</v>
      </c>
      <c r="C617" s="11" t="str">
        <f ca="1">IFERROR(__xludf.DUMMYFUNCTION("IFERROR(GOOGLETRANSLATE(B617,""en"",""ja""),)"),"私は友達と遊ぶ。")</f>
        <v>私は友達と遊ぶ。</v>
      </c>
      <c r="D617" s="11" t="str">
        <f ca="1">IFERROR(__xludf.DUMMYFUNCTION("IFERROR(GOOGLETRANSLATE(B617,""en"",""zh-TW""),)"),"我和朋友一起玩。")</f>
        <v>我和朋友一起玩。</v>
      </c>
      <c r="E617" s="11" t="str">
        <f ca="1">IFERROR(__xludf.DUMMYFUNCTION("IFERROR(GOOGLETRANSLATE(B617,""en"",""zh-CN""),)"),"我和朋友一起玩。")</f>
        <v>我和朋友一起玩。</v>
      </c>
      <c r="F617" s="12"/>
      <c r="G617" s="12"/>
      <c r="H617" s="12"/>
      <c r="I617" s="12"/>
      <c r="J617" s="12"/>
      <c r="K617" s="12"/>
      <c r="L617" s="12"/>
      <c r="M617" s="12"/>
      <c r="N617" s="12"/>
      <c r="O617" s="12"/>
      <c r="P617" s="12"/>
      <c r="Q617" s="12"/>
      <c r="R617" s="12"/>
      <c r="S617" s="12"/>
      <c r="T617" s="12"/>
      <c r="U617" s="12"/>
      <c r="V617" s="12"/>
      <c r="W617" s="12"/>
      <c r="X617" s="12"/>
      <c r="Y617" s="12"/>
      <c r="Z617" s="12"/>
    </row>
    <row r="618" spans="1:26">
      <c r="A618" s="3" t="s">
        <v>2805</v>
      </c>
      <c r="B618" s="4" t="str">
        <f ca="1">IFERROR(__xludf.DUMMYFUNCTION("IFERROR(GOOGLETRANSLATE(A618,""ko"",""en""),)"),"Where do you play?")</f>
        <v>Where do you play?</v>
      </c>
      <c r="C618" s="4" t="str">
        <f ca="1">IFERROR(__xludf.DUMMYFUNCTION("IFERROR(GOOGLETRANSLATE(B618,""en"",""ja""),)"),"あなたはどこでプレイしますか？")</f>
        <v>あなたはどこでプレイしますか？</v>
      </c>
      <c r="D618" s="4" t="str">
        <f ca="1">IFERROR(__xludf.DUMMYFUNCTION("IFERROR(GOOGLETRANSLATE(B618,""en"",""zh-TW""),)"),"你在哪裡玩？")</f>
        <v>你在哪裡玩？</v>
      </c>
      <c r="E618" s="4" t="str">
        <f ca="1">IFERROR(__xludf.DUMMYFUNCTION("IFERROR(GOOGLETRANSLATE(B618,""en"",""zh-CN""),)"),"你在哪里玩？")</f>
        <v>你在哪里玩？</v>
      </c>
    </row>
    <row r="619" spans="1:26">
      <c r="A619" s="3" t="s">
        <v>2814</v>
      </c>
      <c r="B619" s="4" t="str">
        <f ca="1">IFERROR(__xludf.DUMMYFUNCTION("IFERROR(GOOGLETRANSLATE(A619,""ko"",""en""),)"),"I play at the school tennis court.")</f>
        <v>I play at the school tennis court.</v>
      </c>
      <c r="C619" s="4" t="str">
        <f ca="1">IFERROR(__xludf.DUMMYFUNCTION("IFERROR(GOOGLETRANSLATE(B619,""en"",""ja""),)"),"私は学校のテニスコートでプレーします。")</f>
        <v>私は学校のテニスコートでプレーします。</v>
      </c>
      <c r="D619" s="4" t="str">
        <f ca="1">IFERROR(__xludf.DUMMYFUNCTION("IFERROR(GOOGLETRANSLATE(B619,""en"",""zh-TW""),)"),"我在學校網球場上打球。")</f>
        <v>我在學校網球場上打球。</v>
      </c>
      <c r="E619" s="4" t="str">
        <f ca="1">IFERROR(__xludf.DUMMYFUNCTION("IFERROR(GOOGLETRANSLATE(B619,""en"",""zh-CN""),)"),"我在学校网球场打球。")</f>
        <v>我在学校网球场打球。</v>
      </c>
    </row>
    <row r="620" spans="1:26">
      <c r="A620" s="5" t="s">
        <v>2823</v>
      </c>
      <c r="B620" s="4" t="str">
        <f ca="1">IFERROR(__xludf.DUMMYFUNCTION("IFERROR(GOOGLETRANSLATE(A620,""ko"",""en""),)"),"A year ago")</f>
        <v>A year ago</v>
      </c>
      <c r="C620" s="4" t="str">
        <f ca="1">IFERROR(__xludf.DUMMYFUNCTION("IFERROR(GOOGLETRANSLATE(B620,""en"",""ja""),)"),"1年前")</f>
        <v>1年前</v>
      </c>
      <c r="D620" s="4" t="str">
        <f ca="1">IFERROR(__xludf.DUMMYFUNCTION("IFERROR(GOOGLETRANSLATE(B620,""en"",""zh-TW""),)"),"一年前")</f>
        <v>一年前</v>
      </c>
      <c r="E620" s="4" t="str">
        <f ca="1">IFERROR(__xludf.DUMMYFUNCTION("IFERROR(GOOGLETRANSLATE(B620,""en"",""zh-CN""),)"),"一年前")</f>
        <v>一年前</v>
      </c>
    </row>
    <row r="621" spans="1:26">
      <c r="A621" s="3" t="s">
        <v>2831</v>
      </c>
      <c r="B621" s="4" t="str">
        <f ca="1">IFERROR(__xludf.DUMMYFUNCTION("IFERROR(GOOGLETRANSLATE(A621,""ko"",""en""),)"),"Where is the classroom?")</f>
        <v>Where is the classroom?</v>
      </c>
      <c r="C621" s="4" t="str">
        <f ca="1">IFERROR(__xludf.DUMMYFUNCTION("IFERROR(GOOGLETRANSLATE(B621,""en"",""ja""),)"),"教室はどこですか？")</f>
        <v>教室はどこですか？</v>
      </c>
      <c r="D621" s="4" t="str">
        <f ca="1">IFERROR(__xludf.DUMMYFUNCTION("IFERROR(GOOGLETRANSLATE(B621,""en"",""zh-TW""),)"),"教室在哪裡？")</f>
        <v>教室在哪裡？</v>
      </c>
      <c r="E621" s="4" t="str">
        <f ca="1">IFERROR(__xludf.DUMMYFUNCTION("IFERROR(GOOGLETRANSLATE(B621,""en"",""zh-CN""),)"),"教室在哪里？")</f>
        <v>教室在哪里？</v>
      </c>
    </row>
    <row r="622" spans="1:26">
      <c r="A622" s="5" t="s">
        <v>2839</v>
      </c>
      <c r="B622" s="4" t="str">
        <f ca="1">IFERROR(__xludf.DUMMYFUNCTION("IFERROR(GOOGLETRANSLATE(A622,""ko"",""en""),)"),"It's over there. Please go that way.")</f>
        <v>It's over there. Please go that way.</v>
      </c>
      <c r="C622" s="4" t="str">
        <f ca="1">IFERROR(__xludf.DUMMYFUNCTION("IFERROR(GOOGLETRANSLATE(B622,""en"",""ja""),)"),"あちらです。そちらへお進みください。")</f>
        <v>あちらです。そちらへお進みください。</v>
      </c>
      <c r="D622" s="4" t="str">
        <f ca="1">IFERROR(__xludf.DUMMYFUNCTION("IFERROR(GOOGLETRANSLATE(B622,""en"",""zh-TW""),)"),"就在那邊。請往那邊走。")</f>
        <v>就在那邊。請往那邊走。</v>
      </c>
      <c r="E622" s="4" t="str">
        <f ca="1">IFERROR(__xludf.DUMMYFUNCTION("IFERROR(GOOGLETRANSLATE(B622,""en"",""zh-CN""),)"),"就在那边。请往那边走。")</f>
        <v>就在那边。请往那边走。</v>
      </c>
    </row>
    <row r="623" spans="1:26">
      <c r="A623" s="5" t="s">
        <v>2846</v>
      </c>
      <c r="B623" s="4" t="str">
        <f ca="1">IFERROR(__xludf.DUMMYFUNCTION("IFERROR(GOOGLETRANSLATE(A623,""ko"",""en""),)"),"Where is the parking lot?")</f>
        <v>Where is the parking lot?</v>
      </c>
      <c r="C623" s="4" t="str">
        <f ca="1">IFERROR(__xludf.DUMMYFUNCTION("IFERROR(GOOGLETRANSLATE(B623,""en"",""ja""),)"),"駐車場はどこですか？")</f>
        <v>駐車場はどこですか？</v>
      </c>
      <c r="D623" s="4" t="str">
        <f ca="1">IFERROR(__xludf.DUMMYFUNCTION("IFERROR(GOOGLETRANSLATE(B623,""en"",""zh-TW""),)"),"停車場在哪裡？")</f>
        <v>停車場在哪裡？</v>
      </c>
      <c r="E623" s="4" t="str">
        <f ca="1">IFERROR(__xludf.DUMMYFUNCTION("IFERROR(GOOGLETRANSLATE(B623,""en"",""zh-CN""),)"),"停车场在哪里？")</f>
        <v>停车场在哪里？</v>
      </c>
    </row>
    <row r="624" spans="1:26">
      <c r="A624" s="3" t="s">
        <v>2854</v>
      </c>
      <c r="B624" s="4" t="str">
        <f ca="1">IFERROR(__xludf.DUMMYFUNCTION("IFERROR(GOOGLETRANSLATE(A624,""ko"",""en""),)"),"It's in the basement of this building. Please go down to the basement.")</f>
        <v>It's in the basement of this building. Please go down to the basement.</v>
      </c>
      <c r="C624" s="4" t="str">
        <f ca="1">IFERROR(__xludf.DUMMYFUNCTION("IFERROR(GOOGLETRANSLATE(B624,""en"",""ja""),)"),"この建物の地下にあります。地下まで降りてください。")</f>
        <v>この建物の地下にあります。地下まで降りてください。</v>
      </c>
      <c r="D624" s="4" t="str">
        <f ca="1">IFERROR(__xludf.DUMMYFUNCTION("IFERROR(GOOGLETRANSLATE(B624,""en"",""zh-TW""),)"),"它在這棟樓的地下室。請下到地下室去。")</f>
        <v>它在這棟樓的地下室。請下到地下室去。</v>
      </c>
      <c r="E624" s="4" t="str">
        <f ca="1">IFERROR(__xludf.DUMMYFUNCTION("IFERROR(GOOGLETRANSLATE(B624,""en"",""zh-CN""),)"),"它在这座楼的地下室。请下到地下室去。")</f>
        <v>它在这座楼的地下室。请下到地下室去。</v>
      </c>
    </row>
    <row r="625" spans="1:5">
      <c r="A625" s="5" t="s">
        <v>2860</v>
      </c>
      <c r="B625" s="4" t="s">
        <v>2861</v>
      </c>
      <c r="C625" s="4" t="str">
        <f ca="1">IFERROR(__xludf.DUMMYFUNCTION("IFERROR(GOOGLETRANSLATE(B625,""en"",""ja""),)"),"前進する")</f>
        <v>前進する</v>
      </c>
      <c r="D625" s="4" t="str">
        <f ca="1">IFERROR(__xludf.DUMMYFUNCTION("IFERROR(GOOGLETRANSLATE(B625,""en"",""zh-TW""),)"),"前進")</f>
        <v>前進</v>
      </c>
      <c r="E625" s="4" t="str">
        <f ca="1">IFERROR(__xludf.DUMMYFUNCTION("IFERROR(GOOGLETRANSLATE(B625,""en"",""zh-CN""),)"),"前进")</f>
        <v>前进</v>
      </c>
    </row>
    <row r="626" spans="1:5">
      <c r="A626" s="5" t="s">
        <v>2865</v>
      </c>
      <c r="B626" s="4" t="str">
        <f ca="1">IFERROR(__xludf.DUMMYFUNCTION("IFERROR(GOOGLETRANSLATE(A626,""ko"",""en""),)"),"This way")</f>
        <v>This way</v>
      </c>
      <c r="C626" s="4" t="str">
        <f ca="1">IFERROR(__xludf.DUMMYFUNCTION("IFERROR(GOOGLETRANSLATE(B626,""en"",""ja""),)"),"こちらです")</f>
        <v>こちらです</v>
      </c>
      <c r="D626" s="4" t="str">
        <f ca="1">IFERROR(__xludf.DUMMYFUNCTION("IFERROR(GOOGLETRANSLATE(B626,""en"",""zh-TW""),)"),"這邊走")</f>
        <v>這邊走</v>
      </c>
      <c r="E626" s="4" t="str">
        <f ca="1">IFERROR(__xludf.DUMMYFUNCTION("IFERROR(GOOGLETRANSLATE(B626,""en"",""zh-CN""),)"),"这边走")</f>
        <v>这边走</v>
      </c>
    </row>
    <row r="627" spans="1:5">
      <c r="A627" s="5" t="s">
        <v>2871</v>
      </c>
      <c r="B627" s="4" t="str">
        <f ca="1">IFERROR(__xludf.DUMMYFUNCTION("IFERROR(GOOGLETRANSLATE(A627,""ko"",""en""),)"),"Over there")</f>
        <v>Over there</v>
      </c>
      <c r="C627" s="4" t="str">
        <f ca="1">IFERROR(__xludf.DUMMYFUNCTION("IFERROR(GOOGLETRANSLATE(B627,""en"",""ja""),)"),"そちら側")</f>
        <v>そちら側</v>
      </c>
      <c r="D627" s="4" t="str">
        <f ca="1">IFERROR(__xludf.DUMMYFUNCTION("IFERROR(GOOGLETRANSLATE(B627,""en"",""zh-TW""),)"),"在那邊")</f>
        <v>在那邊</v>
      </c>
      <c r="E627" s="4" t="str">
        <f ca="1">IFERROR(__xludf.DUMMYFUNCTION("IFERROR(GOOGLETRANSLATE(B627,""en"",""zh-CN""),)"),"在那边")</f>
        <v>在那边</v>
      </c>
    </row>
    <row r="628" spans="1:5">
      <c r="A628" s="3" t="s">
        <v>2876</v>
      </c>
      <c r="B628" s="4" t="str">
        <f ca="1">IFERROR(__xludf.DUMMYFUNCTION("IFERROR(GOOGLETRANSLATE(A628,""ko"",""en""),)"),"back")</f>
        <v>back</v>
      </c>
      <c r="C628" s="4" t="str">
        <f ca="1">IFERROR(__xludf.DUMMYFUNCTION("IFERROR(GOOGLETRANSLATE(B628,""en"",""ja""),)"),"戻る")</f>
        <v>戻る</v>
      </c>
      <c r="D628" s="4" t="str">
        <f ca="1">IFERROR(__xludf.DUMMYFUNCTION("IFERROR(GOOGLETRANSLATE(B628,""en"",""zh-TW""),)"),"後退")</f>
        <v>後退</v>
      </c>
      <c r="E628" s="4" t="str">
        <f ca="1">IFERROR(__xludf.DUMMYFUNCTION("IFERROR(GOOGLETRANSLATE(B628,""en"",""zh-CN""),)"),"后退")</f>
        <v>后退</v>
      </c>
    </row>
    <row r="629" spans="1:5">
      <c r="A629" s="3" t="s">
        <v>2879</v>
      </c>
      <c r="B629" s="4" t="str">
        <f ca="1">IFERROR(__xludf.DUMMYFUNCTION("IFERROR(GOOGLETRANSLATE(A629,""ko"",""en""),)"),"underground")</f>
        <v>underground</v>
      </c>
      <c r="C629" s="4" t="str">
        <f ca="1">IFERROR(__xludf.DUMMYFUNCTION("IFERROR(GOOGLETRANSLATE(B629,""en"",""ja""),)"),"地下")</f>
        <v>地下</v>
      </c>
      <c r="D629" s="4" t="str">
        <f ca="1">IFERROR(__xludf.DUMMYFUNCTION("IFERROR(GOOGLETRANSLATE(B629,""en"",""zh-TW""),)"),"地下")</f>
        <v>地下</v>
      </c>
      <c r="E629" s="4" t="str">
        <f ca="1">IFERROR(__xludf.DUMMYFUNCTION("IFERROR(GOOGLETRANSLATE(B629,""en"",""zh-CN""),)"),"地下")</f>
        <v>地下</v>
      </c>
    </row>
    <row r="630" spans="1:5">
      <c r="A630" s="3" t="s">
        <v>2885</v>
      </c>
      <c r="B630" s="4" t="str">
        <f ca="1">IFERROR(__xludf.DUMMYFUNCTION("IFERROR(GOOGLETRANSLATE(A630,""ko"",""en""),)"),"To the office")</f>
        <v>To the office</v>
      </c>
      <c r="C630" s="4" t="str">
        <f ca="1">IFERROR(__xludf.DUMMYFUNCTION("IFERROR(GOOGLETRANSLATE(B630,""en"",""ja""),)"),"オフィスへ")</f>
        <v>オフィスへ</v>
      </c>
      <c r="D630" s="4" t="str">
        <f ca="1">IFERROR(__xludf.DUMMYFUNCTION("IFERROR(GOOGLETRANSLATE(B630,""en"",""zh-TW""),)"),"去辦公室")</f>
        <v>去辦公室</v>
      </c>
      <c r="E630" s="4" t="str">
        <f ca="1">IFERROR(__xludf.DUMMYFUNCTION("IFERROR(GOOGLETRANSLATE(B630,""en"",""zh-CN""),)"),"去办公室")</f>
        <v>去办公室</v>
      </c>
    </row>
    <row r="631" spans="1:5">
      <c r="A631" s="3" t="s">
        <v>2891</v>
      </c>
      <c r="B631" s="4" t="str">
        <f ca="1">IFERROR(__xludf.DUMMYFUNCTION("IFERROR(GOOGLETRANSLATE(A631,""ko"",""en""),)"),"in")</f>
        <v>in</v>
      </c>
      <c r="C631" s="4" t="str">
        <f ca="1">IFERROR(__xludf.DUMMYFUNCTION("IFERROR(GOOGLETRANSLATE(B631,""en"",""ja""),)"),"で")</f>
        <v>で</v>
      </c>
      <c r="D631" s="4" t="str">
        <f ca="1">IFERROR(__xludf.DUMMYFUNCTION("IFERROR(GOOGLETRANSLATE(B631,""en"",""zh-TW""),)"),"在")</f>
        <v>在</v>
      </c>
      <c r="E631" s="4" t="str">
        <f ca="1">IFERROR(__xludf.DUMMYFUNCTION("IFERROR(GOOGLETRANSLATE(B631,""en"",""zh-CN""),)"),"在")</f>
        <v>在</v>
      </c>
    </row>
    <row r="632" spans="1:5">
      <c r="A632" s="3" t="s">
        <v>2860</v>
      </c>
      <c r="B632" s="4" t="str">
        <f ca="1">IFERROR(__xludf.DUMMYFUNCTION("IFERROR(GOOGLETRANSLATE(A632,""ko"",""en""),)"),"from now on")</f>
        <v>from now on</v>
      </c>
      <c r="C632" s="4" t="str">
        <f ca="1">IFERROR(__xludf.DUMMYFUNCTION("IFERROR(GOOGLETRANSLATE(B632,""en"",""ja""),)"),"今後")</f>
        <v>今後</v>
      </c>
      <c r="D632" s="4" t="str">
        <f ca="1">IFERROR(__xludf.DUMMYFUNCTION("IFERROR(GOOGLETRANSLATE(B632,""en"",""zh-TW""),)"),"今後")</f>
        <v>今後</v>
      </c>
      <c r="E632" s="4" t="str">
        <f ca="1">IFERROR(__xludf.DUMMYFUNCTION("IFERROR(GOOGLETRANSLATE(B632,""en"",""zh-CN""),)"),"今后")</f>
        <v>今后</v>
      </c>
    </row>
    <row r="633" spans="1:5">
      <c r="A633" s="3" t="s">
        <v>2902</v>
      </c>
      <c r="B633" s="4" t="str">
        <f ca="1">IFERROR(__xludf.DUMMYFUNCTION("IFERROR(GOOGLETRANSLATE(A633,""ko"",""en""),)"),"To the first floor")</f>
        <v>To the first floor</v>
      </c>
      <c r="C633" s="4" t="str">
        <f ca="1">IFERROR(__xludf.DUMMYFUNCTION("IFERROR(GOOGLETRANSLATE(B633,""en"",""ja""),)"),"1階へ")</f>
        <v>1階へ</v>
      </c>
      <c r="D633" s="4" t="str">
        <f ca="1">IFERROR(__xludf.DUMMYFUNCTION("IFERROR(GOOGLETRANSLATE(B633,""en"",""zh-TW""),)"),"到一樓")</f>
        <v>到一樓</v>
      </c>
      <c r="E633" s="4" t="str">
        <f ca="1">IFERROR(__xludf.DUMMYFUNCTION("IFERROR(GOOGLETRANSLATE(B633,""en"",""zh-CN""),)"),"到一楼")</f>
        <v>到一楼</v>
      </c>
    </row>
    <row r="634" spans="1:5">
      <c r="A634" s="3" t="s">
        <v>2865</v>
      </c>
      <c r="B634" s="4" t="str">
        <f ca="1">IFERROR(__xludf.DUMMYFUNCTION("IFERROR(GOOGLETRANSLATE(A634,""ko"",""en""),)"),"This way")</f>
        <v>This way</v>
      </c>
      <c r="C634" s="4" t="str">
        <f ca="1">IFERROR(__xludf.DUMMYFUNCTION("IFERROR(GOOGLETRANSLATE(B634,""en"",""ja""),)"),"こちらです")</f>
        <v>こちらです</v>
      </c>
      <c r="D634" s="4" t="str">
        <f ca="1">IFERROR(__xludf.DUMMYFUNCTION("IFERROR(GOOGLETRANSLATE(B634,""en"",""zh-TW""),)"),"這邊走")</f>
        <v>這邊走</v>
      </c>
      <c r="E634" s="4" t="str">
        <f ca="1">IFERROR(__xludf.DUMMYFUNCTION("IFERROR(GOOGLETRANSLATE(B634,""en"",""zh-CN""),)"),"这边走")</f>
        <v>这边走</v>
      </c>
    </row>
    <row r="635" spans="1:5">
      <c r="A635" s="3" t="s">
        <v>2916</v>
      </c>
      <c r="B635" s="4" t="str">
        <f ca="1">IFERROR(__xludf.DUMMYFUNCTION("IFERROR(GOOGLETRANSLATE(A635,""ko"",""en""),)"),"To the right")</f>
        <v>To the right</v>
      </c>
      <c r="C635" s="4" t="str">
        <f ca="1">IFERROR(__xludf.DUMMYFUNCTION("IFERROR(GOOGLETRANSLATE(B635,""en"",""ja""),)"),"右の方へ")</f>
        <v>右の方へ</v>
      </c>
      <c r="D635" s="4" t="str">
        <f ca="1">IFERROR(__xludf.DUMMYFUNCTION("IFERROR(GOOGLETRANSLATE(B635,""en"",""zh-TW""),)"),"向右")</f>
        <v>向右</v>
      </c>
      <c r="E635" s="4" t="str">
        <f ca="1">IFERROR(__xludf.DUMMYFUNCTION("IFERROR(GOOGLETRANSLATE(B635,""en"",""zh-CN""),)"),"向右")</f>
        <v>向右</v>
      </c>
    </row>
    <row r="636" spans="1:5">
      <c r="A636" s="3" t="s">
        <v>2876</v>
      </c>
      <c r="B636" s="4" t="str">
        <f ca="1">IFERROR(__xludf.DUMMYFUNCTION("IFERROR(GOOGLETRANSLATE(A636,""ko"",""en""),)"),"back")</f>
        <v>back</v>
      </c>
      <c r="C636" s="4" t="str">
        <f ca="1">IFERROR(__xludf.DUMMYFUNCTION("IFERROR(GOOGLETRANSLATE(B636,""en"",""ja""),)"),"戻る")</f>
        <v>戻る</v>
      </c>
      <c r="D636" s="4" t="str">
        <f ca="1">IFERROR(__xludf.DUMMYFUNCTION("IFERROR(GOOGLETRANSLATE(B636,""en"",""zh-TW""),)"),"後退")</f>
        <v>後退</v>
      </c>
      <c r="E636" s="4" t="str">
        <f ca="1">IFERROR(__xludf.DUMMYFUNCTION("IFERROR(GOOGLETRANSLATE(B636,""en"",""zh-CN""),)"),"后退")</f>
        <v>后退</v>
      </c>
    </row>
    <row r="637" spans="1:5">
      <c r="A637" s="3" t="s">
        <v>2925</v>
      </c>
      <c r="B637" s="4" t="s">
        <v>2926</v>
      </c>
      <c r="C637" s="4" t="str">
        <f ca="1">IFERROR(__xludf.DUMMYFUNCTION("IFERROR(GOOGLETRANSLATE(B637,""en"",""ja""),)"),"上へ")</f>
        <v>上へ</v>
      </c>
      <c r="D637" s="4" t="str">
        <f ca="1">IFERROR(__xludf.DUMMYFUNCTION("IFERROR(GOOGLETRANSLATE(B637,""en"",""zh-TW""),)"),"上")</f>
        <v>上</v>
      </c>
      <c r="E637" s="4" t="str">
        <f ca="1">IFERROR(__xludf.DUMMYFUNCTION("IFERROR(GOOGLETRANSLATE(B637,""en"",""zh-CN""),)"),"上")</f>
        <v>上</v>
      </c>
    </row>
    <row r="638" spans="1:5">
      <c r="A638" s="3" t="s">
        <v>2879</v>
      </c>
      <c r="B638" s="4" t="str">
        <f ca="1">IFERROR(__xludf.DUMMYFUNCTION("IFERROR(GOOGLETRANSLATE(A638,""ko"",""en""),)"),"underground")</f>
        <v>underground</v>
      </c>
      <c r="C638" s="4" t="str">
        <f ca="1">IFERROR(__xludf.DUMMYFUNCTION("IFERROR(GOOGLETRANSLATE(B638,""en"",""ja""),)"),"地下")</f>
        <v>地下</v>
      </c>
      <c r="D638" s="4" t="str">
        <f ca="1">IFERROR(__xludf.DUMMYFUNCTION("IFERROR(GOOGLETRANSLATE(B638,""en"",""zh-TW""),)"),"地下")</f>
        <v>地下</v>
      </c>
      <c r="E638" s="4" t="str">
        <f ca="1">IFERROR(__xludf.DUMMYFUNCTION("IFERROR(GOOGLETRANSLATE(B638,""en"",""zh-CN""),)"),"地下")</f>
        <v>地下</v>
      </c>
    </row>
    <row r="639" spans="1:5">
      <c r="A639" s="3" t="s">
        <v>2935</v>
      </c>
      <c r="B639" s="4" t="str">
        <f ca="1">IFERROR(__xludf.DUMMYFUNCTION("IFERROR(GOOGLETRANSLATE(A639,""ko"",""en""),)"),"Cafe")</f>
        <v>Cafe</v>
      </c>
      <c r="C639" s="4" t="str">
        <f ca="1">IFERROR(__xludf.DUMMYFUNCTION("IFERROR(GOOGLETRANSLATE(B639,""en"",""ja""),)"),"カフェ")</f>
        <v>カフェ</v>
      </c>
      <c r="D639" s="4" t="str">
        <f ca="1">IFERROR(__xludf.DUMMYFUNCTION("IFERROR(GOOGLETRANSLATE(B639,""en"",""zh-TW""),)"),"咖啡店")</f>
        <v>咖啡店</v>
      </c>
      <c r="E639" s="4" t="str">
        <f ca="1">IFERROR(__xludf.DUMMYFUNCTION("IFERROR(GOOGLETRANSLATE(B639,""en"",""zh-CN""),)"),"咖啡店")</f>
        <v>咖啡店</v>
      </c>
    </row>
    <row r="640" spans="1:5">
      <c r="A640" s="3" t="s">
        <v>2885</v>
      </c>
      <c r="B640" s="4" t="str">
        <f ca="1">IFERROR(__xludf.DUMMYFUNCTION("IFERROR(GOOGLETRANSLATE(A640,""ko"",""en""),)"),"To the office")</f>
        <v>To the office</v>
      </c>
      <c r="C640" s="4" t="str">
        <f ca="1">IFERROR(__xludf.DUMMYFUNCTION("IFERROR(GOOGLETRANSLATE(B640,""en"",""ja""),)"),"オフィスへ")</f>
        <v>オフィスへ</v>
      </c>
      <c r="D640" s="4" t="str">
        <f ca="1">IFERROR(__xludf.DUMMYFUNCTION("IFERROR(GOOGLETRANSLATE(B640,""en"",""zh-TW""),)"),"去辦公室")</f>
        <v>去辦公室</v>
      </c>
      <c r="E640" s="4" t="str">
        <f ca="1">IFERROR(__xludf.DUMMYFUNCTION("IFERROR(GOOGLETRANSLATE(B640,""en"",""zh-CN""),)"),"去办公室")</f>
        <v>去办公室</v>
      </c>
    </row>
    <row r="641" spans="1:5">
      <c r="A641" s="3" t="s">
        <v>2947</v>
      </c>
      <c r="B641" s="4" t="str">
        <f ca="1">IFERROR(__xludf.DUMMYFUNCTION("IFERROR(GOOGLETRANSLATE(A641,""ko"",""en""),)"),"right hand")</f>
        <v>right hand</v>
      </c>
      <c r="C641" s="4" t="str">
        <f ca="1">IFERROR(__xludf.DUMMYFUNCTION("IFERROR(GOOGLETRANSLATE(B641,""en"",""ja""),)"),"右手")</f>
        <v>右手</v>
      </c>
      <c r="D641" s="4" t="str">
        <f ca="1">IFERROR(__xludf.DUMMYFUNCTION("IFERROR(GOOGLETRANSLATE(B641,""en"",""zh-TW""),)"),"右手")</f>
        <v>右手</v>
      </c>
      <c r="E641" s="4" t="str">
        <f ca="1">IFERROR(__xludf.DUMMYFUNCTION("IFERROR(GOOGLETRANSLATE(B641,""en"",""zh-CN""),)"),"右手")</f>
        <v>右手</v>
      </c>
    </row>
    <row r="642" spans="1:5">
      <c r="A642" s="5" t="s">
        <v>2951</v>
      </c>
      <c r="B642" s="4" t="str">
        <f ca="1">IFERROR(__xludf.DUMMYFUNCTION("IFERROR(GOOGLETRANSLATE(A642,""ko"",""en""),)"),"I am right-handed.")</f>
        <v>I am right-handed.</v>
      </c>
      <c r="C642" s="4" t="str">
        <f ca="1">IFERROR(__xludf.DUMMYFUNCTION("IFERROR(GOOGLETRANSLATE(B642,""en"",""ja""),)"),"私は右利きです。")</f>
        <v>私は右利きです。</v>
      </c>
      <c r="D642" s="4" t="str">
        <f ca="1">IFERROR(__xludf.DUMMYFUNCTION("IFERROR(GOOGLETRANSLATE(B642,""en"",""zh-TW""),)"),"我是右撇子。")</f>
        <v>我是右撇子。</v>
      </c>
      <c r="E642" s="4" t="str">
        <f ca="1">IFERROR(__xludf.DUMMYFUNCTION("IFERROR(GOOGLETRANSLATE(B642,""en"",""zh-CN""),)"),"我是右撇子。")</f>
        <v>我是右撇子。</v>
      </c>
    </row>
    <row r="643" spans="1:5">
      <c r="A643" s="3" t="s">
        <v>2957</v>
      </c>
      <c r="B643" s="4" t="str">
        <f ca="1">IFERROR(__xludf.DUMMYFUNCTION("IFERROR(GOOGLETRANSLATE(A643,""ko"",""en""),)"),"left hand")</f>
        <v>left hand</v>
      </c>
      <c r="C643" s="4" t="str">
        <f ca="1">IFERROR(__xludf.DUMMYFUNCTION("IFERROR(GOOGLETRANSLATE(B643,""en"",""ja""),)"),"左手")</f>
        <v>左手</v>
      </c>
      <c r="D643" s="4" t="str">
        <f ca="1">IFERROR(__xludf.DUMMYFUNCTION("IFERROR(GOOGLETRANSLATE(B643,""en"",""zh-TW""),)"),"左手")</f>
        <v>左手</v>
      </c>
      <c r="E643" s="4" t="str">
        <f ca="1">IFERROR(__xludf.DUMMYFUNCTION("IFERROR(GOOGLETRANSLATE(B643,""en"",""zh-CN""),)"),"左手")</f>
        <v>左手</v>
      </c>
    </row>
    <row r="644" spans="1:5">
      <c r="A644" s="3" t="s">
        <v>2965</v>
      </c>
      <c r="B644" s="4" t="str">
        <f ca="1">IFERROR(__xludf.DUMMYFUNCTION("IFERROR(GOOGLETRANSLATE(A644,""ko"",""en""),)"),"I am left-handed.")</f>
        <v>I am left-handed.</v>
      </c>
      <c r="C644" s="4" t="str">
        <f ca="1">IFERROR(__xludf.DUMMYFUNCTION("IFERROR(GOOGLETRANSLATE(B644,""en"",""ja""),)"),"私は左利きです。")</f>
        <v>私は左利きです。</v>
      </c>
      <c r="D644" s="4" t="str">
        <f ca="1">IFERROR(__xludf.DUMMYFUNCTION("IFERROR(GOOGLETRANSLATE(B644,""en"",""zh-TW""),)"),"我是左撇子。")</f>
        <v>我是左撇子。</v>
      </c>
      <c r="E644" s="4" t="str">
        <f ca="1">IFERROR(__xludf.DUMMYFUNCTION("IFERROR(GOOGLETRANSLATE(B644,""en"",""zh-CN""),)"),"我是左撇子。")</f>
        <v>我是左撇子。</v>
      </c>
    </row>
    <row r="645" spans="1:5">
      <c r="A645" s="3" t="s">
        <v>2970</v>
      </c>
      <c r="B645" s="4" t="str">
        <f ca="1">IFERROR(__xludf.DUMMYFUNCTION("IFERROR(GOOGLETRANSLATE(A645,""ko"",""en""),)"),"Go to the left.")</f>
        <v>Go to the left.</v>
      </c>
      <c r="C645" s="4" t="str">
        <f ca="1">IFERROR(__xludf.DUMMYFUNCTION("IFERROR(GOOGLETRANSLATE(B645,""en"",""ja""),)"),"左へ進んでください。")</f>
        <v>左へ進んでください。</v>
      </c>
      <c r="D645" s="4" t="str">
        <f ca="1">IFERROR(__xludf.DUMMYFUNCTION("IFERROR(GOOGLETRANSLATE(B645,""en"",""zh-TW""),)"),"向左走。")</f>
        <v>向左走。</v>
      </c>
      <c r="E645" s="4" t="str">
        <f ca="1">IFERROR(__xludf.DUMMYFUNCTION("IFERROR(GOOGLETRANSLATE(B645,""en"",""zh-CN""),)"),"向左走。")</f>
        <v>向左走。</v>
      </c>
    </row>
    <row r="646" spans="1:5">
      <c r="A646" s="3" t="s">
        <v>2975</v>
      </c>
      <c r="B646" s="4" t="str">
        <f ca="1">IFERROR(__xludf.DUMMYFUNCTION("IFERROR(GOOGLETRANSLATE(A646,""ko"",""en""),)"),"Go outside.")</f>
        <v>Go outside.</v>
      </c>
      <c r="C646" s="4" t="str">
        <f ca="1">IFERROR(__xludf.DUMMYFUNCTION("IFERROR(GOOGLETRANSLATE(B646,""en"",""ja""),)"),"外に出なさい。")</f>
        <v>外に出なさい。</v>
      </c>
      <c r="D646" s="4" t="str">
        <f ca="1">IFERROR(__xludf.DUMMYFUNCTION("IFERROR(GOOGLETRANSLATE(B646,""en"",""zh-TW""),)"),"出去走走。")</f>
        <v>出去走走。</v>
      </c>
      <c r="E646" s="4" t="str">
        <f ca="1">IFERROR(__xludf.DUMMYFUNCTION("IFERROR(GOOGLETRANSLATE(B646,""en"",""zh-CN""),)"),"出去走走。")</f>
        <v>出去走走。</v>
      </c>
    </row>
    <row r="647" spans="1:5">
      <c r="A647" s="3" t="s">
        <v>2979</v>
      </c>
      <c r="B647" s="4" t="str">
        <f ca="1">IFERROR(__xludf.DUMMYFUNCTION("IFERROR(GOOGLETRANSLATE(A647,""ko"",""en""),)"),"Please come down to the basement.")</f>
        <v>Please come down to the basement.</v>
      </c>
      <c r="C647" s="4" t="str">
        <f ca="1">IFERROR(__xludf.DUMMYFUNCTION("IFERROR(GOOGLETRANSLATE(B647,""en"",""ja""),)"),"地下室までお越しください。")</f>
        <v>地下室までお越しください。</v>
      </c>
      <c r="D647" s="4" t="str">
        <f ca="1">IFERROR(__xludf.DUMMYFUNCTION("IFERROR(GOOGLETRANSLATE(B647,""en"",""zh-TW""),)"),"請到地下室來。")</f>
        <v>請到地下室來。</v>
      </c>
      <c r="E647" s="4" t="str">
        <f ca="1">IFERROR(__xludf.DUMMYFUNCTION("IFERROR(GOOGLETRANSLATE(B647,""en"",""zh-CN""),)"),"请到地下室来。")</f>
        <v>请到地下室来。</v>
      </c>
    </row>
    <row r="648" spans="1:5">
      <c r="A648" s="3" t="s">
        <v>2983</v>
      </c>
      <c r="B648" s="4" t="str">
        <f ca="1">IFERROR(__xludf.DUMMYFUNCTION("IFERROR(GOOGLETRANSLATE(A648,""ko"",""en""),)"),"Please come to the office.")</f>
        <v>Please come to the office.</v>
      </c>
      <c r="C648" s="4" t="str">
        <f ca="1">IFERROR(__xludf.DUMMYFUNCTION("IFERROR(GOOGLETRANSLATE(B648,""en"",""ja""),)"),"事務所にお越しください。")</f>
        <v>事務所にお越しください。</v>
      </c>
      <c r="D648" s="4" t="str">
        <f ca="1">IFERROR(__xludf.DUMMYFUNCTION("IFERROR(GOOGLETRANSLATE(B648,""en"",""zh-TW""),)"),"請到辦公室來一趟。")</f>
        <v>請到辦公室來一趟。</v>
      </c>
      <c r="E648" s="4" t="str">
        <f ca="1">IFERROR(__xludf.DUMMYFUNCTION("IFERROR(GOOGLETRANSLATE(B648,""en"",""zh-CN""),)"),"请到办公室来一趟。")</f>
        <v>请到办公室来一趟。</v>
      </c>
    </row>
    <row r="649" spans="1:5">
      <c r="A649" s="3" t="s">
        <v>2990</v>
      </c>
      <c r="B649" s="4" t="str">
        <f ca="1">IFERROR(__xludf.DUMMYFUNCTION("IFERROR(GOOGLETRANSLATE(A649,""ko"",""en""),)"),"Where is the sports field?")</f>
        <v>Where is the sports field?</v>
      </c>
      <c r="C649" s="4" t="str">
        <f ca="1">IFERROR(__xludf.DUMMYFUNCTION("IFERROR(GOOGLETRANSLATE(B649,""en"",""ja""),)"),"運動場はどこですか？")</f>
        <v>運動場はどこですか？</v>
      </c>
      <c r="D649" s="4" t="str">
        <f ca="1">IFERROR(__xludf.DUMMYFUNCTION("IFERROR(GOOGLETRANSLATE(B649,""en"",""zh-TW""),)"),"運動場在哪裡？")</f>
        <v>運動場在哪裡？</v>
      </c>
      <c r="E649" s="4" t="str">
        <f ca="1">IFERROR(__xludf.DUMMYFUNCTION("IFERROR(GOOGLETRANSLATE(B649,""en"",""zh-CN""),)"),"运动场在哪里？")</f>
        <v>运动场在哪里？</v>
      </c>
    </row>
    <row r="650" spans="1:5">
      <c r="A650" s="3" t="s">
        <v>2994</v>
      </c>
      <c r="B650" s="4" t="str">
        <f ca="1">IFERROR(__xludf.DUMMYFUNCTION("IFERROR(GOOGLETRANSLATE(A650,""ko"",""en""),)"),"Go to the right from here.")</f>
        <v>Go to the right from here.</v>
      </c>
      <c r="C650" s="4" t="str">
        <f ca="1">IFERROR(__xludf.DUMMYFUNCTION("IFERROR(GOOGLETRANSLATE(B650,""en"",""ja""),)"),"ここから右に進んでください。")</f>
        <v>ここから右に進んでください。</v>
      </c>
      <c r="D650" s="4" t="str">
        <f ca="1">IFERROR(__xludf.DUMMYFUNCTION("IFERROR(GOOGLETRANSLATE(B650,""en"",""zh-TW""),)"),"從這裡向右走。")</f>
        <v>從這裡向右走。</v>
      </c>
      <c r="E650" s="4" t="str">
        <f ca="1">IFERROR(__xludf.DUMMYFUNCTION("IFERROR(GOOGLETRANSLATE(B650,""en"",""zh-CN""),)"),"从这里向右走。")</f>
        <v>从这里向右走。</v>
      </c>
    </row>
    <row r="651" spans="1:5">
      <c r="A651" s="3" t="s">
        <v>3002</v>
      </c>
      <c r="B651" s="4" t="str">
        <f ca="1">IFERROR(__xludf.DUMMYFUNCTION("IFERROR(GOOGLETRANSLATE(A651,""ko"",""en""),)"),"Where is the department store?")</f>
        <v>Where is the department store?</v>
      </c>
      <c r="C651" s="4" t="str">
        <f ca="1">IFERROR(__xludf.DUMMYFUNCTION("IFERROR(GOOGLETRANSLATE(B651,""en"",""ja""),)"),"デパートはどこですか？")</f>
        <v>デパートはどこですか？</v>
      </c>
      <c r="D651" s="4" t="str">
        <f ca="1">IFERROR(__xludf.DUMMYFUNCTION("IFERROR(GOOGLETRANSLATE(B651,""en"",""zh-TW""),)"),"百貨公司在哪裡？")</f>
        <v>百貨公司在哪裡？</v>
      </c>
      <c r="E651" s="4" t="str">
        <f ca="1">IFERROR(__xludf.DUMMYFUNCTION("IFERROR(GOOGLETRANSLATE(B651,""en"",""zh-CN""),)"),"百货商店在哪里？")</f>
        <v>百货商店在哪里？</v>
      </c>
    </row>
    <row r="652" spans="1:5">
      <c r="A652" s="3" t="s">
        <v>3006</v>
      </c>
      <c r="B652" s="4" t="str">
        <f ca="1">IFERROR(__xludf.DUMMYFUNCTION("IFERROR(GOOGLETRANSLATE(A652,""ko"",""en""),)"),"It's behind this building. Please go around to the back.")</f>
        <v>It's behind this building. Please go around to the back.</v>
      </c>
      <c r="C652" s="4" t="str">
        <f ca="1">IFERROR(__xludf.DUMMYFUNCTION("IFERROR(GOOGLETRANSLATE(B652,""en"",""ja""),)"),"この建物の裏側にあります。裏手に回ってください。")</f>
        <v>この建物の裏側にあります。裏手に回ってください。</v>
      </c>
      <c r="D652" s="4" t="str">
        <f ca="1">IFERROR(__xludf.DUMMYFUNCTION("IFERROR(GOOGLETRANSLATE(B652,""en"",""zh-TW""),)"),"就在這棟大樓後面。請繞到後面去。")</f>
        <v>就在這棟大樓後面。請繞到後面去。</v>
      </c>
      <c r="E652" s="4" t="str">
        <f ca="1">IFERROR(__xludf.DUMMYFUNCTION("IFERROR(GOOGLETRANSLATE(B652,""en"",""zh-CN""),)"),"就在这栋楼后面。请绕到后面去。")</f>
        <v>就在这栋楼后面。请绕到后面去。</v>
      </c>
    </row>
    <row r="653" spans="1:5">
      <c r="A653" s="3" t="s">
        <v>3012</v>
      </c>
      <c r="B653" s="4" t="str">
        <f ca="1">IFERROR(__xludf.DUMMYFUNCTION("IFERROR(GOOGLETRANSLATE(A653,""ko"",""en""),)"),"Where is the restroom?")</f>
        <v>Where is the restroom?</v>
      </c>
      <c r="C653" s="4" t="str">
        <f ca="1">IFERROR(__xludf.DUMMYFUNCTION("IFERROR(GOOGLETRANSLATE(B653,""en"",""ja""),)"),"トイレはどこですか？")</f>
        <v>トイレはどこですか？</v>
      </c>
      <c r="D653" s="4" t="str">
        <f ca="1">IFERROR(__xludf.DUMMYFUNCTION("IFERROR(GOOGLETRANSLATE(B653,""en"",""zh-TW""),)"),"洗手間在哪裡？")</f>
        <v>洗手間在哪裡？</v>
      </c>
      <c r="E653" s="4" t="str">
        <f ca="1">IFERROR(__xludf.DUMMYFUNCTION("IFERROR(GOOGLETRANSLATE(B653,""en"",""zh-CN""),)"),"洗手间在哪里？")</f>
        <v>洗手间在哪里？</v>
      </c>
    </row>
    <row r="654" spans="1:5">
      <c r="A654" s="3" t="s">
        <v>3016</v>
      </c>
      <c r="B654" s="4" t="str">
        <f ca="1">IFERROR(__xludf.DUMMYFUNCTION("IFERROR(GOOGLETRANSLATE(A654,""ko"",""en""),)"),"It's outside. Please go outside.")</f>
        <v>It's outside. Please go outside.</v>
      </c>
      <c r="C654" s="4" t="str">
        <f ca="1">IFERROR(__xludf.DUMMYFUNCTION("IFERROR(GOOGLETRANSLATE(B654,""en"",""ja""),)"),"外にあります。外に出てください。")</f>
        <v>外にあります。外に出てください。</v>
      </c>
      <c r="D654" s="4" t="str">
        <f ca="1">IFERROR(__xludf.DUMMYFUNCTION("IFERROR(GOOGLETRANSLATE(B654,""en"",""zh-TW""),)"),"它在外面。請到外面去。")</f>
        <v>它在外面。請到外面去。</v>
      </c>
      <c r="E654" s="4" t="str">
        <f ca="1">IFERROR(__xludf.DUMMYFUNCTION("IFERROR(GOOGLETRANSLATE(B654,""en"",""zh-CN""),)"),"它在外面。请到外面去。")</f>
        <v>它在外面。请到外面去。</v>
      </c>
    </row>
    <row r="655" spans="1:5">
      <c r="A655" s="3" t="s">
        <v>3021</v>
      </c>
      <c r="B655" s="4" t="str">
        <f ca="1">IFERROR(__xludf.DUMMYFUNCTION("IFERROR(GOOGLETRANSLATE(A655,""ko"",""en""),)"),"Where do you buy men's clothes?")</f>
        <v>Where do you buy men's clothes?</v>
      </c>
      <c r="C655" s="4" t="str">
        <f ca="1">IFERROR(__xludf.DUMMYFUNCTION("IFERROR(GOOGLETRANSLATE(B655,""en"",""ja""),)"),"男性用の服はどこで買いますか？")</f>
        <v>男性用の服はどこで買いますか？</v>
      </c>
      <c r="D655" s="4" t="str">
        <f ca="1">IFERROR(__xludf.DUMMYFUNCTION("IFERROR(GOOGLETRANSLATE(B655,""en"",""zh-TW""),)"),"男裝哪裡買？")</f>
        <v>男裝哪裡買？</v>
      </c>
      <c r="E655" s="4" t="str">
        <f ca="1">IFERROR(__xludf.DUMMYFUNCTION("IFERROR(GOOGLETRANSLATE(B655,""en"",""zh-CN""),)"),"男装在哪里买？")</f>
        <v>男装在哪里买？</v>
      </c>
    </row>
    <row r="656" spans="1:5">
      <c r="A656" s="3" t="s">
        <v>3027</v>
      </c>
      <c r="B656" s="4" t="str">
        <f ca="1">IFERROR(__xludf.DUMMYFUNCTION("IFERROR(GOOGLETRANSLATE(A656,""ko"",""en""),)"),"Go to the 3rd floor.")</f>
        <v>Go to the 3rd floor.</v>
      </c>
      <c r="C656" s="4" t="str">
        <f ca="1">IFERROR(__xludf.DUMMYFUNCTION("IFERROR(GOOGLETRANSLATE(B656,""en"",""ja""),)"),"3階へ行ってください。")</f>
        <v>3階へ行ってください。</v>
      </c>
      <c r="D656" s="4" t="str">
        <f ca="1">IFERROR(__xludf.DUMMYFUNCTION("IFERROR(GOOGLETRANSLATE(B656,""en"",""zh-TW""),)"),"上三樓。")</f>
        <v>上三樓。</v>
      </c>
      <c r="E656" s="4" t="str">
        <f ca="1">IFERROR(__xludf.DUMMYFUNCTION("IFERROR(GOOGLETRANSLATE(B656,""en"",""zh-CN""),)"),"上三楼。")</f>
        <v>上三楼。</v>
      </c>
    </row>
    <row r="657" spans="1:5">
      <c r="A657" s="3" t="s">
        <v>3032</v>
      </c>
      <c r="B657" s="4" t="str">
        <f ca="1">IFERROR(__xludf.DUMMYFUNCTION("IFERROR(GOOGLETRANSLATE(A657,""ko"",""en""),)"),"Where is your office, teacher?")</f>
        <v>Where is your office, teacher?</v>
      </c>
      <c r="C657" s="4" t="str">
        <f ca="1">IFERROR(__xludf.DUMMYFUNCTION("IFERROR(GOOGLETRANSLATE(B657,""en"",""ja""),)"),"先生のオフィスはどこですか？")</f>
        <v>先生のオフィスはどこですか？</v>
      </c>
      <c r="D657" s="4" t="str">
        <f ca="1">IFERROR(__xludf.DUMMYFUNCTION("IFERROR(GOOGLETRANSLATE(B657,""en"",""zh-TW""),)"),"老師，您的辦公室在哪裡？")</f>
        <v>老師，您的辦公室在哪裡？</v>
      </c>
      <c r="E657" s="4" t="str">
        <f ca="1">IFERROR(__xludf.DUMMYFUNCTION("IFERROR(GOOGLETRANSLATE(B657,""en"",""zh-CN""),)"),"老师，您的办公室在哪里？")</f>
        <v>老师，您的办公室在哪里？</v>
      </c>
    </row>
    <row r="658" spans="1:5">
      <c r="A658" s="3" t="s">
        <v>3039</v>
      </c>
      <c r="B658" s="4" t="str">
        <f ca="1">IFERROR(__xludf.DUMMYFUNCTION("IFERROR(GOOGLETRANSLATE(A658,""ko"",""en""),)"),"Go to the first basement floor.")</f>
        <v>Go to the first basement floor.</v>
      </c>
      <c r="C658" s="4" t="str">
        <f ca="1">IFERROR(__xludf.DUMMYFUNCTION("IFERROR(GOOGLETRANSLATE(B658,""en"",""ja""),)"),"地下1階へ行ってください。")</f>
        <v>地下1階へ行ってください。</v>
      </c>
      <c r="D658" s="4" t="str">
        <f ca="1">IFERROR(__xludf.DUMMYFUNCTION("IFERROR(GOOGLETRANSLATE(B658,""en"",""zh-TW""),)"),"前往地下室一樓。")</f>
        <v>前往地下室一樓。</v>
      </c>
      <c r="E658" s="4" t="str">
        <f ca="1">IFERROR(__xludf.DUMMYFUNCTION("IFERROR(GOOGLETRANSLATE(B658,""en"",""zh-CN""),)"),"前往地下室一楼。")</f>
        <v>前往地下室一楼。</v>
      </c>
    </row>
    <row r="659" spans="1:5">
      <c r="A659" s="3" t="s">
        <v>3046</v>
      </c>
      <c r="B659" s="4" t="str">
        <f ca="1">IFERROR(__xludf.DUMMYFUNCTION("IFERROR(GOOGLETRANSLATE(A659,""ko"",""en""),)"),"Please go down to the first basement floor.")</f>
        <v>Please go down to the first basement floor.</v>
      </c>
      <c r="C659" s="4" t="str">
        <f ca="1">IFERROR(__xludf.DUMMYFUNCTION("IFERROR(GOOGLETRANSLATE(B659,""en"",""ja""),)"),"地下1階まで降りてください。")</f>
        <v>地下1階まで降りてください。</v>
      </c>
      <c r="D659" s="4" t="str">
        <f ca="1">IFERROR(__xludf.DUMMYFUNCTION("IFERROR(GOOGLETRANSLATE(B659,""en"",""zh-TW""),)"),"請下到地下室一樓。")</f>
        <v>請下到地下室一樓。</v>
      </c>
      <c r="E659" s="4" t="str">
        <f ca="1">IFERROR(__xludf.DUMMYFUNCTION("IFERROR(GOOGLETRANSLATE(B659,""en"",""zh-CN""),)"),"请下到地下室一楼。")</f>
        <v>请下到地下室一楼。</v>
      </c>
    </row>
    <row r="660" spans="1:5">
      <c r="A660" s="5" t="s">
        <v>3051</v>
      </c>
      <c r="B660" s="4" t="str">
        <f ca="1">IFERROR(__xludf.DUMMYFUNCTION("IFERROR(GOOGLETRANSLATE(A660,""ko"",""en""),)"),"Where is City Hall?")</f>
        <v>Where is City Hall?</v>
      </c>
      <c r="C660" s="4" t="str">
        <f ca="1">IFERROR(__xludf.DUMMYFUNCTION("IFERROR(GOOGLETRANSLATE(B660,""en"",""ja""),)"),"市役所はどこですか？")</f>
        <v>市役所はどこですか？</v>
      </c>
      <c r="D660" s="4" t="str">
        <f ca="1">IFERROR(__xludf.DUMMYFUNCTION("IFERROR(GOOGLETRANSLATE(B660,""en"",""zh-TW""),)"),"市政廳在哪裡？")</f>
        <v>市政廳在哪裡？</v>
      </c>
      <c r="E660" s="4" t="str">
        <f ca="1">IFERROR(__xludf.DUMMYFUNCTION("IFERROR(GOOGLETRANSLATE(B660,""en"",""zh-CN""),)"),"市政厅在哪里？")</f>
        <v>市政厅在哪里？</v>
      </c>
    </row>
    <row r="661" spans="1:5">
      <c r="A661" s="3" t="s">
        <v>3058</v>
      </c>
      <c r="B661" s="4" t="str">
        <f ca="1">IFERROR(__xludf.DUMMYFUNCTION("IFERROR(GOOGLETRANSLATE(A661,""ko"",""en""),)"),"Go back.")</f>
        <v>Go back.</v>
      </c>
      <c r="C661" s="4" t="str">
        <f ca="1">IFERROR(__xludf.DUMMYFUNCTION("IFERROR(GOOGLETRANSLATE(B661,""en"",""ja""),)"),"戻ってください。")</f>
        <v>戻ってください。</v>
      </c>
      <c r="D661" s="4" t="str">
        <f ca="1">IFERROR(__xludf.DUMMYFUNCTION("IFERROR(GOOGLETRANSLATE(B661,""en"",""zh-TW""),)"),"回去。")</f>
        <v>回去。</v>
      </c>
      <c r="E661" s="4" t="str">
        <f ca="1">IFERROR(__xludf.DUMMYFUNCTION("IFERROR(GOOGLETRANSLATE(B661,""en"",""zh-CN""),)"),"回去。")</f>
        <v>回去。</v>
      </c>
    </row>
    <row r="662" spans="1:5">
      <c r="A662" s="3" t="s">
        <v>3064</v>
      </c>
      <c r="B662" s="4" t="str">
        <f ca="1">IFERROR(__xludf.DUMMYFUNCTION("IFERROR(GOOGLETRANSLATE(A662,""ko"",""en""),)"),"Where is the school?")</f>
        <v>Where is the school?</v>
      </c>
      <c r="C662" s="4" t="str">
        <f ca="1">IFERROR(__xludf.DUMMYFUNCTION("IFERROR(GOOGLETRANSLATE(B662,""en"",""ja""),)"),"学校はどこですか？")</f>
        <v>学校はどこですか？</v>
      </c>
      <c r="D662" s="4" t="str">
        <f ca="1">IFERROR(__xludf.DUMMYFUNCTION("IFERROR(GOOGLETRANSLATE(B662,""en"",""zh-TW""),)"),"學校在哪裡？")</f>
        <v>學校在哪裡？</v>
      </c>
      <c r="E662" s="4" t="str">
        <f ca="1">IFERROR(__xludf.DUMMYFUNCTION("IFERROR(GOOGLETRANSLATE(B662,""en"",""zh-CN""),)"),"学校在哪里？")</f>
        <v>学校在哪里？</v>
      </c>
    </row>
    <row r="663" spans="1:5">
      <c r="A663" s="3" t="s">
        <v>3071</v>
      </c>
      <c r="B663" s="4" t="str">
        <f ca="1">IFERROR(__xludf.DUMMYFUNCTION("IFERROR(GOOGLETRANSLATE(A663,""ko"",""en""),)"),"Go to the right.")</f>
        <v>Go to the right.</v>
      </c>
      <c r="C663" s="4" t="str">
        <f ca="1">IFERROR(__xludf.DUMMYFUNCTION("IFERROR(GOOGLETRANSLATE(B663,""en"",""ja""),)"),"右へ進んでください。")</f>
        <v>右へ進んでください。</v>
      </c>
      <c r="D663" s="4" t="str">
        <f ca="1">IFERROR(__xludf.DUMMYFUNCTION("IFERROR(GOOGLETRANSLATE(B663,""en"",""zh-TW""),)"),"向右走。")</f>
        <v>向右走。</v>
      </c>
      <c r="E663" s="4" t="str">
        <f ca="1">IFERROR(__xludf.DUMMYFUNCTION("IFERROR(GOOGLETRANSLATE(B663,""en"",""zh-CN""),)"),"向右走。")</f>
        <v>向右走。</v>
      </c>
    </row>
    <row r="664" spans="1:5">
      <c r="A664" s="3" t="s">
        <v>2549</v>
      </c>
      <c r="B664" s="4" t="str">
        <f ca="1">IFERROR(__xludf.DUMMYFUNCTION("IFERROR(GOOGLETRANSLATE(A664,""ko"",""en""),)"),"Where is the bank?")</f>
        <v>Where is the bank?</v>
      </c>
      <c r="C664" s="4" t="str">
        <f ca="1">IFERROR(__xludf.DUMMYFUNCTION("IFERROR(GOOGLETRANSLATE(B664,""en"",""ja""),)"),"銀行はどこですか？")</f>
        <v>銀行はどこですか？</v>
      </c>
      <c r="D664" s="4" t="str">
        <f ca="1">IFERROR(__xludf.DUMMYFUNCTION("IFERROR(GOOGLETRANSLATE(B664,""en"",""zh-TW""),)"),"銀行在哪裡？")</f>
        <v>銀行在哪裡？</v>
      </c>
      <c r="E664" s="4" t="str">
        <f ca="1">IFERROR(__xludf.DUMMYFUNCTION("IFERROR(GOOGLETRANSLATE(B664,""en"",""zh-CN""),)"),"银行在哪里？")</f>
        <v>银行在哪里？</v>
      </c>
    </row>
    <row r="665" spans="1:5">
      <c r="A665" s="3" t="s">
        <v>2970</v>
      </c>
      <c r="B665" s="4" t="str">
        <f ca="1">IFERROR(__xludf.DUMMYFUNCTION("IFERROR(GOOGLETRANSLATE(A665,""ko"",""en""),)"),"Go to the left.")</f>
        <v>Go to the left.</v>
      </c>
      <c r="C665" s="4" t="str">
        <f ca="1">IFERROR(__xludf.DUMMYFUNCTION("IFERROR(GOOGLETRANSLATE(B665,""en"",""ja""),)"),"左へ進んでください。")</f>
        <v>左へ進んでください。</v>
      </c>
      <c r="D665" s="4" t="str">
        <f ca="1">IFERROR(__xludf.DUMMYFUNCTION("IFERROR(GOOGLETRANSLATE(B665,""en"",""zh-TW""),)"),"向左走。")</f>
        <v>向左走。</v>
      </c>
      <c r="E665" s="4" t="str">
        <f ca="1">IFERROR(__xludf.DUMMYFUNCTION("IFERROR(GOOGLETRANSLATE(B665,""en"",""zh-CN""),)"),"向左走。")</f>
        <v>向左走。</v>
      </c>
    </row>
    <row r="666" spans="1:5">
      <c r="A666" s="5" t="s">
        <v>3086</v>
      </c>
      <c r="B666" s="4" t="str">
        <f ca="1">IFERROR(__xludf.DUMMYFUNCTION("IFERROR(GOOGLETRANSLATE(A666,""ko"",""en""),)"),"Where is the train station?")</f>
        <v>Where is the train station?</v>
      </c>
      <c r="C666" s="4" t="str">
        <f ca="1">IFERROR(__xludf.DUMMYFUNCTION("IFERROR(GOOGLETRANSLATE(B666,""en"",""ja""),)"),"駅はどこですか？")</f>
        <v>駅はどこですか？</v>
      </c>
      <c r="D666" s="4" t="str">
        <f ca="1">IFERROR(__xludf.DUMMYFUNCTION("IFERROR(GOOGLETRANSLATE(B666,""en"",""zh-TW""),)"),"火車站在哪裡？")</f>
        <v>火車站在哪裡？</v>
      </c>
      <c r="E666" s="4" t="str">
        <f ca="1">IFERROR(__xludf.DUMMYFUNCTION("IFERROR(GOOGLETRANSLATE(B666,""en"",""zh-CN""),)"),"火车站在哪里？")</f>
        <v>火车站在哪里？</v>
      </c>
    </row>
    <row r="667" spans="1:5">
      <c r="A667" s="5" t="s">
        <v>3093</v>
      </c>
      <c r="B667" s="4" t="str">
        <f ca="1">IFERROR(__xludf.DUMMYFUNCTION("IFERROR(GOOGLETRANSLATE(A667,""ko"",""en""),)"),"Go straight from here.")</f>
        <v>Go straight from here.</v>
      </c>
      <c r="C667" s="4" t="str">
        <f ca="1">IFERROR(__xludf.DUMMYFUNCTION("IFERROR(GOOGLETRANSLATE(B667,""en"",""ja""),)"),"ここからまっすぐ進んでください。")</f>
        <v>ここからまっすぐ進んでください。</v>
      </c>
      <c r="D667" s="4" t="str">
        <f ca="1">IFERROR(__xludf.DUMMYFUNCTION("IFERROR(GOOGLETRANSLATE(B667,""en"",""zh-TW""),)"),"從這裡直接走。")</f>
        <v>從這裡直接走。</v>
      </c>
      <c r="E667" s="4" t="str">
        <f ca="1">IFERROR(__xludf.DUMMYFUNCTION("IFERROR(GOOGLETRANSLATE(B667,""en"",""zh-CN""),)"),"从这里直接走。")</f>
        <v>从这里直接走。</v>
      </c>
    </row>
    <row r="668" spans="1:5">
      <c r="A668" s="3" t="s">
        <v>3098</v>
      </c>
      <c r="B668" s="4" t="str">
        <f ca="1">IFERROR(__xludf.DUMMYFUNCTION("IFERROR(GOOGLETRANSLATE(A668,""ko"",""en""),)"),"Go straight ahead.")</f>
        <v>Go straight ahead.</v>
      </c>
      <c r="C668" s="4" t="str">
        <f ca="1">IFERROR(__xludf.DUMMYFUNCTION("IFERROR(GOOGLETRANSLATE(B668,""en"",""ja""),)"),"まっすぐ進んでください。")</f>
        <v>まっすぐ進んでください。</v>
      </c>
      <c r="D668" s="4" t="str">
        <f ca="1">IFERROR(__xludf.DUMMYFUNCTION("IFERROR(GOOGLETRANSLATE(B668,""en"",""zh-TW""),)"),"直接往前走。")</f>
        <v>直接往前走。</v>
      </c>
      <c r="E668" s="4" t="str">
        <f ca="1">IFERROR(__xludf.DUMMYFUNCTION("IFERROR(GOOGLETRANSLATE(B668,""en"",""zh-CN""),)"),"直接往前走。")</f>
        <v>直接往前走。</v>
      </c>
    </row>
    <row r="669" spans="1:5">
      <c r="A669" s="3" t="s">
        <v>3103</v>
      </c>
      <c r="B669" s="4" t="str">
        <f ca="1">IFERROR(__xludf.DUMMYFUNCTION("IFERROR(GOOGLETRANSLATE(A669,""ko"",""en""),)"),"Go straight this way.")</f>
        <v>Go straight this way.</v>
      </c>
      <c r="C669" s="4" t="str">
        <f ca="1">IFERROR(__xludf.DUMMYFUNCTION("IFERROR(GOOGLETRANSLATE(B669,""en"",""ja""),)"),"こちらへまっすぐ進んでください。")</f>
        <v>こちらへまっすぐ進んでください。</v>
      </c>
      <c r="D669" s="4" t="str">
        <f ca="1">IFERROR(__xludf.DUMMYFUNCTION("IFERROR(GOOGLETRANSLATE(B669,""en"",""zh-TW""),)"),"沿著這條路直走。")</f>
        <v>沿著這條路直走。</v>
      </c>
      <c r="E669" s="4" t="str">
        <f ca="1">IFERROR(__xludf.DUMMYFUNCTION("IFERROR(GOOGLETRANSLATE(B669,""en"",""zh-CN""),)"),"沿着这条路直走。")</f>
        <v>沿着这条路直走。</v>
      </c>
    </row>
    <row r="670" spans="1:5">
      <c r="A670" s="3" t="s">
        <v>3112</v>
      </c>
      <c r="B670" s="4" t="str">
        <f ca="1">IFERROR(__xludf.DUMMYFUNCTION("IFERROR(GOOGLETRANSLATE(A670,""ko"",""en""),)"),"Where is the market?")</f>
        <v>Where is the market?</v>
      </c>
      <c r="C670" s="4" t="str">
        <f ca="1">IFERROR(__xludf.DUMMYFUNCTION("IFERROR(GOOGLETRANSLATE(B670,""en"",""ja""),)"),"市場はどこにありますか？")</f>
        <v>市場はどこにありますか？</v>
      </c>
      <c r="D670" s="4" t="str">
        <f ca="1">IFERROR(__xludf.DUMMYFUNCTION("IFERROR(GOOGLETRANSLATE(B670,""en"",""zh-TW""),)"),"市場在哪裡？")</f>
        <v>市場在哪裡？</v>
      </c>
      <c r="E670" s="4" t="str">
        <f ca="1">IFERROR(__xludf.DUMMYFUNCTION("IFERROR(GOOGLETRANSLATE(B670,""en"",""zh-CN""),)"),"市场在哪里？")</f>
        <v>市场在哪里？</v>
      </c>
    </row>
    <row r="671" spans="1:5">
      <c r="A671" s="3" t="s">
        <v>3119</v>
      </c>
      <c r="B671" s="4" t="str">
        <f ca="1">IFERROR(__xludf.DUMMYFUNCTION("IFERROR(GOOGLETRANSLATE(A671,""ko"",""en""),)"),"Go back.")</f>
        <v>Go back.</v>
      </c>
      <c r="C671" s="4" t="str">
        <f ca="1">IFERROR(__xludf.DUMMYFUNCTION("IFERROR(GOOGLETRANSLATE(B671,""en"",""ja""),)"),"戻ってください。")</f>
        <v>戻ってください。</v>
      </c>
      <c r="D671" s="4" t="str">
        <f ca="1">IFERROR(__xludf.DUMMYFUNCTION("IFERROR(GOOGLETRANSLATE(B671,""en"",""zh-TW""),)"),"回去。")</f>
        <v>回去。</v>
      </c>
      <c r="E671" s="4" t="str">
        <f ca="1">IFERROR(__xludf.DUMMYFUNCTION("IFERROR(GOOGLETRANSLATE(B671,""en"",""zh-CN""),)"),"回去。")</f>
        <v>回去。</v>
      </c>
    </row>
    <row r="672" spans="1:5">
      <c r="A672" s="3" t="s">
        <v>3124</v>
      </c>
      <c r="B672" s="4" t="str">
        <f ca="1">IFERROR(__xludf.DUMMYFUNCTION("IFERROR(GOOGLETRANSLATE(A672,""ko"",""en""),)"),"Where is the restaurant?")</f>
        <v>Where is the restaurant?</v>
      </c>
      <c r="C672" s="4" t="str">
        <f ca="1">IFERROR(__xludf.DUMMYFUNCTION("IFERROR(GOOGLETRANSLATE(B672,""en"",""ja""),)"),"レストランはどこにあるのでしょうか？")</f>
        <v>レストランはどこにあるのでしょうか？</v>
      </c>
      <c r="D672" s="4" t="str">
        <f ca="1">IFERROR(__xludf.DUMMYFUNCTION("IFERROR(GOOGLETRANSLATE(B672,""en"",""zh-TW""),)"),"餐館在哪裡？")</f>
        <v>餐館在哪裡？</v>
      </c>
      <c r="E672" s="4" t="str">
        <f ca="1">IFERROR(__xludf.DUMMYFUNCTION("IFERROR(GOOGLETRANSLATE(B672,""en"",""zh-CN""),)"),"餐馆在哪里？")</f>
        <v>餐馆在哪里？</v>
      </c>
    </row>
    <row r="673" spans="1:5">
      <c r="A673" s="3" t="s">
        <v>3131</v>
      </c>
      <c r="B673" s="4" t="str">
        <f ca="1">IFERROR(__xludf.DUMMYFUNCTION("IFERROR(GOOGLETRANSLATE(A673,""ko"",""en""),)"),"Please go up to the second floor.")</f>
        <v>Please go up to the second floor.</v>
      </c>
      <c r="C673" s="4" t="str">
        <f ca="1">IFERROR(__xludf.DUMMYFUNCTION("IFERROR(GOOGLETRANSLATE(B673,""en"",""ja""),)"),"2階へ上がってください。")</f>
        <v>2階へ上がってください。</v>
      </c>
      <c r="D673" s="4" t="str">
        <f ca="1">IFERROR(__xludf.DUMMYFUNCTION("IFERROR(GOOGLETRANSLATE(B673,""en"",""zh-TW""),)"),"請上二樓。")</f>
        <v>請上二樓。</v>
      </c>
      <c r="E673" s="4" t="str">
        <f ca="1">IFERROR(__xludf.DUMMYFUNCTION("IFERROR(GOOGLETRANSLATE(B673,""en"",""zh-CN""),)"),"请上二楼。")</f>
        <v>请上二楼。</v>
      </c>
    </row>
    <row r="674" spans="1:5">
      <c r="A674" s="3" t="s">
        <v>3136</v>
      </c>
      <c r="B674" s="4" t="str">
        <f ca="1">IFERROR(__xludf.DUMMYFUNCTION("IFERROR(GOOGLETRANSLATE(A674,""ko"",""en""),)"),"Where is the elevator?")</f>
        <v>Where is the elevator?</v>
      </c>
      <c r="C674" s="4" t="str">
        <f ca="1">IFERROR(__xludf.DUMMYFUNCTION("IFERROR(GOOGLETRANSLATE(B674,""en"",""ja""),)"),"エレベーターはどこですか？")</f>
        <v>エレベーターはどこですか？</v>
      </c>
      <c r="D674" s="4" t="str">
        <f ca="1">IFERROR(__xludf.DUMMYFUNCTION("IFERROR(GOOGLETRANSLATE(B674,""en"",""zh-TW""),)"),"電梯在哪裡？")</f>
        <v>電梯在哪裡？</v>
      </c>
      <c r="E674" s="4" t="str">
        <f ca="1">IFERROR(__xludf.DUMMYFUNCTION("IFERROR(GOOGLETRANSLATE(B674,""en"",""zh-CN""),)"),"电梯在哪里？")</f>
        <v>电梯在哪里？</v>
      </c>
    </row>
    <row r="675" spans="1:5">
      <c r="A675" s="3" t="s">
        <v>2970</v>
      </c>
      <c r="B675" s="4" t="str">
        <f ca="1">IFERROR(__xludf.DUMMYFUNCTION("IFERROR(GOOGLETRANSLATE(A675,""ko"",""en""),)"),"Go to the left.")</f>
        <v>Go to the left.</v>
      </c>
      <c r="C675" s="4" t="str">
        <f ca="1">IFERROR(__xludf.DUMMYFUNCTION("IFERROR(GOOGLETRANSLATE(B675,""en"",""ja""),)"),"左へ進んでください。")</f>
        <v>左へ進んでください。</v>
      </c>
      <c r="D675" s="4" t="str">
        <f ca="1">IFERROR(__xludf.DUMMYFUNCTION("IFERROR(GOOGLETRANSLATE(B675,""en"",""zh-TW""),)"),"向左走。")</f>
        <v>向左走。</v>
      </c>
      <c r="E675" s="4" t="str">
        <f ca="1">IFERROR(__xludf.DUMMYFUNCTION("IFERROR(GOOGLETRANSLATE(B675,""en"",""zh-CN""),)"),"向左走。")</f>
        <v>向左走。</v>
      </c>
    </row>
    <row r="676" spans="1:5">
      <c r="A676" s="3" t="s">
        <v>2582</v>
      </c>
      <c r="B676" s="4" t="str">
        <f ca="1">IFERROR(__xludf.DUMMYFUNCTION("IFERROR(GOOGLETRANSLATE(A676,""ko"",""en""),)"),"Where is the restroom?")</f>
        <v>Where is the restroom?</v>
      </c>
      <c r="C676" s="4" t="str">
        <f ca="1">IFERROR(__xludf.DUMMYFUNCTION("IFERROR(GOOGLETRANSLATE(B676,""en"",""ja""),)"),"トイレはどこですか？")</f>
        <v>トイレはどこですか？</v>
      </c>
      <c r="D676" s="4" t="str">
        <f ca="1">IFERROR(__xludf.DUMMYFUNCTION("IFERROR(GOOGLETRANSLATE(B676,""en"",""zh-TW""),)"),"洗手間在哪裡？")</f>
        <v>洗手間在哪裡？</v>
      </c>
      <c r="E676" s="4" t="str">
        <f ca="1">IFERROR(__xludf.DUMMYFUNCTION("IFERROR(GOOGLETRANSLATE(B676,""en"",""zh-CN""),)"),"洗手间在哪里？")</f>
        <v>洗手间在哪里？</v>
      </c>
    </row>
    <row r="677" spans="1:5">
      <c r="A677" s="3" t="s">
        <v>3071</v>
      </c>
      <c r="B677" s="4" t="str">
        <f ca="1">IFERROR(__xludf.DUMMYFUNCTION("IFERROR(GOOGLETRANSLATE(A677,""ko"",""en""),)"),"Go to the right.")</f>
        <v>Go to the right.</v>
      </c>
      <c r="C677" s="4" t="str">
        <f ca="1">IFERROR(__xludf.DUMMYFUNCTION("IFERROR(GOOGLETRANSLATE(B677,""en"",""ja""),)"),"右へ進んでください。")</f>
        <v>右へ進んでください。</v>
      </c>
      <c r="D677" s="4" t="str">
        <f ca="1">IFERROR(__xludf.DUMMYFUNCTION("IFERROR(GOOGLETRANSLATE(B677,""en"",""zh-TW""),)"),"向右走。")</f>
        <v>向右走。</v>
      </c>
      <c r="E677" s="4" t="str">
        <f ca="1">IFERROR(__xludf.DUMMYFUNCTION("IFERROR(GOOGLETRANSLATE(B677,""en"",""zh-CN""),)"),"向右走。")</f>
        <v>向右走。</v>
      </c>
    </row>
    <row r="678" spans="1:5">
      <c r="A678" s="3" t="s">
        <v>3153</v>
      </c>
      <c r="B678" s="4" t="str">
        <f ca="1">IFERROR(__xludf.DUMMYFUNCTION("IFERROR(GOOGLETRANSLATE(A678,""ko"",""en""),)"),"Where is the cafe?")</f>
        <v>Where is the cafe?</v>
      </c>
      <c r="C678" s="4" t="str">
        <f ca="1">IFERROR(__xludf.DUMMYFUNCTION("IFERROR(GOOGLETRANSLATE(B678,""en"",""ja""),)"),"カフェはどこですか？")</f>
        <v>カフェはどこですか？</v>
      </c>
      <c r="D678" s="4" t="str">
        <f ca="1">IFERROR(__xludf.DUMMYFUNCTION("IFERROR(GOOGLETRANSLATE(B678,""en"",""zh-TW""),)"),"咖啡館在哪裡？")</f>
        <v>咖啡館在哪裡？</v>
      </c>
      <c r="E678" s="4" t="str">
        <f ca="1">IFERROR(__xludf.DUMMYFUNCTION("IFERROR(GOOGLETRANSLATE(B678,""en"",""zh-CN""),)"),"咖啡馆在哪里？")</f>
        <v>咖啡馆在哪里？</v>
      </c>
    </row>
    <row r="679" spans="1:5">
      <c r="A679" s="3" t="s">
        <v>3156</v>
      </c>
      <c r="B679" s="4" t="str">
        <f ca="1">IFERROR(__xludf.DUMMYFUNCTION("IFERROR(GOOGLETRANSLATE(A679,""ko"",""en""),)"),"Please go down to the first basement floor.")</f>
        <v>Please go down to the first basement floor.</v>
      </c>
      <c r="C679" s="4" t="str">
        <f ca="1">IFERROR(__xludf.DUMMYFUNCTION("IFERROR(GOOGLETRANSLATE(B679,""en"",""ja""),)"),"地下1階まで降りてください。")</f>
        <v>地下1階まで降りてください。</v>
      </c>
      <c r="D679" s="4" t="str">
        <f ca="1">IFERROR(__xludf.DUMMYFUNCTION("IFERROR(GOOGLETRANSLATE(B679,""en"",""zh-TW""),)"),"請下到地下室一樓。")</f>
        <v>請下到地下室一樓。</v>
      </c>
      <c r="E679" s="4" t="str">
        <f ca="1">IFERROR(__xludf.DUMMYFUNCTION("IFERROR(GOOGLETRANSLATE(B679,""en"",""zh-CN""),)"),"请下到地下室一楼。")</f>
        <v>请下到地下室一楼。</v>
      </c>
    </row>
    <row r="680" spans="1:5">
      <c r="A680" s="3" t="s">
        <v>3157</v>
      </c>
      <c r="B680" s="4" t="str">
        <f ca="1">IFERROR(__xludf.DUMMYFUNCTION("IFERROR(GOOGLETRANSLATE(A680,""ko"",""en""),)"),"Where is the movie theater?")</f>
        <v>Where is the movie theater?</v>
      </c>
      <c r="C680" s="4" t="str">
        <f ca="1">IFERROR(__xludf.DUMMYFUNCTION("IFERROR(GOOGLETRANSLATE(B680,""en"",""ja""),)"),"映画館はどこですか？")</f>
        <v>映画館はどこですか？</v>
      </c>
      <c r="D680" s="4" t="str">
        <f ca="1">IFERROR(__xludf.DUMMYFUNCTION("IFERROR(GOOGLETRANSLATE(B680,""en"",""zh-TW""),)"),"電影院在哪裡？")</f>
        <v>電影院在哪裡？</v>
      </c>
      <c r="E680" s="4" t="str">
        <f ca="1">IFERROR(__xludf.DUMMYFUNCTION("IFERROR(GOOGLETRANSLATE(B680,""en"",""zh-CN""),)"),"电影院在哪里？")</f>
        <v>电影院在哪里？</v>
      </c>
    </row>
    <row r="681" spans="1:5">
      <c r="A681" s="3" t="s">
        <v>3160</v>
      </c>
      <c r="B681" s="4" t="str">
        <f ca="1">IFERROR(__xludf.DUMMYFUNCTION("IFERROR(GOOGLETRANSLATE(A681,""ko"",""en""),)"),"Please go up to the 3rd floor.")</f>
        <v>Please go up to the 3rd floor.</v>
      </c>
      <c r="C681" s="4" t="str">
        <f ca="1">IFERROR(__xludf.DUMMYFUNCTION("IFERROR(GOOGLETRANSLATE(B681,""en"",""ja""),)"),"3階まで上がってください。")</f>
        <v>3階まで上がってください。</v>
      </c>
      <c r="D681" s="4" t="str">
        <f ca="1">IFERROR(__xludf.DUMMYFUNCTION("IFERROR(GOOGLETRANSLATE(B681,""en"",""zh-TW""),)"),"請到三樓去。")</f>
        <v>請到三樓去。</v>
      </c>
      <c r="E681" s="4" t="str">
        <f ca="1">IFERROR(__xludf.DUMMYFUNCTION("IFERROR(GOOGLETRANSLATE(B681,""en"",""zh-CN""),)"),"请到三楼去。")</f>
        <v>请到三楼去。</v>
      </c>
    </row>
    <row r="682" spans="1:5">
      <c r="A682" s="3" t="s">
        <v>3168</v>
      </c>
      <c r="B682" s="4" t="str">
        <f ca="1">IFERROR(__xludf.DUMMYFUNCTION("IFERROR(GOOGLETRANSLATE(A682,""ko"",""en""),)"),"Suzy wants to go to Sejong Restaurant.")</f>
        <v>Suzy wants to go to Sejong Restaurant.</v>
      </c>
      <c r="C682" s="4" t="str">
        <f ca="1">IFERROR(__xludf.DUMMYFUNCTION("IFERROR(GOOGLETRANSLATE(B682,""en"",""ja""),)"),"スジは世宗レストランに行きたいと思っています。")</f>
        <v>スジは世宗レストランに行きたいと思っています。</v>
      </c>
      <c r="D682" s="4" t="str">
        <f ca="1">IFERROR(__xludf.DUMMYFUNCTION("IFERROR(GOOGLETRANSLATE(B682,""en"",""zh-TW""),)"),"秀智想去世宗餐廳。")</f>
        <v>秀智想去世宗餐廳。</v>
      </c>
      <c r="E682" s="4" t="str">
        <f ca="1">IFERROR(__xludf.DUMMYFUNCTION("IFERROR(GOOGLETRANSLATE(B682,""en"",""zh-CN""),)"),"秀智想去世宗餐厅。")</f>
        <v>秀智想去世宗餐厅。</v>
      </c>
    </row>
    <row r="683" spans="1:5">
      <c r="A683" s="3" t="s">
        <v>3173</v>
      </c>
      <c r="B683" s="4" t="str">
        <f ca="1">IFERROR(__xludf.DUMMYFUNCTION("IFERROR(GOOGLETRANSLATE(A683,""ko"",""en""),)"),"Suzy wants to eat at Sejong Restaurant.")</f>
        <v>Suzy wants to eat at Sejong Restaurant.</v>
      </c>
      <c r="C683" s="4" t="str">
        <f ca="1">IFERROR(__xludf.DUMMYFUNCTION("IFERROR(GOOGLETRANSLATE(B683,""en"",""ja""),)"),"スジは世宗レストランで食事をしたいと思っています。")</f>
        <v>スジは世宗レストランで食事をしたいと思っています。</v>
      </c>
      <c r="D683" s="4" t="str">
        <f ca="1">IFERROR(__xludf.DUMMYFUNCTION("IFERROR(GOOGLETRANSLATE(B683,""en"",""zh-TW""),)"),"秀智想去世宗餐廳吃飯。")</f>
        <v>秀智想去世宗餐廳吃飯。</v>
      </c>
      <c r="E683" s="4" t="str">
        <f ca="1">IFERROR(__xludf.DUMMYFUNCTION("IFERROR(GOOGLETRANSLATE(B683,""en"",""zh-CN""),)"),"秀智想去世宗餐厅吃饭。")</f>
        <v>秀智想去世宗餐厅吃饭。</v>
      </c>
    </row>
    <row r="684" spans="1:5">
      <c r="A684" s="5" t="s">
        <v>3181</v>
      </c>
      <c r="B684" s="4" t="str">
        <f ca="1">IFERROR(__xludf.DUMMYFUNCTION("IFERROR(GOOGLETRANSLATE(A684,""ko"",""en""),)"),"bakery")</f>
        <v>bakery</v>
      </c>
      <c r="C684" s="4" t="str">
        <f ca="1">IFERROR(__xludf.DUMMYFUNCTION("IFERROR(GOOGLETRANSLATE(B684,""en"",""ja""),)"),"ベーカリー")</f>
        <v>ベーカリー</v>
      </c>
      <c r="D684" s="4" t="str">
        <f ca="1">IFERROR(__xludf.DUMMYFUNCTION("IFERROR(GOOGLETRANSLATE(B684,""en"",""zh-TW""),)"),"麵包店")</f>
        <v>麵包店</v>
      </c>
      <c r="E684" s="4" t="str">
        <f ca="1">IFERROR(__xludf.DUMMYFUNCTION("IFERROR(GOOGLETRANSLATE(B684,""en"",""zh-CN""),)"),"面包店")</f>
        <v>面包店</v>
      </c>
    </row>
    <row r="685" spans="1:5">
      <c r="A685" s="5" t="s">
        <v>3186</v>
      </c>
      <c r="B685" s="4" t="str">
        <f ca="1">IFERROR(__xludf.DUMMYFUNCTION("IFERROR(GOOGLETRANSLATE(A685,""ko"",""en""),)"),"how")</f>
        <v>how</v>
      </c>
      <c r="C685" s="4" t="str">
        <f ca="1">IFERROR(__xludf.DUMMYFUNCTION("IFERROR(GOOGLETRANSLATE(B685,""en"",""ja""),)"),"どうやって")</f>
        <v>どうやって</v>
      </c>
      <c r="D685" s="4" t="str">
        <f ca="1">IFERROR(__xludf.DUMMYFUNCTION("IFERROR(GOOGLETRANSLATE(B685,""en"",""zh-TW""),)"),"如何")</f>
        <v>如何</v>
      </c>
      <c r="E685" s="4" t="str">
        <f ca="1">IFERROR(__xludf.DUMMYFUNCTION("IFERROR(GOOGLETRANSLATE(B685,""en"",""zh-CN""),)"),"如何")</f>
        <v>如何</v>
      </c>
    </row>
    <row r="686" spans="1:5">
      <c r="A686" s="3" t="s">
        <v>3192</v>
      </c>
      <c r="B686" s="4" t="str">
        <f ca="1">IFERROR(__xludf.DUMMYFUNCTION("IFERROR(GOOGLETRANSLATE(A686,""ko"",""en""),)"),"How do I get to Anna's house?")</f>
        <v>How do I get to Anna's house?</v>
      </c>
      <c r="C686" s="4" t="str">
        <f ca="1">IFERROR(__xludf.DUMMYFUNCTION("IFERROR(GOOGLETRANSLATE(B686,""en"",""ja""),)"),"アンナの家へはどうやって行けばいいですか？")</f>
        <v>アンナの家へはどうやって行けばいいですか？</v>
      </c>
      <c r="D686" s="4" t="str">
        <f ca="1">IFERROR(__xludf.DUMMYFUNCTION("IFERROR(GOOGLETRANSLATE(B686,""en"",""zh-TW""),)"),"我該如何去安娜家？")</f>
        <v>我該如何去安娜家？</v>
      </c>
      <c r="E686" s="4" t="str">
        <f ca="1">IFERROR(__xludf.DUMMYFUNCTION("IFERROR(GOOGLETRANSLATE(B686,""en"",""zh-CN""),)"),"我该如何去安娜家？")</f>
        <v>我该如何去安娜家？</v>
      </c>
    </row>
    <row r="687" spans="1:5">
      <c r="A687" s="5" t="s">
        <v>3197</v>
      </c>
      <c r="B687" s="4" t="str">
        <f ca="1">IFERROR(__xludf.DUMMYFUNCTION("IFERROR(GOOGLETRANSLATE(A687,""ko"",""en""),)"),"Then there will be a bakery.")</f>
        <v>Then there will be a bakery.</v>
      </c>
      <c r="C687" s="4" t="str">
        <f ca="1">IFERROR(__xludf.DUMMYFUNCTION("IFERROR(GOOGLETRANSLATE(B687,""en"",""ja""),)"),"そうすれば、パン屋ができるでしょう。")</f>
        <v>そうすれば、パン屋ができるでしょう。</v>
      </c>
      <c r="D687" s="4" t="str">
        <f ca="1">IFERROR(__xludf.DUMMYFUNCTION("IFERROR(GOOGLETRANSLATE(B687,""en"",""zh-TW""),)"),"然後就會有一家麵包店。")</f>
        <v>然後就會有一家麵包店。</v>
      </c>
      <c r="E687" s="4" t="str">
        <f ca="1">IFERROR(__xludf.DUMMYFUNCTION("IFERROR(GOOGLETRANSLATE(B687,""en"",""zh-CN""),)"),"然后就会有一家面包店。")</f>
        <v>然后就会有一家面包店。</v>
      </c>
    </row>
    <row r="688" spans="1:5">
      <c r="A688" s="5" t="s">
        <v>3206</v>
      </c>
      <c r="B688" s="4" t="str">
        <f ca="1">IFERROR(__xludf.DUMMYFUNCTION("IFERROR(GOOGLETRANSLATE(A688,""ko"",""en""),)"),"Korean food is eaten with a spoon and chopsticks.")</f>
        <v>Korean food is eaten with a spoon and chopsticks.</v>
      </c>
      <c r="C688" s="4" t="str">
        <f ca="1">IFERROR(__xludf.DUMMYFUNCTION("IFERROR(GOOGLETRANSLATE(B688,""en"",""ja""),)"),"韓国料理はスプーンと箸を使って食べます。")</f>
        <v>韓国料理はスプーンと箸を使って食べます。</v>
      </c>
      <c r="D688" s="4" t="str">
        <f ca="1">IFERROR(__xludf.DUMMYFUNCTION("IFERROR(GOOGLETRANSLATE(B688,""en"",""zh-TW""),)"),"韓國料理是用湯匙和筷子吃的。")</f>
        <v>韓國料理是用湯匙和筷子吃的。</v>
      </c>
      <c r="E688" s="4" t="str">
        <f ca="1">IFERROR(__xludf.DUMMYFUNCTION("IFERROR(GOOGLETRANSLATE(B688,""en"",""zh-CN""),)"),"韩国料理是用勺子和筷子吃的。")</f>
        <v>韩国料理是用勺子和筷子吃的。</v>
      </c>
    </row>
    <row r="689" spans="1:5">
      <c r="A689" s="3" t="s">
        <v>3214</v>
      </c>
      <c r="B689" s="4" t="str">
        <f ca="1">IFERROR(__xludf.DUMMYFUNCTION("IFERROR(GOOGLETRANSLATE(A689,""ko"",""en""),)"),"I did my Korean homework on the computer.")</f>
        <v>I did my Korean homework on the computer.</v>
      </c>
      <c r="C689" s="4" t="str">
        <f ca="1">IFERROR(__xludf.DUMMYFUNCTION("IFERROR(GOOGLETRANSLATE(B689,""en"",""ja""),)"),"私はパソコンで韓国語の宿題をしました。")</f>
        <v>私はパソコンで韓国語の宿題をしました。</v>
      </c>
      <c r="D689" s="4" t="str">
        <f ca="1">IFERROR(__xludf.DUMMYFUNCTION("IFERROR(GOOGLETRANSLATE(B689,""en"",""zh-TW""),)"),"我在電腦上完成了韓文作業。")</f>
        <v>我在電腦上完成了韓文作業。</v>
      </c>
      <c r="E689" s="4" t="str">
        <f ca="1">IFERROR(__xludf.DUMMYFUNCTION("IFERROR(GOOGLETRANSLATE(B689,""en"",""zh-CN""),)"),"我在电脑上完成了韩语作业。")</f>
        <v>我在电脑上完成了韩语作业。</v>
      </c>
    </row>
    <row r="690" spans="1:5">
      <c r="A690" s="3" t="s">
        <v>3219</v>
      </c>
      <c r="B690" s="4" t="str">
        <f ca="1">IFERROR(__xludf.DUMMYFUNCTION("IFERROR(GOOGLETRANSLATE(A690,""ko"",""en""),)"),"How do I get to the Korean Art Museum?")</f>
        <v>How do I get to the Korean Art Museum?</v>
      </c>
      <c r="C690" s="4" t="str">
        <f ca="1">IFERROR(__xludf.DUMMYFUNCTION("IFERROR(GOOGLETRANSLATE(B690,""en"",""ja""),)"),"韓国美術館へはどうやって行けばいいですか？")</f>
        <v>韓国美術館へはどうやって行けばいいですか？</v>
      </c>
      <c r="D690" s="4" t="str">
        <f ca="1">IFERROR(__xludf.DUMMYFUNCTION("IFERROR(GOOGLETRANSLATE(B690,""en"",""zh-TW""),)"),"我該如何前往韓國美術館？")</f>
        <v>我該如何前往韓國美術館？</v>
      </c>
      <c r="E690" s="4" t="str">
        <f ca="1">IFERROR(__xludf.DUMMYFUNCTION("IFERROR(GOOGLETRANSLATE(B690,""en"",""zh-CN""),)"),"我该如何前往韩国美术馆？")</f>
        <v>我该如何前往韩国美术馆？</v>
      </c>
    </row>
    <row r="691" spans="1:5">
      <c r="A691" s="3" t="s">
        <v>222</v>
      </c>
      <c r="B691" s="4" t="str">
        <f ca="1">IFERROR(__xludf.DUMMYFUNCTION("IFERROR(GOOGLETRANSLATE(A691,""ko"",""en""),)"),"bicycle")</f>
        <v>bicycle</v>
      </c>
      <c r="C691" s="4" t="str">
        <f ca="1">IFERROR(__xludf.DUMMYFUNCTION("IFERROR(GOOGLETRANSLATE(B691,""en"",""ja""),)"),"自転車")</f>
        <v>自転車</v>
      </c>
      <c r="D691" s="4" t="str">
        <f ca="1">IFERROR(__xludf.DUMMYFUNCTION("IFERROR(GOOGLETRANSLATE(B691,""en"",""zh-TW""),)"),"自行車")</f>
        <v>自行車</v>
      </c>
      <c r="E691" s="4" t="str">
        <f ca="1">IFERROR(__xludf.DUMMYFUNCTION("IFERROR(GOOGLETRANSLATE(B691,""en"",""zh-CN""),)"),"自行车")</f>
        <v>自行车</v>
      </c>
    </row>
    <row r="692" spans="1:5">
      <c r="A692" s="3" t="s">
        <v>3226</v>
      </c>
      <c r="B692" s="4" t="str">
        <f ca="1">IFERROR(__xludf.DUMMYFUNCTION("IFERROR(GOOGLETRANSLATE(A692,""ko"",""en""),)"),"motorcycle")</f>
        <v>motorcycle</v>
      </c>
      <c r="C692" s="4" t="str">
        <f ca="1">IFERROR(__xludf.DUMMYFUNCTION("IFERROR(GOOGLETRANSLATE(B692,""en"",""ja""),)"),"オートバイ")</f>
        <v>オートバイ</v>
      </c>
      <c r="D692" s="4" t="str">
        <f ca="1">IFERROR(__xludf.DUMMYFUNCTION("IFERROR(GOOGLETRANSLATE(B692,""en"",""zh-TW""),)"),"摩托車")</f>
        <v>摩托車</v>
      </c>
      <c r="E692" s="4" t="str">
        <f ca="1">IFERROR(__xludf.DUMMYFUNCTION("IFERROR(GOOGLETRANSLATE(B692,""en"",""zh-CN""),)"),"摩托车")</f>
        <v>摩托车</v>
      </c>
    </row>
    <row r="693" spans="1:5">
      <c r="A693" s="3" t="s">
        <v>3232</v>
      </c>
      <c r="B693" s="4" t="str">
        <f ca="1">IFERROR(__xludf.DUMMYFUNCTION("IFERROR(GOOGLETRANSLATE(A693,""ko"",""en""),)"),"taxi")</f>
        <v>taxi</v>
      </c>
      <c r="C693" s="4" t="str">
        <f ca="1">IFERROR(__xludf.DUMMYFUNCTION("IFERROR(GOOGLETRANSLATE(B693,""en"",""ja""),)"),"タクシー")</f>
        <v>タクシー</v>
      </c>
      <c r="D693" s="4" t="str">
        <f ca="1">IFERROR(__xludf.DUMMYFUNCTION("IFERROR(GOOGLETRANSLATE(B693,""en"",""zh-TW""),)"),"計程車")</f>
        <v>計程車</v>
      </c>
      <c r="E693" s="4" t="str">
        <f ca="1">IFERROR(__xludf.DUMMYFUNCTION("IFERROR(GOOGLETRANSLATE(B693,""en"",""zh-CN""),)"),"出租车")</f>
        <v>出租车</v>
      </c>
    </row>
    <row r="694" spans="1:5">
      <c r="A694" s="3" t="s">
        <v>2437</v>
      </c>
      <c r="B694" s="4" t="str">
        <f ca="1">IFERROR(__xludf.DUMMYFUNCTION("IFERROR(GOOGLETRANSLATE(A694,""ko"",""en""),)"),"bus")</f>
        <v>bus</v>
      </c>
      <c r="C694" s="4" t="str">
        <f ca="1">IFERROR(__xludf.DUMMYFUNCTION("IFERROR(GOOGLETRANSLATE(B694,""en"",""ja""),)"),"バス")</f>
        <v>バス</v>
      </c>
      <c r="D694" s="4" t="str">
        <f ca="1">IFERROR(__xludf.DUMMYFUNCTION("IFERROR(GOOGLETRANSLATE(B694,""en"",""zh-TW""),)"),"公車")</f>
        <v>公車</v>
      </c>
      <c r="E694" s="4" t="str">
        <f ca="1">IFERROR(__xludf.DUMMYFUNCTION("IFERROR(GOOGLETRANSLATE(B694,""en"",""zh-CN""),)"),"公共汽车")</f>
        <v>公共汽车</v>
      </c>
    </row>
    <row r="695" spans="1:5">
      <c r="A695" s="3" t="s">
        <v>313</v>
      </c>
      <c r="B695" s="4" t="str">
        <f ca="1">IFERROR(__xludf.DUMMYFUNCTION("IFERROR(GOOGLETRANSLATE(A695,""ko"",""en""),)"),"train")</f>
        <v>train</v>
      </c>
      <c r="C695" s="4" t="str">
        <f ca="1">IFERROR(__xludf.DUMMYFUNCTION("IFERROR(GOOGLETRANSLATE(B695,""en"",""ja""),)"),"電車")</f>
        <v>電車</v>
      </c>
      <c r="D695" s="4" t="str">
        <f ca="1">IFERROR(__xludf.DUMMYFUNCTION("IFERROR(GOOGLETRANSLATE(B695,""en"",""zh-TW""),)"),"火車")</f>
        <v>火車</v>
      </c>
      <c r="E695" s="4" t="str">
        <f ca="1">IFERROR(__xludf.DUMMYFUNCTION("IFERROR(GOOGLETRANSLATE(B695,""en"",""zh-CN""),)"),"火车")</f>
        <v>火车</v>
      </c>
    </row>
    <row r="696" spans="1:5">
      <c r="A696" s="3" t="s">
        <v>1430</v>
      </c>
      <c r="B696" s="4" t="str">
        <f ca="1">IFERROR(__xludf.DUMMYFUNCTION("IFERROR(GOOGLETRANSLATE(A696,""ko"",""en""),)"),"subway")</f>
        <v>subway</v>
      </c>
      <c r="C696" s="4" t="str">
        <f ca="1">IFERROR(__xludf.DUMMYFUNCTION("IFERROR(GOOGLETRANSLATE(B696,""en"",""ja""),)"),"地下鉄")</f>
        <v>地下鉄</v>
      </c>
      <c r="D696" s="4" t="str">
        <f ca="1">IFERROR(__xludf.DUMMYFUNCTION("IFERROR(GOOGLETRANSLATE(B696,""en"",""zh-TW""),)"),"捷運")</f>
        <v>捷運</v>
      </c>
      <c r="E696" s="4" t="str">
        <f ca="1">IFERROR(__xludf.DUMMYFUNCTION("IFERROR(GOOGLETRANSLATE(B696,""en"",""zh-CN""),)"),"地铁")</f>
        <v>地铁</v>
      </c>
    </row>
    <row r="697" spans="1:5">
      <c r="A697" s="3" t="s">
        <v>696</v>
      </c>
      <c r="B697" s="4" t="str">
        <f ca="1">IFERROR(__xludf.DUMMYFUNCTION("IFERROR(GOOGLETRANSLATE(A697,""ko"",""en""),)"),"ship")</f>
        <v>ship</v>
      </c>
      <c r="C697" s="4" t="str">
        <f ca="1">IFERROR(__xludf.DUMMYFUNCTION("IFERROR(GOOGLETRANSLATE(B697,""en"",""ja""),)"),"船")</f>
        <v>船</v>
      </c>
      <c r="D697" s="4" t="str">
        <f ca="1">IFERROR(__xludf.DUMMYFUNCTION("IFERROR(GOOGLETRANSLATE(B697,""en"",""zh-TW""),)"),"船")</f>
        <v>船</v>
      </c>
      <c r="E697" s="4" t="str">
        <f ca="1">IFERROR(__xludf.DUMMYFUNCTION("IFERROR(GOOGLETRANSLATE(B697,""en"",""zh-CN""),)"),"船")</f>
        <v>船</v>
      </c>
    </row>
    <row r="698" spans="1:5">
      <c r="A698" s="3" t="s">
        <v>3259</v>
      </c>
      <c r="B698" s="4" t="str">
        <f ca="1">IFERROR(__xludf.DUMMYFUNCTION("IFERROR(GOOGLETRANSLATE(A698,""ko"",""en""),)"),"airplane")</f>
        <v>airplane</v>
      </c>
      <c r="C698" s="4" t="str">
        <f ca="1">IFERROR(__xludf.DUMMYFUNCTION("IFERROR(GOOGLETRANSLATE(B698,""en"",""ja""),)"),"飛行機")</f>
        <v>飛行機</v>
      </c>
      <c r="D698" s="4" t="str">
        <f ca="1">IFERROR(__xludf.DUMMYFUNCTION("IFERROR(GOOGLETRANSLATE(B698,""en"",""zh-TW""),)"),"飛機")</f>
        <v>飛機</v>
      </c>
      <c r="E698" s="4" t="str">
        <f ca="1">IFERROR(__xludf.DUMMYFUNCTION("IFERROR(GOOGLETRANSLATE(B698,""en"",""zh-CN""),)"),"飞机")</f>
        <v>飞机</v>
      </c>
    </row>
    <row r="699" spans="1:5">
      <c r="A699" s="5" t="s">
        <v>3265</v>
      </c>
      <c r="B699" s="4" t="str">
        <f ca="1">IFERROR(__xludf.DUMMYFUNCTION("IFERROR(GOOGLETRANSLATE(A699,""ko"",""en""),)"),"tram")</f>
        <v>tram</v>
      </c>
      <c r="C699" s="4" t="str">
        <f ca="1">IFERROR(__xludf.DUMMYFUNCTION("IFERROR(GOOGLETRANSLATE(B699,""en"",""ja""),)"),"路面電車")</f>
        <v>路面電車</v>
      </c>
      <c r="D699" s="4" t="str">
        <f ca="1">IFERROR(__xludf.DUMMYFUNCTION("IFERROR(GOOGLETRANSLATE(B699,""en"",""zh-TW""),)"),"電車")</f>
        <v>電車</v>
      </c>
      <c r="E699" s="4" t="str">
        <f ca="1">IFERROR(__xludf.DUMMYFUNCTION("IFERROR(GOOGLETRANSLATE(B699,""en"",""zh-CN""),)"),"电车")</f>
        <v>电车</v>
      </c>
    </row>
    <row r="700" spans="1:5">
      <c r="A700" s="5" t="s">
        <v>3273</v>
      </c>
      <c r="B700" s="4" t="str">
        <f ca="1">IFERROR(__xludf.DUMMYFUNCTION("IFERROR(GOOGLETRANSLATE(A700,""ko"",""en""),)"),"light rail")</f>
        <v>light rail</v>
      </c>
      <c r="C700" s="4" t="str">
        <f ca="1">IFERROR(__xludf.DUMMYFUNCTION("IFERROR(GOOGLETRANSLATE(B700,""en"",""ja""),)"),"ライトレール")</f>
        <v>ライトレール</v>
      </c>
      <c r="D700" s="4" t="str">
        <f ca="1">IFERROR(__xludf.DUMMYFUNCTION("IFERROR(GOOGLETRANSLATE(B700,""en"",""zh-TW""),)"),"輕軌")</f>
        <v>輕軌</v>
      </c>
      <c r="E700" s="4" t="str">
        <f ca="1">IFERROR(__xludf.DUMMYFUNCTION("IFERROR(GOOGLETRANSLATE(B700,""en"",""zh-CN""),)"),"轻轨")</f>
        <v>轻轨</v>
      </c>
    </row>
    <row r="701" spans="1:5">
      <c r="A701" s="3" t="s">
        <v>332</v>
      </c>
      <c r="B701" s="4" t="str">
        <f ca="1">IFERROR(__xludf.DUMMYFUNCTION("IFERROR(GOOGLETRANSLATE(A701,""ko"",""en""),)"),"automobile")</f>
        <v>automobile</v>
      </c>
      <c r="C701" s="4" t="str">
        <f ca="1">IFERROR(__xludf.DUMMYFUNCTION("IFERROR(GOOGLETRANSLATE(B701,""en"",""ja""),)"),"自動車")</f>
        <v>自動車</v>
      </c>
      <c r="D701" s="4" t="str">
        <f ca="1">IFERROR(__xludf.DUMMYFUNCTION("IFERROR(GOOGLETRANSLATE(B701,""en"",""zh-TW""),)"),"汽車")</f>
        <v>汽車</v>
      </c>
      <c r="E701" s="4" t="str">
        <f ca="1">IFERROR(__xludf.DUMMYFUNCTION("IFERROR(GOOGLETRANSLATE(B701,""en"",""zh-CN""),)"),"汽车")</f>
        <v>汽车</v>
      </c>
    </row>
    <row r="702" spans="1:5">
      <c r="A702" s="3" t="s">
        <v>3283</v>
      </c>
      <c r="B702" s="4" t="str">
        <f ca="1">IFERROR(__xludf.DUMMYFUNCTION("IFERROR(GOOGLETRANSLATE(A702,""ko"",""en""),)"),"express bus")</f>
        <v>express bus</v>
      </c>
      <c r="C702" s="4" t="str">
        <f ca="1">IFERROR(__xludf.DUMMYFUNCTION("IFERROR(GOOGLETRANSLATE(B702,""en"",""ja""),)"),"急行バス")</f>
        <v>急行バス</v>
      </c>
      <c r="D702" s="4" t="str">
        <f ca="1">IFERROR(__xludf.DUMMYFUNCTION("IFERROR(GOOGLETRANSLATE(B702,""en"",""zh-TW""),)"),"快車")</f>
        <v>快車</v>
      </c>
      <c r="E702" s="4" t="str">
        <f ca="1">IFERROR(__xludf.DUMMYFUNCTION("IFERROR(GOOGLETRANSLATE(B702,""en"",""zh-CN""),)"),"快车")</f>
        <v>快车</v>
      </c>
    </row>
    <row r="703" spans="1:5">
      <c r="A703" s="3" t="s">
        <v>3288</v>
      </c>
      <c r="B703" s="4" t="str">
        <f ca="1">IFERROR(__xludf.DUMMYFUNCTION("IFERROR(GOOGLETRANSLATE(A703,""ko"",""en""),)"),"Let's walk")</f>
        <v>Let's walk</v>
      </c>
      <c r="C703" s="4" t="str">
        <f ca="1">IFERROR(__xludf.DUMMYFUNCTION("IFERROR(GOOGLETRANSLATE(B703,""en"",""ja""),)"),"歩きましょう")</f>
        <v>歩きましょう</v>
      </c>
      <c r="D703" s="4" t="str">
        <f ca="1">IFERROR(__xludf.DUMMYFUNCTION("IFERROR(GOOGLETRANSLATE(B703,""en"",""zh-TW""),)"),"我們走吧")</f>
        <v>我們走吧</v>
      </c>
      <c r="E703" s="4" t="str">
        <f ca="1">IFERROR(__xludf.DUMMYFUNCTION("IFERROR(GOOGLETRANSLATE(B703,""en"",""zh-CN""),)"),"我们走吧")</f>
        <v>我们走吧</v>
      </c>
    </row>
    <row r="704" spans="1:5">
      <c r="A704" s="3" t="s">
        <v>3294</v>
      </c>
      <c r="B704" s="4" t="str">
        <f ca="1">IFERROR(__xludf.DUMMYFUNCTION("IFERROR(GOOGLETRANSLATE(A704,""ko"",""en""),)"),"I drive a car.")</f>
        <v>I drive a car.</v>
      </c>
      <c r="C704" s="4" t="str">
        <f ca="1">IFERROR(__xludf.DUMMYFUNCTION("IFERROR(GOOGLETRANSLATE(B704,""en"",""ja""),)"),"私は車を運転します。")</f>
        <v>私は車を運転します。</v>
      </c>
      <c r="D704" s="4" t="str">
        <f ca="1">IFERROR(__xludf.DUMMYFUNCTION("IFERROR(GOOGLETRANSLATE(B704,""en"",""zh-TW""),)"),"我開車。")</f>
        <v>我開車。</v>
      </c>
      <c r="E704" s="4" t="str">
        <f ca="1">IFERROR(__xludf.DUMMYFUNCTION("IFERROR(GOOGLETRANSLATE(B704,""en"",""zh-CN""),)"),"我开车。")</f>
        <v>我开车。</v>
      </c>
    </row>
    <row r="705" spans="1:5">
      <c r="A705" s="5" t="s">
        <v>3298</v>
      </c>
      <c r="B705" s="4" t="str">
        <f ca="1">IFERROR(__xludf.DUMMYFUNCTION("IFERROR(GOOGLETRANSLATE(A705,""ko"",""en""),)"),"Transfer to the bus.")</f>
        <v>Transfer to the bus.</v>
      </c>
      <c r="C705" s="4" t="str">
        <f ca="1">IFERROR(__xludf.DUMMYFUNCTION("IFERROR(GOOGLETRANSLATE(B705,""en"",""ja""),)"),"バスに乗り換える。")</f>
        <v>バスに乗り換える。</v>
      </c>
      <c r="D705" s="4" t="str">
        <f ca="1">IFERROR(__xludf.DUMMYFUNCTION("IFERROR(GOOGLETRANSLATE(B705,""en"",""zh-TW""),)"),"換乘巴士。")</f>
        <v>換乘巴士。</v>
      </c>
      <c r="E705" s="4" t="str">
        <f ca="1">IFERROR(__xludf.DUMMYFUNCTION("IFERROR(GOOGLETRANSLATE(B705,""en"",""zh-CN""),)"),"换乘巴士。")</f>
        <v>换乘巴士。</v>
      </c>
    </row>
    <row r="706" spans="1:5">
      <c r="A706" s="3" t="s">
        <v>3305</v>
      </c>
      <c r="B706" s="4" t="str">
        <f ca="1">IFERROR(__xludf.DUMMYFUNCTION("IFERROR(GOOGLETRANSLATE(A706,""ko"",""en""),)"),"I take the subway")</f>
        <v>I take the subway</v>
      </c>
      <c r="C706" s="4" t="str">
        <f ca="1">IFERROR(__xludf.DUMMYFUNCTION("IFERROR(GOOGLETRANSLATE(B706,""en"",""ja""),)"),"私は地下鉄に乗る")</f>
        <v>私は地下鉄に乗る</v>
      </c>
      <c r="D706" s="4" t="str">
        <f ca="1">IFERROR(__xludf.DUMMYFUNCTION("IFERROR(GOOGLETRANSLATE(B706,""en"",""zh-TW""),)"),"我搭地鐵")</f>
        <v>我搭地鐵</v>
      </c>
      <c r="E706" s="4" t="str">
        <f ca="1">IFERROR(__xludf.DUMMYFUNCTION("IFERROR(GOOGLETRANSLATE(B706,""en"",""zh-CN""),)"),"我乘地铁")</f>
        <v>我乘地铁</v>
      </c>
    </row>
    <row r="707" spans="1:5">
      <c r="A707" s="3" t="s">
        <v>3310</v>
      </c>
      <c r="B707" s="4" t="str">
        <f ca="1">IFERROR(__xludf.DUMMYFUNCTION("IFERROR(GOOGLETRANSLATE(A707,""ko"",""en""),)"),"Get out of the taxi.")</f>
        <v>Get out of the taxi.</v>
      </c>
      <c r="C707" s="4" t="str">
        <f ca="1">IFERROR(__xludf.DUMMYFUNCTION("IFERROR(GOOGLETRANSLATE(B707,""en"",""ja""),)"),"タクシーから降りてください。")</f>
        <v>タクシーから降りてください。</v>
      </c>
      <c r="D707" s="4" t="str">
        <f ca="1">IFERROR(__xludf.DUMMYFUNCTION("IFERROR(GOOGLETRANSLATE(B707,""en"",""zh-TW""),)"),"下出租車。")</f>
        <v>下出租車。</v>
      </c>
      <c r="E707" s="4" t="str">
        <f ca="1">IFERROR(__xludf.DUMMYFUNCTION("IFERROR(GOOGLETRANSLATE(B707,""en"",""zh-CN""),)"),"下出租车。")</f>
        <v>下出租车。</v>
      </c>
    </row>
    <row r="708" spans="1:5">
      <c r="A708" s="3" t="s">
        <v>3313</v>
      </c>
      <c r="B708" s="4" t="str">
        <f ca="1">IFERROR(__xludf.DUMMYFUNCTION("IFERROR(GOOGLETRANSLATE(A708,""ko"",""en""),)"),"How do I get to City Hall?")</f>
        <v>How do I get to City Hall?</v>
      </c>
      <c r="C708" s="4" t="str">
        <f ca="1">IFERROR(__xludf.DUMMYFUNCTION("IFERROR(GOOGLETRANSLATE(B708,""en"",""ja""),)"),"市役所へはどうやって行けばいいですか？")</f>
        <v>市役所へはどうやって行けばいいですか？</v>
      </c>
      <c r="D708" s="4" t="str">
        <f ca="1">IFERROR(__xludf.DUMMYFUNCTION("IFERROR(GOOGLETRANSLATE(B708,""en"",""zh-TW""),)"),"我該如何前往市政廳？")</f>
        <v>我該如何前往市政廳？</v>
      </c>
      <c r="E708" s="4" t="str">
        <f ca="1">IFERROR(__xludf.DUMMYFUNCTION("IFERROR(GOOGLETRANSLATE(B708,""en"",""zh-CN""),)"),"我该如何前往市政厅？")</f>
        <v>我该如何前往市政厅？</v>
      </c>
    </row>
    <row r="709" spans="1:5">
      <c r="A709" s="3" t="s">
        <v>3316</v>
      </c>
      <c r="B709" s="4" t="str">
        <f ca="1">IFERROR(__xludf.DUMMYFUNCTION("IFERROR(GOOGLETRANSLATE(A709,""ko"",""en""),)"),"I'm taking the bus.")</f>
        <v>I'm taking the bus.</v>
      </c>
      <c r="C709" s="4" t="str">
        <f ca="1">IFERROR(__xludf.DUMMYFUNCTION("IFERROR(GOOGLETRANSLATE(B709,""en"",""ja""),)"),"私はバスに乗ります。")</f>
        <v>私はバスに乗ります。</v>
      </c>
      <c r="D709" s="4" t="str">
        <f ca="1">IFERROR(__xludf.DUMMYFUNCTION("IFERROR(GOOGLETRANSLATE(B709,""en"",""zh-TW""),)"),"我打算搭公車。")</f>
        <v>我打算搭公車。</v>
      </c>
      <c r="E709" s="4" t="str">
        <f ca="1">IFERROR(__xludf.DUMMYFUNCTION("IFERROR(GOOGLETRANSLATE(B709,""en"",""zh-CN""),)"),"我打算乘公交车。")</f>
        <v>我打算乘公交车。</v>
      </c>
    </row>
    <row r="710" spans="1:5">
      <c r="A710" s="5" t="s">
        <v>3322</v>
      </c>
      <c r="B710" s="4" t="str">
        <f ca="1">IFERROR(__xludf.DUMMYFUNCTION("IFERROR(GOOGLETRANSLATE(A710,""ko"",""en""),)"),"How do I get to the post office?")</f>
        <v>How do I get to the post office?</v>
      </c>
      <c r="C710" s="4" t="str">
        <f ca="1">IFERROR(__xludf.DUMMYFUNCTION("IFERROR(GOOGLETRANSLATE(B710,""en"",""ja""),)"),"郵便局へはどうやって行けばいいですか？")</f>
        <v>郵便局へはどうやって行けばいいですか？</v>
      </c>
      <c r="D710" s="4" t="str">
        <f ca="1">IFERROR(__xludf.DUMMYFUNCTION("IFERROR(GOOGLETRANSLATE(B710,""en"",""zh-TW""),)"),"我該如何前往郵局？")</f>
        <v>我該如何前往郵局？</v>
      </c>
      <c r="E710" s="4" t="str">
        <f ca="1">IFERROR(__xludf.DUMMYFUNCTION("IFERROR(GOOGLETRANSLATE(B710,""en"",""zh-CN""),)"),"我该如何前往邮局？")</f>
        <v>我该如何前往邮局？</v>
      </c>
    </row>
    <row r="711" spans="1:5">
      <c r="A711" s="3" t="s">
        <v>3328</v>
      </c>
      <c r="B711" s="4" t="str">
        <f ca="1">IFERROR(__xludf.DUMMYFUNCTION("IFERROR(GOOGLETRANSLATE(A711,""ko"",""en""),)"),"I'm taking the subway.")</f>
        <v>I'm taking the subway.</v>
      </c>
      <c r="C711" s="4" t="str">
        <f ca="1">IFERROR(__xludf.DUMMYFUNCTION("IFERROR(GOOGLETRANSLATE(B711,""en"",""ja""),)"),"私は地下鉄に乗ります。")</f>
        <v>私は地下鉄に乗ります。</v>
      </c>
      <c r="D711" s="4" t="str">
        <f ca="1">IFERROR(__xludf.DUMMYFUNCTION("IFERROR(GOOGLETRANSLATE(B711,""en"",""zh-TW""),)"),"我要搭地鐵。")</f>
        <v>我要搭地鐵。</v>
      </c>
      <c r="E711" s="4" t="str">
        <f ca="1">IFERROR(__xludf.DUMMYFUNCTION("IFERROR(GOOGLETRANSLATE(B711,""en"",""zh-CN""),)"),"我要坐地铁。")</f>
        <v>我要坐地铁。</v>
      </c>
    </row>
    <row r="712" spans="1:5">
      <c r="A712" s="3" t="s">
        <v>3334</v>
      </c>
      <c r="B712" s="4" t="str">
        <f ca="1">IFERROR(__xludf.DUMMYFUNCTION("IFERROR(GOOGLETRANSLATE(A712,""ko"",""en""),)"),"How do I get to the department store?")</f>
        <v>How do I get to the department store?</v>
      </c>
      <c r="C712" s="4" t="str">
        <f ca="1">IFERROR(__xludf.DUMMYFUNCTION("IFERROR(GOOGLETRANSLATE(B712,""en"",""ja""),)"),"デパートへはどうやって行けばいいですか？")</f>
        <v>デパートへはどうやって行けばいいですか？</v>
      </c>
      <c r="D712" s="4" t="str">
        <f ca="1">IFERROR(__xludf.DUMMYFUNCTION("IFERROR(GOOGLETRANSLATE(B712,""en"",""zh-TW""),)"),"我該如何前往百貨公司？")</f>
        <v>我該如何前往百貨公司？</v>
      </c>
      <c r="E712" s="4" t="str">
        <f ca="1">IFERROR(__xludf.DUMMYFUNCTION("IFERROR(GOOGLETRANSLATE(B712,""en"",""zh-CN""),)"),"我该如何前往百货商店？")</f>
        <v>我该如何前往百货商店？</v>
      </c>
    </row>
    <row r="713" spans="1:5">
      <c r="A713" s="3" t="s">
        <v>3339</v>
      </c>
      <c r="B713" s="4" t="str">
        <f ca="1">IFERROR(__xludf.DUMMYFUNCTION("IFERROR(GOOGLETRANSLATE(A713,""ko"",""en""),)"),"I'm taking a taxi.")</f>
        <v>I'm taking a taxi.</v>
      </c>
      <c r="C713" s="4" t="str">
        <f ca="1">IFERROR(__xludf.DUMMYFUNCTION("IFERROR(GOOGLETRANSLATE(B713,""en"",""ja""),)"),"タクシーに乗ります。")</f>
        <v>タクシーに乗ります。</v>
      </c>
      <c r="D713" s="4" t="str">
        <f ca="1">IFERROR(__xludf.DUMMYFUNCTION("IFERROR(GOOGLETRANSLATE(B713,""en"",""zh-TW""),)"),"我打算打車。")</f>
        <v>我打算打車。</v>
      </c>
      <c r="E713" s="4" t="str">
        <f ca="1">IFERROR(__xludf.DUMMYFUNCTION("IFERROR(GOOGLETRANSLATE(B713,""en"",""zh-CN""),)"),"我打算打车。")</f>
        <v>我打算打车。</v>
      </c>
    </row>
    <row r="714" spans="1:5">
      <c r="A714" s="3" t="s">
        <v>3344</v>
      </c>
      <c r="B714" s="4" t="s">
        <v>3346</v>
      </c>
      <c r="C714" s="4" t="str">
        <f ca="1">IFERROR(__xludf.DUMMYFUNCTION("IFERROR(GOOGLETRANSLATE(B714,""en"",""ja""),)"),"公園へはどうやって行くのですか？")</f>
        <v>公園へはどうやって行くのですか？</v>
      </c>
      <c r="D714" s="4" t="str">
        <f ca="1">IFERROR(__xludf.DUMMYFUNCTION("IFERROR(GOOGLETRANSLATE(B714,""en"",""zh-TW""),)"),"如何前往公園？")</f>
        <v>如何前往公園？</v>
      </c>
      <c r="E714" s="4" t="str">
        <f ca="1">IFERROR(__xludf.DUMMYFUNCTION("IFERROR(GOOGLETRANSLATE(B714,""en"",""zh-CN""),)"),"如何前往公园？")</f>
        <v>如何前往公园？</v>
      </c>
    </row>
    <row r="715" spans="1:5">
      <c r="A715" s="3" t="s">
        <v>3350</v>
      </c>
      <c r="B715" s="4" t="str">
        <f ca="1">IFERROR(__xludf.DUMMYFUNCTION("IFERROR(GOOGLETRANSLATE(A715,""ko"",""en""),)"),"I'm going by bicycle.")</f>
        <v>I'm going by bicycle.</v>
      </c>
      <c r="C715" s="4" t="str">
        <f ca="1">IFERROR(__xludf.DUMMYFUNCTION("IFERROR(GOOGLETRANSLATE(B715,""en"",""ja""),)"),"私は自転車で行きます。")</f>
        <v>私は自転車で行きます。</v>
      </c>
      <c r="D715" s="4" t="str">
        <f ca="1">IFERROR(__xludf.DUMMYFUNCTION("IFERROR(GOOGLETRANSLATE(B715,""en"",""zh-TW""),)"),"我騎自行車去。")</f>
        <v>我騎自行車去。</v>
      </c>
      <c r="E715" s="4" t="str">
        <f ca="1">IFERROR(__xludf.DUMMYFUNCTION("IFERROR(GOOGLETRANSLATE(B715,""en"",""zh-CN""),)"),"我骑自行车去。")</f>
        <v>我骑自行车去。</v>
      </c>
    </row>
    <row r="716" spans="1:5">
      <c r="A716" s="3" t="s">
        <v>3355</v>
      </c>
      <c r="B716" s="4" t="str">
        <f ca="1">IFERROR(__xludf.DUMMYFUNCTION("IFERROR(GOOGLETRANSLATE(A716,""ko"",""en""),)"),"Do you take the bus home?")</f>
        <v>Do you take the bus home?</v>
      </c>
      <c r="C716" s="4" t="str">
        <f ca="1">IFERROR(__xludf.DUMMYFUNCTION("IFERROR(GOOGLETRANSLATE(B716,""en"",""ja""),)"),"あなたはバスで帰宅しますか？")</f>
        <v>あなたはバスで帰宅しますか？</v>
      </c>
      <c r="D716" s="4" t="str">
        <f ca="1">IFERROR(__xludf.DUMMYFUNCTION("IFERROR(GOOGLETRANSLATE(B716,""en"",""zh-TW""),)"),"你坐公車回家嗎？")</f>
        <v>你坐公車回家嗎？</v>
      </c>
      <c r="E716" s="4" t="str">
        <f ca="1">IFERROR(__xludf.DUMMYFUNCTION("IFERROR(GOOGLETRANSLATE(B716,""en"",""zh-CN""),)"),"你坐公交车回家吗？")</f>
        <v>你坐公交车回家吗？</v>
      </c>
    </row>
    <row r="717" spans="1:5">
      <c r="A717" s="3" t="s">
        <v>3360</v>
      </c>
      <c r="B717" s="4" t="str">
        <f ca="1">IFERROR(__xludf.DUMMYFUNCTION("IFERROR(GOOGLETRANSLATE(A717,""ko"",""en""),)"),"No, I'll walk.")</f>
        <v>No, I'll walk.</v>
      </c>
      <c r="C717" s="4" t="str">
        <f ca="1">IFERROR(__xludf.DUMMYFUNCTION("IFERROR(GOOGLETRANSLATE(B717,""en"",""ja""),)"),"いいえ、歩いて行きます。")</f>
        <v>いいえ、歩いて行きます。</v>
      </c>
      <c r="D717" s="4" t="str">
        <f ca="1">IFERROR(__xludf.DUMMYFUNCTION("IFERROR(GOOGLETRANSLATE(B717,""en"",""zh-TW""),)"),"不，我走著去。")</f>
        <v>不，我走著去。</v>
      </c>
      <c r="E717" s="4" t="str">
        <f ca="1">IFERROR(__xludf.DUMMYFUNCTION("IFERROR(GOOGLETRANSLATE(B717,""en"",""zh-CN""),)"),"不，我走着去。")</f>
        <v>不，我走着去。</v>
      </c>
    </row>
    <row r="718" spans="1:5">
      <c r="A718" s="3" t="s">
        <v>3365</v>
      </c>
      <c r="B718" s="4" t="str">
        <f ca="1">IFERROR(__xludf.DUMMYFUNCTION("IFERROR(GOOGLETRANSLATE(A718,""ko"",""en""),)"),"How do I get to the Sejong Institute?")</f>
        <v>How do I get to the Sejong Institute?</v>
      </c>
      <c r="C718" s="4" t="str">
        <f ca="1">IFERROR(__xludf.DUMMYFUNCTION("IFERROR(GOOGLETRANSLATE(B718,""en"",""ja""),)"),"世宗学院へはどうやって行けばいいですか？")</f>
        <v>世宗学院へはどうやって行けばいいですか？</v>
      </c>
      <c r="D718" s="4" t="str">
        <f ca="1">IFERROR(__xludf.DUMMYFUNCTION("IFERROR(GOOGLETRANSLATE(B718,""en"",""zh-TW""),)"),"我該如何前往世宗研究所？")</f>
        <v>我該如何前往世宗研究所？</v>
      </c>
      <c r="E718" s="4" t="str">
        <f ca="1">IFERROR(__xludf.DUMMYFUNCTION("IFERROR(GOOGLETRANSLATE(B718,""en"",""zh-CN""),)"),"我该如何前往世宗研究所？")</f>
        <v>我该如何前往世宗研究所？</v>
      </c>
    </row>
    <row r="719" spans="1:5">
      <c r="A719" s="3" t="s">
        <v>3316</v>
      </c>
      <c r="B719" s="4" t="str">
        <f ca="1">IFERROR(__xludf.DUMMYFUNCTION("IFERROR(GOOGLETRANSLATE(A719,""ko"",""en""),)"),"I'm taking the bus.")</f>
        <v>I'm taking the bus.</v>
      </c>
      <c r="C719" s="4" t="str">
        <f ca="1">IFERROR(__xludf.DUMMYFUNCTION("IFERROR(GOOGLETRANSLATE(B719,""en"",""ja""),)"),"私はバスに乗ります。")</f>
        <v>私はバスに乗ります。</v>
      </c>
      <c r="D719" s="4" t="str">
        <f ca="1">IFERROR(__xludf.DUMMYFUNCTION("IFERROR(GOOGLETRANSLATE(B719,""en"",""zh-TW""),)"),"我打算搭公車。")</f>
        <v>我打算搭公車。</v>
      </c>
      <c r="E719" s="4" t="str">
        <f ca="1">IFERROR(__xludf.DUMMYFUNCTION("IFERROR(GOOGLETRANSLATE(B719,""en"",""zh-CN""),)"),"我打算乘公交车。")</f>
        <v>我打算乘公交车。</v>
      </c>
    </row>
    <row r="720" spans="1:5">
      <c r="A720" s="3" t="s">
        <v>3373</v>
      </c>
      <c r="B720" s="4" t="str">
        <f ca="1">IFERROR(__xludf.DUMMYFUNCTION("IFERROR(GOOGLETRANSLATE(A720,""ko"",""en""),)"),"How do I get to school?")</f>
        <v>How do I get to school?</v>
      </c>
      <c r="C720" s="4" t="str">
        <f ca="1">IFERROR(__xludf.DUMMYFUNCTION("IFERROR(GOOGLETRANSLATE(B720,""en"",""ja""),)"),"学校へはどうやって行けばいいですか？")</f>
        <v>学校へはどうやって行けばいいですか？</v>
      </c>
      <c r="D720" s="4" t="str">
        <f ca="1">IFERROR(__xludf.DUMMYFUNCTION("IFERROR(GOOGLETRANSLATE(B720,""en"",""zh-TW""),)"),"我該如何去學校？")</f>
        <v>我該如何去學校？</v>
      </c>
      <c r="E720" s="4" t="str">
        <f ca="1">IFERROR(__xludf.DUMMYFUNCTION("IFERROR(GOOGLETRANSLATE(B720,""en"",""zh-CN""),)"),"我该如何去学校？")</f>
        <v>我该如何去学校？</v>
      </c>
    </row>
    <row r="721" spans="1:5">
      <c r="A721" s="3" t="s">
        <v>3378</v>
      </c>
      <c r="B721" s="4" t="str">
        <f ca="1">IFERROR(__xludf.DUMMYFUNCTION("IFERROR(GOOGLETRANSLATE(A721,""ko"",""en""),)"),"I'll walk.")</f>
        <v>I'll walk.</v>
      </c>
      <c r="C721" s="4" t="str">
        <f ca="1">IFERROR(__xludf.DUMMYFUNCTION("IFERROR(GOOGLETRANSLATE(B721,""en"",""ja""),)"),"歩いて行きます。")</f>
        <v>歩いて行きます。</v>
      </c>
      <c r="D721" s="4" t="str">
        <f ca="1">IFERROR(__xludf.DUMMYFUNCTION("IFERROR(GOOGLETRANSLATE(B721,""en"",""zh-TW""),)"),"我走著去。")</f>
        <v>我走著去。</v>
      </c>
      <c r="E721" s="4" t="str">
        <f ca="1">IFERROR(__xludf.DUMMYFUNCTION("IFERROR(GOOGLETRANSLATE(B721,""en"",""zh-CN""),)"),"我走着去。")</f>
        <v>我走着去。</v>
      </c>
    </row>
    <row r="722" spans="1:5">
      <c r="A722" s="3" t="s">
        <v>3383</v>
      </c>
      <c r="B722" s="4" t="str">
        <f ca="1">IFERROR(__xludf.DUMMYFUNCTION("IFERROR(GOOGLETRANSLATE(A722,""ko"",""en""),)"),"How do I get to work?")</f>
        <v>How do I get to work?</v>
      </c>
      <c r="C722" s="4" t="str">
        <f ca="1">IFERROR(__xludf.DUMMYFUNCTION("IFERROR(GOOGLETRANSLATE(B722,""en"",""ja""),)"),"職場への行き方を教えてください。")</f>
        <v>職場への行き方を教えてください。</v>
      </c>
      <c r="D722" s="4" t="str">
        <f ca="1">IFERROR(__xludf.DUMMYFUNCTION("IFERROR(GOOGLETRANSLATE(B722,""en"",""zh-TW""),)"),"我該如何上班？")</f>
        <v>我該如何上班？</v>
      </c>
      <c r="E722" s="4" t="str">
        <f ca="1">IFERROR(__xludf.DUMMYFUNCTION("IFERROR(GOOGLETRANSLATE(B722,""en"",""zh-CN""),)"),"我该如何上班？")</f>
        <v>我该如何上班？</v>
      </c>
    </row>
    <row r="723" spans="1:5">
      <c r="A723" s="3" t="s">
        <v>3386</v>
      </c>
      <c r="B723" s="4" t="str">
        <f ca="1">IFERROR(__xludf.DUMMYFUNCTION("IFERROR(GOOGLETRANSLATE(A723,""ko"",""en""),)"),"I drive a car.")</f>
        <v>I drive a car.</v>
      </c>
      <c r="C723" s="4" t="str">
        <f ca="1">IFERROR(__xludf.DUMMYFUNCTION("IFERROR(GOOGLETRANSLATE(B723,""en"",""ja""),)"),"私は車を運転します。")</f>
        <v>私は車を運転します。</v>
      </c>
      <c r="D723" s="4" t="str">
        <f ca="1">IFERROR(__xludf.DUMMYFUNCTION("IFERROR(GOOGLETRANSLATE(B723,""en"",""zh-TW""),)"),"我開車。")</f>
        <v>我開車。</v>
      </c>
      <c r="E723" s="4" t="str">
        <f ca="1">IFERROR(__xludf.DUMMYFUNCTION("IFERROR(GOOGLETRANSLATE(B723,""en"",""zh-CN""),)"),"我开车。")</f>
        <v>我开车。</v>
      </c>
    </row>
    <row r="724" spans="1:5">
      <c r="A724" s="3" t="s">
        <v>3388</v>
      </c>
      <c r="B724" s="4" t="str">
        <f ca="1">IFERROR(__xludf.DUMMYFUNCTION("IFERROR(GOOGLETRANSLATE(A724,""ko"",""en""),)"),"How do you go to the department store?")</f>
        <v>How do you go to the department store?</v>
      </c>
      <c r="C724" s="4" t="str">
        <f ca="1">IFERROR(__xludf.DUMMYFUNCTION("IFERROR(GOOGLETRANSLATE(B724,""en"",""ja""),)"),"デパートへはどうやって行くのですか？")</f>
        <v>デパートへはどうやって行くのですか？</v>
      </c>
      <c r="D724" s="4" t="str">
        <f ca="1">IFERROR(__xludf.DUMMYFUNCTION("IFERROR(GOOGLETRANSLATE(B724,""en"",""zh-TW""),)"),"如何去百貨公司？")</f>
        <v>如何去百貨公司？</v>
      </c>
      <c r="E724" s="4" t="str">
        <f ca="1">IFERROR(__xludf.DUMMYFUNCTION("IFERROR(GOOGLETRANSLATE(B724,""en"",""zh-CN""),)"),"如何去百货商店？")</f>
        <v>如何去百货商店？</v>
      </c>
    </row>
    <row r="725" spans="1:5">
      <c r="A725" s="3" t="s">
        <v>3328</v>
      </c>
      <c r="B725" s="4" t="str">
        <f ca="1">IFERROR(__xludf.DUMMYFUNCTION("IFERROR(GOOGLETRANSLATE(A725,""ko"",""en""),)"),"I'm taking the subway.")</f>
        <v>I'm taking the subway.</v>
      </c>
      <c r="C725" s="4" t="str">
        <f ca="1">IFERROR(__xludf.DUMMYFUNCTION("IFERROR(GOOGLETRANSLATE(B725,""en"",""ja""),)"),"私は地下鉄に乗ります。")</f>
        <v>私は地下鉄に乗ります。</v>
      </c>
      <c r="D725" s="4" t="str">
        <f ca="1">IFERROR(__xludf.DUMMYFUNCTION("IFERROR(GOOGLETRANSLATE(B725,""en"",""zh-TW""),)"),"我要搭地鐵。")</f>
        <v>我要搭地鐵。</v>
      </c>
      <c r="E725" s="4" t="str">
        <f ca="1">IFERROR(__xludf.DUMMYFUNCTION("IFERROR(GOOGLETRANSLATE(B725,""en"",""zh-CN""),)"),"我要坐地铁。")</f>
        <v>我要坐地铁。</v>
      </c>
    </row>
    <row r="726" spans="1:5">
      <c r="A726" s="3" t="s">
        <v>3344</v>
      </c>
      <c r="B726" s="4" t="str">
        <f ca="1">IFERROR(__xludf.DUMMYFUNCTION("IFERROR(GOOGLETRANSLATE(A726,""ko"",""en""),)"),"How do you go to the park?")</f>
        <v>How do you go to the park?</v>
      </c>
      <c r="C726" s="4" t="str">
        <f ca="1">IFERROR(__xludf.DUMMYFUNCTION("IFERROR(GOOGLETRANSLATE(B726,""en"",""ja""),)"),"公園へはどうやって行きますか？")</f>
        <v>公園へはどうやって行きますか？</v>
      </c>
      <c r="D726" s="4" t="str">
        <f ca="1">IFERROR(__xludf.DUMMYFUNCTION("IFERROR(GOOGLETRANSLATE(B726,""en"",""zh-TW""),)"),"如何去公園？")</f>
        <v>如何去公園？</v>
      </c>
      <c r="E726" s="4" t="str">
        <f ca="1">IFERROR(__xludf.DUMMYFUNCTION("IFERROR(GOOGLETRANSLATE(B726,""en"",""zh-CN""),)"),"如何去公园？")</f>
        <v>如何去公园？</v>
      </c>
    </row>
    <row r="727" spans="1:5">
      <c r="A727" s="3" t="s">
        <v>3350</v>
      </c>
      <c r="B727" s="4" t="str">
        <f ca="1">IFERROR(__xludf.DUMMYFUNCTION("IFERROR(GOOGLETRANSLATE(A727,""ko"",""en""),)"),"I'm going by bicycle.")</f>
        <v>I'm going by bicycle.</v>
      </c>
      <c r="C727" s="4" t="str">
        <f ca="1">IFERROR(__xludf.DUMMYFUNCTION("IFERROR(GOOGLETRANSLATE(B727,""en"",""ja""),)"),"私は自転車で行きます。")</f>
        <v>私は自転車で行きます。</v>
      </c>
      <c r="D727" s="4" t="str">
        <f ca="1">IFERROR(__xludf.DUMMYFUNCTION("IFERROR(GOOGLETRANSLATE(B727,""en"",""zh-TW""),)"),"我騎自行車去。")</f>
        <v>我騎自行車去。</v>
      </c>
      <c r="E727" s="4" t="str">
        <f ca="1">IFERROR(__xludf.DUMMYFUNCTION("IFERROR(GOOGLETRANSLATE(B727,""en"",""zh-CN""),)"),"我骑自行车去。")</f>
        <v>我骑自行车去。</v>
      </c>
    </row>
    <row r="728" spans="1:5">
      <c r="A728" s="5" t="s">
        <v>3403</v>
      </c>
      <c r="B728" s="4" t="str">
        <f ca="1">IFERROR(__xludf.DUMMYFUNCTION("IFERROR(GOOGLETRANSLATE(A728,""ko"",""en""),)"),"Is Nuri Department Store close from here?")</f>
        <v>Is Nuri Department Store close from here?</v>
      </c>
      <c r="C728" s="4" t="str">
        <f ca="1">IFERROR(__xludf.DUMMYFUNCTION("IFERROR(GOOGLETRANSLATE(B728,""en"",""ja""),)"),"ヌリ百貨店はここから近いですか？")</f>
        <v>ヌリ百貨店はここから近いですか？</v>
      </c>
      <c r="D728" s="4" t="str">
        <f ca="1">IFERROR(__xludf.DUMMYFUNCTION("IFERROR(GOOGLETRANSLATE(B728,""en"",""zh-TW""),)"),"Nuri百貨公司離這裡近嗎？")</f>
        <v>Nuri百貨公司離這裡近嗎？</v>
      </c>
      <c r="E728" s="4" t="str">
        <f ca="1">IFERROR(__xludf.DUMMYFUNCTION("IFERROR(GOOGLETRANSLATE(B728,""en"",""zh-CN""),)"),"Nuri百货商店离这里近吗？")</f>
        <v>Nuri百货商店离这里近吗？</v>
      </c>
    </row>
    <row r="729" spans="1:5">
      <c r="A729" s="5" t="s">
        <v>3409</v>
      </c>
      <c r="B729" s="4" t="str">
        <f ca="1">IFERROR(__xludf.DUMMYFUNCTION("IFERROR(GOOGLETRANSLATE(A729,""ko"",""en""),)"),"No, it's a bit far.")</f>
        <v>No, it's a bit far.</v>
      </c>
      <c r="C729" s="4" t="str">
        <f ca="1">IFERROR(__xludf.DUMMYFUNCTION("IFERROR(GOOGLETRANSLATE(B729,""en"",""ja""),)"),"いや、ちょっと遠すぎるよ。")</f>
        <v>いや、ちょっと遠すぎるよ。</v>
      </c>
      <c r="D729" s="4" t="str">
        <f ca="1">IFERROR(__xludf.DUMMYFUNCTION("IFERROR(GOOGLETRANSLATE(B729,""en"",""zh-TW""),)"),"不，有點遠。")</f>
        <v>不，有點遠。</v>
      </c>
      <c r="E729" s="4" t="str">
        <f ca="1">IFERROR(__xludf.DUMMYFUNCTION("IFERROR(GOOGLETRANSLATE(B729,""en"",""zh-CN""),)"),"不，有点远。")</f>
        <v>不，有点远。</v>
      </c>
    </row>
    <row r="730" spans="1:5">
      <c r="A730" s="3" t="s">
        <v>3414</v>
      </c>
      <c r="B730" s="4" t="str">
        <f ca="1">IFERROR(__xludf.DUMMYFUNCTION("IFERROR(GOOGLETRANSLATE(A730,""ko"",""en""),)"),"How long does it take to get from home to work?")</f>
        <v>How long does it take to get from home to work?</v>
      </c>
      <c r="C730" s="4" t="str">
        <f ca="1">IFERROR(__xludf.DUMMYFUNCTION("IFERROR(GOOGLETRANSLATE(B730,""en"",""ja""),)"),"自宅から職場までどれくらい時間がかかりますか？")</f>
        <v>自宅から職場までどれくらい時間がかかりますか？</v>
      </c>
      <c r="D730" s="4" t="str">
        <f ca="1">IFERROR(__xludf.DUMMYFUNCTION("IFERROR(GOOGLETRANSLATE(B730,""en"",""zh-TW""),)"),"從家到公司需要多長時間？")</f>
        <v>從家到公司需要多長時間？</v>
      </c>
      <c r="E730" s="4" t="str">
        <f ca="1">IFERROR(__xludf.DUMMYFUNCTION("IFERROR(GOOGLETRANSLATE(B730,""en"",""zh-CN""),)"),"从家到公司需要多长时间？")</f>
        <v>从家到公司需要多长时间？</v>
      </c>
    </row>
    <row r="731" spans="1:5">
      <c r="A731" s="3" t="s">
        <v>3417</v>
      </c>
      <c r="B731" s="4" t="str">
        <f ca="1">IFERROR(__xludf.DUMMYFUNCTION("IFERROR(GOOGLETRANSLATE(A731,""ko"",""en""),)"),"It takes about an hour.")</f>
        <v>It takes about an hour.</v>
      </c>
      <c r="C731" s="4" t="str">
        <f ca="1">IFERROR(__xludf.DUMMYFUNCTION("IFERROR(GOOGLETRANSLATE(B731,""en"",""ja""),)"),"約1時間かかります。")</f>
        <v>約1時間かかります。</v>
      </c>
      <c r="D731" s="4" t="str">
        <f ca="1">IFERROR(__xludf.DUMMYFUNCTION("IFERROR(GOOGLETRANSLATE(B731,""en"",""zh-TW""),)"),"大約需要一個小時。")</f>
        <v>大約需要一個小時。</v>
      </c>
      <c r="E731" s="4" t="str">
        <f ca="1">IFERROR(__xludf.DUMMYFUNCTION("IFERROR(GOOGLETRANSLATE(B731,""en"",""zh-CN""),)"),"大约需要一个小时。")</f>
        <v>大约需要一个小时。</v>
      </c>
    </row>
    <row r="732" spans="1:5">
      <c r="A732" s="3" t="s">
        <v>3422</v>
      </c>
      <c r="B732" s="4" t="str">
        <f ca="1">IFERROR(__xludf.DUMMYFUNCTION("IFERROR(GOOGLETRANSLATE(A732,""ko"",""en""),)"),"How do you get from home to school?")</f>
        <v>How do you get from home to school?</v>
      </c>
      <c r="C732" s="4" t="str">
        <f ca="1">IFERROR(__xludf.DUMMYFUNCTION("IFERROR(GOOGLETRANSLATE(B732,""en"",""ja""),)"),"家から学校までどうやって行きますか？")</f>
        <v>家から学校までどうやって行きますか？</v>
      </c>
      <c r="D732" s="4" t="str">
        <f ca="1">IFERROR(__xludf.DUMMYFUNCTION("IFERROR(GOOGLETRANSLATE(B732,""en"",""zh-TW""),)"),"你如何從家到學校？")</f>
        <v>你如何從家到學校？</v>
      </c>
      <c r="E732" s="4" t="str">
        <f ca="1">IFERROR(__xludf.DUMMYFUNCTION("IFERROR(GOOGLETRANSLATE(B732,""en"",""zh-CN""),)"),"你如何从家到学校？")</f>
        <v>你如何从家到学校？</v>
      </c>
    </row>
    <row r="733" spans="1:5">
      <c r="A733" s="3" t="s">
        <v>3427</v>
      </c>
      <c r="B733" s="4" t="str">
        <f ca="1">IFERROR(__xludf.DUMMYFUNCTION("IFERROR(GOOGLETRANSLATE(A733,""ko"",""en""),)"),"How do you get from home to school?")</f>
        <v>How do you get from home to school?</v>
      </c>
      <c r="C733" s="4" t="str">
        <f ca="1">IFERROR(__xludf.DUMMYFUNCTION("IFERROR(GOOGLETRANSLATE(B733,""en"",""ja""),)"),"家から学校までどうやって行きますか？")</f>
        <v>家から学校までどうやって行きますか？</v>
      </c>
      <c r="D733" s="4" t="str">
        <f ca="1">IFERROR(__xludf.DUMMYFUNCTION("IFERROR(GOOGLETRANSLATE(B733,""en"",""zh-TW""),)"),"你如何從家到學校？")</f>
        <v>你如何從家到學校？</v>
      </c>
      <c r="E733" s="4" t="str">
        <f ca="1">IFERROR(__xludf.DUMMYFUNCTION("IFERROR(GOOGLETRANSLATE(B733,""en"",""zh-CN""),)"),"你如何从家到学校？")</f>
        <v>你如何从家到学校？</v>
      </c>
    </row>
    <row r="734" spans="1:5">
      <c r="A734" s="3" t="s">
        <v>3434</v>
      </c>
      <c r="B734" s="4" t="s">
        <v>3435</v>
      </c>
      <c r="C734" s="4" t="str">
        <f ca="1">IFERROR(__xludf.DUMMYFUNCTION("IFERROR(GOOGLETRANSLATE(B734,""en"",""ja""),)"),"私は自宅から世宗学院まで自転車で通っています。")</f>
        <v>私は自宅から世宗学院まで自転車で通っています。</v>
      </c>
      <c r="D734" s="4" t="str">
        <f ca="1">IFERROR(__xludf.DUMMYFUNCTION("IFERROR(GOOGLETRANSLATE(B734,""en"",""zh-TW""),)"),"我騎自行車從家到世宗研究所。")</f>
        <v>我騎自行車從家到世宗研究所。</v>
      </c>
      <c r="E734" s="4" t="str">
        <f ca="1">IFERROR(__xludf.DUMMYFUNCTION("IFERROR(GOOGLETRANSLATE(B734,""en"",""zh-CN""),)"),"我骑自行车从家到世宗研究所。")</f>
        <v>我骑自行车从家到世宗研究所。</v>
      </c>
    </row>
    <row r="735" spans="1:5">
      <c r="A735" s="3" t="s">
        <v>3440</v>
      </c>
      <c r="B735" s="4" t="str">
        <f ca="1">IFERROR(__xludf.DUMMYFUNCTION("IFERROR(GOOGLETRANSLATE(A735,""ko"",""en""),)"),"I walk from home to the park.")</f>
        <v>I walk from home to the park.</v>
      </c>
      <c r="C735" s="4" t="str">
        <f ca="1">IFERROR(__xludf.DUMMYFUNCTION("IFERROR(GOOGLETRANSLATE(B735,""en"",""ja""),)"),"私は家から公園まで歩いて行きます。")</f>
        <v>私は家から公園まで歩いて行きます。</v>
      </c>
      <c r="D735" s="4" t="str">
        <f ca="1">IFERROR(__xludf.DUMMYFUNCTION("IFERROR(GOOGLETRANSLATE(B735,""en"",""zh-TW""),)"),"我步行從家到公園。")</f>
        <v>我步行從家到公園。</v>
      </c>
      <c r="E735" s="4" t="str">
        <f ca="1">IFERROR(__xludf.DUMMYFUNCTION("IFERROR(GOOGLETRANSLATE(B735,""en"",""zh-CN""),)"),"我步行从家到公园。")</f>
        <v>我步行从家到公园。</v>
      </c>
    </row>
    <row r="736" spans="1:5">
      <c r="A736" s="3" t="s">
        <v>3444</v>
      </c>
      <c r="B736" s="4" t="str">
        <f ca="1">IFERROR(__xludf.DUMMYFUNCTION("IFERROR(GOOGLETRANSLATE(A736,""ko"",""en""),)"),"I'm taking a plane from Seoul to Jeju Island.")</f>
        <v>I'm taking a plane from Seoul to Jeju Island.</v>
      </c>
      <c r="C736" s="4" t="str">
        <f ca="1">IFERROR(__xludf.DUMMYFUNCTION("IFERROR(GOOGLETRANSLATE(B736,""en"",""ja""),)"),"ソウルから済州島まで飛行機で行きます。")</f>
        <v>ソウルから済州島まで飛行機で行きます。</v>
      </c>
      <c r="D736" s="4" t="str">
        <f ca="1">IFERROR(__xludf.DUMMYFUNCTION("IFERROR(GOOGLETRANSLATE(B736,""en"",""zh-TW""),)"),"我將搭飛機從首爾前往濟州島。")</f>
        <v>我將搭飛機從首爾前往濟州島。</v>
      </c>
      <c r="E736" s="4" t="str">
        <f ca="1">IFERROR(__xludf.DUMMYFUNCTION("IFERROR(GOOGLETRANSLATE(B736,""en"",""zh-CN""),)"),"我将乘飞机从首尔前往济州岛。")</f>
        <v>我将乘飞机从首尔前往济州岛。</v>
      </c>
    </row>
    <row r="737" spans="1:5">
      <c r="A737" s="3" t="s">
        <v>3450</v>
      </c>
      <c r="B737" s="4" t="str">
        <f ca="1">IFERROR(__xludf.DUMMYFUNCTION("IFERROR(GOOGLETRANSLATE(A737,""ko"",""en""),)"),"It takes about 10 minutes from school to the cafe.")</f>
        <v>It takes about 10 minutes from school to the cafe.</v>
      </c>
      <c r="C737" s="4" t="str">
        <f ca="1">IFERROR(__xludf.DUMMYFUNCTION("IFERROR(GOOGLETRANSLATE(B737,""en"",""ja""),)"),"学校からカフェまでは約10分です。")</f>
        <v>学校からカフェまでは約10分です。</v>
      </c>
      <c r="D737" s="4" t="str">
        <f ca="1">IFERROR(__xludf.DUMMYFUNCTION("IFERROR(GOOGLETRANSLATE(B737,""en"",""zh-TW""),)"),"從學校到咖啡館大約需要10分鐘。")</f>
        <v>從學校到咖啡館大約需要10分鐘。</v>
      </c>
      <c r="E737" s="4" t="str">
        <f ca="1">IFERROR(__xludf.DUMMYFUNCTION("IFERROR(GOOGLETRANSLATE(B737,""en"",""zh-CN""),)"),"从学校到咖啡馆大约需要10分钟。")</f>
        <v>从学校到咖啡馆大约需要10分钟。</v>
      </c>
    </row>
    <row r="738" spans="1:5">
      <c r="A738" s="3" t="s">
        <v>3456</v>
      </c>
      <c r="B738" s="4" t="str">
        <f ca="1">IFERROR(__xludf.DUMMYFUNCTION("IFERROR(GOOGLETRANSLATE(A738,""ko"",""en""),)"),"It takes about 4 hours from Vietnam to Korea.")</f>
        <v>It takes about 4 hours from Vietnam to Korea.</v>
      </c>
      <c r="C738" s="4" t="str">
        <f ca="1">IFERROR(__xludf.DUMMYFUNCTION("IFERROR(GOOGLETRANSLATE(B738,""en"",""ja""),)"),"ベトナムから韓国までは約4時間かかります。")</f>
        <v>ベトナムから韓国までは約4時間かかります。</v>
      </c>
      <c r="D738" s="4" t="str">
        <f ca="1">IFERROR(__xludf.DUMMYFUNCTION("IFERROR(GOOGLETRANSLATE(B738,""en"",""zh-TW""),)"),"從越南到韓國大約需要4個小時。")</f>
        <v>從越南到韓國大約需要4個小時。</v>
      </c>
      <c r="E738" s="4" t="str">
        <f ca="1">IFERROR(__xludf.DUMMYFUNCTION("IFERROR(GOOGLETRANSLATE(B738,""en"",""zh-CN""),)"),"从越南到韩国大约需要4个小时。")</f>
        <v>从越南到韩国大约需要4个小时。</v>
      </c>
    </row>
    <row r="739" spans="1:5">
      <c r="A739" s="3" t="s">
        <v>3462</v>
      </c>
      <c r="B739" s="4" t="str">
        <f ca="1">IFERROR(__xludf.DUMMYFUNCTION("IFERROR(GOOGLETRANSLATE(A739,""ko"",""en""),)"),"How do I get from Seoul to Jeju Island?")</f>
        <v>How do I get from Seoul to Jeju Island?</v>
      </c>
      <c r="C739" s="4" t="str">
        <f ca="1">IFERROR(__xludf.DUMMYFUNCTION("IFERROR(GOOGLETRANSLATE(B739,""en"",""ja""),)"),"ソウルから済州島へはどうやって行けばいいですか？")</f>
        <v>ソウルから済州島へはどうやって行けばいいですか？</v>
      </c>
      <c r="D739" s="4" t="str">
        <f ca="1">IFERROR(__xludf.DUMMYFUNCTION("IFERROR(GOOGLETRANSLATE(B739,""en"",""zh-TW""),)"),"如何從首爾前往濟州島？")</f>
        <v>如何從首爾前往濟州島？</v>
      </c>
      <c r="E739" s="4" t="str">
        <f ca="1">IFERROR(__xludf.DUMMYFUNCTION("IFERROR(GOOGLETRANSLATE(B739,""en"",""zh-CN""),)"),"如何从首尔前往济州岛？")</f>
        <v>如何从首尔前往济州岛？</v>
      </c>
    </row>
    <row r="740" spans="1:5">
      <c r="A740" s="3" t="s">
        <v>3444</v>
      </c>
      <c r="B740" s="4" t="str">
        <f ca="1">IFERROR(__xludf.DUMMYFUNCTION("IFERROR(GOOGLETRANSLATE(A740,""ko"",""en""),)"),"I'm taking a plane from Seoul to Jeju Island.")</f>
        <v>I'm taking a plane from Seoul to Jeju Island.</v>
      </c>
      <c r="C740" s="4" t="str">
        <f ca="1">IFERROR(__xludf.DUMMYFUNCTION("IFERROR(GOOGLETRANSLATE(B740,""en"",""ja""),)"),"ソウルから済州島まで飛行機で行きます。")</f>
        <v>ソウルから済州島まで飛行機で行きます。</v>
      </c>
      <c r="D740" s="4" t="str">
        <f ca="1">IFERROR(__xludf.DUMMYFUNCTION("IFERROR(GOOGLETRANSLATE(B740,""en"",""zh-TW""),)"),"我將搭飛機從首爾前往濟州島。")</f>
        <v>我將搭飛機從首爾前往濟州島。</v>
      </c>
      <c r="E740" s="4" t="str">
        <f ca="1">IFERROR(__xludf.DUMMYFUNCTION("IFERROR(GOOGLETRANSLATE(B740,""en"",""zh-CN""),)"),"我将乘飞机从首尔前往济州岛。")</f>
        <v>我将乘飞机从首尔前往济州岛。</v>
      </c>
    </row>
    <row r="741" spans="1:5">
      <c r="A741" s="3" t="s">
        <v>3469</v>
      </c>
      <c r="B741" s="4" t="str">
        <f ca="1">IFERROR(__xludf.DUMMYFUNCTION("IFERROR(GOOGLETRANSLATE(A741,""ko"",""en""),)"),"How do I get from Seoul to Gyeongju?")</f>
        <v>How do I get from Seoul to Gyeongju?</v>
      </c>
      <c r="C741" s="4" t="str">
        <f ca="1">IFERROR(__xludf.DUMMYFUNCTION("IFERROR(GOOGLETRANSLATE(B741,""en"",""ja""),)"),"ソウルから慶州へはどうやって行けばいいですか？")</f>
        <v>ソウルから慶州へはどうやって行けばいいですか？</v>
      </c>
      <c r="D741" s="4" t="str">
        <f ca="1">IFERROR(__xludf.DUMMYFUNCTION("IFERROR(GOOGLETRANSLATE(B741,""en"",""zh-TW""),)"),"如何從首爾到慶州？")</f>
        <v>如何從首爾到慶州？</v>
      </c>
      <c r="E741" s="4" t="str">
        <f ca="1">IFERROR(__xludf.DUMMYFUNCTION("IFERROR(GOOGLETRANSLATE(B741,""en"",""zh-CN""),)"),"如何从首尔到庆州？")</f>
        <v>如何从首尔到庆州？</v>
      </c>
    </row>
    <row r="742" spans="1:5">
      <c r="A742" s="3" t="s">
        <v>3474</v>
      </c>
      <c r="B742" s="4" t="str">
        <f ca="1">IFERROR(__xludf.DUMMYFUNCTION("IFERROR(GOOGLETRANSLATE(A742,""ko"",""en""),)"),"I'm taking the train from Seoul to Gyeongju.")</f>
        <v>I'm taking the train from Seoul to Gyeongju.</v>
      </c>
      <c r="C742" s="4" t="str">
        <f ca="1">IFERROR(__xludf.DUMMYFUNCTION("IFERROR(GOOGLETRANSLATE(B742,""en"",""ja""),)"),"私はソウルから慶州まで電車で行きます。")</f>
        <v>私はソウルから慶州まで電車で行きます。</v>
      </c>
      <c r="D742" s="4" t="str">
        <f ca="1">IFERROR(__xludf.DUMMYFUNCTION("IFERROR(GOOGLETRANSLATE(B742,""en"",""zh-TW""),)"),"我要從首爾搭火車去慶州。")</f>
        <v>我要從首爾搭火車去慶州。</v>
      </c>
      <c r="E742" s="4" t="str">
        <f ca="1">IFERROR(__xludf.DUMMYFUNCTION("IFERROR(GOOGLETRANSLATE(B742,""en"",""zh-CN""),)"),"我要从首尔乘火车去庆州。")</f>
        <v>我要从首尔乘火车去庆州。</v>
      </c>
    </row>
    <row r="743" spans="1:5">
      <c r="A743" s="3" t="s">
        <v>3478</v>
      </c>
      <c r="B743" s="4" t="str">
        <f ca="1">IFERROR(__xludf.DUMMYFUNCTION("IFERROR(GOOGLETRANSLATE(A743,""ko"",""en""),)"),"How long does it take to get from Busan to Jeju Island?")</f>
        <v>How long does it take to get from Busan to Jeju Island?</v>
      </c>
      <c r="C743" s="4" t="str">
        <f ca="1">IFERROR(__xludf.DUMMYFUNCTION("IFERROR(GOOGLETRANSLATE(B743,""en"",""ja""),)"),"釜山から済州島までどれくらい時間がかかりますか？")</f>
        <v>釜山から済州島までどれくらい時間がかかりますか？</v>
      </c>
      <c r="D743" s="4" t="str">
        <f ca="1">IFERROR(__xludf.DUMMYFUNCTION("IFERROR(GOOGLETRANSLATE(B743,""en"",""zh-TW""),)"),"從釜山到濟州島需要多久？")</f>
        <v>從釜山到濟州島需要多久？</v>
      </c>
      <c r="E743" s="4" t="str">
        <f ca="1">IFERROR(__xludf.DUMMYFUNCTION("IFERROR(GOOGLETRANSLATE(B743,""en"",""zh-CN""),)"),"从釜山到济州岛需要多长时间？")</f>
        <v>从釜山到济州岛需要多长时间？</v>
      </c>
    </row>
    <row r="744" spans="1:5">
      <c r="A744" s="5" t="s">
        <v>3483</v>
      </c>
      <c r="B744" s="4" t="str">
        <f ca="1">IFERROR(__xludf.DUMMYFUNCTION("IFERROR(GOOGLETRANSLATE(A744,""ko"",""en""),)"),"It takes 9 hours even by boat.")</f>
        <v>It takes 9 hours even by boat.</v>
      </c>
      <c r="C744" s="4" t="str">
        <f ca="1">IFERROR(__xludf.DUMMYFUNCTION("IFERROR(GOOGLETRANSLATE(B744,""en"",""ja""),)"),"船でも9時間かかる。")</f>
        <v>船でも9時間かかる。</v>
      </c>
      <c r="D744" s="4" t="str">
        <f ca="1">IFERROR(__xludf.DUMMYFUNCTION("IFERROR(GOOGLETRANSLATE(B744,""en"",""zh-TW""),)"),"即使搭船也需要9個小時。")</f>
        <v>即使搭船也需要9個小時。</v>
      </c>
      <c r="E744" s="4" t="str">
        <f ca="1">IFERROR(__xludf.DUMMYFUNCTION("IFERROR(GOOGLETRANSLATE(B744,""en"",""zh-CN""),)"),"即使乘船也需要9个小时。")</f>
        <v>即使乘船也需要9个小时。</v>
      </c>
    </row>
    <row r="745" spans="1:5">
      <c r="A745" s="5" t="s">
        <v>3486</v>
      </c>
      <c r="B745" s="4" t="str">
        <f ca="1">IFERROR(__xludf.DUMMYFUNCTION("IFERROR(GOOGLETRANSLATE(A745,""ko"",""en""),)"),"origin")</f>
        <v>origin</v>
      </c>
      <c r="C745" s="4" t="str">
        <f ca="1">IFERROR(__xludf.DUMMYFUNCTION("IFERROR(GOOGLETRANSLATE(B745,""en"",""ja""),)"),"起源")</f>
        <v>起源</v>
      </c>
      <c r="D745" s="4" t="str">
        <f ca="1">IFERROR(__xludf.DUMMYFUNCTION("IFERROR(GOOGLETRANSLATE(B745,""en"",""zh-TW""),)"),"起源")</f>
        <v>起源</v>
      </c>
      <c r="E745" s="4" t="str">
        <f ca="1">IFERROR(__xludf.DUMMYFUNCTION("IFERROR(GOOGLETRANSLATE(B745,""en"",""zh-CN""),)"),"起源")</f>
        <v>起源</v>
      </c>
    </row>
    <row r="746" spans="1:5">
      <c r="A746" s="5" t="s">
        <v>3492</v>
      </c>
      <c r="B746" s="4" t="str">
        <f ca="1">IFERROR(__xludf.DUMMYFUNCTION("IFERROR(GOOGLETRANSLATE(A746,""ko"",""en""),)"),"Destination")</f>
        <v>Destination</v>
      </c>
      <c r="C746" s="4" t="str">
        <f ca="1">IFERROR(__xludf.DUMMYFUNCTION("IFERROR(GOOGLETRANSLATE(B746,""en"",""ja""),)"),"行き先")</f>
        <v>行き先</v>
      </c>
      <c r="D746" s="4" t="str">
        <f ca="1">IFERROR(__xludf.DUMMYFUNCTION("IFERROR(GOOGLETRANSLATE(B746,""en"",""zh-TW""),)"),"目的地")</f>
        <v>目的地</v>
      </c>
      <c r="E746" s="4" t="str">
        <f ca="1">IFERROR(__xludf.DUMMYFUNCTION("IFERROR(GOOGLETRANSLATE(B746,""en"",""zh-CN""),)"),"目的地")</f>
        <v>目的地</v>
      </c>
    </row>
    <row r="747" spans="1:5">
      <c r="A747" s="3" t="s">
        <v>3497</v>
      </c>
      <c r="B747" s="4" t="str">
        <f ca="1">IFERROR(__xludf.DUMMYFUNCTION("IFERROR(GOOGLETRANSLATE(A747,""ko"",""en""),)"),"hour")</f>
        <v>hour</v>
      </c>
      <c r="C747" s="4" t="str">
        <f ca="1">IFERROR(__xludf.DUMMYFUNCTION("IFERROR(GOOGLETRANSLATE(B747,""en"",""ja""),)"),"時間")</f>
        <v>時間</v>
      </c>
      <c r="D747" s="4" t="str">
        <f ca="1">IFERROR(__xludf.DUMMYFUNCTION("IFERROR(GOOGLETRANSLATE(B747,""en"",""zh-TW""),)"),"小時")</f>
        <v>小時</v>
      </c>
      <c r="E747" s="4" t="str">
        <f ca="1">IFERROR(__xludf.DUMMYFUNCTION("IFERROR(GOOGLETRANSLATE(B747,""en"",""zh-CN""),)"),"小时")</f>
        <v>小时</v>
      </c>
    </row>
    <row r="748" spans="1:5">
      <c r="A748" s="5" t="s">
        <v>3502</v>
      </c>
      <c r="B748" s="4" t="str">
        <f ca="1">IFERROR(__xludf.DUMMYFUNCTION("IFERROR(GOOGLETRANSLATE(A748,""ko"",""en""),)"),"means of transportation")</f>
        <v>means of transportation</v>
      </c>
      <c r="C748" s="4" t="str">
        <f ca="1">IFERROR(__xludf.DUMMYFUNCTION("IFERROR(GOOGLETRANSLATE(B748,""en"",""ja""),)"),"交通手段")</f>
        <v>交通手段</v>
      </c>
      <c r="D748" s="4" t="str">
        <f ca="1">IFERROR(__xludf.DUMMYFUNCTION("IFERROR(GOOGLETRANSLATE(B748,""en"",""zh-TW""),)"),"交通工具")</f>
        <v>交通工具</v>
      </c>
      <c r="E748" s="4" t="str">
        <f ca="1">IFERROR(__xludf.DUMMYFUNCTION("IFERROR(GOOGLETRANSLATE(B748,""en"",""zh-CN""),)"),"交通工具")</f>
        <v>交通工具</v>
      </c>
    </row>
    <row r="749" spans="1:5">
      <c r="A749" s="3" t="s">
        <v>3505</v>
      </c>
      <c r="B749" s="4" t="str">
        <f ca="1">IFERROR(__xludf.DUMMYFUNCTION("IFERROR(GOOGLETRANSLATE(A749,""ko"",""en""),)"),"How long does it take from Busan to Gyeongju?")</f>
        <v>How long does it take from Busan to Gyeongju?</v>
      </c>
      <c r="C749" s="4" t="str">
        <f ca="1">IFERROR(__xludf.DUMMYFUNCTION("IFERROR(GOOGLETRANSLATE(B749,""en"",""ja""),)"),"釜山から慶州までどれくらい時間がかかりますか？")</f>
        <v>釜山から慶州までどれくらい時間がかかりますか？</v>
      </c>
      <c r="D749" s="4" t="str">
        <f ca="1">IFERROR(__xludf.DUMMYFUNCTION("IFERROR(GOOGLETRANSLATE(B749,""en"",""zh-TW""),)"),"從釜山到慶州需要多長時間？")</f>
        <v>從釜山到慶州需要多長時間？</v>
      </c>
      <c r="E749" s="4" t="str">
        <f ca="1">IFERROR(__xludf.DUMMYFUNCTION("IFERROR(GOOGLETRANSLATE(B749,""en"",""zh-CN""),)"),"从釜山到庆州需要多长时间？")</f>
        <v>从釜山到庆州需要多长时间？</v>
      </c>
    </row>
    <row r="750" spans="1:5">
      <c r="A750" s="3" t="s">
        <v>3507</v>
      </c>
      <c r="B750" s="4" t="str">
        <f ca="1">IFERROR(__xludf.DUMMYFUNCTION("IFERROR(GOOGLETRANSLATE(A750,""ko"",""en""),)"),"It takes an hour and a half by bus from Busan to Gyeongju.")</f>
        <v>It takes an hour and a half by bus from Busan to Gyeongju.</v>
      </c>
      <c r="C750" s="4" t="str">
        <f ca="1">IFERROR(__xludf.DUMMYFUNCTION("IFERROR(GOOGLETRANSLATE(B750,""en"",""ja""),)"),"釜山から慶州まではバスで1時間半かかります。")</f>
        <v>釜山から慶州まではバスで1時間半かかります。</v>
      </c>
      <c r="D750" s="4" t="str">
        <f ca="1">IFERROR(__xludf.DUMMYFUNCTION("IFERROR(GOOGLETRANSLATE(B750,""en"",""zh-TW""),)"),"從釜山到慶州搭巴士需要一個半小時​​。")</f>
        <v>從釜山到慶州搭巴士需要一個半小時​​。</v>
      </c>
      <c r="E750" s="4" t="str">
        <f ca="1">IFERROR(__xludf.DUMMYFUNCTION("IFERROR(GOOGLETRANSLATE(B750,""en"",""zh-CN""),)"),"从釜山到庆州坐巴士需要一个半小时。")</f>
        <v>从釜山到庆州坐巴士需要一个半小时。</v>
      </c>
    </row>
    <row r="751" spans="1:5">
      <c r="A751" s="3" t="s">
        <v>3512</v>
      </c>
      <c r="B751" s="4" t="str">
        <f ca="1">IFERROR(__xludf.DUMMYFUNCTION("IFERROR(GOOGLETRANSLATE(A751,""ko"",""en""),)"),"How do I get home from the Sejong Institute?")</f>
        <v>How do I get home from the Sejong Institute?</v>
      </c>
      <c r="C751" s="4" t="str">
        <f ca="1">IFERROR(__xludf.DUMMYFUNCTION("IFERROR(GOOGLETRANSLATE(B751,""en"",""ja""),)"),"世宗学院から自宅へはどうやって帰ればいいですか？")</f>
        <v>世宗学院から自宅へはどうやって帰ればいいですか？</v>
      </c>
      <c r="D751" s="4" t="str">
        <f ca="1">IFERROR(__xludf.DUMMYFUNCTION("IFERROR(GOOGLETRANSLATE(B751,""en"",""zh-TW""),)"),"我從世宗研究所怎麼回家？")</f>
        <v>我從世宗研究所怎麼回家？</v>
      </c>
      <c r="E751" s="4" t="str">
        <f ca="1">IFERROR(__xludf.DUMMYFUNCTION("IFERROR(GOOGLETRANSLATE(B751,""en"",""zh-CN""),)"),"我从世宗研究所怎么回家？")</f>
        <v>我从世宗研究所怎么回家？</v>
      </c>
    </row>
    <row r="752" spans="1:5">
      <c r="A752" s="3" t="s">
        <v>3328</v>
      </c>
      <c r="B752" s="4" t="str">
        <f ca="1">IFERROR(__xludf.DUMMYFUNCTION("IFERROR(GOOGLETRANSLATE(A752,""ko"",""en""),)"),"I'm taking the subway.")</f>
        <v>I'm taking the subway.</v>
      </c>
      <c r="C752" s="4" t="str">
        <f ca="1">IFERROR(__xludf.DUMMYFUNCTION("IFERROR(GOOGLETRANSLATE(B752,""en"",""ja""),)"),"私は地下鉄に乗ります。")</f>
        <v>私は地下鉄に乗ります。</v>
      </c>
      <c r="D752" s="4" t="str">
        <f ca="1">IFERROR(__xludf.DUMMYFUNCTION("IFERROR(GOOGLETRANSLATE(B752,""en"",""zh-TW""),)"),"我要搭地鐵。")</f>
        <v>我要搭地鐵。</v>
      </c>
      <c r="E752" s="4" t="str">
        <f ca="1">IFERROR(__xludf.DUMMYFUNCTION("IFERROR(GOOGLETRANSLATE(B752,""en"",""zh-CN""),)"),"我要坐地铁。")</f>
        <v>我要坐地铁。</v>
      </c>
    </row>
    <row r="753" spans="1:5">
      <c r="A753" s="5" t="s">
        <v>3521</v>
      </c>
      <c r="B753" s="4" t="str">
        <f ca="1">IFERROR(__xludf.DUMMYFUNCTION("IFERROR(GOOGLETRANSLATE(A753,""ko"",""en""),)"),"How do I get from the bus stop to the Seoul hotel?")</f>
        <v>How do I get from the bus stop to the Seoul hotel?</v>
      </c>
      <c r="C753" s="4" t="str">
        <f ca="1">IFERROR(__xludf.DUMMYFUNCTION("IFERROR(GOOGLETRANSLATE(B753,""en"",""ja""),)"),"バス停からソウルのホテルまではどうやって行けばいいですか？")</f>
        <v>バス停からソウルのホテルまではどうやって行けばいいですか？</v>
      </c>
      <c r="D753" s="4" t="str">
        <f ca="1">IFERROR(__xludf.DUMMYFUNCTION("IFERROR(GOOGLETRANSLATE(B753,""en"",""zh-TW""),)"),"我該如何從公車站前往首爾飯店？")</f>
        <v>我該如何從公車站前往首爾飯店？</v>
      </c>
      <c r="E753" s="4" t="str">
        <f ca="1">IFERROR(__xludf.DUMMYFUNCTION("IFERROR(GOOGLETRANSLATE(B753,""en"",""zh-CN""),)"),"我该如何从公交车站前往首尔酒店？")</f>
        <v>我该如何从公交车站前往首尔酒店？</v>
      </c>
    </row>
    <row r="754" spans="1:5">
      <c r="A754" s="3" t="s">
        <v>3378</v>
      </c>
      <c r="B754" s="4" t="str">
        <f ca="1">IFERROR(__xludf.DUMMYFUNCTION("IFERROR(GOOGLETRANSLATE(A754,""ko"",""en""),)"),"I'll walk.")</f>
        <v>I'll walk.</v>
      </c>
      <c r="C754" s="4" t="str">
        <f ca="1">IFERROR(__xludf.DUMMYFUNCTION("IFERROR(GOOGLETRANSLATE(B754,""en"",""ja""),)"),"歩いて行きます。")</f>
        <v>歩いて行きます。</v>
      </c>
      <c r="D754" s="4" t="str">
        <f ca="1">IFERROR(__xludf.DUMMYFUNCTION("IFERROR(GOOGLETRANSLATE(B754,""en"",""zh-TW""),)"),"我走著去。")</f>
        <v>我走著去。</v>
      </c>
      <c r="E754" s="4" t="str">
        <f ca="1">IFERROR(__xludf.DUMMYFUNCTION("IFERROR(GOOGLETRANSLATE(B754,""en"",""zh-CN""),)"),"我走着去。")</f>
        <v>我走着去。</v>
      </c>
    </row>
    <row r="755" spans="1:5">
      <c r="A755" s="3" t="s">
        <v>3528</v>
      </c>
      <c r="B755" s="4" t="str">
        <f ca="1">IFERROR(__xludf.DUMMYFUNCTION("IFERROR(GOOGLETRANSLATE(A755,""ko"",""en""),)"),"How do I get from Jeju Island to Busan?")</f>
        <v>How do I get from Jeju Island to Busan?</v>
      </c>
      <c r="C755" s="4" t="str">
        <f ca="1">IFERROR(__xludf.DUMMYFUNCTION("IFERROR(GOOGLETRANSLATE(B755,""en"",""ja""),)"),"済州島から釜山へはどうやって行けばいいですか？")</f>
        <v>済州島から釜山へはどうやって行けばいいですか？</v>
      </c>
      <c r="D755" s="4" t="str">
        <f ca="1">IFERROR(__xludf.DUMMYFUNCTION("IFERROR(GOOGLETRANSLATE(B755,""en"",""zh-TW""),)"),"如何從濟州島前往釜山？")</f>
        <v>如何從濟州島前往釜山？</v>
      </c>
      <c r="E755" s="4" t="str">
        <f ca="1">IFERROR(__xludf.DUMMYFUNCTION("IFERROR(GOOGLETRANSLATE(B755,""en"",""zh-CN""),)"),"如何从济州岛前往釜山？")</f>
        <v>如何从济州岛前往釜山？</v>
      </c>
    </row>
    <row r="756" spans="1:5">
      <c r="A756" s="3" t="s">
        <v>3532</v>
      </c>
      <c r="B756" s="4" t="str">
        <f ca="1">IFERROR(__xludf.DUMMYFUNCTION("IFERROR(GOOGLETRANSLATE(A756,""ko"",""en""),)"),"I'm going by boat.")</f>
        <v>I'm going by boat.</v>
      </c>
      <c r="C756" s="4" t="str">
        <f ca="1">IFERROR(__xludf.DUMMYFUNCTION("IFERROR(GOOGLETRANSLATE(B756,""en"",""ja""),)"),"私は船で行きます。")</f>
        <v>私は船で行きます。</v>
      </c>
      <c r="D756" s="4" t="str">
        <f ca="1">IFERROR(__xludf.DUMMYFUNCTION("IFERROR(GOOGLETRANSLATE(B756,""en"",""zh-TW""),)"),"我打算搭船去。")</f>
        <v>我打算搭船去。</v>
      </c>
      <c r="E756" s="4" t="str">
        <f ca="1">IFERROR(__xludf.DUMMYFUNCTION("IFERROR(GOOGLETRANSLATE(B756,""en"",""zh-CN""),)"),"我打算乘船去。")</f>
        <v>我打算乘船去。</v>
      </c>
    </row>
    <row r="757" spans="1:5">
      <c r="A757" s="3" t="s">
        <v>3538</v>
      </c>
      <c r="B757" s="4" t="str">
        <f ca="1">IFERROR(__xludf.DUMMYFUNCTION("IFERROR(GOOGLETRANSLATE(A757,""ko"",""en""),)"),"How do you get from your country to Korea?")</f>
        <v>How do you get from your country to Korea?</v>
      </c>
      <c r="C757" s="4" t="str">
        <f ca="1">IFERROR(__xludf.DUMMYFUNCTION("IFERROR(GOOGLETRANSLATE(B757,""en"",""ja""),)"),"あなたの国から韓国へはどうやって行くのですか？")</f>
        <v>あなたの国から韓国へはどうやって行くのですか？</v>
      </c>
      <c r="D757" s="4" t="str">
        <f ca="1">IFERROR(__xludf.DUMMYFUNCTION("IFERROR(GOOGLETRANSLATE(B757,""en"",""zh-TW""),)"),"如何從你的國家前往韓國？")</f>
        <v>如何從你的國家前往韓國？</v>
      </c>
      <c r="E757" s="4" t="str">
        <f ca="1">IFERROR(__xludf.DUMMYFUNCTION("IFERROR(GOOGLETRANSLATE(B757,""en"",""zh-CN""),)"),"如何从你的国家前往韩国？")</f>
        <v>如何从你的国家前往韩国？</v>
      </c>
    </row>
    <row r="758" spans="1:5">
      <c r="A758" s="3" t="s">
        <v>3543</v>
      </c>
      <c r="B758" s="4" t="str">
        <f ca="1">IFERROR(__xludf.DUMMYFUNCTION("IFERROR(GOOGLETRANSLATE(A758,""ko"",""en""),)"),"I'm going by plane.")</f>
        <v>I'm going by plane.</v>
      </c>
      <c r="C758" s="4" t="str">
        <f ca="1">IFERROR(__xludf.DUMMYFUNCTION("IFERROR(GOOGLETRANSLATE(B758,""en"",""ja""),)"),"私は飛行機で行きます。")</f>
        <v>私は飛行機で行きます。</v>
      </c>
      <c r="D758" s="4" t="str">
        <f ca="1">IFERROR(__xludf.DUMMYFUNCTION("IFERROR(GOOGLETRANSLATE(B758,""en"",""zh-TW""),)"),"我將乘飛機前往。")</f>
        <v>我將乘飛機前往。</v>
      </c>
      <c r="E758" s="4" t="str">
        <f ca="1">IFERROR(__xludf.DUMMYFUNCTION("IFERROR(GOOGLETRANSLATE(B758,""en"",""zh-CN""),)"),"我将乘飞机前往。")</f>
        <v>我将乘飞机前往。</v>
      </c>
    </row>
    <row r="759" spans="1:5">
      <c r="A759" s="5" t="s">
        <v>3546</v>
      </c>
      <c r="B759" s="4" t="str">
        <f ca="1">IFERROR(__xludf.DUMMYFUNCTION("IFERROR(GOOGLETRANSLATE(A759,""ko"",""en""),)"),"How do I get to the airport?")</f>
        <v>How do I get to the airport?</v>
      </c>
      <c r="C759" s="4" t="str">
        <f ca="1">IFERROR(__xludf.DUMMYFUNCTION("IFERROR(GOOGLETRANSLATE(B759,""en"",""ja""),)"),"空港へはどうやって行けばいいですか？")</f>
        <v>空港へはどうやって行けばいいですか？</v>
      </c>
      <c r="D759" s="4" t="str">
        <f ca="1">IFERROR(__xludf.DUMMYFUNCTION("IFERROR(GOOGLETRANSLATE(B759,""en"",""zh-TW""),)"),"我該如何前往機場？")</f>
        <v>我該如何前往機場？</v>
      </c>
      <c r="E759" s="4" t="str">
        <f ca="1">IFERROR(__xludf.DUMMYFUNCTION("IFERROR(GOOGLETRANSLATE(B759,""en"",""zh-CN""),)"),"我该如何前往机场？")</f>
        <v>我该如何前往机场？</v>
      </c>
    </row>
    <row r="760" spans="1:5">
      <c r="A760" s="3" t="s">
        <v>3553</v>
      </c>
      <c r="B760" s="4" t="str">
        <f ca="1">IFERROR(__xludf.DUMMYFUNCTION("IFERROR(GOOGLETRANSLATE(A760,""ko"",""en""),)"),"I'm going in my car.")</f>
        <v>I'm going in my car.</v>
      </c>
      <c r="C760" s="4" t="str">
        <f ca="1">IFERROR(__xludf.DUMMYFUNCTION("IFERROR(GOOGLETRANSLATE(B760,""en"",""ja""),)"),"私は車で行きます。")</f>
        <v>私は車で行きます。</v>
      </c>
      <c r="D760" s="4" t="str">
        <f ca="1">IFERROR(__xludf.DUMMYFUNCTION("IFERROR(GOOGLETRANSLATE(B760,""en"",""zh-TW""),)"),"我開車去。")</f>
        <v>我開車去。</v>
      </c>
      <c r="E760" s="4" t="str">
        <f ca="1">IFERROR(__xludf.DUMMYFUNCTION("IFERROR(GOOGLETRANSLATE(B760,""en"",""zh-CN""),)"),"我开车去。")</f>
        <v>我开车去。</v>
      </c>
    </row>
    <row r="761" spans="1:5">
      <c r="A761" s="3" t="s">
        <v>3559</v>
      </c>
      <c r="B761" s="4" t="str">
        <f ca="1">IFERROR(__xludf.DUMMYFUNCTION("IFERROR(GOOGLETRANSLATE(A761,""ko"",""en""),)"),"What should we have for dinner?")</f>
        <v>What should we have for dinner?</v>
      </c>
      <c r="C761" s="4" t="str">
        <f ca="1">IFERROR(__xludf.DUMMYFUNCTION("IFERROR(GOOGLETRANSLATE(B761,""en"",""ja""),)"),"夕食は何にしようか？")</f>
        <v>夕食は何にしようか？</v>
      </c>
      <c r="D761" s="4" t="str">
        <f ca="1">IFERROR(__xludf.DUMMYFUNCTION("IFERROR(GOOGLETRANSLATE(B761,""en"",""zh-TW""),)"),"我們晚餐吃什麼？")</f>
        <v>我們晚餐吃什麼？</v>
      </c>
      <c r="E761" s="4" t="str">
        <f ca="1">IFERROR(__xludf.DUMMYFUNCTION("IFERROR(GOOGLETRANSLATE(B761,""en"",""zh-CN""),)"),"我们晚餐吃什么？")</f>
        <v>我们晚餐吃什么？</v>
      </c>
    </row>
    <row r="762" spans="1:5">
      <c r="A762" s="3" t="s">
        <v>3566</v>
      </c>
      <c r="B762" s="4" t="str">
        <f ca="1">IFERROR(__xludf.DUMMYFUNCTION("IFERROR(GOOGLETRANSLATE(A762,""ko"",""en""),)"),"Let's eat bibimbap together.")</f>
        <v>Let's eat bibimbap together.</v>
      </c>
      <c r="C762" s="4" t="str">
        <f ca="1">IFERROR(__xludf.DUMMYFUNCTION("IFERROR(GOOGLETRANSLATE(B762,""en"",""ja""),)"),"一緒にビビンバを食べましょう。")</f>
        <v>一緒にビビンバを食べましょう。</v>
      </c>
      <c r="D762" s="4" t="str">
        <f ca="1">IFERROR(__xludf.DUMMYFUNCTION("IFERROR(GOOGLETRANSLATE(B762,""en"",""zh-TW""),)"),"我們一起吃拌飯吧。")</f>
        <v>我們一起吃拌飯吧。</v>
      </c>
      <c r="E762" s="4" t="str">
        <f ca="1">IFERROR(__xludf.DUMMYFUNCTION("IFERROR(GOOGLETRANSLATE(B762,""en"",""zh-CN""),)"),"我们一起吃拌饭吧。")</f>
        <v>我们一起吃拌饭吧。</v>
      </c>
    </row>
    <row r="763" spans="1:5">
      <c r="A763" s="5" t="s">
        <v>3571</v>
      </c>
      <c r="B763" s="4" t="s">
        <v>3573</v>
      </c>
      <c r="C763" s="4" t="str">
        <f ca="1">IFERROR(__xludf.DUMMYFUNCTION("IFERROR(GOOGLETRANSLATE(B763,""en"",""ja""),)"),"電話しています")</f>
        <v>電話しています</v>
      </c>
      <c r="D763" s="4" t="str">
        <f ca="1">IFERROR(__xludf.DUMMYFUNCTION("IFERROR(GOOGLETRANSLATE(B763,""en"",""zh-TW""),)"),"我正在打電話")</f>
        <v>我正在打電話</v>
      </c>
      <c r="E763" s="4" t="str">
        <f ca="1">IFERROR(__xludf.DUMMYFUNCTION("IFERROR(GOOGLETRANSLATE(B763,""en"",""zh-CN""),)"),"我正在打电话")</f>
        <v>我正在打电话</v>
      </c>
    </row>
    <row r="764" spans="1:5">
      <c r="A764" s="3" t="s">
        <v>3578</v>
      </c>
      <c r="B764" s="4" t="str">
        <f ca="1">IFERROR(__xludf.DUMMYFUNCTION("IFERROR(GOOGLETRANSLATE(A764,""ko"",""en""),)"),"When shall we have lunch?")</f>
        <v>When shall we have lunch?</v>
      </c>
      <c r="C764" s="4" t="str">
        <f ca="1">IFERROR(__xludf.DUMMYFUNCTION("IFERROR(GOOGLETRANSLATE(B764,""en"",""ja""),)"),"昼食はいつにしましょうか？")</f>
        <v>昼食はいつにしましょうか？</v>
      </c>
      <c r="D764" s="4" t="str">
        <f ca="1">IFERROR(__xludf.DUMMYFUNCTION("IFERROR(GOOGLETRANSLATE(B764,""en"",""zh-TW""),)"),"我們什麼時候吃午餐？")</f>
        <v>我們什麼時候吃午餐？</v>
      </c>
      <c r="E764" s="4" t="str">
        <f ca="1">IFERROR(__xludf.DUMMYFUNCTION("IFERROR(GOOGLETRANSLATE(B764,""en"",""zh-CN""),)"),"我们什么时候吃午饭？")</f>
        <v>我们什么时候吃午饭？</v>
      </c>
    </row>
    <row r="765" spans="1:5">
      <c r="A765" s="3" t="s">
        <v>3581</v>
      </c>
      <c r="B765" s="4" t="str">
        <f ca="1">IFERROR(__xludf.DUMMYFUNCTION("IFERROR(GOOGLETRANSLATE(A765,""ko"",""en""),)"),"I eat at 1 o'clock.")</f>
        <v>I eat at 1 o'clock.</v>
      </c>
      <c r="C765" s="4" t="str">
        <f ca="1">IFERROR(__xludf.DUMMYFUNCTION("IFERROR(GOOGLETRANSLATE(B765,""en"",""ja""),)"),"私は1時に食事をします。")</f>
        <v>私は1時に食事をします。</v>
      </c>
      <c r="D765" s="4" t="str">
        <f ca="1">IFERROR(__xludf.DUMMYFUNCTION("IFERROR(GOOGLETRANSLATE(B765,""en"",""zh-TW""),)"),"我一點鐘吃飯。")</f>
        <v>我一點鐘吃飯。</v>
      </c>
      <c r="E765" s="4" t="str">
        <f ca="1">IFERROR(__xludf.DUMMYFUNCTION("IFERROR(GOOGLETRANSLATE(B765,""en"",""zh-CN""),)"),"我一点钟吃饭。")</f>
        <v>我一点钟吃饭。</v>
      </c>
    </row>
    <row r="766" spans="1:5">
      <c r="A766" s="3" t="s">
        <v>3589</v>
      </c>
      <c r="B766" s="4" t="str">
        <f ca="1">IFERROR(__xludf.DUMMYFUNCTION("IFERROR(GOOGLETRANSLATE(A766,""ko"",""en""),)"),"Where shall we meet?")</f>
        <v>Where shall we meet?</v>
      </c>
      <c r="C766" s="4" t="str">
        <f ca="1">IFERROR(__xludf.DUMMYFUNCTION("IFERROR(GOOGLETRANSLATE(B766,""en"",""ja""),)"),"どこで会いましょうか？")</f>
        <v>どこで会いましょうか？</v>
      </c>
      <c r="D766" s="4" t="str">
        <f ca="1">IFERROR(__xludf.DUMMYFUNCTION("IFERROR(GOOGLETRANSLATE(B766,""en"",""zh-TW""),)"),"我們在哪裡見面？")</f>
        <v>我們在哪裡見面？</v>
      </c>
      <c r="E766" s="4" t="str">
        <f ca="1">IFERROR(__xludf.DUMMYFUNCTION("IFERROR(GOOGLETRANSLATE(B766,""en"",""zh-CN""),)"),"我们在哪里见面？")</f>
        <v>我们在哪里见面？</v>
      </c>
    </row>
    <row r="767" spans="1:5">
      <c r="A767" s="3" t="s">
        <v>3597</v>
      </c>
      <c r="B767" s="4" t="str">
        <f ca="1">IFERROR(__xludf.DUMMYFUNCTION("IFERROR(GOOGLETRANSLATE(A767,""ko"",""en""),)"),"Let's meet at the cafe in front of Sejong Institute.")</f>
        <v>Let's meet at the cafe in front of Sejong Institute.</v>
      </c>
      <c r="C767" s="4" t="str">
        <f ca="1">IFERROR(__xludf.DUMMYFUNCTION("IFERROR(GOOGLETRANSLATE(B767,""en"",""ja""),)"),"世宗学院前のカフェで待ち合わせましょう。")</f>
        <v>世宗学院前のカフェで待ち合わせましょう。</v>
      </c>
      <c r="D767" s="4" t="str">
        <f ca="1">IFERROR(__xludf.DUMMYFUNCTION("IFERROR(GOOGLETRANSLATE(B767,""en"",""zh-TW""),)"),"我們到世宗研究所前的咖啡館見面吧。")</f>
        <v>我們到世宗研究所前的咖啡館見面吧。</v>
      </c>
      <c r="E767" s="4" t="str">
        <f ca="1">IFERROR(__xludf.DUMMYFUNCTION("IFERROR(GOOGLETRANSLATE(B767,""en"",""zh-CN""),)"),"我们到世宗研究所前的咖啡馆见面吧。")</f>
        <v>我们到世宗研究所前的咖啡馆见面吧。</v>
      </c>
    </row>
    <row r="768" spans="1:5">
      <c r="A768" s="3" t="s">
        <v>3603</v>
      </c>
      <c r="B768" s="4" t="str">
        <f ca="1">IFERROR(__xludf.DUMMYFUNCTION("IFERROR(GOOGLETRANSLATE(A768,""ko"",""en""),)"),"Where should we go this weekend?")</f>
        <v>Where should we go this weekend?</v>
      </c>
      <c r="C768" s="4" t="str">
        <f ca="1">IFERROR(__xludf.DUMMYFUNCTION("IFERROR(GOOGLETRANSLATE(B768,""en"",""ja""),)"),"今週末はどこに行こうか？")</f>
        <v>今週末はどこに行こうか？</v>
      </c>
      <c r="D768" s="4" t="str">
        <f ca="1">IFERROR(__xludf.DUMMYFUNCTION("IFERROR(GOOGLETRANSLATE(B768,""en"",""zh-TW""),)"),"我們這個週末該去哪裡？")</f>
        <v>我們這個週末該去哪裡？</v>
      </c>
      <c r="E768" s="4" t="str">
        <f ca="1">IFERROR(__xludf.DUMMYFUNCTION("IFERROR(GOOGLETRANSLATE(B768,""en"",""zh-CN""),)"),"我们这个周末应该去哪里？")</f>
        <v>我们这个周末应该去哪里？</v>
      </c>
    </row>
    <row r="769" spans="1:5">
      <c r="A769" s="3" t="s">
        <v>2513</v>
      </c>
      <c r="B769" s="4" t="str">
        <f ca="1">IFERROR(__xludf.DUMMYFUNCTION("IFERROR(GOOGLETRANSLATE(A769,""ko"",""en""),)"),"I'm going to the movie theater.")</f>
        <v>I'm going to the movie theater.</v>
      </c>
      <c r="C769" s="4" t="str">
        <f ca="1">IFERROR(__xludf.DUMMYFUNCTION("IFERROR(GOOGLETRANSLATE(B769,""en"",""ja""),)"),"映画館に行くよ。")</f>
        <v>映画館に行くよ。</v>
      </c>
      <c r="D769" s="4" t="str">
        <f ca="1">IFERROR(__xludf.DUMMYFUNCTION("IFERROR(GOOGLETRANSLATE(B769,""en"",""zh-TW""),)"),"我要去電影院。")</f>
        <v>我要去電影院。</v>
      </c>
      <c r="E769" s="4" t="str">
        <f ca="1">IFERROR(__xludf.DUMMYFUNCTION("IFERROR(GOOGLETRANSLATE(B769,""en"",""zh-CN""),)"),"我要去电影院。")</f>
        <v>我要去电影院。</v>
      </c>
    </row>
    <row r="770" spans="1:5">
      <c r="A770" s="3" t="s">
        <v>3615</v>
      </c>
      <c r="B770" s="4" t="str">
        <f ca="1">IFERROR(__xludf.DUMMYFUNCTION("IFERROR(GOOGLETRANSLATE(A770,""ko"",""en""),)"),"How should we go?")</f>
        <v>How should we go?</v>
      </c>
      <c r="C770" s="4" t="str">
        <f ca="1">IFERROR(__xludf.DUMMYFUNCTION("IFERROR(GOOGLETRANSLATE(B770,""en"",""ja""),)"),"どう進むべきか？")</f>
        <v>どう進むべきか？</v>
      </c>
      <c r="D770" s="4" t="str">
        <f ca="1">IFERROR(__xludf.DUMMYFUNCTION("IFERROR(GOOGLETRANSLATE(B770,""en"",""zh-TW""),)"),"我們該怎麼走？")</f>
        <v>我們該怎麼走？</v>
      </c>
      <c r="E770" s="4" t="str">
        <f ca="1">IFERROR(__xludf.DUMMYFUNCTION("IFERROR(GOOGLETRANSLATE(B770,""en"",""zh-CN""),)"),"我们该怎么走？")</f>
        <v>我们该怎么走？</v>
      </c>
    </row>
    <row r="771" spans="1:5">
      <c r="A771" s="3" t="s">
        <v>3316</v>
      </c>
      <c r="B771" s="4" t="str">
        <f ca="1">IFERROR(__xludf.DUMMYFUNCTION("IFERROR(GOOGLETRANSLATE(A771,""ko"",""en""),)"),"I'm taking the bus.")</f>
        <v>I'm taking the bus.</v>
      </c>
      <c r="C771" s="4" t="str">
        <f ca="1">IFERROR(__xludf.DUMMYFUNCTION("IFERROR(GOOGLETRANSLATE(B771,""en"",""ja""),)"),"私はバスに乗ります。")</f>
        <v>私はバスに乗ります。</v>
      </c>
      <c r="D771" s="4" t="str">
        <f ca="1">IFERROR(__xludf.DUMMYFUNCTION("IFERROR(GOOGLETRANSLATE(B771,""en"",""zh-TW""),)"),"我打算搭公車。")</f>
        <v>我打算搭公車。</v>
      </c>
      <c r="E771" s="4" t="str">
        <f ca="1">IFERROR(__xludf.DUMMYFUNCTION("IFERROR(GOOGLETRANSLATE(B771,""en"",""zh-CN""),)"),"我打算乘公交车。")</f>
        <v>我打算乘公交车。</v>
      </c>
    </row>
    <row r="772" spans="1:5">
      <c r="A772" s="3" t="s">
        <v>3621</v>
      </c>
      <c r="B772" s="4" t="str">
        <f ca="1">IFERROR(__xludf.DUMMYFUNCTION("IFERROR(GOOGLETRANSLATE(A772,""ko"",""en""),)"),"What shall we do today?")</f>
        <v>What shall we do today?</v>
      </c>
      <c r="C772" s="4" t="str">
        <f ca="1">IFERROR(__xludf.DUMMYFUNCTION("IFERROR(GOOGLETRANSLATE(B772,""en"",""ja""),)"),"今日は何をしましょうか？")</f>
        <v>今日は何をしましょうか？</v>
      </c>
      <c r="D772" s="4" t="str">
        <f ca="1">IFERROR(__xludf.DUMMYFUNCTION("IFERROR(GOOGLETRANSLATE(B772,""en"",""zh-TW""),)"),"我們今天要做什麼？")</f>
        <v>我們今天要做什麼？</v>
      </c>
      <c r="E772" s="4" t="str">
        <f ca="1">IFERROR(__xludf.DUMMYFUNCTION("IFERROR(GOOGLETRANSLATE(B772,""en"",""zh-CN""),)"),"我们今天要做什么？")</f>
        <v>我们今天要做什么？</v>
      </c>
    </row>
    <row r="773" spans="1:5">
      <c r="A773" s="3" t="s">
        <v>3625</v>
      </c>
      <c r="B773" s="4" t="str">
        <f ca="1">IFERROR(__xludf.DUMMYFUNCTION("IFERROR(GOOGLETRANSLATE(A773,""ko"",""en""),)"),"Let's go for a walk today.")</f>
        <v>Let's go for a walk today.</v>
      </c>
      <c r="C773" s="4" t="str">
        <f ca="1">IFERROR(__xludf.DUMMYFUNCTION("IFERROR(GOOGLETRANSLATE(B773,""en"",""ja""),)"),"今日は散歩に行きましょう。")</f>
        <v>今日は散歩に行きましょう。</v>
      </c>
      <c r="D773" s="4" t="str">
        <f ca="1">IFERROR(__xludf.DUMMYFUNCTION("IFERROR(GOOGLETRANSLATE(B773,""en"",""zh-TW""),)"),"我們今天去散步吧。")</f>
        <v>我們今天去散步吧。</v>
      </c>
      <c r="E773" s="4" t="str">
        <f ca="1">IFERROR(__xludf.DUMMYFUNCTION("IFERROR(GOOGLETRANSLATE(B773,""en"",""zh-CN""),)"),"我们今天去散步吧。")</f>
        <v>我们今天去散步吧。</v>
      </c>
    </row>
    <row r="774" spans="1:5">
      <c r="A774" s="3" t="s">
        <v>3632</v>
      </c>
      <c r="B774" s="4" t="str">
        <f ca="1">IFERROR(__xludf.DUMMYFUNCTION("IFERROR(GOOGLETRANSLATE(A774,""ko"",""en""),)"),"What should we do this weekend?")</f>
        <v>What should we do this weekend?</v>
      </c>
      <c r="C774" s="4" t="str">
        <f ca="1">IFERROR(__xludf.DUMMYFUNCTION("IFERROR(GOOGLETRANSLATE(B774,""en"",""ja""),)"),"今週末は何をしようか？")</f>
        <v>今週末は何をしようか？</v>
      </c>
      <c r="D774" s="4" t="str">
        <f ca="1">IFERROR(__xludf.DUMMYFUNCTION("IFERROR(GOOGLETRANSLATE(B774,""en"",""zh-TW""),)"),"我們這個週末該做什麼？")</f>
        <v>我們這個週末該做什麼？</v>
      </c>
      <c r="E774" s="4" t="str">
        <f ca="1">IFERROR(__xludf.DUMMYFUNCTION("IFERROR(GOOGLETRANSLATE(B774,""en"",""zh-CN""),)"),"我们这个周末应该做什么？")</f>
        <v>我们这个周末应该做什么？</v>
      </c>
    </row>
    <row r="775" spans="1:5">
      <c r="A775" s="3" t="s">
        <v>3636</v>
      </c>
      <c r="B775" s="4" t="str">
        <f ca="1">IFERROR(__xludf.DUMMYFUNCTION("IFERROR(GOOGLETRANSLATE(A775,""ko"",""en""),)"),"I watch a movie.")</f>
        <v>I watch a movie.</v>
      </c>
      <c r="C775" s="4" t="str">
        <f ca="1">IFERROR(__xludf.DUMMYFUNCTION("IFERROR(GOOGLETRANSLATE(B775,""en"",""ja""),)"),"私は映画を観る。")</f>
        <v>私は映画を観る。</v>
      </c>
      <c r="D775" s="4" t="str">
        <f ca="1">IFERROR(__xludf.DUMMYFUNCTION("IFERROR(GOOGLETRANSLATE(B775,""en"",""zh-TW""),)"),"我看電影。")</f>
        <v>我看電影。</v>
      </c>
      <c r="E775" s="4" t="str">
        <f ca="1">IFERROR(__xludf.DUMMYFUNCTION("IFERROR(GOOGLETRANSLATE(B775,""en"",""zh-CN""),)"),"我看电影。")</f>
        <v>我看电影。</v>
      </c>
    </row>
    <row r="776" spans="1:5">
      <c r="A776" s="3" t="s">
        <v>3642</v>
      </c>
      <c r="B776" s="4" t="str">
        <f ca="1">IFERROR(__xludf.DUMMYFUNCTION("IFERROR(GOOGLETRANSLATE(A776,""ko"",""en""),)"),"Where shall we go?")</f>
        <v>Where shall we go?</v>
      </c>
      <c r="C776" s="4" t="str">
        <f ca="1">IFERROR(__xludf.DUMMYFUNCTION("IFERROR(GOOGLETRANSLATE(B776,""en"",""ja""),)"),"私たちはどこへ行こうか？")</f>
        <v>私たちはどこへ行こうか？</v>
      </c>
      <c r="D776" s="4" t="str">
        <f ca="1">IFERROR(__xludf.DUMMYFUNCTION("IFERROR(GOOGLETRANSLATE(B776,""en"",""zh-TW""),)"),"我們該去哪裡？")</f>
        <v>我們該去哪裡？</v>
      </c>
      <c r="E776" s="4" t="str">
        <f ca="1">IFERROR(__xludf.DUMMYFUNCTION("IFERROR(GOOGLETRANSLATE(B776,""en"",""zh-CN""),)"),"我们该去哪里？")</f>
        <v>我们该去哪里？</v>
      </c>
    </row>
    <row r="777" spans="1:5">
      <c r="A777" s="3" t="s">
        <v>3647</v>
      </c>
      <c r="B777" s="4" t="str">
        <f ca="1">IFERROR(__xludf.DUMMYFUNCTION("IFERROR(GOOGLETRANSLATE(A777,""ko"",""en""),)"),"I'm going to a cafe.")</f>
        <v>I'm going to a cafe.</v>
      </c>
      <c r="C777" s="4" t="str">
        <f ca="1">IFERROR(__xludf.DUMMYFUNCTION("IFERROR(GOOGLETRANSLATE(B777,""en"",""ja""),)"),"カフェに行くよ。")</f>
        <v>カフェに行くよ。</v>
      </c>
      <c r="D777" s="4" t="str">
        <f ca="1">IFERROR(__xludf.DUMMYFUNCTION("IFERROR(GOOGLETRANSLATE(B777,""en"",""zh-TW""),)"),"我要去咖啡館。")</f>
        <v>我要去咖啡館。</v>
      </c>
      <c r="E777" s="4" t="str">
        <f ca="1">IFERROR(__xludf.DUMMYFUNCTION("IFERROR(GOOGLETRANSLATE(B777,""en"",""zh-CN""),)"),"我要去咖啡馆。")</f>
        <v>我要去咖啡馆。</v>
      </c>
    </row>
    <row r="778" spans="1:5">
      <c r="A778" s="3" t="s">
        <v>3654</v>
      </c>
      <c r="B778" s="4" t="str">
        <f ca="1">IFERROR(__xludf.DUMMYFUNCTION("IFERROR(GOOGLETRANSLATE(A778,""ko"",""en""),)"),"What time should we meet?")</f>
        <v>What time should we meet?</v>
      </c>
      <c r="C778" s="4" t="str">
        <f ca="1">IFERROR(__xludf.DUMMYFUNCTION("IFERROR(GOOGLETRANSLATE(B778,""en"",""ja""),)"),"何時に待ち合わせましょうか？")</f>
        <v>何時に待ち合わせましょうか？</v>
      </c>
      <c r="D778" s="4" t="str">
        <f ca="1">IFERROR(__xludf.DUMMYFUNCTION("IFERROR(GOOGLETRANSLATE(B778,""en"",""zh-TW""),)"),"我們應該幾點見面？")</f>
        <v>我們應該幾點見面？</v>
      </c>
      <c r="E778" s="4" t="str">
        <f ca="1">IFERROR(__xludf.DUMMYFUNCTION("IFERROR(GOOGLETRANSLATE(B778,""en"",""zh-CN""),)"),"我们应该几点见面？")</f>
        <v>我们应该几点见面？</v>
      </c>
    </row>
    <row r="779" spans="1:5">
      <c r="A779" s="3" t="s">
        <v>3661</v>
      </c>
      <c r="B779" s="4" t="str">
        <f ca="1">IFERROR(__xludf.DUMMYFUNCTION("IFERROR(GOOGLETRANSLATE(A779,""ko"",""en""),)"),"Let's meet at 3 o'clock.")</f>
        <v>Let's meet at 3 o'clock.</v>
      </c>
      <c r="C779" s="4" t="str">
        <f ca="1">IFERROR(__xludf.DUMMYFUNCTION("IFERROR(GOOGLETRANSLATE(B779,""en"",""ja""),)"),"3時に会いましょう。")</f>
        <v>3時に会いましょう。</v>
      </c>
      <c r="D779" s="4" t="str">
        <f ca="1">IFERROR(__xludf.DUMMYFUNCTION("IFERROR(GOOGLETRANSLATE(B779,""en"",""zh-TW""),)"),"我們三點鐘見面吧。")</f>
        <v>我們三點鐘見面吧。</v>
      </c>
      <c r="E779" s="4" t="str">
        <f ca="1">IFERROR(__xludf.DUMMYFUNCTION("IFERROR(GOOGLETRANSLATE(B779,""en"",""zh-CN""),)"),"我们三点钟见面吧。")</f>
        <v>我们三点钟见面吧。</v>
      </c>
    </row>
    <row r="780" spans="1:5">
      <c r="A780" s="5" t="s">
        <v>3668</v>
      </c>
      <c r="B780" s="4" t="str">
        <f ca="1">IFERROR(__xludf.DUMMYFUNCTION("IFERROR(GOOGLETRANSLATE(A780,""ko"",""en""),)"),"What snacks should we buy?")</f>
        <v>What snacks should we buy?</v>
      </c>
      <c r="C780" s="4" t="str">
        <f ca="1">IFERROR(__xludf.DUMMYFUNCTION("IFERROR(GOOGLETRANSLATE(B780,""en"",""ja""),)"),"どんなお菓子を買えばいいですか？")</f>
        <v>どんなお菓子を買えばいいですか？</v>
      </c>
      <c r="D780" s="4" t="str">
        <f ca="1">IFERROR(__xludf.DUMMYFUNCTION("IFERROR(GOOGLETRANSLATE(B780,""en"",""zh-TW""),)"),"我們該買哪些零食？")</f>
        <v>我們該買哪些零食？</v>
      </c>
      <c r="E780" s="4" t="str">
        <f ca="1">IFERROR(__xludf.DUMMYFUNCTION("IFERROR(GOOGLETRANSLATE(B780,""en"",""zh-CN""),)"),"我们应该买哪些零食？")</f>
        <v>我们应该买哪些零食？</v>
      </c>
    </row>
    <row r="781" spans="1:5">
      <c r="A781" s="3" t="s">
        <v>3675</v>
      </c>
      <c r="B781" s="4" t="s">
        <v>3677</v>
      </c>
      <c r="C781" s="4" t="str">
        <f ca="1">IFERROR(__xludf.DUMMYFUNCTION("IFERROR(GOOGLETRANSLATE(B781,""en"",""ja""),)"),"お菓子とジュースを買います。")</f>
        <v>お菓子とジュースを買います。</v>
      </c>
      <c r="D781" s="4" t="str">
        <f ca="1">IFERROR(__xludf.DUMMYFUNCTION("IFERROR(GOOGLETRANSLATE(B781,""en"",""zh-TW""),)"),"我正在買零食和果汁。")</f>
        <v>我正在買零食和果汁。</v>
      </c>
      <c r="E781" s="4" t="str">
        <f ca="1">IFERROR(__xludf.DUMMYFUNCTION("IFERROR(GOOGLETRANSLATE(B781,""en"",""zh-CN""),)"),"我正在买零食和果汁。")</f>
        <v>我正在买零食和果汁。</v>
      </c>
    </row>
    <row r="782" spans="1:5">
      <c r="A782" s="3" t="s">
        <v>3684</v>
      </c>
      <c r="B782" s="4" t="str">
        <f ca="1">IFERROR(__xludf.DUMMYFUNCTION("IFERROR(GOOGLETRANSLATE(A782,""ko"",""en""),)"),"Shall we make tteokbokki together for dinner?")</f>
        <v>Shall we make tteokbokki together for dinner?</v>
      </c>
      <c r="C782" s="4" t="str">
        <f ca="1">IFERROR(__xludf.DUMMYFUNCTION("IFERROR(GOOGLETRANSLATE(B782,""en"",""ja""),)"),"夕食に一緒にトッポッキを作りませんか？")</f>
        <v>夕食に一緒にトッポッキを作りませんか？</v>
      </c>
      <c r="D782" s="4" t="str">
        <f ca="1">IFERROR(__xludf.DUMMYFUNCTION("IFERROR(GOOGLETRANSLATE(B782,""en"",""zh-TW""),)"),"我們一起做炒年糕當晚餐好嗎？")</f>
        <v>我們一起做炒年糕當晚餐好嗎？</v>
      </c>
      <c r="E782" s="4" t="str">
        <f ca="1">IFERROR(__xludf.DUMMYFUNCTION("IFERROR(GOOGLETRANSLATE(B782,""en"",""zh-CN""),)"),"我们一起做炒年糕当晚餐好吗？")</f>
        <v>我们一起做炒年糕当晚餐好吗？</v>
      </c>
    </row>
    <row r="783" spans="1:5">
      <c r="A783" s="3" t="s">
        <v>3690</v>
      </c>
      <c r="B783" s="4" t="str">
        <f ca="1">IFERROR(__xludf.DUMMYFUNCTION("IFERROR(GOOGLETRANSLATE(A783,""ko"",""en""),)"),"Yes, I'm making spicy tteokbokki.")</f>
        <v>Yes, I'm making spicy tteokbokki.</v>
      </c>
      <c r="C783" s="4" t="str">
        <f ca="1">IFERROR(__xludf.DUMMYFUNCTION("IFERROR(GOOGLETRANSLATE(B783,""en"",""ja""),)"),"はい、辛いトッポッキを作っています。")</f>
        <v>はい、辛いトッポッキを作っています。</v>
      </c>
      <c r="D783" s="4" t="str">
        <f ca="1">IFERROR(__xludf.DUMMYFUNCTION("IFERROR(GOOGLETRANSLATE(B783,""en"",""zh-TW""),)"),"是的，我在做辣炒年糕。")</f>
        <v>是的，我在做辣炒年糕。</v>
      </c>
      <c r="E783" s="4" t="str">
        <f ca="1">IFERROR(__xludf.DUMMYFUNCTION("IFERROR(GOOGLETRANSLATE(B783,""en"",""zh-CN""),)"),"是的，我在做辣炒年糕。")</f>
        <v>是的，我在做辣炒年糕。</v>
      </c>
    </row>
    <row r="784" spans="1:5">
      <c r="A784" s="5" t="s">
        <v>3698</v>
      </c>
      <c r="B784" s="4" t="str">
        <f ca="1">IFERROR(__xludf.DUMMYFUNCTION("IFERROR(GOOGLETRANSLATE(A784,""ko"",""en""),)"),"I'm hungry.")</f>
        <v>I'm hungry.</v>
      </c>
      <c r="C784" s="4" t="str">
        <f ca="1">IFERROR(__xludf.DUMMYFUNCTION("IFERROR(GOOGLETRANSLATE(B784,""en"",""ja""),)"),"お腹が空きました。")</f>
        <v>お腹が空きました。</v>
      </c>
      <c r="D784" s="4" t="str">
        <f ca="1">IFERROR(__xludf.DUMMYFUNCTION("IFERROR(GOOGLETRANSLATE(B784,""en"",""zh-TW""),)"),"我餓了。")</f>
        <v>我餓了。</v>
      </c>
      <c r="E784" s="4" t="str">
        <f ca="1">IFERROR(__xludf.DUMMYFUNCTION("IFERROR(GOOGLETRANSLATE(B784,""en"",""zh-CN""),)"),"我饿了。")</f>
        <v>我饿了。</v>
      </c>
    </row>
    <row r="785" spans="1:5">
      <c r="A785" s="3" t="s">
        <v>3704</v>
      </c>
      <c r="B785" s="4" t="str">
        <f ca="1">IFERROR(__xludf.DUMMYFUNCTION("IFERROR(GOOGLETRANSLATE(A785,""ko"",""en""),)"),"Then let's eat pizza together.")</f>
        <v>Then let's eat pizza together.</v>
      </c>
      <c r="C785" s="4" t="str">
        <f ca="1">IFERROR(__xludf.DUMMYFUNCTION("IFERROR(GOOGLETRANSLATE(B785,""en"",""ja""),)"),"じゃあ、一緒にピザを食べよう。")</f>
        <v>じゃあ、一緒にピザを食べよう。</v>
      </c>
      <c r="D785" s="4" t="str">
        <f ca="1">IFERROR(__xludf.DUMMYFUNCTION("IFERROR(GOOGLETRANSLATE(B785,""en"",""zh-TW""),)"),"那我們一起吃披薩吧。")</f>
        <v>那我們一起吃披薩吧。</v>
      </c>
      <c r="E785" s="4" t="str">
        <f ca="1">IFERROR(__xludf.DUMMYFUNCTION("IFERROR(GOOGLETRANSLATE(B785,""en"",""zh-CN""),)"),"那我们一起吃披萨吧。")</f>
        <v>那我们一起吃披萨吧。</v>
      </c>
    </row>
    <row r="786" spans="1:5">
      <c r="A786" s="3" t="s">
        <v>3708</v>
      </c>
      <c r="B786" s="4" t="str">
        <f ca="1">IFERROR(__xludf.DUMMYFUNCTION("IFERROR(GOOGLETRANSLATE(A786,""ko"",""en""),)"),"I like games.")</f>
        <v>I like games.</v>
      </c>
      <c r="C786" s="4" t="str">
        <f ca="1">IFERROR(__xludf.DUMMYFUNCTION("IFERROR(GOOGLETRANSLATE(B786,""en"",""ja""),)"),"私はゲームが好きです。")</f>
        <v>私はゲームが好きです。</v>
      </c>
      <c r="D786" s="4" t="str">
        <f ca="1">IFERROR(__xludf.DUMMYFUNCTION("IFERROR(GOOGLETRANSLATE(B786,""en"",""zh-TW""),)"),"我喜歡玩遊戲。")</f>
        <v>我喜歡玩遊戲。</v>
      </c>
      <c r="E786" s="4" t="str">
        <f ca="1">IFERROR(__xludf.DUMMYFUNCTION("IFERROR(GOOGLETRANSLATE(B786,""en"",""zh-CN""),)"),"我喜欢玩游戏。")</f>
        <v>我喜欢玩游戏。</v>
      </c>
    </row>
    <row r="787" spans="1:5">
      <c r="A787" s="3" t="s">
        <v>3713</v>
      </c>
      <c r="B787" s="4" t="str">
        <f ca="1">IFERROR(__xludf.DUMMYFUNCTION("IFERROR(GOOGLETRANSLATE(A787,""ko"",""en""),)"),"Then let's play a game together.")</f>
        <v>Then let's play a game together.</v>
      </c>
      <c r="C787" s="4" t="str">
        <f ca="1">IFERROR(__xludf.DUMMYFUNCTION("IFERROR(GOOGLETRANSLATE(B787,""en"",""ja""),)"),"それでは一緒にゲームをしましょう。")</f>
        <v>それでは一緒にゲームをしましょう。</v>
      </c>
      <c r="D787" s="4" t="str">
        <f ca="1">IFERROR(__xludf.DUMMYFUNCTION("IFERROR(GOOGLETRANSLATE(B787,""en"",""zh-TW""),)"),"那我們就一起玩遊戲吧。")</f>
        <v>那我們就一起玩遊戲吧。</v>
      </c>
      <c r="E787" s="4" t="str">
        <f ca="1">IFERROR(__xludf.DUMMYFUNCTION("IFERROR(GOOGLETRANSLATE(B787,""en"",""zh-CN""),)"),"那我们一起玩游戏吧。")</f>
        <v>那我们一起玩游戏吧。</v>
      </c>
    </row>
    <row r="788" spans="1:5">
      <c r="A788" s="3" t="s">
        <v>3718</v>
      </c>
      <c r="B788" s="4" t="s">
        <v>3720</v>
      </c>
      <c r="C788" s="4" t="str">
        <f ca="1">IFERROR(__xludf.DUMMYFUNCTION("IFERROR(GOOGLETRANSLATE(B788,""en"",""ja""),)"),"私は紅茶が嫌いです。")</f>
        <v>私は紅茶が嫌いです。</v>
      </c>
      <c r="D788" s="4" t="str">
        <f ca="1">IFERROR(__xludf.DUMMYFUNCTION("IFERROR(GOOGLETRANSLATE(B788,""en"",""zh-TW""),)"),"我討厭茶。")</f>
        <v>我討厭茶。</v>
      </c>
      <c r="E788" s="4" t="str">
        <f ca="1">IFERROR(__xludf.DUMMYFUNCTION("IFERROR(GOOGLETRANSLATE(B788,""en"",""zh-CN""),)"),"我讨厌茶。")</f>
        <v>我讨厌茶。</v>
      </c>
    </row>
    <row r="789" spans="1:5">
      <c r="A789" s="3" t="s">
        <v>3725</v>
      </c>
      <c r="B789" s="4" t="str">
        <f ca="1">IFERROR(__xludf.DUMMYFUNCTION("IFERROR(GOOGLETRANSLATE(A789,""ko"",""en""),)"),"Then let's have coffee together.")</f>
        <v>Then let's have coffee together.</v>
      </c>
      <c r="C789" s="4" t="str">
        <f ca="1">IFERROR(__xludf.DUMMYFUNCTION("IFERROR(GOOGLETRANSLATE(B789,""en"",""ja""),)"),"それでは、一緒にコーヒーを飲みましょう。")</f>
        <v>それでは、一緒にコーヒーを飲みましょう。</v>
      </c>
      <c r="D789" s="4" t="str">
        <f ca="1">IFERROR(__xludf.DUMMYFUNCTION("IFERROR(GOOGLETRANSLATE(B789,""en"",""zh-TW""),)"),"那我們一起喝咖啡吧。")</f>
        <v>那我們一起喝咖啡吧。</v>
      </c>
      <c r="E789" s="4" t="str">
        <f ca="1">IFERROR(__xludf.DUMMYFUNCTION("IFERROR(GOOGLETRANSLATE(B789,""en"",""zh-CN""),)"),"那我们一起喝咖啡吧。")</f>
        <v>那我们一起喝咖啡吧。</v>
      </c>
    </row>
    <row r="790" spans="1:5">
      <c r="A790" s="3" t="s">
        <v>3731</v>
      </c>
      <c r="B790" s="4" t="str">
        <f ca="1">IFERROR(__xludf.DUMMYFUNCTION("IFERROR(GOOGLETRANSLATE(A790,""ko"",""en""),)"),"I want to go for a walk.")</f>
        <v>I want to go for a walk.</v>
      </c>
      <c r="C790" s="4" t="str">
        <f ca="1">IFERROR(__xludf.DUMMYFUNCTION("IFERROR(GOOGLETRANSLATE(B790,""en"",""ja""),)"),"散歩に行きたい。")</f>
        <v>散歩に行きたい。</v>
      </c>
      <c r="D790" s="4" t="str">
        <f ca="1">IFERROR(__xludf.DUMMYFUNCTION("IFERROR(GOOGLETRANSLATE(B790,""en"",""zh-TW""),)"),"我想去散步。")</f>
        <v>我想去散步。</v>
      </c>
      <c r="E790" s="4" t="str">
        <f ca="1">IFERROR(__xludf.DUMMYFUNCTION("IFERROR(GOOGLETRANSLATE(B790,""en"",""zh-CN""),)"),"我想去散步。")</f>
        <v>我想去散步。</v>
      </c>
    </row>
    <row r="791" spans="1:5">
      <c r="A791" s="3" t="s">
        <v>3738</v>
      </c>
      <c r="B791" s="4" t="str">
        <f ca="1">IFERROR(__xludf.DUMMYFUNCTION("IFERROR(GOOGLETRANSLATE(A791,""ko"",""en""),)"),"Then let's walk together.")</f>
        <v>Then let's walk together.</v>
      </c>
      <c r="C791" s="4" t="str">
        <f ca="1">IFERROR(__xludf.DUMMYFUNCTION("IFERROR(GOOGLETRANSLATE(B791,""en"",""ja""),)"),"それでは、一緒に歩きましょう。")</f>
        <v>それでは、一緒に歩きましょう。</v>
      </c>
      <c r="D791" s="4" t="str">
        <f ca="1">IFERROR(__xludf.DUMMYFUNCTION("IFERROR(GOOGLETRANSLATE(B791,""en"",""zh-TW""),)"),"那我們一起走吧。")</f>
        <v>那我們一起走吧。</v>
      </c>
      <c r="E791" s="4" t="str">
        <f ca="1">IFERROR(__xludf.DUMMYFUNCTION("IFERROR(GOOGLETRANSLATE(B791,""en"",""zh-CN""),)"),"那我们一起走吧。")</f>
        <v>那我们一起走吧。</v>
      </c>
    </row>
    <row r="792" spans="1:5">
      <c r="A792" s="3" t="s">
        <v>3747</v>
      </c>
      <c r="B792" s="4" t="str">
        <f ca="1">IFERROR(__xludf.DUMMYFUNCTION("IFERROR(GOOGLETRANSLATE(A792,""ko"",""en""),)"),"I'm late.")</f>
        <v>I'm late.</v>
      </c>
      <c r="C792" s="4" t="str">
        <f ca="1">IFERROR(__xludf.DUMMYFUNCTION("IFERROR(GOOGLETRANSLATE(B792,""en"",""ja""),)"),"遅刻だ。")</f>
        <v>遅刻だ。</v>
      </c>
      <c r="D792" s="4" t="str">
        <f ca="1">IFERROR(__xludf.DUMMYFUNCTION("IFERROR(GOOGLETRANSLATE(B792,""en"",""zh-TW""),)"),"我來晚了。")</f>
        <v>我來晚了。</v>
      </c>
      <c r="E792" s="4" t="str">
        <f ca="1">IFERROR(__xludf.DUMMYFUNCTION("IFERROR(GOOGLETRANSLATE(B792,""en"",""zh-CN""),)"),"我来晚了。")</f>
        <v>我来晚了。</v>
      </c>
    </row>
    <row r="793" spans="1:5">
      <c r="A793" s="3" t="s">
        <v>3752</v>
      </c>
      <c r="B793" s="4" t="str">
        <f ca="1">IFERROR(__xludf.DUMMYFUNCTION("IFERROR(GOOGLETRANSLATE(A793,""ko"",""en""),)"),"Then let's take a taxi together.")</f>
        <v>Then let's take a taxi together.</v>
      </c>
      <c r="C793" s="4" t="str">
        <f ca="1">IFERROR(__xludf.DUMMYFUNCTION("IFERROR(GOOGLETRANSLATE(B793,""en"",""ja""),)"),"それでは一緒にタクシーに乗りましょう。")</f>
        <v>それでは一緒にタクシーに乗りましょう。</v>
      </c>
      <c r="D793" s="4" t="str">
        <f ca="1">IFERROR(__xludf.DUMMYFUNCTION("IFERROR(GOOGLETRANSLATE(B793,""en"",""zh-TW""),)"),"那我們一起打車吧。")</f>
        <v>那我們一起打車吧。</v>
      </c>
      <c r="E793" s="4" t="str">
        <f ca="1">IFERROR(__xludf.DUMMYFUNCTION("IFERROR(GOOGLETRANSLATE(B793,""en"",""zh-CN""),)"),"那我们一起打车吧。")</f>
        <v>那我们一起打车吧。</v>
      </c>
    </row>
    <row r="794" spans="1:5">
      <c r="A794" s="3" t="s">
        <v>3757</v>
      </c>
      <c r="B794" s="4" t="str">
        <f ca="1">IFERROR(__xludf.DUMMYFUNCTION("IFERROR(GOOGLETRANSLATE(A794,""ko"",""en""),)"),"When should we have a birthday party?")</f>
        <v>When should we have a birthday party?</v>
      </c>
      <c r="C794" s="4" t="str">
        <f ca="1">IFERROR(__xludf.DUMMYFUNCTION("IFERROR(GOOGLETRANSLATE(B794,""en"",""ja""),)"),"誕生日パーティーはいつ開くのが良いでしょうか？")</f>
        <v>誕生日パーティーはいつ開くのが良いでしょうか？</v>
      </c>
      <c r="D794" s="4" t="str">
        <f ca="1">IFERROR(__xludf.DUMMYFUNCTION("IFERROR(GOOGLETRANSLATE(B794,""en"",""zh-TW""),)"),"我們應該什麼時候舉辦生日派對？")</f>
        <v>我們應該什麼時候舉辦生日派對？</v>
      </c>
      <c r="E794" s="4" t="str">
        <f ca="1">IFERROR(__xludf.DUMMYFUNCTION("IFERROR(GOOGLETRANSLATE(B794,""en"",""zh-CN""),)"),"我们应该什么时候举办生日派对？")</f>
        <v>我们应该什么时候举办生日派对？</v>
      </c>
    </row>
    <row r="795" spans="1:5">
      <c r="A795" s="3" t="s">
        <v>3763</v>
      </c>
      <c r="B795" s="4" t="str">
        <f ca="1">IFERROR(__xludf.DUMMYFUNCTION("IFERROR(GOOGLETRANSLATE(A795,""ko"",""en""),)"),"I'm doing it this weekend.")</f>
        <v>I'm doing it this weekend.</v>
      </c>
      <c r="C795" s="4" t="str">
        <f ca="1">IFERROR(__xludf.DUMMYFUNCTION("IFERROR(GOOGLETRANSLATE(B795,""en"",""ja""),)"),"今週末にやります。")</f>
        <v>今週末にやります。</v>
      </c>
      <c r="D795" s="4" t="str">
        <f ca="1">IFERROR(__xludf.DUMMYFUNCTION("IFERROR(GOOGLETRANSLATE(B795,""en"",""zh-TW""),)"),"我這週末就做。")</f>
        <v>我這週末就做。</v>
      </c>
      <c r="E795" s="4" t="str">
        <f ca="1">IFERROR(__xludf.DUMMYFUNCTION("IFERROR(GOOGLETRANSLATE(B795,""en"",""zh-CN""),)"),"我这周末就做。")</f>
        <v>我这周末就做。</v>
      </c>
    </row>
    <row r="796" spans="1:5">
      <c r="A796" s="3" t="s">
        <v>3768</v>
      </c>
      <c r="B796" s="4" t="str">
        <f ca="1">IFERROR(__xludf.DUMMYFUNCTION("IFERROR(GOOGLETRANSLATE(A796,""ko"",""en""),)"),"What time should we do it?")</f>
        <v>What time should we do it?</v>
      </c>
      <c r="C796" s="4" t="str">
        <f ca="1">IFERROR(__xludf.DUMMYFUNCTION("IFERROR(GOOGLETRANSLATE(B796,""en"",""ja""),)"),"何時にやればいいですか？")</f>
        <v>何時にやればいいですか？</v>
      </c>
      <c r="D796" s="4" t="str">
        <f ca="1">IFERROR(__xludf.DUMMYFUNCTION("IFERROR(GOOGLETRANSLATE(B796,""en"",""zh-TW""),)"),"我們應該什麼時候做？")</f>
        <v>我們應該什麼時候做？</v>
      </c>
      <c r="E796" s="4" t="str">
        <f ca="1">IFERROR(__xludf.DUMMYFUNCTION("IFERROR(GOOGLETRANSLATE(B796,""en"",""zh-CN""),)"),"我们应该什么时候做？")</f>
        <v>我们应该什么时候做？</v>
      </c>
    </row>
    <row r="797" spans="1:5">
      <c r="A797" s="3" t="s">
        <v>3773</v>
      </c>
      <c r="B797" s="4" t="str">
        <f ca="1">IFERROR(__xludf.DUMMYFUNCTION("IFERROR(GOOGLETRANSLATE(A797,""ko"",""en""),)"),"It's at 6 PM.")</f>
        <v>It's at 6 PM.</v>
      </c>
      <c r="C797" s="4" t="str">
        <f ca="1">IFERROR(__xludf.DUMMYFUNCTION("IFERROR(GOOGLETRANSLATE(B797,""en"",""ja""),)"),"午後6時です。")</f>
        <v>午後6時です。</v>
      </c>
      <c r="D797" s="4" t="str">
        <f ca="1">IFERROR(__xludf.DUMMYFUNCTION("IFERROR(GOOGLETRANSLATE(B797,""en"",""zh-TW""),)"),"現在是下午6點。")</f>
        <v>現在是下午6點。</v>
      </c>
      <c r="E797" s="4" t="str">
        <f ca="1">IFERROR(__xludf.DUMMYFUNCTION("IFERROR(GOOGLETRANSLATE(B797,""en"",""zh-CN""),)"),"现在是下午6点。")</f>
        <v>现在是下午6点。</v>
      </c>
    </row>
    <row r="798" spans="1:5">
      <c r="A798" s="3" t="s">
        <v>3778</v>
      </c>
      <c r="B798" s="4" t="str">
        <f ca="1">IFERROR(__xludf.DUMMYFUNCTION("IFERROR(GOOGLETRANSLATE(A798,""ko"",""en""),)"),"Where should we have the birthday party?")</f>
        <v>Where should we have the birthday party?</v>
      </c>
      <c r="C798" s="4" t="str">
        <f ca="1">IFERROR(__xludf.DUMMYFUNCTION("IFERROR(GOOGLETRANSLATE(B798,""en"",""ja""),)"),"誕生日パーティーはどこで開催しましょうか？")</f>
        <v>誕生日パーティーはどこで開催しましょうか？</v>
      </c>
      <c r="D798" s="4" t="str">
        <f ca="1">IFERROR(__xludf.DUMMYFUNCTION("IFERROR(GOOGLETRANSLATE(B798,""en"",""zh-TW""),)"),"我們應該在哪裡舉辦生日派對？")</f>
        <v>我們應該在哪裡舉辦生日派對？</v>
      </c>
      <c r="E798" s="4" t="str">
        <f ca="1">IFERROR(__xludf.DUMMYFUNCTION("IFERROR(GOOGLETRANSLATE(B798,""en"",""zh-CN""),)"),"我们应该在哪里举办生日派对？")</f>
        <v>我们应该在哪里举办生日派对？</v>
      </c>
    </row>
    <row r="799" spans="1:5">
      <c r="A799" s="5" t="s">
        <v>3785</v>
      </c>
      <c r="B799" s="4" t="str">
        <f ca="1">IFERROR(__xludf.DUMMYFUNCTION("IFERROR(GOOGLETRANSLATE(A799,""ko"",""en""),)"),"We are having a party at Happy Restaurant.")</f>
        <v>We are having a party at Happy Restaurant.</v>
      </c>
      <c r="C799" s="4" t="str">
        <f ca="1">IFERROR(__xludf.DUMMYFUNCTION("IFERROR(GOOGLETRANSLATE(B799,""en"",""ja""),)"),"私たちはハッピーレストランでパーティーを開きます。")</f>
        <v>私たちはハッピーレストランでパーティーを開きます。</v>
      </c>
      <c r="D799" s="4" t="str">
        <f ca="1">IFERROR(__xludf.DUMMYFUNCTION("IFERROR(GOOGLETRANSLATE(B799,""en"",""zh-TW""),)"),"我們將在快樂餐廳舉辦派對。")</f>
        <v>我們將在快樂餐廳舉辦派對。</v>
      </c>
      <c r="E799" s="4" t="str">
        <f ca="1">IFERROR(__xludf.DUMMYFUNCTION("IFERROR(GOOGLETRANSLATE(B799,""en"",""zh-CN""),)"),"我们将在快乐餐厅举办派对。")</f>
        <v>我们将在快乐餐厅举办派对。</v>
      </c>
    </row>
    <row r="800" spans="1:5">
      <c r="A800" s="3" t="s">
        <v>3791</v>
      </c>
      <c r="B800" s="4" t="str">
        <f ca="1">IFERROR(__xludf.DUMMYFUNCTION("IFERROR(GOOGLETRANSLATE(A800,""ko"",""en""),)"),"What should we eat?")</f>
        <v>What should we eat?</v>
      </c>
      <c r="C800" s="4" t="str">
        <f ca="1">IFERROR(__xludf.DUMMYFUNCTION("IFERROR(GOOGLETRANSLATE(B800,""en"",""ja""),)"),"何を食べればいいですか？")</f>
        <v>何を食べればいいですか？</v>
      </c>
      <c r="D800" s="4" t="str">
        <f ca="1">IFERROR(__xludf.DUMMYFUNCTION("IFERROR(GOOGLETRANSLATE(B800,""en"",""zh-TW""),)"),"我們該吃什麼？")</f>
        <v>我們該吃什麼？</v>
      </c>
      <c r="E800" s="4" t="str">
        <f ca="1">IFERROR(__xludf.DUMMYFUNCTION("IFERROR(GOOGLETRANSLATE(B800,""en"",""zh-CN""),)"),"我们应该吃什么？")</f>
        <v>我们应该吃什么？</v>
      </c>
    </row>
    <row r="801" spans="1:5">
      <c r="A801" s="3" t="s">
        <v>3797</v>
      </c>
      <c r="B801" s="4" t="str">
        <f ca="1">IFERROR(__xludf.DUMMYFUNCTION("IFERROR(GOOGLETRANSLATE(A801,""ko"",""en""),)"),"I'm eating bulgogi and bibimbap.")</f>
        <v>I'm eating bulgogi and bibimbap.</v>
      </c>
      <c r="C801" s="4" t="str">
        <f ca="1">IFERROR(__xludf.DUMMYFUNCTION("IFERROR(GOOGLETRANSLATE(B801,""en"",""ja""),)"),"プルコギとビビンバを食べています。")</f>
        <v>プルコギとビビンバを食べています。</v>
      </c>
      <c r="D801" s="4" t="str">
        <f ca="1">IFERROR(__xludf.DUMMYFUNCTION("IFERROR(GOOGLETRANSLATE(B801,""en"",""zh-TW""),)"),"我在吃烤肉和拌飯。")</f>
        <v>我在吃烤肉和拌飯。</v>
      </c>
      <c r="E801" s="4" t="str">
        <f ca="1">IFERROR(__xludf.DUMMYFUNCTION("IFERROR(GOOGLETRANSLATE(B801,""en"",""zh-CN""),)"),"我在吃烤肉和拌饭。")</f>
        <v>我在吃烤肉和拌饭。</v>
      </c>
    </row>
    <row r="802" spans="1:5">
      <c r="A802" s="3" t="s">
        <v>3800</v>
      </c>
      <c r="B802" s="4" t="str">
        <f ca="1">IFERROR(__xludf.DUMMYFUNCTION("IFERROR(GOOGLETRANSLATE(A802,""ko"",""en""),)"),"What gift should I buy?")</f>
        <v>What gift should I buy?</v>
      </c>
      <c r="C802" s="4" t="str">
        <f ca="1">IFERROR(__xludf.DUMMYFUNCTION("IFERROR(GOOGLETRANSLATE(B802,""en"",""ja""),)"),"どんな贈り物をすればいいでしょうか？")</f>
        <v>どんな贈り物をすればいいでしょうか？</v>
      </c>
      <c r="D802" s="4" t="str">
        <f ca="1">IFERROR(__xludf.DUMMYFUNCTION("IFERROR(GOOGLETRANSLATE(B802,""en"",""zh-TW""),)"),"我該買什麼禮物？")</f>
        <v>我該買什麼禮物？</v>
      </c>
      <c r="E802" s="4" t="str">
        <f ca="1">IFERROR(__xludf.DUMMYFUNCTION("IFERROR(GOOGLETRANSLATE(B802,""en"",""zh-CN""),)"),"我应该买什么礼物？")</f>
        <v>我应该买什么礼物？</v>
      </c>
    </row>
    <row r="803" spans="1:5">
      <c r="A803" s="3" t="s">
        <v>3804</v>
      </c>
      <c r="B803" s="4" t="str">
        <f ca="1">IFERROR(__xludf.DUMMYFUNCTION("IFERROR(GOOGLETRANSLATE(A803,""ko"",""en""),)"),"Buy sneakers.")</f>
        <v>Buy sneakers.</v>
      </c>
      <c r="C803" s="4" t="str">
        <f ca="1">IFERROR(__xludf.DUMMYFUNCTION("IFERROR(GOOGLETRANSLATE(B803,""en"",""ja""),)"),"スニーカーを買う。")</f>
        <v>スニーカーを買う。</v>
      </c>
      <c r="D803" s="4" t="str">
        <f ca="1">IFERROR(__xludf.DUMMYFUNCTION("IFERROR(GOOGLETRANSLATE(B803,""en"",""zh-TW""),)"),"買運動鞋。")</f>
        <v>買運動鞋。</v>
      </c>
      <c r="E803" s="4" t="str">
        <f ca="1">IFERROR(__xludf.DUMMYFUNCTION("IFERROR(GOOGLETRANSLATE(B803,""en"",""zh-CN""),)"),"买运动鞋。")</f>
        <v>买运动鞋。</v>
      </c>
    </row>
    <row r="804" spans="1:5">
      <c r="A804" s="3" t="s">
        <v>3809</v>
      </c>
      <c r="B804" s="4" t="str">
        <f ca="1">IFERROR(__xludf.DUMMYFUNCTION("IFERROR(GOOGLETRANSLATE(A804,""ko"",""en""),)"),"however")</f>
        <v>however</v>
      </c>
      <c r="C804" s="4" t="str">
        <f ca="1">IFERROR(__xludf.DUMMYFUNCTION("IFERROR(GOOGLETRANSLATE(B804,""en"",""ja""),)"),"しかし")</f>
        <v>しかし</v>
      </c>
      <c r="D804" s="4" t="str">
        <f ca="1">IFERROR(__xludf.DUMMYFUNCTION("IFERROR(GOOGLETRANSLATE(B804,""en"",""zh-TW""),)"),"然而")</f>
        <v>然而</v>
      </c>
      <c r="E804" s="4" t="str">
        <f ca="1">IFERROR(__xludf.DUMMYFUNCTION("IFERROR(GOOGLETRANSLATE(B804,""en"",""zh-CN""),)"),"然而")</f>
        <v>然而</v>
      </c>
    </row>
    <row r="805" spans="1:5">
      <c r="A805" s="3" t="s">
        <v>3815</v>
      </c>
      <c r="B805" s="4" t="str">
        <f ca="1">IFERROR(__xludf.DUMMYFUNCTION("IFERROR(GOOGLETRANSLATE(A805,""ko"",""en""),)"),"By the way, where is the Korean Art Museum?")</f>
        <v>By the way, where is the Korean Art Museum?</v>
      </c>
      <c r="C805" s="4" t="str">
        <f ca="1">IFERROR(__xludf.DUMMYFUNCTION("IFERROR(GOOGLETRANSLATE(B805,""en"",""ja""),)"),"ところで、韓国美術館はどこにあるんですか？")</f>
        <v>ところで、韓国美術館はどこにあるんですか？</v>
      </c>
      <c r="D805" s="4" t="str">
        <f ca="1">IFERROR(__xludf.DUMMYFUNCTION("IFERROR(GOOGLETRANSLATE(B805,""en"",""zh-TW""),)"),"對了，韓國美術館在哪裡？")</f>
        <v>對了，韓國美術館在哪裡？</v>
      </c>
      <c r="E805" s="4" t="str">
        <f ca="1">IFERROR(__xludf.DUMMYFUNCTION("IFERROR(GOOGLETRANSLATE(B805,""en"",""zh-CN""),)"),"对了，韩国美术馆在哪里？")</f>
        <v>对了，韩国美术馆在哪里？</v>
      </c>
    </row>
    <row r="806" spans="1:5">
      <c r="A806" s="5" t="s">
        <v>3821</v>
      </c>
      <c r="B806" s="4" t="str">
        <f ca="1">IFERROR(__xludf.DUMMYFUNCTION("IFERROR(GOOGLETRANSLATE(A806,""ko"",""en""),)"),"purpose")</f>
        <v>purpose</v>
      </c>
      <c r="C806" s="4" t="str">
        <f ca="1">IFERROR(__xludf.DUMMYFUNCTION("IFERROR(GOOGLETRANSLATE(B806,""en"",""ja""),)"),"目的")</f>
        <v>目的</v>
      </c>
      <c r="D806" s="4" t="str">
        <f ca="1">IFERROR(__xludf.DUMMYFUNCTION("IFERROR(GOOGLETRANSLATE(B806,""en"",""zh-TW""),)"),"目的")</f>
        <v>目的</v>
      </c>
      <c r="E806" s="4" t="str">
        <f ca="1">IFERROR(__xludf.DUMMYFUNCTION("IFERROR(GOOGLETRANSLATE(B806,""en"",""zh-CN""),)"),"目的")</f>
        <v>目的</v>
      </c>
    </row>
    <row r="807" spans="1:5">
      <c r="A807" s="5" t="s">
        <v>3829</v>
      </c>
      <c r="B807" s="4" t="str">
        <f ca="1">IFERROR(__xludf.DUMMYFUNCTION("IFERROR(GOOGLETRANSLATE(A807,""ko"",""en""),)"),"also")</f>
        <v>also</v>
      </c>
      <c r="C807" s="4" t="str">
        <f ca="1">IFERROR(__xludf.DUMMYFUNCTION("IFERROR(GOOGLETRANSLATE(B807,""en"",""ja""),)"),"また")</f>
        <v>また</v>
      </c>
      <c r="D807" s="4" t="str">
        <f ca="1">IFERROR(__xludf.DUMMYFUNCTION("IFERROR(GOOGLETRANSLATE(B807,""en"",""zh-TW""),)"),"也")</f>
        <v>也</v>
      </c>
      <c r="E807" s="4" t="str">
        <f ca="1">IFERROR(__xludf.DUMMYFUNCTION("IFERROR(GOOGLETRANSLATE(B807,""en"",""zh-CN""),)"),"还")</f>
        <v>还</v>
      </c>
    </row>
    <row r="808" spans="1:5">
      <c r="A808" s="5" t="s">
        <v>3833</v>
      </c>
      <c r="B808" s="4" t="str">
        <f ca="1">IFERROR(__xludf.DUMMYFUNCTION("IFERROR(GOOGLETRANSLATE(A808,""ko"",""en""),)"),"habit")</f>
        <v>habit</v>
      </c>
      <c r="C808" s="4" t="str">
        <f ca="1">IFERROR(__xludf.DUMMYFUNCTION("IFERROR(GOOGLETRANSLATE(B808,""en"",""ja""),)"),"癖")</f>
        <v>癖</v>
      </c>
      <c r="D808" s="4" t="str">
        <f ca="1">IFERROR(__xludf.DUMMYFUNCTION("IFERROR(GOOGLETRANSLATE(B808,""en"",""zh-TW""),)"),"習慣")</f>
        <v>習慣</v>
      </c>
      <c r="E808" s="4" t="str">
        <f ca="1">IFERROR(__xludf.DUMMYFUNCTION("IFERROR(GOOGLETRANSLATE(B808,""en"",""zh-CN""),)"),"习惯")</f>
        <v>习惯</v>
      </c>
    </row>
    <row r="809" spans="1:5">
      <c r="A809" s="5" t="s">
        <v>3839</v>
      </c>
      <c r="B809" s="4" t="str">
        <f ca="1">IFERROR(__xludf.DUMMYFUNCTION("IFERROR(GOOGLETRANSLATE(A809,""ko"",""en""),)"),"Reply")</f>
        <v>Reply</v>
      </c>
      <c r="C809" s="4" t="str">
        <f ca="1">IFERROR(__xludf.DUMMYFUNCTION("IFERROR(GOOGLETRANSLATE(B809,""en"",""ja""),)"),"返事")</f>
        <v>返事</v>
      </c>
      <c r="D809" s="4" t="str">
        <f ca="1">IFERROR(__xludf.DUMMYFUNCTION("IFERROR(GOOGLETRANSLATE(B809,""en"",""zh-TW""),)"),"回覆")</f>
        <v>回覆</v>
      </c>
      <c r="E809" s="4" t="str">
        <f ca="1">IFERROR(__xludf.DUMMYFUNCTION("IFERROR(GOOGLETRANSLATE(B809,""en"",""zh-CN""),)"),"回复")</f>
        <v>回复</v>
      </c>
    </row>
    <row r="810" spans="1:5">
      <c r="A810" s="3" t="s">
        <v>1215</v>
      </c>
      <c r="B810" s="4" t="str">
        <f ca="1">IFERROR(__xludf.DUMMYFUNCTION("IFERROR(GOOGLETRANSLATE(A810,""ko"",""en""),)"),"late")</f>
        <v>late</v>
      </c>
      <c r="C810" s="4" t="str">
        <f ca="1">IFERROR(__xludf.DUMMYFUNCTION("IFERROR(GOOGLETRANSLATE(B810,""en"",""ja""),)"),"遅い")</f>
        <v>遅い</v>
      </c>
      <c r="D810" s="4" t="str">
        <f ca="1">IFERROR(__xludf.DUMMYFUNCTION("IFERROR(GOOGLETRANSLATE(B810,""en"",""zh-TW""),)"),"晚的")</f>
        <v>晚的</v>
      </c>
      <c r="E810" s="4" t="str">
        <f ca="1">IFERROR(__xludf.DUMMYFUNCTION("IFERROR(GOOGLETRANSLATE(B810,""en"",""zh-CN""),)"),"晚的")</f>
        <v>晚的</v>
      </c>
    </row>
    <row r="811" spans="1:5">
      <c r="A811" s="5" t="s">
        <v>3845</v>
      </c>
      <c r="B811" s="4" t="str">
        <f ca="1">IFERROR(__xludf.DUMMYFUNCTION("IFERROR(GOOGLETRANSLATE(A811,""ko"",""en""),)"),"Thanks to")</f>
        <v>Thanks to</v>
      </c>
      <c r="C811" s="4" t="str">
        <f ca="1">IFERROR(__xludf.DUMMYFUNCTION("IFERROR(GOOGLETRANSLATE(B811,""en"",""ja""),)"),"ありがとう")</f>
        <v>ありがとう</v>
      </c>
      <c r="D811" s="4" t="str">
        <f ca="1">IFERROR(__xludf.DUMMYFUNCTION("IFERROR(GOOGLETRANSLATE(B811,""en"",""zh-TW""),)"),"由於")</f>
        <v>由於</v>
      </c>
      <c r="E811" s="4" t="str">
        <f ca="1">IFERROR(__xludf.DUMMYFUNCTION("IFERROR(GOOGLETRANSLATE(B811,""en"",""zh-CN""),)"),"由于")</f>
        <v>由于</v>
      </c>
    </row>
    <row r="812" spans="1:5">
      <c r="A812" s="3" t="s">
        <v>3851</v>
      </c>
      <c r="B812" s="4" t="str">
        <f ca="1">IFERROR(__xludf.DUMMYFUNCTION("IFERROR(GOOGLETRANSLATE(A812,""ko"",""en""),)"),"if")</f>
        <v>if</v>
      </c>
      <c r="C812" s="4" t="str">
        <f ca="1">IFERROR(__xludf.DUMMYFUNCTION("IFERROR(GOOGLETRANSLATE(B812,""en"",""ja""),)"),"もし")</f>
        <v>もし</v>
      </c>
      <c r="D812" s="4" t="str">
        <f ca="1">IFERROR(__xludf.DUMMYFUNCTION("IFERROR(GOOGLETRANSLATE(B812,""en"",""zh-TW""),)"),"如果")</f>
        <v>如果</v>
      </c>
      <c r="E812" s="4" t="str">
        <f ca="1">IFERROR(__xludf.DUMMYFUNCTION("IFERROR(GOOGLETRANSLATE(B812,""en"",""zh-CN""),)"),"如果")</f>
        <v>如果</v>
      </c>
    </row>
    <row r="813" spans="1:5">
      <c r="A813" s="5" t="s">
        <v>3856</v>
      </c>
      <c r="B813" s="4" t="str">
        <f ca="1">IFERROR(__xludf.DUMMYFUNCTION("IFERROR(GOOGLETRANSLATE(A813,""ko"",""en""),)"),"concentration")</f>
        <v>concentration</v>
      </c>
      <c r="C813" s="4" t="str">
        <f ca="1">IFERROR(__xludf.DUMMYFUNCTION("IFERROR(GOOGLETRANSLATE(B813,""en"",""ja""),)"),"集中")</f>
        <v>集中</v>
      </c>
      <c r="D813" s="4" t="str">
        <f ca="1">IFERROR(__xludf.DUMMYFUNCTION("IFERROR(GOOGLETRANSLATE(B813,""en"",""zh-TW""),)"),"專注")</f>
        <v>專注</v>
      </c>
      <c r="E813" s="4" t="str">
        <f ca="1">IFERROR(__xludf.DUMMYFUNCTION("IFERROR(GOOGLETRANSLATE(B813,""en"",""zh-CN""),)"),"专注")</f>
        <v>专注</v>
      </c>
    </row>
    <row r="814" spans="1:5">
      <c r="A814" s="3" t="s">
        <v>3861</v>
      </c>
      <c r="B814" s="4" t="str">
        <f ca="1">IFERROR(__xludf.DUMMYFUNCTION("IFERROR(GOOGLETRANSLATE(A814,""ko"",""en""),)"),"Each")</f>
        <v>Each</v>
      </c>
      <c r="C814" s="4" t="str">
        <f ca="1">IFERROR(__xludf.DUMMYFUNCTION("IFERROR(GOOGLETRANSLATE(B814,""en"",""ja""),)"),"それぞれ")</f>
        <v>それぞれ</v>
      </c>
      <c r="D814" s="4" t="str">
        <f ca="1">IFERROR(__xludf.DUMMYFUNCTION("IFERROR(GOOGLETRANSLATE(B814,""en"",""zh-TW""),)"),"每個")</f>
        <v>每個</v>
      </c>
      <c r="E814" s="4" t="str">
        <f ca="1">IFERROR(__xludf.DUMMYFUNCTION("IFERROR(GOOGLETRANSLATE(B814,""en"",""zh-CN""),)"),"每个")</f>
        <v>每个</v>
      </c>
    </row>
    <row r="815" spans="1:5">
      <c r="A815" s="3" t="s">
        <v>3867</v>
      </c>
      <c r="B815" s="4" t="str">
        <f ca="1">IFERROR(__xludf.DUMMYFUNCTION("IFERROR(GOOGLETRANSLATE(A815,""ko"",""en""),)"),"eating house")</f>
        <v>eating house</v>
      </c>
      <c r="C815" s="4" t="str">
        <f ca="1">IFERROR(__xludf.DUMMYFUNCTION("IFERROR(GOOGLETRANSLATE(B815,""en"",""ja""),)"),"飲食店")</f>
        <v>飲食店</v>
      </c>
      <c r="D815" s="4" t="str">
        <f ca="1">IFERROR(__xludf.DUMMYFUNCTION("IFERROR(GOOGLETRANSLATE(B815,""en"",""zh-TW""),)"),"餐廳")</f>
        <v>餐廳</v>
      </c>
      <c r="E815" s="4" t="str">
        <f ca="1">IFERROR(__xludf.DUMMYFUNCTION("IFERROR(GOOGLETRANSLATE(B815,""en"",""zh-CN""),)"),"餐馆")</f>
        <v>餐馆</v>
      </c>
    </row>
    <row r="816" spans="1:5">
      <c r="A816" s="5" t="s">
        <v>3872</v>
      </c>
      <c r="B816" s="4" t="str">
        <f ca="1">IFERROR(__xludf.DUMMYFUNCTION("IFERROR(GOOGLETRANSLATE(A816,""ko"",""en""),)"),"suddenly")</f>
        <v>suddenly</v>
      </c>
      <c r="C816" s="4" t="str">
        <f ca="1">IFERROR(__xludf.DUMMYFUNCTION("IFERROR(GOOGLETRANSLATE(B816,""en"",""ja""),)"),"突然")</f>
        <v>突然</v>
      </c>
      <c r="D816" s="4" t="str">
        <f ca="1">IFERROR(__xludf.DUMMYFUNCTION("IFERROR(GOOGLETRANSLATE(B816,""en"",""zh-TW""),)"),"突然")</f>
        <v>突然</v>
      </c>
      <c r="E816" s="4" t="str">
        <f ca="1">IFERROR(__xludf.DUMMYFUNCTION("IFERROR(GOOGLETRANSLATE(B816,""en"",""zh-CN""),)"),"突然")</f>
        <v>突然</v>
      </c>
    </row>
    <row r="817" spans="1:5">
      <c r="A817" s="5" t="s">
        <v>3876</v>
      </c>
      <c r="B817" s="4" t="str">
        <f ca="1">IFERROR(__xludf.DUMMYFUNCTION("IFERROR(GOOGLETRANSLATE(A817,""ko"",""en""),)"),"voice")</f>
        <v>voice</v>
      </c>
      <c r="C817" s="4" t="str">
        <f ca="1">IFERROR(__xludf.DUMMYFUNCTION("IFERROR(GOOGLETRANSLATE(B817,""en"",""ja""),)"),"声")</f>
        <v>声</v>
      </c>
      <c r="D817" s="4" t="str">
        <f ca="1">IFERROR(__xludf.DUMMYFUNCTION("IFERROR(GOOGLETRANSLATE(B817,""en"",""zh-TW""),)"),"嗓音")</f>
        <v>嗓音</v>
      </c>
      <c r="E817" s="4" t="str">
        <f ca="1">IFERROR(__xludf.DUMMYFUNCTION("IFERROR(GOOGLETRANSLATE(B817,""en"",""zh-CN""),)"),"嗓音")</f>
        <v>嗓音</v>
      </c>
    </row>
    <row r="818" spans="1:5">
      <c r="A818" s="3" t="s">
        <v>3882</v>
      </c>
      <c r="B818" s="4" t="s">
        <v>3883</v>
      </c>
      <c r="C818" s="4" t="str">
        <f ca="1">IFERROR(__xludf.DUMMYFUNCTION("IFERROR(GOOGLETRANSLATE(B818,""en"",""ja""),)"),"ぜひ我が家にお越しください。")</f>
        <v>ぜひ我が家にお越しください。</v>
      </c>
      <c r="D818" s="4" t="str">
        <f ca="1">IFERROR(__xludf.DUMMYFUNCTION("IFERROR(GOOGLETRANSLATE(B818,""en"",""zh-TW""),)"),"請務必來我家。")</f>
        <v>請務必來我家。</v>
      </c>
      <c r="E818" s="4" t="str">
        <f ca="1">IFERROR(__xludf.DUMMYFUNCTION("IFERROR(GOOGLETRANSLATE(B818,""en"",""zh-CN""),)"),"请务必来我家。")</f>
        <v>请务必来我家。</v>
      </c>
    </row>
    <row r="819" spans="1:5">
      <c r="A819" s="5" t="s">
        <v>3889</v>
      </c>
      <c r="B819" s="4" t="s">
        <v>3890</v>
      </c>
      <c r="C819" s="4" t="str">
        <f ca="1">IFERROR(__xludf.DUMMYFUNCTION("IFERROR(GOOGLETRANSLATE(B819,""en"",""ja""),)"),"こんにちは、ジュノ。5月1日に結婚するんです。")</f>
        <v>こんにちは、ジュノ。5月1日に結婚するんです。</v>
      </c>
      <c r="D819" s="4" t="str">
        <f ca="1">IFERROR(__xludf.DUMMYFUNCTION("IFERROR(GOOGLETRANSLATE(B819,""en"",""zh-TW""),)"),"你好，朱諾。我將於5月1日結婚。")</f>
        <v>你好，朱諾。我將於5月1日結婚。</v>
      </c>
      <c r="E819" s="4" t="str">
        <f ca="1">IFERROR(__xludf.DUMMYFUNCTION("IFERROR(GOOGLETRANSLATE(B819,""en"",""zh-CN""),)"),"你好，朱诺。我将于5月1日结婚。")</f>
        <v>你好，朱诺。我将于5月1日结婚。</v>
      </c>
    </row>
    <row r="820" spans="1:5">
      <c r="A820" s="3" t="s">
        <v>3896</v>
      </c>
      <c r="B820" s="4" t="str">
        <f ca="1">IFERROR(__xludf.DUMMYFUNCTION("IFERROR(GOOGLETRANSLATE(A820,""ko"",""en""),)"),"Wedding Invitation")</f>
        <v>Wedding Invitation</v>
      </c>
      <c r="C820" s="4" t="str">
        <f ca="1">IFERROR(__xludf.DUMMYFUNCTION("IFERROR(GOOGLETRANSLATE(B820,""en"",""ja""),)"),"結婚式の招待状")</f>
        <v>結婚式の招待状</v>
      </c>
      <c r="D820" s="4" t="str">
        <f ca="1">IFERROR(__xludf.DUMMYFUNCTION("IFERROR(GOOGLETRANSLATE(B820,""en"",""zh-TW""),)"),"婚禮邀請函")</f>
        <v>婚禮邀請函</v>
      </c>
      <c r="E820" s="4" t="str">
        <f ca="1">IFERROR(__xludf.DUMMYFUNCTION("IFERROR(GOOGLETRANSLATE(B820,""en"",""zh-CN""),)"),"婚礼邀请函")</f>
        <v>婚礼邀请函</v>
      </c>
    </row>
    <row r="821" spans="1:5">
      <c r="A821" s="3" t="s">
        <v>3901</v>
      </c>
      <c r="B821" s="4" t="str">
        <f ca="1">IFERROR(__xludf.DUMMYFUNCTION("IFERROR(GOOGLETRANSLATE(A821,""ko"",""en""),)"),"We are going to have our wedding at the Sejong Hotel.")</f>
        <v>We are going to have our wedding at the Sejong Hotel.</v>
      </c>
      <c r="C821" s="4" t="str">
        <f ca="1">IFERROR(__xludf.DUMMYFUNCTION("IFERROR(GOOGLETRANSLATE(B821,""en"",""ja""),)"),"私たちは世宗ホテルで結婚式を挙げる予定です。")</f>
        <v>私たちは世宗ホテルで結婚式を挙げる予定です。</v>
      </c>
      <c r="D821" s="4" t="str">
        <f ca="1">IFERROR(__xludf.DUMMYFUNCTION("IFERROR(GOOGLETRANSLATE(B821,""en"",""zh-TW""),)"),"我們的婚禮將在世宗酒店舉行。")</f>
        <v>我們的婚禮將在世宗酒店舉行。</v>
      </c>
      <c r="E821" s="4" t="str">
        <f ca="1">IFERROR(__xludf.DUMMYFUNCTION("IFERROR(GOOGLETRANSLATE(B821,""en"",""zh-CN""),)"),"我们的婚礼将在世宗酒店举行。")</f>
        <v>我们的婚礼将在世宗酒店举行。</v>
      </c>
    </row>
    <row r="822" spans="1:5">
      <c r="A822" s="3" t="s">
        <v>3906</v>
      </c>
      <c r="B822" s="4" t="str">
        <f ca="1">IFERROR(__xludf.DUMMYFUNCTION("IFERROR(GOOGLETRANSLATE(A822,""ko"",""en""),)"),"Sejong Hotel is near Sejong Institute.")</f>
        <v>Sejong Hotel is near Sejong Institute.</v>
      </c>
      <c r="C822" s="4" t="str">
        <f ca="1">IFERROR(__xludf.DUMMYFUNCTION("IFERROR(GOOGLETRANSLATE(B822,""en"",""ja""),)"),"Sejong Hotelは世宗研究院の近くにあります。")</f>
        <v>Sejong Hotelは世宗研究院の近くにあります。</v>
      </c>
      <c r="D822" s="4" t="str">
        <f ca="1">IFERROR(__xludf.DUMMYFUNCTION("IFERROR(GOOGLETRANSLATE(B822,""en"",""zh-TW""),)"),"世宗酒店靠近世宗學院。")</f>
        <v>世宗酒店靠近世宗學院。</v>
      </c>
      <c r="E822" s="4" t="str">
        <f ca="1">IFERROR(__xludf.DUMMYFUNCTION("IFERROR(GOOGLETRANSLATE(B822,""en"",""zh-CN""),)"),"世宗酒店靠近世宗学院。")</f>
        <v>世宗酒店靠近世宗学院。</v>
      </c>
    </row>
    <row r="823" spans="1:5">
      <c r="A823" s="3" t="s">
        <v>3910</v>
      </c>
      <c r="B823" s="4" t="str">
        <f ca="1">IFERROR(__xludf.DUMMYFUNCTION("IFERROR(GOOGLETRANSLATE(A823,""ko"",""en""),)"),"Go straight from Sejong Institute.")</f>
        <v>Go straight from Sejong Institute.</v>
      </c>
      <c r="C823" s="4" t="str">
        <f ca="1">IFERROR(__xludf.DUMMYFUNCTION("IFERROR(GOOGLETRANSLATE(B823,""en"",""ja""),)"),"世宗学院から直接行ってください。")</f>
        <v>世宗学院から直接行ってください。</v>
      </c>
      <c r="D823" s="4" t="str">
        <f ca="1">IFERROR(__xludf.DUMMYFUNCTION("IFERROR(GOOGLETRANSLATE(B823,""en"",""zh-TW""),)"),"從世宗研究所直接出發。")</f>
        <v>從世宗研究所直接出發。</v>
      </c>
      <c r="E823" s="4" t="str">
        <f ca="1">IFERROR(__xludf.DUMMYFUNCTION("IFERROR(GOOGLETRANSLATE(B823,""en"",""zh-CN""),)"),"从世宗研究所直接出发。")</f>
        <v>从世宗研究所直接出发。</v>
      </c>
    </row>
    <row r="824" spans="1:5">
      <c r="A824" s="3" t="s">
        <v>3915</v>
      </c>
      <c r="B824" s="4" t="str">
        <f ca="1">IFERROR(__xludf.DUMMYFUNCTION("IFERROR(GOOGLETRANSLATE(A824,""ko"",""en""),)"),"And go to the right.")</f>
        <v>And go to the right.</v>
      </c>
      <c r="C824" s="4" t="str">
        <f ca="1">IFERROR(__xludf.DUMMYFUNCTION("IFERROR(GOOGLETRANSLATE(B824,""en"",""ja""),)"),"そして右へ進んでください。")</f>
        <v>そして右へ進んでください。</v>
      </c>
      <c r="D824" s="4" t="str">
        <f ca="1">IFERROR(__xludf.DUMMYFUNCTION("IFERROR(GOOGLETRANSLATE(B824,""en"",""zh-TW""),)"),"然後向右走。")</f>
        <v>然後向右走。</v>
      </c>
      <c r="E824" s="4" t="str">
        <f ca="1">IFERROR(__xludf.DUMMYFUNCTION("IFERROR(GOOGLETRANSLATE(B824,""en"",""zh-CN""),)"),"然后向右走。")</f>
        <v>然后向右走。</v>
      </c>
    </row>
    <row r="825" spans="1:5">
      <c r="A825" s="3" t="s">
        <v>3921</v>
      </c>
      <c r="B825" s="4" t="str">
        <f ca="1">IFERROR(__xludf.DUMMYFUNCTION("IFERROR(GOOGLETRANSLATE(A825,""ko"",""en""),)"),"There is a police station there.")</f>
        <v>There is a police station there.</v>
      </c>
      <c r="C825" s="4" t="str">
        <f ca="1">IFERROR(__xludf.DUMMYFUNCTION("IFERROR(GOOGLETRANSLATE(B825,""en"",""ja""),)"),"そこには警察署がある。")</f>
        <v>そこには警察署がある。</v>
      </c>
      <c r="D825" s="4" t="str">
        <f ca="1">IFERROR(__xludf.DUMMYFUNCTION("IFERROR(GOOGLETRANSLATE(B825,""en"",""zh-TW""),)"),"那裡有個警察局。")</f>
        <v>那裡有個警察局。</v>
      </c>
      <c r="E825" s="4" t="str">
        <f ca="1">IFERROR(__xludf.DUMMYFUNCTION("IFERROR(GOOGLETRANSLATE(B825,""en"",""zh-CN""),)"),"那里有个警察局。")</f>
        <v>那里有个警察局。</v>
      </c>
    </row>
    <row r="826" spans="1:5">
      <c r="A826" s="3" t="s">
        <v>3925</v>
      </c>
      <c r="B826" s="4" t="str">
        <f ca="1">IFERROR(__xludf.DUMMYFUNCTION("IFERROR(GOOGLETRANSLATE(A826,""ko"",""en""),)"),"There is a Sejong Hotel next to the police station.")</f>
        <v>There is a Sejong Hotel next to the police station.</v>
      </c>
      <c r="C826" s="4" t="str">
        <f ca="1">IFERROR(__xludf.DUMMYFUNCTION("IFERROR(GOOGLETRANSLATE(B826,""en"",""ja""),)"),"警察署の隣には世宗ホテルがあります。")</f>
        <v>警察署の隣には世宗ホテルがあります。</v>
      </c>
      <c r="D826" s="4" t="str">
        <f ca="1">IFERROR(__xludf.DUMMYFUNCTION("IFERROR(GOOGLETRANSLATE(B826,""en"",""zh-TW""),)"),"警察局旁邊有世宗酒店。")</f>
        <v>警察局旁邊有世宗酒店。</v>
      </c>
      <c r="E826" s="4" t="str">
        <f ca="1">IFERROR(__xludf.DUMMYFUNCTION("IFERROR(GOOGLETRANSLATE(B826,""en"",""zh-CN""),)"),"警察局旁边有一家世宗酒店。")</f>
        <v>警察局旁边有一家世宗酒店。</v>
      </c>
    </row>
    <row r="827" spans="1:5">
      <c r="A827" s="3" t="s">
        <v>3930</v>
      </c>
      <c r="B827" s="4" t="str">
        <f ca="1">IFERROR(__xludf.DUMMYFUNCTION("IFERROR(GOOGLETRANSLATE(A827,""ko"",""en""),)"),"Please make sure to come to my wedding.")</f>
        <v>Please make sure to come to my wedding.</v>
      </c>
      <c r="C827" s="4" t="str">
        <f ca="1">IFERROR(__xludf.DUMMYFUNCTION("IFERROR(GOOGLETRANSLATE(B827,""en"",""ja""),)"),"私の結婚式にはぜひ来てください。")</f>
        <v>私の結婚式にはぜひ来てください。</v>
      </c>
      <c r="D827" s="4" t="str">
        <f ca="1">IFERROR(__xludf.DUMMYFUNCTION("IFERROR(GOOGLETRANSLATE(B827,""en"",""zh-TW""),)"),"請務必來參加我的婚禮。")</f>
        <v>請務必來參加我的婚禮。</v>
      </c>
      <c r="E827" s="4" t="str">
        <f ca="1">IFERROR(__xludf.DUMMYFUNCTION("IFERROR(GOOGLETRANSLATE(B827,""en"",""zh-CN""),)"),"请务必来参加我的婚礼。")</f>
        <v>请务必来参加我的婚礼。</v>
      </c>
    </row>
    <row r="828" spans="1:5">
      <c r="A828" s="3" t="s">
        <v>3934</v>
      </c>
      <c r="B828" s="4" t="str">
        <f ca="1">IFERROR(__xludf.DUMMYFUNCTION("IFERROR(GOOGLETRANSLATE(A828,""ko"",""en""),)"),"Hello, Anna. I am getting married on February 14th.")</f>
        <v>Hello, Anna. I am getting married on February 14th.</v>
      </c>
      <c r="C828" s="4" t="str">
        <f ca="1">IFERROR(__xludf.DUMMYFUNCTION("IFERROR(GOOGLETRANSLATE(B828,""en"",""ja""),)"),"こんにちは、アンナさん。2月14日に結婚式を挙げます。")</f>
        <v>こんにちは、アンナさん。2月14日に結婚式を挙げます。</v>
      </c>
      <c r="D828" s="4" t="str">
        <f ca="1">IFERROR(__xludf.DUMMYFUNCTION("IFERROR(GOOGLETRANSLATE(B828,""en"",""zh-TW""),)"),"你好，安娜。我將於2月14日結婚。")</f>
        <v>你好，安娜。我將於2月14日結婚。</v>
      </c>
      <c r="E828" s="4" t="str">
        <f ca="1">IFERROR(__xludf.DUMMYFUNCTION("IFERROR(GOOGLETRANSLATE(B828,""en"",""zh-CN""),)"),"你好，安娜。我将于2月14日结婚。")</f>
        <v>你好，安娜。我将于2月14日结婚。</v>
      </c>
    </row>
    <row r="829" spans="1:5">
      <c r="A829" s="3" t="s">
        <v>3940</v>
      </c>
      <c r="B829" s="4" t="str">
        <f ca="1">IFERROR(__xludf.DUMMYFUNCTION("IFERROR(GOOGLETRANSLATE(A829,""ko"",""en""),)"),"I'm going to have my wedding at a Korean hotel.")</f>
        <v>I'm going to have my wedding at a Korean hotel.</v>
      </c>
      <c r="C829" s="4" t="str">
        <f ca="1">IFERROR(__xludf.DUMMYFUNCTION("IFERROR(GOOGLETRANSLATE(B829,""en"",""ja""),)"),"私は韓国のホテルで結婚式を挙げる予定です。")</f>
        <v>私は韓国のホテルで結婚式を挙げる予定です。</v>
      </c>
      <c r="D829" s="4" t="str">
        <f ca="1">IFERROR(__xludf.DUMMYFUNCTION("IFERROR(GOOGLETRANSLATE(B829,""en"",""zh-TW""),)"),"我打算在韓國一家酒店舉行婚禮。")</f>
        <v>我打算在韓國一家酒店舉行婚禮。</v>
      </c>
      <c r="E829" s="4" t="str">
        <f ca="1">IFERROR(__xludf.DUMMYFUNCTION("IFERROR(GOOGLETRANSLATE(B829,""en"",""zh-CN""),)"),"我打算在韩国一家酒店举行婚礼。")</f>
        <v>我打算在韩国一家酒店举行婚礼。</v>
      </c>
    </row>
    <row r="830" spans="1:5">
      <c r="A830" s="3" t="s">
        <v>3947</v>
      </c>
      <c r="B830" s="4" t="str">
        <f ca="1">IFERROR(__xludf.DUMMYFUNCTION("IFERROR(GOOGLETRANSLATE(A830,""ko"",""en""),)"),"The Korean Hotel is near Sejong Shopping Mall.")</f>
        <v>The Korean Hotel is near Sejong Shopping Mall.</v>
      </c>
      <c r="C830" s="4" t="str">
        <f ca="1">IFERROR(__xludf.DUMMYFUNCTION("IFERROR(GOOGLETRANSLATE(B830,""en"",""ja""),)"),"韓国ホテルは世宗ショッピングモールの近くにあります。")</f>
        <v>韓国ホテルは世宗ショッピングモールの近くにあります。</v>
      </c>
      <c r="D830" s="4" t="str">
        <f ca="1">IFERROR(__xludf.DUMMYFUNCTION("IFERROR(GOOGLETRANSLATE(B830,""en"",""zh-TW""),)"),"這家韓國飯店靠近世宗購物中心。")</f>
        <v>這家韓國飯店靠近世宗購物中心。</v>
      </c>
      <c r="E830" s="4" t="str">
        <f ca="1">IFERROR(__xludf.DUMMYFUNCTION("IFERROR(GOOGLETRANSLATE(B830,""en"",""zh-CN""),)"),"这家韩国酒店靠近世宗购物中心。")</f>
        <v>这家韩国酒店靠近世宗购物中心。</v>
      </c>
    </row>
    <row r="831" spans="1:5">
      <c r="A831" s="3" t="s">
        <v>3952</v>
      </c>
      <c r="B831" s="4" t="str">
        <f ca="1">IFERROR(__xludf.DUMMYFUNCTION("IFERROR(GOOGLETRANSLATE(A831,""ko"",""en""),)"),"Go straight from Sejong Shopping Mall.")</f>
        <v>Go straight from Sejong Shopping Mall.</v>
      </c>
      <c r="C831" s="4" t="str">
        <f ca="1">IFERROR(__xludf.DUMMYFUNCTION("IFERROR(GOOGLETRANSLATE(B831,""en"",""ja""),)"),"世宗ショッピングモールからまっすぐ進んでください。")</f>
        <v>世宗ショッピングモールからまっすぐ進んでください。</v>
      </c>
      <c r="D831" s="4" t="str">
        <f ca="1">IFERROR(__xludf.DUMMYFUNCTION("IFERROR(GOOGLETRANSLATE(B831,""en"",""zh-TW""),)"),"從世宗購物中心直接走。")</f>
        <v>從世宗購物中心直接走。</v>
      </c>
      <c r="E831" s="4" t="str">
        <f ca="1">IFERROR(__xludf.DUMMYFUNCTION("IFERROR(GOOGLETRANSLATE(B831,""en"",""zh-CN""),)"),"从世宗购物中心直接走。")</f>
        <v>从世宗购物中心直接走。</v>
      </c>
    </row>
    <row r="832" spans="1:5">
      <c r="A832" s="3" t="s">
        <v>3957</v>
      </c>
      <c r="B832" s="4" t="str">
        <f ca="1">IFERROR(__xludf.DUMMYFUNCTION("IFERROR(GOOGLETRANSLATE(A832,""ko"",""en""),)"),"And go to the left.")</f>
        <v>And go to the left.</v>
      </c>
      <c r="C832" s="4" t="str">
        <f ca="1">IFERROR(__xludf.DUMMYFUNCTION("IFERROR(GOOGLETRANSLATE(B832,""en"",""ja""),)"),"そして左へ進んでください。")</f>
        <v>そして左へ進んでください。</v>
      </c>
      <c r="D832" s="4" t="str">
        <f ca="1">IFERROR(__xludf.DUMMYFUNCTION("IFERROR(GOOGLETRANSLATE(B832,""en"",""zh-TW""),)"),"然後向左走。")</f>
        <v>然後向左走。</v>
      </c>
      <c r="E832" s="4" t="str">
        <f ca="1">IFERROR(__xludf.DUMMYFUNCTION("IFERROR(GOOGLETRANSLATE(B832,""en"",""zh-CN""),)"),"然后向左走。")</f>
        <v>然后向左走。</v>
      </c>
    </row>
    <row r="833" spans="1:5">
      <c r="A833" s="3" t="s">
        <v>3961</v>
      </c>
      <c r="B833" s="4" t="str">
        <f ca="1">IFERROR(__xludf.DUMMYFUNCTION("IFERROR(GOOGLETRANSLATE(A833,""ko"",""en""),)"),"There is a park there.")</f>
        <v>There is a park there.</v>
      </c>
      <c r="C833" s="4" t="str">
        <f ca="1">IFERROR(__xludf.DUMMYFUNCTION("IFERROR(GOOGLETRANSLATE(B833,""en"",""ja""),)"),"そこには公園があります。")</f>
        <v>そこには公園があります。</v>
      </c>
      <c r="D833" s="4" t="str">
        <f ca="1">IFERROR(__xludf.DUMMYFUNCTION("IFERROR(GOOGLETRANSLATE(B833,""en"",""zh-TW""),)"),"那裡有個公園。")</f>
        <v>那裡有個公園。</v>
      </c>
      <c r="E833" s="4" t="str">
        <f ca="1">IFERROR(__xludf.DUMMYFUNCTION("IFERROR(GOOGLETRANSLATE(B833,""en"",""zh-CN""),)"),"那里有个公园。")</f>
        <v>那里有个公园。</v>
      </c>
    </row>
    <row r="834" spans="1:5">
      <c r="A834" s="3" t="s">
        <v>3966</v>
      </c>
      <c r="B834" s="4" t="str">
        <f ca="1">IFERROR(__xludf.DUMMYFUNCTION("IFERROR(GOOGLETRANSLATE(A834,""ko"",""en""),)"),"There is a Korean hotel next to the park.")</f>
        <v>There is a Korean hotel next to the park.</v>
      </c>
      <c r="C834" s="4" t="str">
        <f ca="1">IFERROR(__xludf.DUMMYFUNCTION("IFERROR(GOOGLETRANSLATE(B834,""en"",""ja""),)"),"公園の隣には韓国のホテルがあります。")</f>
        <v>公園の隣には韓国のホテルがあります。</v>
      </c>
      <c r="D834" s="4" t="str">
        <f ca="1">IFERROR(__xludf.DUMMYFUNCTION("IFERROR(GOOGLETRANSLATE(B834,""en"",""zh-TW""),)"),"公園旁邊有一家韓國飯店。")</f>
        <v>公園旁邊有一家韓國飯店。</v>
      </c>
      <c r="E834" s="4" t="str">
        <f ca="1">IFERROR(__xludf.DUMMYFUNCTION("IFERROR(GOOGLETRANSLATE(B834,""en"",""zh-CN""),)"),"公园旁边有一家韩国酒店。")</f>
        <v>公园旁边有一家韩国酒店。</v>
      </c>
    </row>
    <row r="835" spans="1:5">
      <c r="A835" s="3" t="s">
        <v>3930</v>
      </c>
      <c r="B835" s="4" t="str">
        <f ca="1">IFERROR(__xludf.DUMMYFUNCTION("IFERROR(GOOGLETRANSLATE(A835,""ko"",""en""),)"),"Please make sure to come to my wedding.")</f>
        <v>Please make sure to come to my wedding.</v>
      </c>
      <c r="C835" s="4" t="str">
        <f ca="1">IFERROR(__xludf.DUMMYFUNCTION("IFERROR(GOOGLETRANSLATE(B835,""en"",""ja""),)"),"私の結婚式にはぜひ来てください。")</f>
        <v>私の結婚式にはぜひ来てください。</v>
      </c>
      <c r="D835" s="4" t="str">
        <f ca="1">IFERROR(__xludf.DUMMYFUNCTION("IFERROR(GOOGLETRANSLATE(B835,""en"",""zh-TW""),)"),"請務必來參加我的婚禮。")</f>
        <v>請務必來參加我的婚禮。</v>
      </c>
      <c r="E835" s="4" t="str">
        <f ca="1">IFERROR(__xludf.DUMMYFUNCTION("IFERROR(GOOGLETRANSLATE(B835,""en"",""zh-CN""),)"),"请务必来参加我的婚礼。")</f>
        <v>请务必来参加我的婚礼。</v>
      </c>
    </row>
    <row r="836" spans="1:5">
      <c r="A836" s="3" t="s">
        <v>3976</v>
      </c>
      <c r="B836" s="4" t="str">
        <f ca="1">IFERROR(__xludf.DUMMYFUNCTION("IFERROR(GOOGLETRANSLATE(A836,""ko"",""en""),)"),"Transfer once at City Hall Station.")</f>
        <v>Transfer once at City Hall Station.</v>
      </c>
      <c r="C836" s="4" t="str">
        <f ca="1">IFERROR(__xludf.DUMMYFUNCTION("IFERROR(GOOGLETRANSLATE(B836,""en"",""ja""),)"),"市庁舎駅で一度乗り換えてください。")</f>
        <v>市庁舎駅で一度乗り換えてください。</v>
      </c>
      <c r="D836" s="4" t="str">
        <f ca="1">IFERROR(__xludf.DUMMYFUNCTION("IFERROR(GOOGLETRANSLATE(B836,""en"",""zh-TW""),)"),"在市政廳車站換乘一次。")</f>
        <v>在市政廳車站換乘一次。</v>
      </c>
      <c r="E836" s="4" t="str">
        <f ca="1">IFERROR(__xludf.DUMMYFUNCTION("IFERROR(GOOGLETRANSLATE(B836,""en"",""zh-CN""),)"),"在市政厅站换乘一次。")</f>
        <v>在市政厅站换乘一次。</v>
      </c>
    </row>
    <row r="837" spans="1:5">
      <c r="A837" s="3" t="s">
        <v>3982</v>
      </c>
      <c r="B837" s="4" t="str">
        <f ca="1">IFERROR(__xludf.DUMMYFUNCTION("IFERROR(GOOGLETRANSLATE(A837,""ko"",""en""),)"),"I go to the library on Saturdays.")</f>
        <v>I go to the library on Saturdays.</v>
      </c>
      <c r="C837" s="4" t="str">
        <f ca="1">IFERROR(__xludf.DUMMYFUNCTION("IFERROR(GOOGLETRANSLATE(B837,""en"",""ja""),)"),"私は土曜日に図書館に行きます。")</f>
        <v>私は土曜日に図書館に行きます。</v>
      </c>
      <c r="D837" s="4" t="str">
        <f ca="1">IFERROR(__xludf.DUMMYFUNCTION("IFERROR(GOOGLETRANSLATE(B837,""en"",""zh-TW""),)"),"我星期六去圖書館。")</f>
        <v>我星期六去圖書館。</v>
      </c>
      <c r="E837" s="4" t="str">
        <f ca="1">IFERROR(__xludf.DUMMYFUNCTION("IFERROR(GOOGLETRANSLATE(B837,""en"",""zh-CN""),)"),"我星期六去图书馆。")</f>
        <v>我星期六去图书馆。</v>
      </c>
    </row>
    <row r="838" spans="1:5">
      <c r="A838" s="3" t="s">
        <v>3988</v>
      </c>
      <c r="B838" s="4" t="str">
        <f ca="1">IFERROR(__xludf.DUMMYFUNCTION("IFERROR(GOOGLETRANSLATE(A838,""ko"",""en""),)"),"I read a book at the library.")</f>
        <v>I read a book at the library.</v>
      </c>
      <c r="C838" s="4" t="str">
        <f ca="1">IFERROR(__xludf.DUMMYFUNCTION("IFERROR(GOOGLETRANSLATE(B838,""en"",""ja""),)"),"私は図書館で本を読んだ。")</f>
        <v>私は図書館で本を読んだ。</v>
      </c>
      <c r="D838" s="4" t="str">
        <f ca="1">IFERROR(__xludf.DUMMYFUNCTION("IFERROR(GOOGLETRANSLATE(B838,""en"",""zh-TW""),)"),"我在圖書館讀了一本書。")</f>
        <v>我在圖書館讀了一本書。</v>
      </c>
      <c r="E838" s="4" t="str">
        <f ca="1">IFERROR(__xludf.DUMMYFUNCTION("IFERROR(GOOGLETRANSLATE(B838,""en"",""zh-CN""),)"),"我在图书馆读了一本书。")</f>
        <v>我在图书馆读了一本书。</v>
      </c>
    </row>
    <row r="839" spans="1:5">
      <c r="A839" s="3" t="s">
        <v>3992</v>
      </c>
      <c r="B839" s="4" t="str">
        <f ca="1">IFERROR(__xludf.DUMMYFUNCTION("IFERROR(GOOGLETRANSLATE(A839,""ko"",""en""),)"),"And do your homework.")</f>
        <v>And do your homework.</v>
      </c>
      <c r="C839" s="4" t="str">
        <f ca="1">IFERROR(__xludf.DUMMYFUNCTION("IFERROR(GOOGLETRANSLATE(B839,""en"",""ja""),)"),"そして、宿題をきちんとやりなさい。")</f>
        <v>そして、宿題をきちんとやりなさい。</v>
      </c>
      <c r="D839" s="4" t="str">
        <f ca="1">IFERROR(__xludf.DUMMYFUNCTION("IFERROR(GOOGLETRANSLATE(B839,""en"",""zh-TW""),)"),"做好作業。")</f>
        <v>做好作業。</v>
      </c>
      <c r="E839" s="4" t="str">
        <f ca="1">IFERROR(__xludf.DUMMYFUNCTION("IFERROR(GOOGLETRANSLATE(B839,""en"",""zh-CN""),)"),"做好作业。")</f>
        <v>做好作业。</v>
      </c>
    </row>
    <row r="840" spans="1:5">
      <c r="A840" s="3" t="s">
        <v>3998</v>
      </c>
      <c r="B840" s="4" t="str">
        <f ca="1">IFERROR(__xludf.DUMMYFUNCTION("IFERROR(GOOGLETRANSLATE(A840,""ko"",""en""),)"),"The library is a little far from my house.")</f>
        <v>The library is a little far from my house.</v>
      </c>
      <c r="C840" s="4" t="str">
        <f ca="1">IFERROR(__xludf.DUMMYFUNCTION("IFERROR(GOOGLETRANSLATE(B840,""en"",""ja""),)"),"図書館は私の家から少し遠い。")</f>
        <v>図書館は私の家から少し遠い。</v>
      </c>
      <c r="D840" s="4" t="str">
        <f ca="1">IFERROR(__xludf.DUMMYFUNCTION("IFERROR(GOOGLETRANSLATE(B840,""en"",""zh-TW""),)"),"圖書館離我家有點遠。")</f>
        <v>圖書館離我家有點遠。</v>
      </c>
      <c r="E840" s="4" t="str">
        <f ca="1">IFERROR(__xludf.DUMMYFUNCTION("IFERROR(GOOGLETRANSLATE(B840,""en"",""zh-CN""),)"),"图书馆离我家有点远。")</f>
        <v>图书馆离我家有点远。</v>
      </c>
    </row>
    <row r="841" spans="1:5">
      <c r="A841" s="3" t="s">
        <v>4002</v>
      </c>
      <c r="B841" s="4" t="str">
        <f ca="1">IFERROR(__xludf.DUMMYFUNCTION("IFERROR(GOOGLETRANSLATE(A841,""ko"",""en""),)"),"I take the subway from the subway station near my house.")</f>
        <v>I take the subway from the subway station near my house.</v>
      </c>
      <c r="C841" s="4" t="str">
        <f ca="1">IFERROR(__xludf.DUMMYFUNCTION("IFERROR(GOOGLETRANSLATE(B841,""en"",""ja""),)"),"私は家の近くの地下鉄駅から地下鉄に乗ります。")</f>
        <v>私は家の近くの地下鉄駅から地下鉄に乗ります。</v>
      </c>
      <c r="D841" s="4" t="str">
        <f ca="1">IFERROR(__xludf.DUMMYFUNCTION("IFERROR(GOOGLETRANSLATE(B841,""en"",""zh-TW""),)"),"我從家附近的地鐵站搭地鐵。")</f>
        <v>我從家附近的地鐵站搭地鐵。</v>
      </c>
      <c r="E841" s="4" t="str">
        <f ca="1">IFERROR(__xludf.DUMMYFUNCTION("IFERROR(GOOGLETRANSLATE(B841,""en"",""zh-CN""),)"),"我从家附近的地铁站乘地铁。")</f>
        <v>我从家附近的地铁站乘地铁。</v>
      </c>
    </row>
    <row r="842" spans="1:5">
      <c r="A842" s="3" t="s">
        <v>4007</v>
      </c>
      <c r="B842" s="4" t="str">
        <f ca="1">IFERROR(__xludf.DUMMYFUNCTION("IFERROR(GOOGLETRANSLATE(A842,""ko"",""en""),)"),"Get off at City Hall Station.")</f>
        <v>Get off at City Hall Station.</v>
      </c>
      <c r="C842" s="4" t="str">
        <f ca="1">IFERROR(__xludf.DUMMYFUNCTION("IFERROR(GOOGLETRANSLATE(B842,""en"",""ja""),)"),"シティホール駅で下車してください。")</f>
        <v>シティホール駅で下車してください。</v>
      </c>
      <c r="D842" s="4" t="str">
        <f ca="1">IFERROR(__xludf.DUMMYFUNCTION("IFERROR(GOOGLETRANSLATE(B842,""en"",""zh-TW""),)"),"在市政廳站下車。")</f>
        <v>在市政廳站下車。</v>
      </c>
      <c r="E842" s="4" t="str">
        <f ca="1">IFERROR(__xludf.DUMMYFUNCTION("IFERROR(GOOGLETRANSLATE(B842,""en"",""zh-CN""),)"),"在市政厅站下车。")</f>
        <v>在市政厅站下车。</v>
      </c>
    </row>
    <row r="843" spans="1:5">
      <c r="A843" s="3" t="s">
        <v>4013</v>
      </c>
      <c r="B843" s="4" t="str">
        <f ca="1">IFERROR(__xludf.DUMMYFUNCTION("IFERROR(GOOGLETRANSLATE(A843,""ko"",""en""),)"),"And I walk to the library.")</f>
        <v>And I walk to the library.</v>
      </c>
      <c r="C843" s="4" t="str">
        <f ca="1">IFERROR(__xludf.DUMMYFUNCTION("IFERROR(GOOGLETRANSLATE(B843,""en"",""ja""),)"),"そして私は図書館へ歩いて行く。")</f>
        <v>そして私は図書館へ歩いて行く。</v>
      </c>
      <c r="D843" s="4" t="str">
        <f ca="1">IFERROR(__xludf.DUMMYFUNCTION("IFERROR(GOOGLETRANSLATE(B843,""en"",""zh-TW""),)"),"然後我步行去圖書館。")</f>
        <v>然後我步行去圖書館。</v>
      </c>
      <c r="E843" s="4" t="str">
        <f ca="1">IFERROR(__xludf.DUMMYFUNCTION("IFERROR(GOOGLETRANSLATE(B843,""en"",""zh-CN""),)"),"然后我步行去图书馆。")</f>
        <v>然后我步行去图书馆。</v>
      </c>
    </row>
    <row r="844" spans="1:5">
      <c r="A844" s="3" t="s">
        <v>4018</v>
      </c>
      <c r="B844" s="4" t="str">
        <f ca="1">IFERROR(__xludf.DUMMYFUNCTION("IFERROR(GOOGLETRANSLATE(A844,""ko"",""en""),)"),"It takes about 30 minutes from my house to the library.")</f>
        <v>It takes about 30 minutes from my house to the library.</v>
      </c>
      <c r="C844" s="4" t="str">
        <f ca="1">IFERROR(__xludf.DUMMYFUNCTION("IFERROR(GOOGLETRANSLATE(B844,""en"",""ja""),)"),"私の家から図書館までは約30分かかります。")</f>
        <v>私の家から図書館までは約30分かかります。</v>
      </c>
      <c r="D844" s="4" t="str">
        <f ca="1">IFERROR(__xludf.DUMMYFUNCTION("IFERROR(GOOGLETRANSLATE(B844,""en"",""zh-TW""),)"),"從我家到圖書館大約需要30分鐘。")</f>
        <v>從我家到圖書館大約需要30分鐘。</v>
      </c>
      <c r="E844" s="4" t="str">
        <f ca="1">IFERROR(__xludf.DUMMYFUNCTION("IFERROR(GOOGLETRANSLATE(B844,""en"",""zh-CN""),)"),"从我家到图书馆大约需要30分钟。")</f>
        <v>从我家到图书馆大约需要30分钟。</v>
      </c>
    </row>
    <row r="845" spans="1:5">
      <c r="A845" s="3" t="s">
        <v>4022</v>
      </c>
      <c r="B845" s="4" t="str">
        <f ca="1">IFERROR(__xludf.DUMMYFUNCTION("IFERROR(GOOGLETRANSLATE(A845,""ko"",""en""),)"),"I go to Han River Park on Saturdays.")</f>
        <v>I go to Han River Park on Saturdays.</v>
      </c>
      <c r="C845" s="4" t="str">
        <f ca="1">IFERROR(__xludf.DUMMYFUNCTION("IFERROR(GOOGLETRANSLATE(B845,""en"",""ja""),)"),"私は毎週土曜日に漢江公園に行きます。")</f>
        <v>私は毎週土曜日に漢江公園に行きます。</v>
      </c>
      <c r="D845" s="4" t="str">
        <f ca="1">IFERROR(__xludf.DUMMYFUNCTION("IFERROR(GOOGLETRANSLATE(B845,""en"",""zh-TW""),)"),"我星期六會去漢江公園。")</f>
        <v>我星期六會去漢江公園。</v>
      </c>
      <c r="E845" s="4" t="str">
        <f ca="1">IFERROR(__xludf.DUMMYFUNCTION("IFERROR(GOOGLETRANSLATE(B845,""en"",""zh-CN""),)"),"我星期六会去汉江公园。")</f>
        <v>我星期六会去汉江公园。</v>
      </c>
    </row>
    <row r="846" spans="1:5">
      <c r="A846" s="3" t="s">
        <v>4029</v>
      </c>
      <c r="B846" s="4" t="str">
        <f ca="1">IFERROR(__xludf.DUMMYFUNCTION("IFERROR(GOOGLETRANSLATE(A846,""ko"",""en""),)"),"I take a walk at Han River Park. And I play basketball with my friends.")</f>
        <v>I take a walk at Han River Park. And I play basketball with my friends.</v>
      </c>
      <c r="C846" s="4" t="str">
        <f ca="1">IFERROR(__xludf.DUMMYFUNCTION("IFERROR(GOOGLETRANSLATE(B846,""en"",""ja""),)"),"私は漢江公園を散歩します。そして、友達とバスケットボールをします。")</f>
        <v>私は漢江公園を散歩します。そして、友達とバスケットボールをします。</v>
      </c>
      <c r="D846" s="4" t="str">
        <f ca="1">IFERROR(__xludf.DUMMYFUNCTION("IFERROR(GOOGLETRANSLATE(B846,""en"",""zh-TW""),)"),"我常去漢江公園散步，也會和朋友一起打籃球。")</f>
        <v>我常去漢江公園散步，也會和朋友一起打籃球。</v>
      </c>
      <c r="E846" s="4" t="str">
        <f ca="1">IFERROR(__xludf.DUMMYFUNCTION("IFERROR(GOOGLETRANSLATE(B846,""en"",""zh-CN""),)"),"我经常去汉江公园散步，还会和朋友们一起打篮球。")</f>
        <v>我经常去汉江公园散步，还会和朋友们一起打篮球。</v>
      </c>
    </row>
    <row r="847" spans="1:5">
      <c r="A847" s="3" t="s">
        <v>4036</v>
      </c>
      <c r="B847" s="4" t="str">
        <f ca="1">IFERROR(__xludf.DUMMYFUNCTION("IFERROR(GOOGLETRANSLATE(A847,""ko"",""en""),)"),"Hangang Park is a bit far from my house.")</f>
        <v>Hangang Park is a bit far from my house.</v>
      </c>
      <c r="C847" s="4" t="str">
        <f ca="1">IFERROR(__xludf.DUMMYFUNCTION("IFERROR(GOOGLETRANSLATE(B847,""en"",""ja""),)"),"漢江公園は私の家から少し遠い。")</f>
        <v>漢江公園は私の家から少し遠い。</v>
      </c>
      <c r="D847" s="4" t="str">
        <f ca="1">IFERROR(__xludf.DUMMYFUNCTION("IFERROR(GOOGLETRANSLATE(B847,""en"",""zh-TW""),)"),"漢江公園離我家有點遠。")</f>
        <v>漢江公園離我家有點遠。</v>
      </c>
      <c r="E847" s="4" t="str">
        <f ca="1">IFERROR(__xludf.DUMMYFUNCTION("IFERROR(GOOGLETRANSLATE(B847,""en"",""zh-CN""),)"),"汉江公园离我家有点远。")</f>
        <v>汉江公园离我家有点远。</v>
      </c>
    </row>
    <row r="848" spans="1:5">
      <c r="A848" s="3" t="s">
        <v>4041</v>
      </c>
      <c r="B848" s="4" t="str">
        <f ca="1">IFERROR(__xludf.DUMMYFUNCTION("IFERROR(GOOGLETRANSLATE(A848,""ko"",""en""),)"),"I take the bus from the bus stop near my house.")</f>
        <v>I take the bus from the bus stop near my house.</v>
      </c>
      <c r="C848" s="4" t="str">
        <f ca="1">IFERROR(__xludf.DUMMYFUNCTION("IFERROR(GOOGLETRANSLATE(B848,""en"",""ja""),)"),"私は家の近くのバス停からバスに乗ります。")</f>
        <v>私は家の近くのバス停からバスに乗ります。</v>
      </c>
      <c r="D848" s="4" t="str">
        <f ca="1">IFERROR(__xludf.DUMMYFUNCTION("IFERROR(GOOGLETRANSLATE(B848,""en"",""zh-TW""),)"),"我從我家附近的公車站搭車。")</f>
        <v>我從我家附近的公車站搭車。</v>
      </c>
      <c r="E848" s="4" t="str">
        <f ca="1">IFERROR(__xludf.DUMMYFUNCTION("IFERROR(GOOGLETRANSLATE(B848,""en"",""zh-CN""),)"),"我从我家附近的公交车站乘车。")</f>
        <v>我从我家附近的公交车站乘车。</v>
      </c>
    </row>
    <row r="849" spans="1:5">
      <c r="A849" s="3" t="s">
        <v>4046</v>
      </c>
      <c r="B849" s="4" t="str">
        <f ca="1">IFERROR(__xludf.DUMMYFUNCTION("IFERROR(GOOGLETRANSLATE(A849,""ko"",""en""),)"),"Get off at the bus stop in front of Hangang Park.")</f>
        <v>Get off at the bus stop in front of Hangang Park.</v>
      </c>
      <c r="C849" s="4" t="str">
        <f ca="1">IFERROR(__xludf.DUMMYFUNCTION("IFERROR(GOOGLETRANSLATE(B849,""en"",""ja""),)"),"漢江公園前のバス停で降りてください。")</f>
        <v>漢江公園前のバス停で降りてください。</v>
      </c>
      <c r="D849" s="4" t="str">
        <f ca="1">IFERROR(__xludf.DUMMYFUNCTION("IFERROR(GOOGLETRANSLATE(B849,""en"",""zh-TW""),)"),"在漢江公園前的公車站下車。")</f>
        <v>在漢江公園前的公車站下車。</v>
      </c>
      <c r="E849" s="4" t="str">
        <f ca="1">IFERROR(__xludf.DUMMYFUNCTION("IFERROR(GOOGLETRANSLATE(B849,""en"",""zh-CN""),)"),"在汉江公园前的公交车站下车。")</f>
        <v>在汉江公园前的公交车站下车。</v>
      </c>
    </row>
    <row r="850" spans="1:5">
      <c r="A850" s="3" t="s">
        <v>4051</v>
      </c>
      <c r="B850" s="4" t="str">
        <f ca="1">IFERROR(__xludf.DUMMYFUNCTION("IFERROR(GOOGLETRANSLATE(A850,""ko"",""en""),)"),"And then walk to Han River Park.")</f>
        <v>And then walk to Han River Park.</v>
      </c>
      <c r="C850" s="4" t="str">
        <f ca="1">IFERROR(__xludf.DUMMYFUNCTION("IFERROR(GOOGLETRANSLATE(B850,""en"",""ja""),)"),"それから漢江公園まで歩いて行きます。")</f>
        <v>それから漢江公園まで歩いて行きます。</v>
      </c>
      <c r="D850" s="4" t="str">
        <f ca="1">IFERROR(__xludf.DUMMYFUNCTION("IFERROR(GOOGLETRANSLATE(B850,""en"",""zh-TW""),)"),"然後步行前往漢江公園。")</f>
        <v>然後步行前往漢江公園。</v>
      </c>
      <c r="E850" s="4" t="str">
        <f ca="1">IFERROR(__xludf.DUMMYFUNCTION("IFERROR(GOOGLETRANSLATE(B850,""en"",""zh-CN""),)"),"然后步行前往汉江公园。")</f>
        <v>然后步行前往汉江公园。</v>
      </c>
    </row>
    <row r="851" spans="1:5">
      <c r="A851" s="3" t="s">
        <v>4056</v>
      </c>
      <c r="B851" s="4" t="str">
        <f ca="1">IFERROR(__xludf.DUMMYFUNCTION("IFERROR(GOOGLETRANSLATE(A851,""ko"",""en""),)"),"It takes about 30 minutes from my house to Han River Park.")</f>
        <v>It takes about 30 minutes from my house to Han River Park.</v>
      </c>
      <c r="C851" s="4" t="str">
        <f ca="1">IFERROR(__xludf.DUMMYFUNCTION("IFERROR(GOOGLETRANSLATE(B851,""en"",""ja""),)"),"私の家から漢江公園までは約30分かかります。")</f>
        <v>私の家から漢江公園までは約30分かかります。</v>
      </c>
      <c r="D851" s="4" t="str">
        <f ca="1">IFERROR(__xludf.DUMMYFUNCTION("IFERROR(GOOGLETRANSLATE(B851,""en"",""zh-TW""),)"),"從我家到漢江公園大約要30分鐘。")</f>
        <v>從我家到漢江公園大約要30分鐘。</v>
      </c>
      <c r="E851" s="4" t="str">
        <f ca="1">IFERROR(__xludf.DUMMYFUNCTION("IFERROR(GOOGLETRANSLATE(B851,""en"",""zh-CN""),)"),"从我家到汉江公园大约需要30分钟。")</f>
        <v>从我家到汉江公园大约需要30分钟。</v>
      </c>
    </row>
    <row r="852" spans="1:5">
      <c r="A852" s="3"/>
      <c r="B852" s="4" t="str">
        <f ca="1">IFERROR(__xludf.DUMMYFUNCTION("IFERROR(GOOGLETRANSLATE(A852,""ko"",""en""),)"),"")</f>
        <v/>
      </c>
      <c r="C852" s="4" t="str">
        <f ca="1">IFERROR(__xludf.DUMMYFUNCTION("IFERROR(GOOGLETRANSLATE(B852,""en"",""ja""),)"),"")</f>
        <v/>
      </c>
      <c r="D852" s="4" t="str">
        <f ca="1">IFERROR(__xludf.DUMMYFUNCTION("IFERROR(GOOGLETRANSLATE(B852,""en"",""zh-TW""),)"),"")</f>
        <v/>
      </c>
      <c r="E852" s="4" t="str">
        <f ca="1">IFERROR(__xludf.DUMMYFUNCTION("IFERROR(GOOGLETRANSLATE(B852,""en"",""zh-CN""),)"),"")</f>
        <v/>
      </c>
    </row>
    <row r="853" spans="1:5">
      <c r="A853" s="3"/>
      <c r="B853" s="4" t="str">
        <f ca="1">IFERROR(__xludf.DUMMYFUNCTION("IFERROR(GOOGLETRANSLATE(A853,""ko"",""en""),)"),"")</f>
        <v/>
      </c>
      <c r="C853" s="4" t="str">
        <f ca="1">IFERROR(__xludf.DUMMYFUNCTION("IFERROR(GOOGLETRANSLATE(B853,""en"",""ja""),)"),"")</f>
        <v/>
      </c>
      <c r="D853" s="4" t="str">
        <f ca="1">IFERROR(__xludf.DUMMYFUNCTION("IFERROR(GOOGLETRANSLATE(B853,""en"",""zh-TW""),)"),"")</f>
        <v/>
      </c>
      <c r="E853" s="4" t="str">
        <f ca="1">IFERROR(__xludf.DUMMYFUNCTION("IFERROR(GOOGLETRANSLATE(B853,""en"",""zh-CN""),)"),"")</f>
        <v/>
      </c>
    </row>
    <row r="854" spans="1:5">
      <c r="A854" s="3"/>
      <c r="B854" s="4" t="str">
        <f ca="1">IFERROR(__xludf.DUMMYFUNCTION("IFERROR(GOOGLETRANSLATE(A854,""ko"",""en""),)"),"")</f>
        <v/>
      </c>
      <c r="C854" s="4" t="str">
        <f ca="1">IFERROR(__xludf.DUMMYFUNCTION("IFERROR(GOOGLETRANSLATE(B854,""en"",""ja""),)"),"")</f>
        <v/>
      </c>
      <c r="D854" s="4" t="str">
        <f ca="1">IFERROR(__xludf.DUMMYFUNCTION("IFERROR(GOOGLETRANSLATE(B854,""en"",""zh-TW""),)"),"")</f>
        <v/>
      </c>
      <c r="E854" s="4" t="str">
        <f ca="1">IFERROR(__xludf.DUMMYFUNCTION("IFERROR(GOOGLETRANSLATE(B854,""en"",""zh-CN""),)"),"")</f>
        <v/>
      </c>
    </row>
    <row r="855" spans="1:5">
      <c r="A855" s="3"/>
      <c r="B855" s="4" t="str">
        <f ca="1">IFERROR(__xludf.DUMMYFUNCTION("IFERROR(GOOGLETRANSLATE(A855,""ko"",""en""),)"),"")</f>
        <v/>
      </c>
      <c r="C855" s="4" t="str">
        <f ca="1">IFERROR(__xludf.DUMMYFUNCTION("IFERROR(GOOGLETRANSLATE(B855,""en"",""ja""),)"),"")</f>
        <v/>
      </c>
      <c r="D855" s="4" t="str">
        <f ca="1">IFERROR(__xludf.DUMMYFUNCTION("IFERROR(GOOGLETRANSLATE(B855,""en"",""zh-TW""),)"),"")</f>
        <v/>
      </c>
      <c r="E855" s="4" t="str">
        <f ca="1">IFERROR(__xludf.DUMMYFUNCTION("IFERROR(GOOGLETRANSLATE(B855,""en"",""zh-CN""),)"),"")</f>
        <v/>
      </c>
    </row>
    <row r="856" spans="1:5">
      <c r="A856" s="3"/>
      <c r="B856" s="4" t="str">
        <f ca="1">IFERROR(__xludf.DUMMYFUNCTION("IFERROR(GOOGLETRANSLATE(A856,""ko"",""en""),)"),"")</f>
        <v/>
      </c>
      <c r="C856" s="4" t="str">
        <f ca="1">IFERROR(__xludf.DUMMYFUNCTION("IFERROR(GOOGLETRANSLATE(B856,""en"",""ja""),)"),"")</f>
        <v/>
      </c>
      <c r="D856" s="4" t="str">
        <f ca="1">IFERROR(__xludf.DUMMYFUNCTION("IFERROR(GOOGLETRANSLATE(B856,""en"",""zh-TW""),)"),"")</f>
        <v/>
      </c>
      <c r="E856" s="4" t="str">
        <f ca="1">IFERROR(__xludf.DUMMYFUNCTION("IFERROR(GOOGLETRANSLATE(B856,""en"",""zh-CN""),)"),"")</f>
        <v/>
      </c>
    </row>
    <row r="857" spans="1:5">
      <c r="A857" s="3"/>
      <c r="B857" s="4" t="str">
        <f ca="1">IFERROR(__xludf.DUMMYFUNCTION("IFERROR(GOOGLETRANSLATE(A857,""ko"",""en""),)"),"")</f>
        <v/>
      </c>
      <c r="C857" s="4" t="str">
        <f ca="1">IFERROR(__xludf.DUMMYFUNCTION("IFERROR(GOOGLETRANSLATE(B857,""en"",""ja""),)"),"")</f>
        <v/>
      </c>
      <c r="D857" s="4" t="str">
        <f ca="1">IFERROR(__xludf.DUMMYFUNCTION("IFERROR(GOOGLETRANSLATE(B857,""en"",""zh-TW""),)"),"")</f>
        <v/>
      </c>
      <c r="E857" s="4" t="str">
        <f ca="1">IFERROR(__xludf.DUMMYFUNCTION("IFERROR(GOOGLETRANSLATE(B857,""en"",""zh-CN""),)"),"")</f>
        <v/>
      </c>
    </row>
    <row r="858" spans="1:5">
      <c r="A858" s="3"/>
      <c r="B858" s="4" t="str">
        <f ca="1">IFERROR(__xludf.DUMMYFUNCTION("IFERROR(GOOGLETRANSLATE(A858,""ko"",""en""),)"),"")</f>
        <v/>
      </c>
      <c r="C858" s="4" t="str">
        <f ca="1">IFERROR(__xludf.DUMMYFUNCTION("IFERROR(GOOGLETRANSLATE(B858,""en"",""ja""),)"),"")</f>
        <v/>
      </c>
      <c r="D858" s="4" t="str">
        <f ca="1">IFERROR(__xludf.DUMMYFUNCTION("IFERROR(GOOGLETRANSLATE(B858,""en"",""zh-TW""),)"),"")</f>
        <v/>
      </c>
      <c r="E858" s="4" t="str">
        <f ca="1">IFERROR(__xludf.DUMMYFUNCTION("IFERROR(GOOGLETRANSLATE(B858,""en"",""zh-CN""),)"),"")</f>
        <v/>
      </c>
    </row>
    <row r="859" spans="1:5">
      <c r="A859" s="3"/>
      <c r="B859" s="4" t="str">
        <f ca="1">IFERROR(__xludf.DUMMYFUNCTION("IFERROR(GOOGLETRANSLATE(A859,""ko"",""en""),)"),"")</f>
        <v/>
      </c>
      <c r="C859" s="4" t="str">
        <f ca="1">IFERROR(__xludf.DUMMYFUNCTION("IFERROR(GOOGLETRANSLATE(B859,""en"",""ja""),)"),"")</f>
        <v/>
      </c>
      <c r="D859" s="4" t="str">
        <f ca="1">IFERROR(__xludf.DUMMYFUNCTION("IFERROR(GOOGLETRANSLATE(B859,""en"",""zh-TW""),)"),"")</f>
        <v/>
      </c>
      <c r="E859" s="4" t="str">
        <f ca="1">IFERROR(__xludf.DUMMYFUNCTION("IFERROR(GOOGLETRANSLATE(B859,""en"",""zh-CN""),)"),"")</f>
        <v/>
      </c>
    </row>
    <row r="860" spans="1:5">
      <c r="A860" s="3"/>
      <c r="B860" s="4" t="str">
        <f ca="1">IFERROR(__xludf.DUMMYFUNCTION("IFERROR(GOOGLETRANSLATE(A860,""ko"",""en""),)"),"")</f>
        <v/>
      </c>
      <c r="C860" s="4" t="str">
        <f ca="1">IFERROR(__xludf.DUMMYFUNCTION("IFERROR(GOOGLETRANSLATE(B860,""en"",""ja""),)"),"")</f>
        <v/>
      </c>
      <c r="D860" s="4" t="str">
        <f ca="1">IFERROR(__xludf.DUMMYFUNCTION("IFERROR(GOOGLETRANSLATE(B860,""en"",""zh-TW""),)"),"")</f>
        <v/>
      </c>
      <c r="E860" s="4" t="str">
        <f ca="1">IFERROR(__xludf.DUMMYFUNCTION("IFERROR(GOOGLETRANSLATE(B860,""en"",""zh-CN""),)"),"")</f>
        <v/>
      </c>
    </row>
    <row r="861" spans="1:5">
      <c r="A861" s="3"/>
      <c r="B861" s="4" t="str">
        <f ca="1">IFERROR(__xludf.DUMMYFUNCTION("IFERROR(GOOGLETRANSLATE(A861,""ko"",""en""),)"),"")</f>
        <v/>
      </c>
      <c r="C861" s="4" t="str">
        <f ca="1">IFERROR(__xludf.DUMMYFUNCTION("IFERROR(GOOGLETRANSLATE(B861,""en"",""ja""),)"),"")</f>
        <v/>
      </c>
      <c r="D861" s="4" t="str">
        <f ca="1">IFERROR(__xludf.DUMMYFUNCTION("IFERROR(GOOGLETRANSLATE(B861,""en"",""zh-TW""),)"),"")</f>
        <v/>
      </c>
      <c r="E861" s="4" t="str">
        <f ca="1">IFERROR(__xludf.DUMMYFUNCTION("IFERROR(GOOGLETRANSLATE(B861,""en"",""zh-CN""),)"),"")</f>
        <v/>
      </c>
    </row>
    <row r="862" spans="1:5">
      <c r="A862" s="3"/>
      <c r="B862" s="4" t="str">
        <f ca="1">IFERROR(__xludf.DUMMYFUNCTION("IFERROR(GOOGLETRANSLATE(A862,""ko"",""en""),)"),"")</f>
        <v/>
      </c>
      <c r="C862" s="4" t="str">
        <f ca="1">IFERROR(__xludf.DUMMYFUNCTION("IFERROR(GOOGLETRANSLATE(B862,""en"",""ja""),)"),"")</f>
        <v/>
      </c>
      <c r="D862" s="4" t="str">
        <f ca="1">IFERROR(__xludf.DUMMYFUNCTION("IFERROR(GOOGLETRANSLATE(B862,""en"",""zh-TW""),)"),"")</f>
        <v/>
      </c>
      <c r="E862" s="4" t="str">
        <f ca="1">IFERROR(__xludf.DUMMYFUNCTION("IFERROR(GOOGLETRANSLATE(B862,""en"",""zh-CN""),)"),"")</f>
        <v/>
      </c>
    </row>
    <row r="863" spans="1:5">
      <c r="A863" s="3"/>
      <c r="B863" s="4" t="str">
        <f ca="1">IFERROR(__xludf.DUMMYFUNCTION("IFERROR(GOOGLETRANSLATE(A863,""ko"",""en""),)"),"")</f>
        <v/>
      </c>
      <c r="C863" s="4" t="str">
        <f ca="1">IFERROR(__xludf.DUMMYFUNCTION("IFERROR(GOOGLETRANSLATE(B863,""en"",""ja""),)"),"")</f>
        <v/>
      </c>
      <c r="D863" s="4" t="str">
        <f ca="1">IFERROR(__xludf.DUMMYFUNCTION("IFERROR(GOOGLETRANSLATE(B863,""en"",""zh-TW""),)"),"")</f>
        <v/>
      </c>
      <c r="E863" s="4" t="str">
        <f ca="1">IFERROR(__xludf.DUMMYFUNCTION("IFERROR(GOOGLETRANSLATE(B863,""en"",""zh-CN""),)"),"")</f>
        <v/>
      </c>
    </row>
    <row r="864" spans="1:5">
      <c r="A864" s="3"/>
      <c r="B864" s="4" t="str">
        <f ca="1">IFERROR(__xludf.DUMMYFUNCTION("IFERROR(GOOGLETRANSLATE(A864,""ko"",""en""),)"),"")</f>
        <v/>
      </c>
      <c r="C864" s="4" t="str">
        <f ca="1">IFERROR(__xludf.DUMMYFUNCTION("IFERROR(GOOGLETRANSLATE(B864,""en"",""ja""),)"),"")</f>
        <v/>
      </c>
      <c r="D864" s="4" t="str">
        <f ca="1">IFERROR(__xludf.DUMMYFUNCTION("IFERROR(GOOGLETRANSLATE(B864,""en"",""zh-TW""),)"),"")</f>
        <v/>
      </c>
      <c r="E864" s="4" t="str">
        <f ca="1">IFERROR(__xludf.DUMMYFUNCTION("IFERROR(GOOGLETRANSLATE(B864,""en"",""zh-CN""),)"),"")</f>
        <v/>
      </c>
    </row>
    <row r="865" spans="1:5">
      <c r="A865" s="3"/>
      <c r="B865" s="4" t="str">
        <f ca="1">IFERROR(__xludf.DUMMYFUNCTION("IFERROR(GOOGLETRANSLATE(A865,""ko"",""en""),)"),"")</f>
        <v/>
      </c>
      <c r="C865" s="4" t="str">
        <f ca="1">IFERROR(__xludf.DUMMYFUNCTION("IFERROR(GOOGLETRANSLATE(B865,""en"",""ja""),)"),"")</f>
        <v/>
      </c>
      <c r="D865" s="4" t="str">
        <f ca="1">IFERROR(__xludf.DUMMYFUNCTION("IFERROR(GOOGLETRANSLATE(B865,""en"",""zh-TW""),)"),"")</f>
        <v/>
      </c>
      <c r="E865" s="4" t="str">
        <f ca="1">IFERROR(__xludf.DUMMYFUNCTION("IFERROR(GOOGLETRANSLATE(B865,""en"",""zh-CN""),)"),"")</f>
        <v/>
      </c>
    </row>
    <row r="866" spans="1:5">
      <c r="A866" s="3"/>
      <c r="B866" s="4" t="str">
        <f ca="1">IFERROR(__xludf.DUMMYFUNCTION("IFERROR(GOOGLETRANSLATE(A866,""ko"",""en""),)"),"")</f>
        <v/>
      </c>
      <c r="C866" s="4" t="str">
        <f ca="1">IFERROR(__xludf.DUMMYFUNCTION("IFERROR(GOOGLETRANSLATE(B866,""en"",""ja""),)"),"")</f>
        <v/>
      </c>
      <c r="D866" s="4" t="str">
        <f ca="1">IFERROR(__xludf.DUMMYFUNCTION("IFERROR(GOOGLETRANSLATE(B866,""en"",""zh-TW""),)"),"")</f>
        <v/>
      </c>
      <c r="E866" s="4" t="str">
        <f ca="1">IFERROR(__xludf.DUMMYFUNCTION("IFERROR(GOOGLETRANSLATE(B866,""en"",""zh-CN""),)"),"")</f>
        <v/>
      </c>
    </row>
    <row r="867" spans="1:5">
      <c r="A867" s="3"/>
      <c r="B867" s="4" t="str">
        <f ca="1">IFERROR(__xludf.DUMMYFUNCTION("IFERROR(GOOGLETRANSLATE(A867,""ko"",""en""),)"),"")</f>
        <v/>
      </c>
      <c r="C867" s="4" t="str">
        <f ca="1">IFERROR(__xludf.DUMMYFUNCTION("IFERROR(GOOGLETRANSLATE(B867,""en"",""ja""),)"),"")</f>
        <v/>
      </c>
      <c r="D867" s="4" t="str">
        <f ca="1">IFERROR(__xludf.DUMMYFUNCTION("IFERROR(GOOGLETRANSLATE(B867,""en"",""zh-TW""),)"),"")</f>
        <v/>
      </c>
      <c r="E867" s="4" t="str">
        <f ca="1">IFERROR(__xludf.DUMMYFUNCTION("IFERROR(GOOGLETRANSLATE(B867,""en"",""zh-CN""),)"),"")</f>
        <v/>
      </c>
    </row>
    <row r="868" spans="1:5">
      <c r="A868" s="3"/>
      <c r="B868" s="4" t="str">
        <f ca="1">IFERROR(__xludf.DUMMYFUNCTION("IFERROR(GOOGLETRANSLATE(A868,""ko"",""en""),)"),"")</f>
        <v/>
      </c>
      <c r="C868" s="4" t="str">
        <f ca="1">IFERROR(__xludf.DUMMYFUNCTION("IFERROR(GOOGLETRANSLATE(B868,""en"",""ja""),)"),"")</f>
        <v/>
      </c>
      <c r="D868" s="4" t="str">
        <f ca="1">IFERROR(__xludf.DUMMYFUNCTION("IFERROR(GOOGLETRANSLATE(B868,""en"",""zh-TW""),)"),"")</f>
        <v/>
      </c>
      <c r="E868" s="4" t="str">
        <f ca="1">IFERROR(__xludf.DUMMYFUNCTION("IFERROR(GOOGLETRANSLATE(B868,""en"",""zh-CN""),)"),"")</f>
        <v/>
      </c>
    </row>
    <row r="869" spans="1:5">
      <c r="A869" s="3"/>
      <c r="B869" s="4" t="str">
        <f ca="1">IFERROR(__xludf.DUMMYFUNCTION("IFERROR(GOOGLETRANSLATE(A869,""ko"",""en""),)"),"")</f>
        <v/>
      </c>
      <c r="C869" s="4" t="str">
        <f ca="1">IFERROR(__xludf.DUMMYFUNCTION("IFERROR(GOOGLETRANSLATE(B869,""en"",""ja""),)"),"")</f>
        <v/>
      </c>
      <c r="D869" s="4" t="str">
        <f ca="1">IFERROR(__xludf.DUMMYFUNCTION("IFERROR(GOOGLETRANSLATE(B869,""en"",""zh-TW""),)"),"")</f>
        <v/>
      </c>
      <c r="E869" s="4" t="str">
        <f ca="1">IFERROR(__xludf.DUMMYFUNCTION("IFERROR(GOOGLETRANSLATE(B869,""en"",""zh-CN""),)"),"")</f>
        <v/>
      </c>
    </row>
    <row r="870" spans="1:5">
      <c r="A870" s="3"/>
      <c r="B870" s="4" t="str">
        <f ca="1">IFERROR(__xludf.DUMMYFUNCTION("IFERROR(GOOGLETRANSLATE(A870,""ko"",""en""),)"),"")</f>
        <v/>
      </c>
      <c r="C870" s="4" t="str">
        <f ca="1">IFERROR(__xludf.DUMMYFUNCTION("IFERROR(GOOGLETRANSLATE(B870,""en"",""ja""),)"),"")</f>
        <v/>
      </c>
      <c r="D870" s="4" t="str">
        <f ca="1">IFERROR(__xludf.DUMMYFUNCTION("IFERROR(GOOGLETRANSLATE(B870,""en"",""zh-TW""),)"),"")</f>
        <v/>
      </c>
      <c r="E870" s="4" t="str">
        <f ca="1">IFERROR(__xludf.DUMMYFUNCTION("IFERROR(GOOGLETRANSLATE(B870,""en"",""zh-CN""),)"),"")</f>
        <v/>
      </c>
    </row>
    <row r="871" spans="1:5">
      <c r="A871" s="3"/>
      <c r="B871" s="4" t="str">
        <f ca="1">IFERROR(__xludf.DUMMYFUNCTION("IFERROR(GOOGLETRANSLATE(A871,""ko"",""en""),)"),"")</f>
        <v/>
      </c>
      <c r="C871" s="4" t="str">
        <f ca="1">IFERROR(__xludf.DUMMYFUNCTION("IFERROR(GOOGLETRANSLATE(B871,""en"",""ja""),)"),"")</f>
        <v/>
      </c>
      <c r="D871" s="4" t="str">
        <f ca="1">IFERROR(__xludf.DUMMYFUNCTION("IFERROR(GOOGLETRANSLATE(B871,""en"",""zh-TW""),)"),"")</f>
        <v/>
      </c>
      <c r="E871" s="4" t="str">
        <f ca="1">IFERROR(__xludf.DUMMYFUNCTION("IFERROR(GOOGLETRANSLATE(B871,""en"",""zh-CN""),)"),"")</f>
        <v/>
      </c>
    </row>
    <row r="872" spans="1:5">
      <c r="A872" s="3"/>
      <c r="B872" s="4" t="str">
        <f ca="1">IFERROR(__xludf.DUMMYFUNCTION("IFERROR(GOOGLETRANSLATE(A872,""ko"",""en""),)"),"")</f>
        <v/>
      </c>
      <c r="C872" s="4" t="str">
        <f ca="1">IFERROR(__xludf.DUMMYFUNCTION("IFERROR(GOOGLETRANSLATE(B872,""en"",""ja""),)"),"")</f>
        <v/>
      </c>
      <c r="D872" s="4" t="str">
        <f ca="1">IFERROR(__xludf.DUMMYFUNCTION("IFERROR(GOOGLETRANSLATE(B872,""en"",""zh-TW""),)"),"")</f>
        <v/>
      </c>
      <c r="E872" s="4" t="str">
        <f ca="1">IFERROR(__xludf.DUMMYFUNCTION("IFERROR(GOOGLETRANSLATE(B872,""en"",""zh-CN""),)"),"")</f>
        <v/>
      </c>
    </row>
    <row r="873" spans="1:5">
      <c r="A873" s="3"/>
      <c r="B873" s="4" t="str">
        <f ca="1">IFERROR(__xludf.DUMMYFUNCTION("IFERROR(GOOGLETRANSLATE(A873,""ko"",""en""),)"),"")</f>
        <v/>
      </c>
      <c r="C873" s="4" t="str">
        <f ca="1">IFERROR(__xludf.DUMMYFUNCTION("IFERROR(GOOGLETRANSLATE(B873,""en"",""ja""),)"),"")</f>
        <v/>
      </c>
      <c r="D873" s="4" t="str">
        <f ca="1">IFERROR(__xludf.DUMMYFUNCTION("IFERROR(GOOGLETRANSLATE(B873,""en"",""zh-TW""),)"),"")</f>
        <v/>
      </c>
      <c r="E873" s="4" t="str">
        <f ca="1">IFERROR(__xludf.DUMMYFUNCTION("IFERROR(GOOGLETRANSLATE(B873,""en"",""zh-CN""),)"),"")</f>
        <v/>
      </c>
    </row>
    <row r="874" spans="1:5">
      <c r="A874" s="3"/>
      <c r="B874" s="4" t="str">
        <f ca="1">IFERROR(__xludf.DUMMYFUNCTION("IFERROR(GOOGLETRANSLATE(A874,""ko"",""en""),)"),"")</f>
        <v/>
      </c>
      <c r="C874" s="4" t="str">
        <f ca="1">IFERROR(__xludf.DUMMYFUNCTION("IFERROR(GOOGLETRANSLATE(B874,""en"",""ja""),)"),"")</f>
        <v/>
      </c>
      <c r="D874" s="4" t="str">
        <f ca="1">IFERROR(__xludf.DUMMYFUNCTION("IFERROR(GOOGLETRANSLATE(B874,""en"",""zh-TW""),)"),"")</f>
        <v/>
      </c>
      <c r="E874" s="4" t="str">
        <f ca="1">IFERROR(__xludf.DUMMYFUNCTION("IFERROR(GOOGLETRANSLATE(B874,""en"",""zh-CN""),)"),"")</f>
        <v/>
      </c>
    </row>
    <row r="875" spans="1:5">
      <c r="A875" s="3"/>
      <c r="B875" s="4" t="str">
        <f ca="1">IFERROR(__xludf.DUMMYFUNCTION("IFERROR(GOOGLETRANSLATE(A875,""ko"",""en""),)"),"")</f>
        <v/>
      </c>
      <c r="C875" s="4" t="str">
        <f ca="1">IFERROR(__xludf.DUMMYFUNCTION("IFERROR(GOOGLETRANSLATE(B875,""en"",""ja""),)"),"")</f>
        <v/>
      </c>
      <c r="D875" s="4" t="str">
        <f ca="1">IFERROR(__xludf.DUMMYFUNCTION("IFERROR(GOOGLETRANSLATE(B875,""en"",""zh-TW""),)"),"")</f>
        <v/>
      </c>
      <c r="E875" s="4" t="str">
        <f ca="1">IFERROR(__xludf.DUMMYFUNCTION("IFERROR(GOOGLETRANSLATE(B875,""en"",""zh-CN""),)"),"")</f>
        <v/>
      </c>
    </row>
    <row r="876" spans="1:5">
      <c r="A876" s="3"/>
      <c r="B876" s="4" t="str">
        <f ca="1">IFERROR(__xludf.DUMMYFUNCTION("IFERROR(GOOGLETRANSLATE(A876,""ko"",""en""),)"),"")</f>
        <v/>
      </c>
      <c r="C876" s="4" t="str">
        <f ca="1">IFERROR(__xludf.DUMMYFUNCTION("IFERROR(GOOGLETRANSLATE(B876,""en"",""ja""),)"),"")</f>
        <v/>
      </c>
      <c r="D876" s="4" t="str">
        <f ca="1">IFERROR(__xludf.DUMMYFUNCTION("IFERROR(GOOGLETRANSLATE(B876,""en"",""zh-TW""),)"),"")</f>
        <v/>
      </c>
      <c r="E876" s="4" t="str">
        <f ca="1">IFERROR(__xludf.DUMMYFUNCTION("IFERROR(GOOGLETRANSLATE(B876,""en"",""zh-CN""),)"),"")</f>
        <v/>
      </c>
    </row>
    <row r="877" spans="1:5">
      <c r="A877" s="3"/>
      <c r="B877" s="4" t="str">
        <f ca="1">IFERROR(__xludf.DUMMYFUNCTION("IFERROR(GOOGLETRANSLATE(A877,""ko"",""en""),)"),"")</f>
        <v/>
      </c>
      <c r="C877" s="4" t="str">
        <f ca="1">IFERROR(__xludf.DUMMYFUNCTION("IFERROR(GOOGLETRANSLATE(B877,""en"",""ja""),)"),"")</f>
        <v/>
      </c>
      <c r="D877" s="4" t="str">
        <f ca="1">IFERROR(__xludf.DUMMYFUNCTION("IFERROR(GOOGLETRANSLATE(B877,""en"",""zh-TW""),)"),"")</f>
        <v/>
      </c>
      <c r="E877" s="4" t="str">
        <f ca="1">IFERROR(__xludf.DUMMYFUNCTION("IFERROR(GOOGLETRANSLATE(B877,""en"",""zh-CN""),)"),"")</f>
        <v/>
      </c>
    </row>
    <row r="878" spans="1:5">
      <c r="A878" s="3"/>
      <c r="B878" s="4" t="str">
        <f ca="1">IFERROR(__xludf.DUMMYFUNCTION("IFERROR(GOOGLETRANSLATE(A878,""ko"",""en""),)"),"")</f>
        <v/>
      </c>
      <c r="C878" s="4" t="str">
        <f ca="1">IFERROR(__xludf.DUMMYFUNCTION("IFERROR(GOOGLETRANSLATE(B878,""en"",""ja""),)"),"")</f>
        <v/>
      </c>
      <c r="D878" s="4" t="str">
        <f ca="1">IFERROR(__xludf.DUMMYFUNCTION("IFERROR(GOOGLETRANSLATE(B878,""en"",""zh-TW""),)"),"")</f>
        <v/>
      </c>
      <c r="E878" s="4" t="str">
        <f ca="1">IFERROR(__xludf.DUMMYFUNCTION("IFERROR(GOOGLETRANSLATE(B878,""en"",""zh-CN""),)"),"")</f>
        <v/>
      </c>
    </row>
    <row r="879" spans="1:5">
      <c r="A879" s="3"/>
      <c r="B879" s="4" t="str">
        <f ca="1">IFERROR(__xludf.DUMMYFUNCTION("IFERROR(GOOGLETRANSLATE(A879,""ko"",""en""),)"),"")</f>
        <v/>
      </c>
      <c r="C879" s="4" t="str">
        <f ca="1">IFERROR(__xludf.DUMMYFUNCTION("IFERROR(GOOGLETRANSLATE(B879,""en"",""ja""),)"),"")</f>
        <v/>
      </c>
      <c r="D879" s="4" t="str">
        <f ca="1">IFERROR(__xludf.DUMMYFUNCTION("IFERROR(GOOGLETRANSLATE(B879,""en"",""zh-TW""),)"),"")</f>
        <v/>
      </c>
      <c r="E879" s="4" t="str">
        <f ca="1">IFERROR(__xludf.DUMMYFUNCTION("IFERROR(GOOGLETRANSLATE(B879,""en"",""zh-CN""),)"),"")</f>
        <v/>
      </c>
    </row>
    <row r="880" spans="1:5">
      <c r="A880" s="3"/>
      <c r="B880" s="4" t="str">
        <f ca="1">IFERROR(__xludf.DUMMYFUNCTION("IFERROR(GOOGLETRANSLATE(A880,""ko"",""en""),)"),"")</f>
        <v/>
      </c>
      <c r="C880" s="4" t="str">
        <f ca="1">IFERROR(__xludf.DUMMYFUNCTION("IFERROR(GOOGLETRANSLATE(B880,""en"",""ja""),)"),"")</f>
        <v/>
      </c>
      <c r="D880" s="4" t="str">
        <f ca="1">IFERROR(__xludf.DUMMYFUNCTION("IFERROR(GOOGLETRANSLATE(B880,""en"",""zh-TW""),)"),"")</f>
        <v/>
      </c>
      <c r="E880" s="4" t="str">
        <f ca="1">IFERROR(__xludf.DUMMYFUNCTION("IFERROR(GOOGLETRANSLATE(B880,""en"",""zh-CN""),)"),"")</f>
        <v/>
      </c>
    </row>
    <row r="881" spans="1:5">
      <c r="A881" s="3"/>
      <c r="B881" s="4" t="str">
        <f ca="1">IFERROR(__xludf.DUMMYFUNCTION("IFERROR(GOOGLETRANSLATE(A881,""ko"",""en""),)"),"")</f>
        <v/>
      </c>
      <c r="C881" s="4" t="str">
        <f ca="1">IFERROR(__xludf.DUMMYFUNCTION("IFERROR(GOOGLETRANSLATE(B881,""en"",""ja""),)"),"")</f>
        <v/>
      </c>
      <c r="D881" s="4" t="str">
        <f ca="1">IFERROR(__xludf.DUMMYFUNCTION("IFERROR(GOOGLETRANSLATE(B881,""en"",""zh-TW""),)"),"")</f>
        <v/>
      </c>
      <c r="E881" s="4" t="str">
        <f ca="1">IFERROR(__xludf.DUMMYFUNCTION("IFERROR(GOOGLETRANSLATE(B881,""en"",""zh-CN""),)"),"")</f>
        <v/>
      </c>
    </row>
    <row r="882" spans="1:5">
      <c r="A882" s="3"/>
      <c r="B882" s="4" t="str">
        <f ca="1">IFERROR(__xludf.DUMMYFUNCTION("IFERROR(GOOGLETRANSLATE(A882,""ko"",""en""),)"),"")</f>
        <v/>
      </c>
      <c r="C882" s="4" t="str">
        <f ca="1">IFERROR(__xludf.DUMMYFUNCTION("IFERROR(GOOGLETRANSLATE(B882,""en"",""ja""),)"),"")</f>
        <v/>
      </c>
      <c r="D882" s="4" t="str">
        <f ca="1">IFERROR(__xludf.DUMMYFUNCTION("IFERROR(GOOGLETRANSLATE(B882,""en"",""zh-TW""),)"),"")</f>
        <v/>
      </c>
      <c r="E882" s="4" t="str">
        <f ca="1">IFERROR(__xludf.DUMMYFUNCTION("IFERROR(GOOGLETRANSLATE(B882,""en"",""zh-CN""),)"),"")</f>
        <v/>
      </c>
    </row>
    <row r="883" spans="1:5">
      <c r="A883" s="3"/>
      <c r="B883" s="4" t="str">
        <f ca="1">IFERROR(__xludf.DUMMYFUNCTION("IFERROR(GOOGLETRANSLATE(A883,""ko"",""en""),)"),"")</f>
        <v/>
      </c>
      <c r="C883" s="4" t="str">
        <f ca="1">IFERROR(__xludf.DUMMYFUNCTION("IFERROR(GOOGLETRANSLATE(B883,""en"",""ja""),)"),"")</f>
        <v/>
      </c>
      <c r="D883" s="4" t="str">
        <f ca="1">IFERROR(__xludf.DUMMYFUNCTION("IFERROR(GOOGLETRANSLATE(B883,""en"",""zh-TW""),)"),"")</f>
        <v/>
      </c>
      <c r="E883" s="4" t="str">
        <f ca="1">IFERROR(__xludf.DUMMYFUNCTION("IFERROR(GOOGLETRANSLATE(B883,""en"",""zh-CN""),)"),"")</f>
        <v/>
      </c>
    </row>
    <row r="884" spans="1:5">
      <c r="A884" s="3"/>
      <c r="B884" s="4" t="str">
        <f ca="1">IFERROR(__xludf.DUMMYFUNCTION("IFERROR(GOOGLETRANSLATE(A884,""ko"",""en""),)"),"")</f>
        <v/>
      </c>
      <c r="C884" s="4" t="str">
        <f ca="1">IFERROR(__xludf.DUMMYFUNCTION("IFERROR(GOOGLETRANSLATE(B884,""en"",""ja""),)"),"")</f>
        <v/>
      </c>
      <c r="D884" s="4" t="str">
        <f ca="1">IFERROR(__xludf.DUMMYFUNCTION("IFERROR(GOOGLETRANSLATE(B884,""en"",""zh-TW""),)"),"")</f>
        <v/>
      </c>
      <c r="E884" s="4" t="str">
        <f ca="1">IFERROR(__xludf.DUMMYFUNCTION("IFERROR(GOOGLETRANSLATE(B884,""en"",""zh-CN""),)"),"")</f>
        <v/>
      </c>
    </row>
    <row r="885" spans="1:5">
      <c r="A885" s="3"/>
      <c r="B885" s="4" t="str">
        <f ca="1">IFERROR(__xludf.DUMMYFUNCTION("IFERROR(GOOGLETRANSLATE(A885,""ko"",""en""),)"),"")</f>
        <v/>
      </c>
      <c r="C885" s="4" t="str">
        <f ca="1">IFERROR(__xludf.DUMMYFUNCTION("IFERROR(GOOGLETRANSLATE(B885,""en"",""ja""),)"),"")</f>
        <v/>
      </c>
      <c r="D885" s="4" t="str">
        <f ca="1">IFERROR(__xludf.DUMMYFUNCTION("IFERROR(GOOGLETRANSLATE(B885,""en"",""zh-TW""),)"),"")</f>
        <v/>
      </c>
      <c r="E885" s="4" t="str">
        <f ca="1">IFERROR(__xludf.DUMMYFUNCTION("IFERROR(GOOGLETRANSLATE(B885,""en"",""zh-CN""),)"),"")</f>
        <v/>
      </c>
    </row>
    <row r="886" spans="1:5">
      <c r="A886" s="3"/>
      <c r="B886" s="4" t="str">
        <f ca="1">IFERROR(__xludf.DUMMYFUNCTION("IFERROR(GOOGLETRANSLATE(A886,""ko"",""en""),)"),"")</f>
        <v/>
      </c>
      <c r="C886" s="4" t="str">
        <f ca="1">IFERROR(__xludf.DUMMYFUNCTION("IFERROR(GOOGLETRANSLATE(B886,""en"",""ja""),)"),"")</f>
        <v/>
      </c>
      <c r="D886" s="4" t="str">
        <f ca="1">IFERROR(__xludf.DUMMYFUNCTION("IFERROR(GOOGLETRANSLATE(B886,""en"",""zh-TW""),)"),"")</f>
        <v/>
      </c>
      <c r="E886" s="4" t="str">
        <f ca="1">IFERROR(__xludf.DUMMYFUNCTION("IFERROR(GOOGLETRANSLATE(B886,""en"",""zh-CN""),)"),"")</f>
        <v/>
      </c>
    </row>
    <row r="887" spans="1:5">
      <c r="A887" s="3"/>
      <c r="B887" s="4" t="str">
        <f ca="1">IFERROR(__xludf.DUMMYFUNCTION("IFERROR(GOOGLETRANSLATE(A887,""ko"",""en""),)"),"")</f>
        <v/>
      </c>
      <c r="C887" s="4" t="str">
        <f ca="1">IFERROR(__xludf.DUMMYFUNCTION("IFERROR(GOOGLETRANSLATE(B887,""en"",""ja""),)"),"")</f>
        <v/>
      </c>
      <c r="D887" s="4" t="str">
        <f ca="1">IFERROR(__xludf.DUMMYFUNCTION("IFERROR(GOOGLETRANSLATE(B887,""en"",""zh-TW""),)"),"")</f>
        <v/>
      </c>
      <c r="E887" s="4" t="str">
        <f ca="1">IFERROR(__xludf.DUMMYFUNCTION("IFERROR(GOOGLETRANSLATE(B887,""en"",""zh-CN""),)"),"")</f>
        <v/>
      </c>
    </row>
    <row r="888" spans="1:5">
      <c r="A888" s="3"/>
      <c r="B888" s="4" t="str">
        <f ca="1">IFERROR(__xludf.DUMMYFUNCTION("IFERROR(GOOGLETRANSLATE(A888,""ko"",""en""),)"),"")</f>
        <v/>
      </c>
      <c r="C888" s="4" t="str">
        <f ca="1">IFERROR(__xludf.DUMMYFUNCTION("IFERROR(GOOGLETRANSLATE(B888,""en"",""ja""),)"),"")</f>
        <v/>
      </c>
      <c r="D888" s="4" t="str">
        <f ca="1">IFERROR(__xludf.DUMMYFUNCTION("IFERROR(GOOGLETRANSLATE(B888,""en"",""zh-TW""),)"),"")</f>
        <v/>
      </c>
      <c r="E888" s="4" t="str">
        <f ca="1">IFERROR(__xludf.DUMMYFUNCTION("IFERROR(GOOGLETRANSLATE(B888,""en"",""zh-CN""),)"),"")</f>
        <v/>
      </c>
    </row>
    <row r="889" spans="1:5">
      <c r="A889" s="3"/>
      <c r="B889" s="4" t="str">
        <f ca="1">IFERROR(__xludf.DUMMYFUNCTION("IFERROR(GOOGLETRANSLATE(A889,""ko"",""en""),)"),"")</f>
        <v/>
      </c>
      <c r="C889" s="4" t="str">
        <f ca="1">IFERROR(__xludf.DUMMYFUNCTION("IFERROR(GOOGLETRANSLATE(B889,""en"",""ja""),)"),"")</f>
        <v/>
      </c>
      <c r="D889" s="4" t="str">
        <f ca="1">IFERROR(__xludf.DUMMYFUNCTION("IFERROR(GOOGLETRANSLATE(B889,""en"",""zh-TW""),)"),"")</f>
        <v/>
      </c>
      <c r="E889" s="4" t="str">
        <f ca="1">IFERROR(__xludf.DUMMYFUNCTION("IFERROR(GOOGLETRANSLATE(B889,""en"",""zh-CN""),)"),"")</f>
        <v/>
      </c>
    </row>
    <row r="890" spans="1:5">
      <c r="A890" s="3"/>
      <c r="B890" s="4" t="str">
        <f ca="1">IFERROR(__xludf.DUMMYFUNCTION("IFERROR(GOOGLETRANSLATE(A890,""ko"",""en""),)"),"")</f>
        <v/>
      </c>
      <c r="C890" s="4" t="str">
        <f ca="1">IFERROR(__xludf.DUMMYFUNCTION("IFERROR(GOOGLETRANSLATE(B890,""en"",""ja""),)"),"")</f>
        <v/>
      </c>
      <c r="D890" s="4" t="str">
        <f ca="1">IFERROR(__xludf.DUMMYFUNCTION("IFERROR(GOOGLETRANSLATE(B890,""en"",""zh-TW""),)"),"")</f>
        <v/>
      </c>
      <c r="E890" s="4" t="str">
        <f ca="1">IFERROR(__xludf.DUMMYFUNCTION("IFERROR(GOOGLETRANSLATE(B890,""en"",""zh-CN""),)"),"")</f>
        <v/>
      </c>
    </row>
    <row r="891" spans="1:5">
      <c r="A891" s="3"/>
      <c r="B891" s="4" t="str">
        <f ca="1">IFERROR(__xludf.DUMMYFUNCTION("IFERROR(GOOGLETRANSLATE(A891,""ko"",""en""),)"),"")</f>
        <v/>
      </c>
      <c r="C891" s="4" t="str">
        <f ca="1">IFERROR(__xludf.DUMMYFUNCTION("IFERROR(GOOGLETRANSLATE(B891,""en"",""ja""),)"),"")</f>
        <v/>
      </c>
      <c r="D891" s="4" t="str">
        <f ca="1">IFERROR(__xludf.DUMMYFUNCTION("IFERROR(GOOGLETRANSLATE(B891,""en"",""zh-TW""),)"),"")</f>
        <v/>
      </c>
      <c r="E891" s="4" t="str">
        <f ca="1">IFERROR(__xludf.DUMMYFUNCTION("IFERROR(GOOGLETRANSLATE(B891,""en"",""zh-CN""),)"),"")</f>
        <v/>
      </c>
    </row>
    <row r="892" spans="1:5">
      <c r="A892" s="3"/>
      <c r="B892" s="4" t="str">
        <f ca="1">IFERROR(__xludf.DUMMYFUNCTION("IFERROR(GOOGLETRANSLATE(A892,""ko"",""en""),)"),"")</f>
        <v/>
      </c>
      <c r="C892" s="4" t="str">
        <f ca="1">IFERROR(__xludf.DUMMYFUNCTION("IFERROR(GOOGLETRANSLATE(B892,""en"",""ja""),)"),"")</f>
        <v/>
      </c>
      <c r="D892" s="4" t="str">
        <f ca="1">IFERROR(__xludf.DUMMYFUNCTION("IFERROR(GOOGLETRANSLATE(B892,""en"",""zh-TW""),)"),"")</f>
        <v/>
      </c>
      <c r="E892" s="4" t="str">
        <f ca="1">IFERROR(__xludf.DUMMYFUNCTION("IFERROR(GOOGLETRANSLATE(B892,""en"",""zh-CN""),)"),"")</f>
        <v/>
      </c>
    </row>
    <row r="893" spans="1:5">
      <c r="A893" s="3"/>
      <c r="B893" s="4" t="str">
        <f ca="1">IFERROR(__xludf.DUMMYFUNCTION("IFERROR(GOOGLETRANSLATE(A893,""ko"",""en""),)"),"")</f>
        <v/>
      </c>
      <c r="C893" s="4" t="str">
        <f ca="1">IFERROR(__xludf.DUMMYFUNCTION("IFERROR(GOOGLETRANSLATE(B893,""en"",""ja""),)"),"")</f>
        <v/>
      </c>
      <c r="D893" s="4" t="str">
        <f ca="1">IFERROR(__xludf.DUMMYFUNCTION("IFERROR(GOOGLETRANSLATE(B893,""en"",""zh-TW""),)"),"")</f>
        <v/>
      </c>
      <c r="E893" s="4" t="str">
        <f ca="1">IFERROR(__xludf.DUMMYFUNCTION("IFERROR(GOOGLETRANSLATE(B893,""en"",""zh-CN""),)"),"")</f>
        <v/>
      </c>
    </row>
    <row r="894" spans="1:5">
      <c r="A894" s="3"/>
      <c r="B894" s="4" t="str">
        <f ca="1">IFERROR(__xludf.DUMMYFUNCTION("IFERROR(GOOGLETRANSLATE(A894,""ko"",""en""),)"),"")</f>
        <v/>
      </c>
      <c r="C894" s="4" t="str">
        <f ca="1">IFERROR(__xludf.DUMMYFUNCTION("IFERROR(GOOGLETRANSLATE(B894,""en"",""ja""),)"),"")</f>
        <v/>
      </c>
      <c r="D894" s="4" t="str">
        <f ca="1">IFERROR(__xludf.DUMMYFUNCTION("IFERROR(GOOGLETRANSLATE(B894,""en"",""zh-TW""),)"),"")</f>
        <v/>
      </c>
      <c r="E894" s="4" t="str">
        <f ca="1">IFERROR(__xludf.DUMMYFUNCTION("IFERROR(GOOGLETRANSLATE(B894,""en"",""zh-CN""),)"),"")</f>
        <v/>
      </c>
    </row>
    <row r="895" spans="1:5">
      <c r="A895" s="3"/>
      <c r="B895" s="4" t="str">
        <f ca="1">IFERROR(__xludf.DUMMYFUNCTION("IFERROR(GOOGLETRANSLATE(A895,""ko"",""en""),)"),"")</f>
        <v/>
      </c>
      <c r="C895" s="4" t="str">
        <f ca="1">IFERROR(__xludf.DUMMYFUNCTION("IFERROR(GOOGLETRANSLATE(B895,""en"",""ja""),)"),"")</f>
        <v/>
      </c>
      <c r="D895" s="4" t="str">
        <f ca="1">IFERROR(__xludf.DUMMYFUNCTION("IFERROR(GOOGLETRANSLATE(B895,""en"",""zh-TW""),)"),"")</f>
        <v/>
      </c>
      <c r="E895" s="4" t="str">
        <f ca="1">IFERROR(__xludf.DUMMYFUNCTION("IFERROR(GOOGLETRANSLATE(B895,""en"",""zh-CN""),)"),"")</f>
        <v/>
      </c>
    </row>
    <row r="896" spans="1:5">
      <c r="A896" s="3"/>
      <c r="B896" s="4" t="str">
        <f ca="1">IFERROR(__xludf.DUMMYFUNCTION("IFERROR(GOOGLETRANSLATE(A896,""ko"",""en""),)"),"")</f>
        <v/>
      </c>
      <c r="C896" s="4" t="str">
        <f ca="1">IFERROR(__xludf.DUMMYFUNCTION("IFERROR(GOOGLETRANSLATE(B896,""en"",""ja""),)"),"")</f>
        <v/>
      </c>
      <c r="D896" s="4" t="str">
        <f ca="1">IFERROR(__xludf.DUMMYFUNCTION("IFERROR(GOOGLETRANSLATE(B896,""en"",""zh-TW""),)"),"")</f>
        <v/>
      </c>
      <c r="E896" s="4" t="str">
        <f ca="1">IFERROR(__xludf.DUMMYFUNCTION("IFERROR(GOOGLETRANSLATE(B896,""en"",""zh-CN""),)"),"")</f>
        <v/>
      </c>
    </row>
    <row r="897" spans="1:5">
      <c r="A897" s="3"/>
      <c r="B897" s="4" t="str">
        <f ca="1">IFERROR(__xludf.DUMMYFUNCTION("IFERROR(GOOGLETRANSLATE(A897,""ko"",""en""),)"),"")</f>
        <v/>
      </c>
      <c r="C897" s="4" t="str">
        <f ca="1">IFERROR(__xludf.DUMMYFUNCTION("IFERROR(GOOGLETRANSLATE(B897,""en"",""ja""),)"),"")</f>
        <v/>
      </c>
      <c r="D897" s="4" t="str">
        <f ca="1">IFERROR(__xludf.DUMMYFUNCTION("IFERROR(GOOGLETRANSLATE(B897,""en"",""zh-TW""),)"),"")</f>
        <v/>
      </c>
      <c r="E897" s="4" t="str">
        <f ca="1">IFERROR(__xludf.DUMMYFUNCTION("IFERROR(GOOGLETRANSLATE(B897,""en"",""zh-CN""),)"),"")</f>
        <v/>
      </c>
    </row>
    <row r="898" spans="1:5">
      <c r="A898" s="3"/>
      <c r="B898" s="4" t="str">
        <f ca="1">IFERROR(__xludf.DUMMYFUNCTION("IFERROR(GOOGLETRANSLATE(A898,""ko"",""en""),)"),"")</f>
        <v/>
      </c>
      <c r="C898" s="4" t="str">
        <f ca="1">IFERROR(__xludf.DUMMYFUNCTION("IFERROR(GOOGLETRANSLATE(B898,""en"",""ja""),)"),"")</f>
        <v/>
      </c>
      <c r="D898" s="4" t="str">
        <f ca="1">IFERROR(__xludf.DUMMYFUNCTION("IFERROR(GOOGLETRANSLATE(B898,""en"",""zh-TW""),)"),"")</f>
        <v/>
      </c>
      <c r="E898" s="4" t="str">
        <f ca="1">IFERROR(__xludf.DUMMYFUNCTION("IFERROR(GOOGLETRANSLATE(B898,""en"",""zh-CN""),)"),"")</f>
        <v/>
      </c>
    </row>
    <row r="899" spans="1:5">
      <c r="A899" s="3"/>
      <c r="B899" s="4" t="str">
        <f ca="1">IFERROR(__xludf.DUMMYFUNCTION("IFERROR(GOOGLETRANSLATE(A899,""ko"",""en""),)"),"")</f>
        <v/>
      </c>
      <c r="C899" s="4" t="str">
        <f ca="1">IFERROR(__xludf.DUMMYFUNCTION("IFERROR(GOOGLETRANSLATE(B899,""en"",""ja""),)"),"")</f>
        <v/>
      </c>
      <c r="D899" s="4" t="str">
        <f ca="1">IFERROR(__xludf.DUMMYFUNCTION("IFERROR(GOOGLETRANSLATE(B899,""en"",""zh-TW""),)"),"")</f>
        <v/>
      </c>
      <c r="E899" s="4" t="str">
        <f ca="1">IFERROR(__xludf.DUMMYFUNCTION("IFERROR(GOOGLETRANSLATE(B899,""en"",""zh-CN""),)"),"")</f>
        <v/>
      </c>
    </row>
    <row r="900" spans="1:5">
      <c r="A900" s="3"/>
      <c r="B900" s="4" t="str">
        <f ca="1">IFERROR(__xludf.DUMMYFUNCTION("IFERROR(GOOGLETRANSLATE(A900,""ko"",""en""),)"),"")</f>
        <v/>
      </c>
      <c r="C900" s="4" t="str">
        <f ca="1">IFERROR(__xludf.DUMMYFUNCTION("IFERROR(GOOGLETRANSLATE(B900,""en"",""ja""),)"),"")</f>
        <v/>
      </c>
      <c r="D900" s="4" t="str">
        <f ca="1">IFERROR(__xludf.DUMMYFUNCTION("IFERROR(GOOGLETRANSLATE(B900,""en"",""zh-TW""),)"),"")</f>
        <v/>
      </c>
      <c r="E900" s="4" t="str">
        <f ca="1">IFERROR(__xludf.DUMMYFUNCTION("IFERROR(GOOGLETRANSLATE(B900,""en"",""zh-CN""),)"),"")</f>
        <v/>
      </c>
    </row>
    <row r="901" spans="1:5">
      <c r="A901" s="3"/>
      <c r="B901" s="4" t="str">
        <f ca="1">IFERROR(__xludf.DUMMYFUNCTION("IFERROR(GOOGLETRANSLATE(A901,""ko"",""en""),)"),"")</f>
        <v/>
      </c>
      <c r="C901" s="4" t="str">
        <f ca="1">IFERROR(__xludf.DUMMYFUNCTION("IFERROR(GOOGLETRANSLATE(B901,""en"",""ja""),)"),"")</f>
        <v/>
      </c>
      <c r="D901" s="4" t="str">
        <f ca="1">IFERROR(__xludf.DUMMYFUNCTION("IFERROR(GOOGLETRANSLATE(B901,""en"",""zh-TW""),)"),"")</f>
        <v/>
      </c>
      <c r="E901" s="4" t="str">
        <f ca="1">IFERROR(__xludf.DUMMYFUNCTION("IFERROR(GOOGLETRANSLATE(B901,""en"",""zh-CN""),)"),"")</f>
        <v/>
      </c>
    </row>
    <row r="902" spans="1:5">
      <c r="A902" s="3"/>
      <c r="B902" s="4" t="str">
        <f ca="1">IFERROR(__xludf.DUMMYFUNCTION("IFERROR(GOOGLETRANSLATE(A902,""ko"",""en""),)"),"")</f>
        <v/>
      </c>
      <c r="C902" s="4" t="str">
        <f ca="1">IFERROR(__xludf.DUMMYFUNCTION("IFERROR(GOOGLETRANSLATE(B902,""en"",""ja""),)"),"")</f>
        <v/>
      </c>
      <c r="D902" s="4" t="str">
        <f ca="1">IFERROR(__xludf.DUMMYFUNCTION("IFERROR(GOOGLETRANSLATE(B902,""en"",""zh-TW""),)"),"")</f>
        <v/>
      </c>
      <c r="E902" s="4" t="str">
        <f ca="1">IFERROR(__xludf.DUMMYFUNCTION("IFERROR(GOOGLETRANSLATE(B902,""en"",""zh-CN""),)"),"")</f>
        <v/>
      </c>
    </row>
    <row r="903" spans="1:5">
      <c r="A903" s="3"/>
      <c r="B903" s="4" t="str">
        <f ca="1">IFERROR(__xludf.DUMMYFUNCTION("IFERROR(GOOGLETRANSLATE(A903,""ko"",""en""),)"),"")</f>
        <v/>
      </c>
      <c r="C903" s="4" t="str">
        <f ca="1">IFERROR(__xludf.DUMMYFUNCTION("IFERROR(GOOGLETRANSLATE(B903,""en"",""ja""),)"),"")</f>
        <v/>
      </c>
      <c r="D903" s="4" t="str">
        <f ca="1">IFERROR(__xludf.DUMMYFUNCTION("IFERROR(GOOGLETRANSLATE(B903,""en"",""zh-TW""),)"),"")</f>
        <v/>
      </c>
      <c r="E903" s="4" t="str">
        <f ca="1">IFERROR(__xludf.DUMMYFUNCTION("IFERROR(GOOGLETRANSLATE(B903,""en"",""zh-CN""),)"),"")</f>
        <v/>
      </c>
    </row>
    <row r="904" spans="1:5">
      <c r="A904" s="3"/>
      <c r="B904" s="4" t="str">
        <f ca="1">IFERROR(__xludf.DUMMYFUNCTION("IFERROR(GOOGLETRANSLATE(A904,""ko"",""en""),)"),"")</f>
        <v/>
      </c>
      <c r="C904" s="4" t="str">
        <f ca="1">IFERROR(__xludf.DUMMYFUNCTION("IFERROR(GOOGLETRANSLATE(B904,""en"",""ja""),)"),"")</f>
        <v/>
      </c>
      <c r="D904" s="4" t="str">
        <f ca="1">IFERROR(__xludf.DUMMYFUNCTION("IFERROR(GOOGLETRANSLATE(B904,""en"",""zh-TW""),)"),"")</f>
        <v/>
      </c>
      <c r="E904" s="4" t="str">
        <f ca="1">IFERROR(__xludf.DUMMYFUNCTION("IFERROR(GOOGLETRANSLATE(B904,""en"",""zh-CN""),)"),"")</f>
        <v/>
      </c>
    </row>
    <row r="905" spans="1:5">
      <c r="A905" s="3"/>
      <c r="B905" s="4" t="str">
        <f ca="1">IFERROR(__xludf.DUMMYFUNCTION("IFERROR(GOOGLETRANSLATE(A905,""ko"",""en""),)"),"")</f>
        <v/>
      </c>
      <c r="C905" s="4" t="str">
        <f ca="1">IFERROR(__xludf.DUMMYFUNCTION("IFERROR(GOOGLETRANSLATE(B905,""en"",""ja""),)"),"")</f>
        <v/>
      </c>
      <c r="D905" s="4" t="str">
        <f ca="1">IFERROR(__xludf.DUMMYFUNCTION("IFERROR(GOOGLETRANSLATE(B905,""en"",""zh-TW""),)"),"")</f>
        <v/>
      </c>
      <c r="E905" s="4" t="str">
        <f ca="1">IFERROR(__xludf.DUMMYFUNCTION("IFERROR(GOOGLETRANSLATE(B905,""en"",""zh-CN""),)"),"")</f>
        <v/>
      </c>
    </row>
    <row r="906" spans="1:5">
      <c r="A906" s="3"/>
      <c r="B906" s="4" t="str">
        <f ca="1">IFERROR(__xludf.DUMMYFUNCTION("IFERROR(GOOGLETRANSLATE(A906,""ko"",""en""),)"),"")</f>
        <v/>
      </c>
      <c r="C906" s="4" t="str">
        <f ca="1">IFERROR(__xludf.DUMMYFUNCTION("IFERROR(GOOGLETRANSLATE(B906,""en"",""ja""),)"),"")</f>
        <v/>
      </c>
      <c r="D906" s="4" t="str">
        <f ca="1">IFERROR(__xludf.DUMMYFUNCTION("IFERROR(GOOGLETRANSLATE(B906,""en"",""zh-TW""),)"),"")</f>
        <v/>
      </c>
      <c r="E906" s="4" t="str">
        <f ca="1">IFERROR(__xludf.DUMMYFUNCTION("IFERROR(GOOGLETRANSLATE(B906,""en"",""zh-CN""),)"),"")</f>
        <v/>
      </c>
    </row>
    <row r="907" spans="1:5">
      <c r="A907" s="3"/>
      <c r="B907" s="4" t="str">
        <f ca="1">IFERROR(__xludf.DUMMYFUNCTION("IFERROR(GOOGLETRANSLATE(A907,""ko"",""en""),)"),"")</f>
        <v/>
      </c>
      <c r="C907" s="4" t="str">
        <f ca="1">IFERROR(__xludf.DUMMYFUNCTION("IFERROR(GOOGLETRANSLATE(B907,""en"",""ja""),)"),"")</f>
        <v/>
      </c>
      <c r="D907" s="4" t="str">
        <f ca="1">IFERROR(__xludf.DUMMYFUNCTION("IFERROR(GOOGLETRANSLATE(B907,""en"",""zh-TW""),)"),"")</f>
        <v/>
      </c>
      <c r="E907" s="4" t="str">
        <f ca="1">IFERROR(__xludf.DUMMYFUNCTION("IFERROR(GOOGLETRANSLATE(B907,""en"",""zh-CN""),)"),"")</f>
        <v/>
      </c>
    </row>
    <row r="908" spans="1:5">
      <c r="A908" s="3"/>
      <c r="B908" s="4" t="str">
        <f ca="1">IFERROR(__xludf.DUMMYFUNCTION("IFERROR(GOOGLETRANSLATE(A908,""ko"",""en""),)"),"")</f>
        <v/>
      </c>
      <c r="C908" s="4" t="str">
        <f ca="1">IFERROR(__xludf.DUMMYFUNCTION("IFERROR(GOOGLETRANSLATE(B908,""en"",""ja""),)"),"")</f>
        <v/>
      </c>
      <c r="D908" s="4" t="str">
        <f ca="1">IFERROR(__xludf.DUMMYFUNCTION("IFERROR(GOOGLETRANSLATE(B908,""en"",""zh-TW""),)"),"")</f>
        <v/>
      </c>
      <c r="E908" s="4" t="str">
        <f ca="1">IFERROR(__xludf.DUMMYFUNCTION("IFERROR(GOOGLETRANSLATE(B908,""en"",""zh-CN""),)"),"")</f>
        <v/>
      </c>
    </row>
    <row r="909" spans="1:5">
      <c r="A909" s="3"/>
      <c r="B909" s="4" t="str">
        <f ca="1">IFERROR(__xludf.DUMMYFUNCTION("IFERROR(GOOGLETRANSLATE(A909,""ko"",""en""),)"),"")</f>
        <v/>
      </c>
      <c r="C909" s="4" t="str">
        <f ca="1">IFERROR(__xludf.DUMMYFUNCTION("IFERROR(GOOGLETRANSLATE(B909,""en"",""ja""),)"),"")</f>
        <v/>
      </c>
      <c r="D909" s="4" t="str">
        <f ca="1">IFERROR(__xludf.DUMMYFUNCTION("IFERROR(GOOGLETRANSLATE(B909,""en"",""zh-TW""),)"),"")</f>
        <v/>
      </c>
      <c r="E909" s="4" t="str">
        <f ca="1">IFERROR(__xludf.DUMMYFUNCTION("IFERROR(GOOGLETRANSLATE(B909,""en"",""zh-CN""),)"),"")</f>
        <v/>
      </c>
    </row>
    <row r="910" spans="1:5">
      <c r="A910" s="3"/>
      <c r="B910" s="4" t="str">
        <f ca="1">IFERROR(__xludf.DUMMYFUNCTION("IFERROR(GOOGLETRANSLATE(A910,""ko"",""en""),)"),"")</f>
        <v/>
      </c>
      <c r="C910" s="4" t="str">
        <f ca="1">IFERROR(__xludf.DUMMYFUNCTION("IFERROR(GOOGLETRANSLATE(B910,""en"",""ja""),)"),"")</f>
        <v/>
      </c>
      <c r="D910" s="4" t="str">
        <f ca="1">IFERROR(__xludf.DUMMYFUNCTION("IFERROR(GOOGLETRANSLATE(B910,""en"",""zh-TW""),)"),"")</f>
        <v/>
      </c>
      <c r="E910" s="4" t="str">
        <f ca="1">IFERROR(__xludf.DUMMYFUNCTION("IFERROR(GOOGLETRANSLATE(B910,""en"",""zh-CN""),)"),"")</f>
        <v/>
      </c>
    </row>
    <row r="911" spans="1:5">
      <c r="A911" s="3"/>
      <c r="B911" s="4" t="str">
        <f ca="1">IFERROR(__xludf.DUMMYFUNCTION("IFERROR(GOOGLETRANSLATE(A911,""ko"",""en""),)"),"")</f>
        <v/>
      </c>
      <c r="C911" s="4" t="str">
        <f ca="1">IFERROR(__xludf.DUMMYFUNCTION("IFERROR(GOOGLETRANSLATE(B911,""en"",""ja""),)"),"")</f>
        <v/>
      </c>
      <c r="D911" s="4" t="str">
        <f ca="1">IFERROR(__xludf.DUMMYFUNCTION("IFERROR(GOOGLETRANSLATE(B911,""en"",""zh-TW""),)"),"")</f>
        <v/>
      </c>
      <c r="E911" s="4" t="str">
        <f ca="1">IFERROR(__xludf.DUMMYFUNCTION("IFERROR(GOOGLETRANSLATE(B911,""en"",""zh-CN""),)"),"")</f>
        <v/>
      </c>
    </row>
    <row r="912" spans="1:5">
      <c r="A912" s="3"/>
      <c r="B912" s="4" t="str">
        <f ca="1">IFERROR(__xludf.DUMMYFUNCTION("IFERROR(GOOGLETRANSLATE(A912,""ko"",""en""),)"),"")</f>
        <v/>
      </c>
      <c r="C912" s="4" t="str">
        <f ca="1">IFERROR(__xludf.DUMMYFUNCTION("IFERROR(GOOGLETRANSLATE(B912,""en"",""ja""),)"),"")</f>
        <v/>
      </c>
      <c r="D912" s="4" t="str">
        <f ca="1">IFERROR(__xludf.DUMMYFUNCTION("IFERROR(GOOGLETRANSLATE(B912,""en"",""zh-TW""),)"),"")</f>
        <v/>
      </c>
      <c r="E912" s="4" t="str">
        <f ca="1">IFERROR(__xludf.DUMMYFUNCTION("IFERROR(GOOGLETRANSLATE(B912,""en"",""zh-CN""),)"),"")</f>
        <v/>
      </c>
    </row>
    <row r="913" spans="1:5">
      <c r="A913" s="3"/>
      <c r="B913" s="4" t="str">
        <f ca="1">IFERROR(__xludf.DUMMYFUNCTION("IFERROR(GOOGLETRANSLATE(A913,""ko"",""en""),)"),"")</f>
        <v/>
      </c>
      <c r="C913" s="4" t="str">
        <f ca="1">IFERROR(__xludf.DUMMYFUNCTION("IFERROR(GOOGLETRANSLATE(B913,""en"",""ja""),)"),"")</f>
        <v/>
      </c>
      <c r="D913" s="4" t="str">
        <f ca="1">IFERROR(__xludf.DUMMYFUNCTION("IFERROR(GOOGLETRANSLATE(B913,""en"",""zh-TW""),)"),"")</f>
        <v/>
      </c>
      <c r="E913" s="4" t="str">
        <f ca="1">IFERROR(__xludf.DUMMYFUNCTION("IFERROR(GOOGLETRANSLATE(B913,""en"",""zh-CN""),)"),"")</f>
        <v/>
      </c>
    </row>
    <row r="914" spans="1:5">
      <c r="A914" s="3"/>
      <c r="B914" s="4" t="str">
        <f ca="1">IFERROR(__xludf.DUMMYFUNCTION("IFERROR(GOOGLETRANSLATE(A914,""ko"",""en""),)"),"")</f>
        <v/>
      </c>
      <c r="C914" s="4" t="str">
        <f ca="1">IFERROR(__xludf.DUMMYFUNCTION("IFERROR(GOOGLETRANSLATE(B914,""en"",""ja""),)"),"")</f>
        <v/>
      </c>
      <c r="D914" s="4" t="str">
        <f ca="1">IFERROR(__xludf.DUMMYFUNCTION("IFERROR(GOOGLETRANSLATE(B914,""en"",""zh-TW""),)"),"")</f>
        <v/>
      </c>
      <c r="E914" s="4" t="str">
        <f ca="1">IFERROR(__xludf.DUMMYFUNCTION("IFERROR(GOOGLETRANSLATE(B914,""en"",""zh-CN""),)"),"")</f>
        <v/>
      </c>
    </row>
    <row r="915" spans="1:5">
      <c r="A915" s="3"/>
      <c r="B915" s="4" t="str">
        <f ca="1">IFERROR(__xludf.DUMMYFUNCTION("IFERROR(GOOGLETRANSLATE(A915,""ko"",""en""),)"),"")</f>
        <v/>
      </c>
      <c r="C915" s="4" t="str">
        <f ca="1">IFERROR(__xludf.DUMMYFUNCTION("IFERROR(GOOGLETRANSLATE(B915,""en"",""ja""),)"),"")</f>
        <v/>
      </c>
      <c r="D915" s="4" t="str">
        <f ca="1">IFERROR(__xludf.DUMMYFUNCTION("IFERROR(GOOGLETRANSLATE(B915,""en"",""zh-TW""),)"),"")</f>
        <v/>
      </c>
      <c r="E915" s="4" t="str">
        <f ca="1">IFERROR(__xludf.DUMMYFUNCTION("IFERROR(GOOGLETRANSLATE(B915,""en"",""zh-CN""),)"),"")</f>
        <v/>
      </c>
    </row>
    <row r="916" spans="1:5">
      <c r="A916" s="3"/>
      <c r="B916" s="4" t="str">
        <f ca="1">IFERROR(__xludf.DUMMYFUNCTION("IFERROR(GOOGLETRANSLATE(A916,""ko"",""en""),)"),"")</f>
        <v/>
      </c>
      <c r="C916" s="4" t="str">
        <f ca="1">IFERROR(__xludf.DUMMYFUNCTION("IFERROR(GOOGLETRANSLATE(B916,""en"",""ja""),)"),"")</f>
        <v/>
      </c>
      <c r="D916" s="4" t="str">
        <f ca="1">IFERROR(__xludf.DUMMYFUNCTION("IFERROR(GOOGLETRANSLATE(B916,""en"",""zh-TW""),)"),"")</f>
        <v/>
      </c>
      <c r="E916" s="4" t="str">
        <f ca="1">IFERROR(__xludf.DUMMYFUNCTION("IFERROR(GOOGLETRANSLATE(B916,""en"",""zh-CN""),)"),"")</f>
        <v/>
      </c>
    </row>
    <row r="917" spans="1:5">
      <c r="A917" s="3"/>
      <c r="B917" s="4" t="str">
        <f ca="1">IFERROR(__xludf.DUMMYFUNCTION("IFERROR(GOOGLETRANSLATE(A917,""ko"",""en""),)"),"")</f>
        <v/>
      </c>
      <c r="C917" s="4" t="str">
        <f ca="1">IFERROR(__xludf.DUMMYFUNCTION("IFERROR(GOOGLETRANSLATE(B917,""en"",""ja""),)"),"")</f>
        <v/>
      </c>
      <c r="D917" s="4" t="str">
        <f ca="1">IFERROR(__xludf.DUMMYFUNCTION("IFERROR(GOOGLETRANSLATE(B917,""en"",""zh-TW""),)"),"")</f>
        <v/>
      </c>
      <c r="E917" s="4" t="str">
        <f ca="1">IFERROR(__xludf.DUMMYFUNCTION("IFERROR(GOOGLETRANSLATE(B917,""en"",""zh-CN""),)"),"")</f>
        <v/>
      </c>
    </row>
    <row r="918" spans="1:5">
      <c r="A918" s="3"/>
      <c r="B918" s="4" t="str">
        <f ca="1">IFERROR(__xludf.DUMMYFUNCTION("IFERROR(GOOGLETRANSLATE(A918,""ko"",""en""),)"),"")</f>
        <v/>
      </c>
      <c r="C918" s="4" t="str">
        <f ca="1">IFERROR(__xludf.DUMMYFUNCTION("IFERROR(GOOGLETRANSLATE(B918,""en"",""ja""),)"),"")</f>
        <v/>
      </c>
      <c r="D918" s="4" t="str">
        <f ca="1">IFERROR(__xludf.DUMMYFUNCTION("IFERROR(GOOGLETRANSLATE(B918,""en"",""zh-TW""),)"),"")</f>
        <v/>
      </c>
      <c r="E918" s="4" t="str">
        <f ca="1">IFERROR(__xludf.DUMMYFUNCTION("IFERROR(GOOGLETRANSLATE(B918,""en"",""zh-CN""),)"),"")</f>
        <v/>
      </c>
    </row>
    <row r="919" spans="1:5">
      <c r="A919" s="3"/>
      <c r="B919" s="4" t="str">
        <f ca="1">IFERROR(__xludf.DUMMYFUNCTION("IFERROR(GOOGLETRANSLATE(A919,""ko"",""en""),)"),"")</f>
        <v/>
      </c>
      <c r="C919" s="4" t="str">
        <f ca="1">IFERROR(__xludf.DUMMYFUNCTION("IFERROR(GOOGLETRANSLATE(B919,""en"",""ja""),)"),"")</f>
        <v/>
      </c>
      <c r="D919" s="4" t="str">
        <f ca="1">IFERROR(__xludf.DUMMYFUNCTION("IFERROR(GOOGLETRANSLATE(B919,""en"",""zh-TW""),)"),"")</f>
        <v/>
      </c>
      <c r="E919" s="4" t="str">
        <f ca="1">IFERROR(__xludf.DUMMYFUNCTION("IFERROR(GOOGLETRANSLATE(B919,""en"",""zh-CN""),)"),"")</f>
        <v/>
      </c>
    </row>
    <row r="920" spans="1:5">
      <c r="A920" s="3"/>
      <c r="B920" s="4" t="str">
        <f ca="1">IFERROR(__xludf.DUMMYFUNCTION("IFERROR(GOOGLETRANSLATE(A920,""ko"",""en""),)"),"")</f>
        <v/>
      </c>
      <c r="C920" s="4" t="str">
        <f ca="1">IFERROR(__xludf.DUMMYFUNCTION("IFERROR(GOOGLETRANSLATE(B920,""en"",""ja""),)"),"")</f>
        <v/>
      </c>
      <c r="D920" s="4" t="str">
        <f ca="1">IFERROR(__xludf.DUMMYFUNCTION("IFERROR(GOOGLETRANSLATE(B920,""en"",""zh-TW""),)"),"")</f>
        <v/>
      </c>
      <c r="E920" s="4" t="str">
        <f ca="1">IFERROR(__xludf.DUMMYFUNCTION("IFERROR(GOOGLETRANSLATE(B920,""en"",""zh-CN""),)"),"")</f>
        <v/>
      </c>
    </row>
    <row r="921" spans="1:5">
      <c r="A921" s="3"/>
      <c r="B921" s="4" t="str">
        <f ca="1">IFERROR(__xludf.DUMMYFUNCTION("IFERROR(GOOGLETRANSLATE(A921,""ko"",""en""),)"),"")</f>
        <v/>
      </c>
      <c r="C921" s="4" t="str">
        <f ca="1">IFERROR(__xludf.DUMMYFUNCTION("IFERROR(GOOGLETRANSLATE(B921,""en"",""ja""),)"),"")</f>
        <v/>
      </c>
      <c r="D921" s="4" t="str">
        <f ca="1">IFERROR(__xludf.DUMMYFUNCTION("IFERROR(GOOGLETRANSLATE(B921,""en"",""zh-TW""),)"),"")</f>
        <v/>
      </c>
      <c r="E921" s="4" t="str">
        <f ca="1">IFERROR(__xludf.DUMMYFUNCTION("IFERROR(GOOGLETRANSLATE(B921,""en"",""zh-CN""),)"),"")</f>
        <v/>
      </c>
    </row>
    <row r="922" spans="1:5">
      <c r="A922" s="3"/>
      <c r="B922" s="4" t="str">
        <f ca="1">IFERROR(__xludf.DUMMYFUNCTION("IFERROR(GOOGLETRANSLATE(A922,""ko"",""en""),)"),"")</f>
        <v/>
      </c>
      <c r="C922" s="4" t="str">
        <f ca="1">IFERROR(__xludf.DUMMYFUNCTION("IFERROR(GOOGLETRANSLATE(B922,""en"",""ja""),)"),"")</f>
        <v/>
      </c>
      <c r="D922" s="4" t="str">
        <f ca="1">IFERROR(__xludf.DUMMYFUNCTION("IFERROR(GOOGLETRANSLATE(B922,""en"",""zh-TW""),)"),"")</f>
        <v/>
      </c>
      <c r="E922" s="4" t="str">
        <f ca="1">IFERROR(__xludf.DUMMYFUNCTION("IFERROR(GOOGLETRANSLATE(B922,""en"",""zh-CN""),)"),"")</f>
        <v/>
      </c>
    </row>
    <row r="923" spans="1:5">
      <c r="A923" s="3"/>
      <c r="B923" s="4" t="str">
        <f ca="1">IFERROR(__xludf.DUMMYFUNCTION("IFERROR(GOOGLETRANSLATE(A923,""ko"",""en""),)"),"")</f>
        <v/>
      </c>
      <c r="C923" s="4" t="str">
        <f ca="1">IFERROR(__xludf.DUMMYFUNCTION("IFERROR(GOOGLETRANSLATE(B923,""en"",""ja""),)"),"")</f>
        <v/>
      </c>
      <c r="D923" s="4" t="str">
        <f ca="1">IFERROR(__xludf.DUMMYFUNCTION("IFERROR(GOOGLETRANSLATE(B923,""en"",""zh-TW""),)"),"")</f>
        <v/>
      </c>
      <c r="E923" s="4" t="str">
        <f ca="1">IFERROR(__xludf.DUMMYFUNCTION("IFERROR(GOOGLETRANSLATE(B923,""en"",""zh-CN""),)"),"")</f>
        <v/>
      </c>
    </row>
    <row r="924" spans="1:5">
      <c r="A924" s="3"/>
      <c r="B924" s="4" t="str">
        <f ca="1">IFERROR(__xludf.DUMMYFUNCTION("IFERROR(GOOGLETRANSLATE(A924,""ko"",""en""),)"),"")</f>
        <v/>
      </c>
      <c r="C924" s="4" t="str">
        <f ca="1">IFERROR(__xludf.DUMMYFUNCTION("IFERROR(GOOGLETRANSLATE(B924,""en"",""ja""),)"),"")</f>
        <v/>
      </c>
      <c r="D924" s="4" t="str">
        <f ca="1">IFERROR(__xludf.DUMMYFUNCTION("IFERROR(GOOGLETRANSLATE(B924,""en"",""zh-TW""),)"),"")</f>
        <v/>
      </c>
      <c r="E924" s="4" t="str">
        <f ca="1">IFERROR(__xludf.DUMMYFUNCTION("IFERROR(GOOGLETRANSLATE(B924,""en"",""zh-CN""),)"),"")</f>
        <v/>
      </c>
    </row>
    <row r="925" spans="1:5">
      <c r="A925" s="3"/>
      <c r="B925" s="4" t="str">
        <f ca="1">IFERROR(__xludf.DUMMYFUNCTION("IFERROR(GOOGLETRANSLATE(A925,""ko"",""en""),)"),"")</f>
        <v/>
      </c>
      <c r="C925" s="4" t="str">
        <f ca="1">IFERROR(__xludf.DUMMYFUNCTION("IFERROR(GOOGLETRANSLATE(B925,""en"",""ja""),)"),"")</f>
        <v/>
      </c>
      <c r="D925" s="4" t="str">
        <f ca="1">IFERROR(__xludf.DUMMYFUNCTION("IFERROR(GOOGLETRANSLATE(B925,""en"",""zh-TW""),)"),"")</f>
        <v/>
      </c>
      <c r="E925" s="4" t="str">
        <f ca="1">IFERROR(__xludf.DUMMYFUNCTION("IFERROR(GOOGLETRANSLATE(B925,""en"",""zh-CN""),)"),"")</f>
        <v/>
      </c>
    </row>
    <row r="926" spans="1:5">
      <c r="A926" s="3"/>
      <c r="B926" s="4" t="str">
        <f ca="1">IFERROR(__xludf.DUMMYFUNCTION("IFERROR(GOOGLETRANSLATE(A926,""ko"",""en""),)"),"")</f>
        <v/>
      </c>
      <c r="C926" s="4" t="str">
        <f ca="1">IFERROR(__xludf.DUMMYFUNCTION("IFERROR(GOOGLETRANSLATE(B926,""en"",""ja""),)"),"")</f>
        <v/>
      </c>
      <c r="D926" s="4" t="str">
        <f ca="1">IFERROR(__xludf.DUMMYFUNCTION("IFERROR(GOOGLETRANSLATE(B926,""en"",""zh-TW""),)"),"")</f>
        <v/>
      </c>
      <c r="E926" s="4" t="str">
        <f ca="1">IFERROR(__xludf.DUMMYFUNCTION("IFERROR(GOOGLETRANSLATE(B926,""en"",""zh-CN""),)"),"")</f>
        <v/>
      </c>
    </row>
    <row r="927" spans="1:5">
      <c r="A927" s="3"/>
      <c r="B927" s="4" t="str">
        <f ca="1">IFERROR(__xludf.DUMMYFUNCTION("IFERROR(GOOGLETRANSLATE(A927,""ko"",""en""),)"),"")</f>
        <v/>
      </c>
      <c r="C927" s="4" t="str">
        <f ca="1">IFERROR(__xludf.DUMMYFUNCTION("IFERROR(GOOGLETRANSLATE(B927,""en"",""ja""),)"),"")</f>
        <v/>
      </c>
      <c r="D927" s="4" t="str">
        <f ca="1">IFERROR(__xludf.DUMMYFUNCTION("IFERROR(GOOGLETRANSLATE(B927,""en"",""zh-TW""),)"),"")</f>
        <v/>
      </c>
      <c r="E927" s="4" t="str">
        <f ca="1">IFERROR(__xludf.DUMMYFUNCTION("IFERROR(GOOGLETRANSLATE(B927,""en"",""zh-CN""),)"),"")</f>
        <v/>
      </c>
    </row>
    <row r="928" spans="1:5">
      <c r="A928" s="3"/>
      <c r="B928" s="4" t="str">
        <f ca="1">IFERROR(__xludf.DUMMYFUNCTION("IFERROR(GOOGLETRANSLATE(A928,""ko"",""en""),)"),"")</f>
        <v/>
      </c>
      <c r="C928" s="4" t="str">
        <f ca="1">IFERROR(__xludf.DUMMYFUNCTION("IFERROR(GOOGLETRANSLATE(B928,""en"",""ja""),)"),"")</f>
        <v/>
      </c>
      <c r="D928" s="4" t="str">
        <f ca="1">IFERROR(__xludf.DUMMYFUNCTION("IFERROR(GOOGLETRANSLATE(B928,""en"",""zh-TW""),)"),"")</f>
        <v/>
      </c>
      <c r="E928" s="4" t="str">
        <f ca="1">IFERROR(__xludf.DUMMYFUNCTION("IFERROR(GOOGLETRANSLATE(B928,""en"",""zh-CN""),)"),"")</f>
        <v/>
      </c>
    </row>
    <row r="929" spans="1:5">
      <c r="A929" s="3"/>
      <c r="B929" s="4" t="str">
        <f ca="1">IFERROR(__xludf.DUMMYFUNCTION("IFERROR(GOOGLETRANSLATE(A929,""ko"",""en""),)"),"")</f>
        <v/>
      </c>
      <c r="C929" s="4" t="str">
        <f ca="1">IFERROR(__xludf.DUMMYFUNCTION("IFERROR(GOOGLETRANSLATE(B929,""en"",""ja""),)"),"")</f>
        <v/>
      </c>
      <c r="D929" s="4" t="str">
        <f ca="1">IFERROR(__xludf.DUMMYFUNCTION("IFERROR(GOOGLETRANSLATE(B929,""en"",""zh-TW""),)"),"")</f>
        <v/>
      </c>
      <c r="E929" s="4" t="str">
        <f ca="1">IFERROR(__xludf.DUMMYFUNCTION("IFERROR(GOOGLETRANSLATE(B929,""en"",""zh-CN""),)"),"")</f>
        <v/>
      </c>
    </row>
    <row r="930" spans="1:5">
      <c r="A930" s="3"/>
      <c r="B930" s="4" t="str">
        <f ca="1">IFERROR(__xludf.DUMMYFUNCTION("IFERROR(GOOGLETRANSLATE(A930,""ko"",""en""),)"),"")</f>
        <v/>
      </c>
      <c r="C930" s="4" t="str">
        <f ca="1">IFERROR(__xludf.DUMMYFUNCTION("IFERROR(GOOGLETRANSLATE(B930,""en"",""ja""),)"),"")</f>
        <v/>
      </c>
      <c r="D930" s="4" t="str">
        <f ca="1">IFERROR(__xludf.DUMMYFUNCTION("IFERROR(GOOGLETRANSLATE(B930,""en"",""zh-TW""),)"),"")</f>
        <v/>
      </c>
      <c r="E930" s="4" t="str">
        <f ca="1">IFERROR(__xludf.DUMMYFUNCTION("IFERROR(GOOGLETRANSLATE(B930,""en"",""zh-CN""),)"),"")</f>
        <v/>
      </c>
    </row>
    <row r="931" spans="1:5">
      <c r="A931" s="3"/>
      <c r="B931" s="4" t="str">
        <f ca="1">IFERROR(__xludf.DUMMYFUNCTION("IFERROR(GOOGLETRANSLATE(A931,""ko"",""en""),)"),"")</f>
        <v/>
      </c>
      <c r="C931" s="4" t="str">
        <f ca="1">IFERROR(__xludf.DUMMYFUNCTION("IFERROR(GOOGLETRANSLATE(B931,""en"",""ja""),)"),"")</f>
        <v/>
      </c>
      <c r="D931" s="4" t="str">
        <f ca="1">IFERROR(__xludf.DUMMYFUNCTION("IFERROR(GOOGLETRANSLATE(B931,""en"",""zh-TW""),)"),"")</f>
        <v/>
      </c>
      <c r="E931" s="4" t="str">
        <f ca="1">IFERROR(__xludf.DUMMYFUNCTION("IFERROR(GOOGLETRANSLATE(B931,""en"",""zh-CN""),)"),"")</f>
        <v/>
      </c>
    </row>
    <row r="932" spans="1:5">
      <c r="A932" s="3"/>
      <c r="B932" s="4" t="str">
        <f ca="1">IFERROR(__xludf.DUMMYFUNCTION("IFERROR(GOOGLETRANSLATE(A932,""ko"",""en""),)"),"")</f>
        <v/>
      </c>
      <c r="C932" s="4" t="str">
        <f ca="1">IFERROR(__xludf.DUMMYFUNCTION("IFERROR(GOOGLETRANSLATE(B932,""en"",""ja""),)"),"")</f>
        <v/>
      </c>
      <c r="D932" s="4" t="str">
        <f ca="1">IFERROR(__xludf.DUMMYFUNCTION("IFERROR(GOOGLETRANSLATE(B932,""en"",""zh-TW""),)"),"")</f>
        <v/>
      </c>
      <c r="E932" s="4" t="str">
        <f ca="1">IFERROR(__xludf.DUMMYFUNCTION("IFERROR(GOOGLETRANSLATE(B932,""en"",""zh-CN""),)"),"")</f>
        <v/>
      </c>
    </row>
    <row r="933" spans="1:5">
      <c r="A933" s="3"/>
      <c r="B933" s="4" t="str">
        <f ca="1">IFERROR(__xludf.DUMMYFUNCTION("IFERROR(GOOGLETRANSLATE(A933,""ko"",""en""),)"),"")</f>
        <v/>
      </c>
      <c r="C933" s="4" t="str">
        <f ca="1">IFERROR(__xludf.DUMMYFUNCTION("IFERROR(GOOGLETRANSLATE(B933,""en"",""ja""),)"),"")</f>
        <v/>
      </c>
      <c r="D933" s="4" t="str">
        <f ca="1">IFERROR(__xludf.DUMMYFUNCTION("IFERROR(GOOGLETRANSLATE(B933,""en"",""zh-TW""),)"),"")</f>
        <v/>
      </c>
      <c r="E933" s="4" t="str">
        <f ca="1">IFERROR(__xludf.DUMMYFUNCTION("IFERROR(GOOGLETRANSLATE(B933,""en"",""zh-CN""),)"),"")</f>
        <v/>
      </c>
    </row>
    <row r="934" spans="1:5">
      <c r="A934" s="3"/>
      <c r="B934" s="4" t="str">
        <f ca="1">IFERROR(__xludf.DUMMYFUNCTION("IFERROR(GOOGLETRANSLATE(A934,""ko"",""en""),)"),"")</f>
        <v/>
      </c>
      <c r="C934" s="4" t="str">
        <f ca="1">IFERROR(__xludf.DUMMYFUNCTION("IFERROR(GOOGLETRANSLATE(B934,""en"",""ja""),)"),"")</f>
        <v/>
      </c>
      <c r="D934" s="4" t="str">
        <f ca="1">IFERROR(__xludf.DUMMYFUNCTION("IFERROR(GOOGLETRANSLATE(B934,""en"",""zh-TW""),)"),"")</f>
        <v/>
      </c>
      <c r="E934" s="4" t="str">
        <f ca="1">IFERROR(__xludf.DUMMYFUNCTION("IFERROR(GOOGLETRANSLATE(B934,""en"",""zh-CN""),)"),"")</f>
        <v/>
      </c>
    </row>
    <row r="935" spans="1:5">
      <c r="A935" s="3"/>
      <c r="B935" s="4" t="str">
        <f ca="1">IFERROR(__xludf.DUMMYFUNCTION("IFERROR(GOOGLETRANSLATE(A935,""ko"",""en""),)"),"")</f>
        <v/>
      </c>
      <c r="C935" s="4" t="str">
        <f ca="1">IFERROR(__xludf.DUMMYFUNCTION("IFERROR(GOOGLETRANSLATE(B935,""en"",""ja""),)"),"")</f>
        <v/>
      </c>
      <c r="D935" s="4" t="str">
        <f ca="1">IFERROR(__xludf.DUMMYFUNCTION("IFERROR(GOOGLETRANSLATE(B935,""en"",""zh-TW""),)"),"")</f>
        <v/>
      </c>
      <c r="E935" s="4" t="str">
        <f ca="1">IFERROR(__xludf.DUMMYFUNCTION("IFERROR(GOOGLETRANSLATE(B935,""en"",""zh-CN""),)"),"")</f>
        <v/>
      </c>
    </row>
    <row r="936" spans="1:5">
      <c r="A936" s="3"/>
      <c r="B936" s="4" t="str">
        <f ca="1">IFERROR(__xludf.DUMMYFUNCTION("IFERROR(GOOGLETRANSLATE(A936,""ko"",""en""),)"),"")</f>
        <v/>
      </c>
      <c r="C936" s="4" t="str">
        <f ca="1">IFERROR(__xludf.DUMMYFUNCTION("IFERROR(GOOGLETRANSLATE(B936,""en"",""ja""),)"),"")</f>
        <v/>
      </c>
      <c r="D936" s="4" t="str">
        <f ca="1">IFERROR(__xludf.DUMMYFUNCTION("IFERROR(GOOGLETRANSLATE(B936,""en"",""zh-TW""),)"),"")</f>
        <v/>
      </c>
      <c r="E936" s="4" t="str">
        <f ca="1">IFERROR(__xludf.DUMMYFUNCTION("IFERROR(GOOGLETRANSLATE(B936,""en"",""zh-CN""),)"),"")</f>
        <v/>
      </c>
    </row>
    <row r="937" spans="1:5">
      <c r="A937" s="3"/>
      <c r="B937" s="4" t="str">
        <f ca="1">IFERROR(__xludf.DUMMYFUNCTION("IFERROR(GOOGLETRANSLATE(A937,""ko"",""en""),)"),"")</f>
        <v/>
      </c>
      <c r="C937" s="4" t="str">
        <f ca="1">IFERROR(__xludf.DUMMYFUNCTION("IFERROR(GOOGLETRANSLATE(B937,""en"",""ja""),)"),"")</f>
        <v/>
      </c>
      <c r="D937" s="4" t="str">
        <f ca="1">IFERROR(__xludf.DUMMYFUNCTION("IFERROR(GOOGLETRANSLATE(B937,""en"",""zh-TW""),)"),"")</f>
        <v/>
      </c>
      <c r="E937" s="4" t="str">
        <f ca="1">IFERROR(__xludf.DUMMYFUNCTION("IFERROR(GOOGLETRANSLATE(B937,""en"",""zh-CN""),)"),"")</f>
        <v/>
      </c>
    </row>
    <row r="938" spans="1:5">
      <c r="A938" s="3"/>
      <c r="B938" s="4" t="str">
        <f ca="1">IFERROR(__xludf.DUMMYFUNCTION("IFERROR(GOOGLETRANSLATE(A938,""ko"",""en""),)"),"")</f>
        <v/>
      </c>
      <c r="C938" s="4" t="str">
        <f ca="1">IFERROR(__xludf.DUMMYFUNCTION("IFERROR(GOOGLETRANSLATE(B938,""en"",""ja""),)"),"")</f>
        <v/>
      </c>
      <c r="D938" s="4" t="str">
        <f ca="1">IFERROR(__xludf.DUMMYFUNCTION("IFERROR(GOOGLETRANSLATE(B938,""en"",""zh-TW""),)"),"")</f>
        <v/>
      </c>
      <c r="E938" s="4" t="str">
        <f ca="1">IFERROR(__xludf.DUMMYFUNCTION("IFERROR(GOOGLETRANSLATE(B938,""en"",""zh-CN""),)"),"")</f>
        <v/>
      </c>
    </row>
    <row r="939" spans="1:5">
      <c r="A939" s="3"/>
      <c r="B939" s="4" t="str">
        <f ca="1">IFERROR(__xludf.DUMMYFUNCTION("IFERROR(GOOGLETRANSLATE(A939,""ko"",""en""),)"),"")</f>
        <v/>
      </c>
      <c r="C939" s="4" t="str">
        <f ca="1">IFERROR(__xludf.DUMMYFUNCTION("IFERROR(GOOGLETRANSLATE(B939,""en"",""ja""),)"),"")</f>
        <v/>
      </c>
      <c r="D939" s="4" t="str">
        <f ca="1">IFERROR(__xludf.DUMMYFUNCTION("IFERROR(GOOGLETRANSLATE(B939,""en"",""zh-TW""),)"),"")</f>
        <v/>
      </c>
      <c r="E939" s="4" t="str">
        <f ca="1">IFERROR(__xludf.DUMMYFUNCTION("IFERROR(GOOGLETRANSLATE(B939,""en"",""zh-CN""),)"),"")</f>
        <v/>
      </c>
    </row>
    <row r="940" spans="1:5">
      <c r="A940" s="3"/>
      <c r="B940" s="4" t="str">
        <f ca="1">IFERROR(__xludf.DUMMYFUNCTION("IFERROR(GOOGLETRANSLATE(A940,""ko"",""en""),)"),"")</f>
        <v/>
      </c>
      <c r="C940" s="4" t="str">
        <f ca="1">IFERROR(__xludf.DUMMYFUNCTION("IFERROR(GOOGLETRANSLATE(B940,""en"",""ja""),)"),"")</f>
        <v/>
      </c>
      <c r="D940" s="4" t="str">
        <f ca="1">IFERROR(__xludf.DUMMYFUNCTION("IFERROR(GOOGLETRANSLATE(B940,""en"",""zh-TW""),)"),"")</f>
        <v/>
      </c>
      <c r="E940" s="4" t="str">
        <f ca="1">IFERROR(__xludf.DUMMYFUNCTION("IFERROR(GOOGLETRANSLATE(B940,""en"",""zh-CN""),)"),"")</f>
        <v/>
      </c>
    </row>
    <row r="941" spans="1:5">
      <c r="A941" s="3"/>
      <c r="B941" s="4" t="str">
        <f ca="1">IFERROR(__xludf.DUMMYFUNCTION("IFERROR(GOOGLETRANSLATE(A941,""ko"",""en""),)"),"")</f>
        <v/>
      </c>
      <c r="C941" s="4" t="str">
        <f ca="1">IFERROR(__xludf.DUMMYFUNCTION("IFERROR(GOOGLETRANSLATE(B941,""en"",""ja""),)"),"")</f>
        <v/>
      </c>
      <c r="D941" s="4" t="str">
        <f ca="1">IFERROR(__xludf.DUMMYFUNCTION("IFERROR(GOOGLETRANSLATE(B941,""en"",""zh-TW""),)"),"")</f>
        <v/>
      </c>
      <c r="E941" s="4" t="str">
        <f ca="1">IFERROR(__xludf.DUMMYFUNCTION("IFERROR(GOOGLETRANSLATE(B941,""en"",""zh-CN""),)"),"")</f>
        <v/>
      </c>
    </row>
    <row r="942" spans="1:5">
      <c r="A942" s="3"/>
      <c r="B942" s="4" t="str">
        <f ca="1">IFERROR(__xludf.DUMMYFUNCTION("IFERROR(GOOGLETRANSLATE(A942,""ko"",""en""),)"),"")</f>
        <v/>
      </c>
      <c r="C942" s="4" t="str">
        <f ca="1">IFERROR(__xludf.DUMMYFUNCTION("IFERROR(GOOGLETRANSLATE(B942,""en"",""ja""),)"),"")</f>
        <v/>
      </c>
      <c r="D942" s="4" t="str">
        <f ca="1">IFERROR(__xludf.DUMMYFUNCTION("IFERROR(GOOGLETRANSLATE(B942,""en"",""zh-TW""),)"),"")</f>
        <v/>
      </c>
      <c r="E942" s="4" t="str">
        <f ca="1">IFERROR(__xludf.DUMMYFUNCTION("IFERROR(GOOGLETRANSLATE(B942,""en"",""zh-CN""),)"),"")</f>
        <v/>
      </c>
    </row>
    <row r="943" spans="1:5">
      <c r="A943" s="3"/>
      <c r="B943" s="4" t="str">
        <f ca="1">IFERROR(__xludf.DUMMYFUNCTION("IFERROR(GOOGLETRANSLATE(A943,""ko"",""en""),)"),"")</f>
        <v/>
      </c>
      <c r="C943" s="4" t="str">
        <f ca="1">IFERROR(__xludf.DUMMYFUNCTION("IFERROR(GOOGLETRANSLATE(B943,""en"",""ja""),)"),"")</f>
        <v/>
      </c>
      <c r="D943" s="4" t="str">
        <f ca="1">IFERROR(__xludf.DUMMYFUNCTION("IFERROR(GOOGLETRANSLATE(B943,""en"",""zh-TW""),)"),"")</f>
        <v/>
      </c>
      <c r="E943" s="4" t="str">
        <f ca="1">IFERROR(__xludf.DUMMYFUNCTION("IFERROR(GOOGLETRANSLATE(B943,""en"",""zh-CN""),)"),"")</f>
        <v/>
      </c>
    </row>
    <row r="944" spans="1:5">
      <c r="A944" s="3"/>
      <c r="B944" s="4" t="str">
        <f ca="1">IFERROR(__xludf.DUMMYFUNCTION("IFERROR(GOOGLETRANSLATE(A944,""ko"",""en""),)"),"")</f>
        <v/>
      </c>
      <c r="C944" s="4" t="str">
        <f ca="1">IFERROR(__xludf.DUMMYFUNCTION("IFERROR(GOOGLETRANSLATE(B944,""en"",""ja""),)"),"")</f>
        <v/>
      </c>
      <c r="D944" s="4" t="str">
        <f ca="1">IFERROR(__xludf.DUMMYFUNCTION("IFERROR(GOOGLETRANSLATE(B944,""en"",""zh-TW""),)"),"")</f>
        <v/>
      </c>
      <c r="E944" s="4" t="str">
        <f ca="1">IFERROR(__xludf.DUMMYFUNCTION("IFERROR(GOOGLETRANSLATE(B944,""en"",""zh-CN""),)"),"")</f>
        <v/>
      </c>
    </row>
    <row r="945" spans="1:5">
      <c r="A945" s="3"/>
      <c r="B945" s="4" t="str">
        <f ca="1">IFERROR(__xludf.DUMMYFUNCTION("IFERROR(GOOGLETRANSLATE(A945,""ko"",""en""),)"),"")</f>
        <v/>
      </c>
      <c r="C945" s="4" t="str">
        <f ca="1">IFERROR(__xludf.DUMMYFUNCTION("IFERROR(GOOGLETRANSLATE(B945,""en"",""ja""),)"),"")</f>
        <v/>
      </c>
      <c r="D945" s="4" t="str">
        <f ca="1">IFERROR(__xludf.DUMMYFUNCTION("IFERROR(GOOGLETRANSLATE(B945,""en"",""zh-TW""),)"),"")</f>
        <v/>
      </c>
      <c r="E945" s="4" t="str">
        <f ca="1">IFERROR(__xludf.DUMMYFUNCTION("IFERROR(GOOGLETRANSLATE(B945,""en"",""zh-CN""),)"),"")</f>
        <v/>
      </c>
    </row>
    <row r="946" spans="1:5">
      <c r="A946" s="3"/>
      <c r="B946" s="4" t="str">
        <f ca="1">IFERROR(__xludf.DUMMYFUNCTION("IFERROR(GOOGLETRANSLATE(A946,""ko"",""en""),)"),"")</f>
        <v/>
      </c>
      <c r="C946" s="4" t="str">
        <f ca="1">IFERROR(__xludf.DUMMYFUNCTION("IFERROR(GOOGLETRANSLATE(B946,""en"",""ja""),)"),"")</f>
        <v/>
      </c>
      <c r="D946" s="4" t="str">
        <f ca="1">IFERROR(__xludf.DUMMYFUNCTION("IFERROR(GOOGLETRANSLATE(B946,""en"",""zh-TW""),)"),"")</f>
        <v/>
      </c>
      <c r="E946" s="4" t="str">
        <f ca="1">IFERROR(__xludf.DUMMYFUNCTION("IFERROR(GOOGLETRANSLATE(B946,""en"",""zh-CN""),)"),"")</f>
        <v/>
      </c>
    </row>
    <row r="947" spans="1:5">
      <c r="A947" s="3"/>
      <c r="B947" s="4" t="str">
        <f ca="1">IFERROR(__xludf.DUMMYFUNCTION("IFERROR(GOOGLETRANSLATE(A947,""ko"",""en""),)"),"")</f>
        <v/>
      </c>
      <c r="C947" s="4" t="str">
        <f ca="1">IFERROR(__xludf.DUMMYFUNCTION("IFERROR(GOOGLETRANSLATE(B947,""en"",""ja""),)"),"")</f>
        <v/>
      </c>
      <c r="D947" s="4" t="str">
        <f ca="1">IFERROR(__xludf.DUMMYFUNCTION("IFERROR(GOOGLETRANSLATE(B947,""en"",""zh-TW""),)"),"")</f>
        <v/>
      </c>
      <c r="E947" s="4" t="str">
        <f ca="1">IFERROR(__xludf.DUMMYFUNCTION("IFERROR(GOOGLETRANSLATE(B947,""en"",""zh-CN""),)"),"")</f>
        <v/>
      </c>
    </row>
    <row r="948" spans="1:5">
      <c r="A948" s="3"/>
      <c r="B948" s="4" t="str">
        <f ca="1">IFERROR(__xludf.DUMMYFUNCTION("IFERROR(GOOGLETRANSLATE(A948,""ko"",""en""),)"),"")</f>
        <v/>
      </c>
      <c r="C948" s="4" t="str">
        <f ca="1">IFERROR(__xludf.DUMMYFUNCTION("IFERROR(GOOGLETRANSLATE(B948,""en"",""ja""),)"),"")</f>
        <v/>
      </c>
      <c r="D948" s="4" t="str">
        <f ca="1">IFERROR(__xludf.DUMMYFUNCTION("IFERROR(GOOGLETRANSLATE(B948,""en"",""zh-TW""),)"),"")</f>
        <v/>
      </c>
      <c r="E948" s="4" t="str">
        <f ca="1">IFERROR(__xludf.DUMMYFUNCTION("IFERROR(GOOGLETRANSLATE(B948,""en"",""zh-CN""),)"),"")</f>
        <v/>
      </c>
    </row>
    <row r="949" spans="1:5">
      <c r="A949" s="3"/>
      <c r="B949" s="4" t="str">
        <f ca="1">IFERROR(__xludf.DUMMYFUNCTION("IFERROR(GOOGLETRANSLATE(A949,""ko"",""en""),)"),"")</f>
        <v/>
      </c>
      <c r="C949" s="4" t="str">
        <f ca="1">IFERROR(__xludf.DUMMYFUNCTION("IFERROR(GOOGLETRANSLATE(B949,""en"",""ja""),)"),"")</f>
        <v/>
      </c>
      <c r="D949" s="4" t="str">
        <f ca="1">IFERROR(__xludf.DUMMYFUNCTION("IFERROR(GOOGLETRANSLATE(B949,""en"",""zh-TW""),)"),"")</f>
        <v/>
      </c>
      <c r="E949" s="4" t="str">
        <f ca="1">IFERROR(__xludf.DUMMYFUNCTION("IFERROR(GOOGLETRANSLATE(B949,""en"",""zh-CN""),)"),"")</f>
        <v/>
      </c>
    </row>
    <row r="950" spans="1:5">
      <c r="A950" s="3"/>
      <c r="B950" s="4" t="str">
        <f ca="1">IFERROR(__xludf.DUMMYFUNCTION("IFERROR(GOOGLETRANSLATE(A950,""ko"",""en""),)"),"")</f>
        <v/>
      </c>
      <c r="C950" s="4" t="str">
        <f ca="1">IFERROR(__xludf.DUMMYFUNCTION("IFERROR(GOOGLETRANSLATE(B950,""en"",""ja""),)"),"")</f>
        <v/>
      </c>
      <c r="D950" s="4" t="str">
        <f ca="1">IFERROR(__xludf.DUMMYFUNCTION("IFERROR(GOOGLETRANSLATE(B950,""en"",""zh-TW""),)"),"")</f>
        <v/>
      </c>
      <c r="E950" s="4" t="str">
        <f ca="1">IFERROR(__xludf.DUMMYFUNCTION("IFERROR(GOOGLETRANSLATE(B950,""en"",""zh-CN""),)"),"")</f>
        <v/>
      </c>
    </row>
    <row r="951" spans="1:5">
      <c r="A951" s="3"/>
      <c r="B951" s="4" t="str">
        <f ca="1">IFERROR(__xludf.DUMMYFUNCTION("IFERROR(GOOGLETRANSLATE(A951,""ko"",""en""),)"),"")</f>
        <v/>
      </c>
      <c r="C951" s="4" t="str">
        <f ca="1">IFERROR(__xludf.DUMMYFUNCTION("IFERROR(GOOGLETRANSLATE(B951,""en"",""ja""),)"),"")</f>
        <v/>
      </c>
      <c r="D951" s="4" t="str">
        <f ca="1">IFERROR(__xludf.DUMMYFUNCTION("IFERROR(GOOGLETRANSLATE(B951,""en"",""zh-TW""),)"),"")</f>
        <v/>
      </c>
      <c r="E951" s="4" t="str">
        <f ca="1">IFERROR(__xludf.DUMMYFUNCTION("IFERROR(GOOGLETRANSLATE(B951,""en"",""zh-CN""),)"),"")</f>
        <v/>
      </c>
    </row>
    <row r="952" spans="1:5">
      <c r="A952" s="3"/>
      <c r="B952" s="4" t="str">
        <f ca="1">IFERROR(__xludf.DUMMYFUNCTION("IFERROR(GOOGLETRANSLATE(A952,""ko"",""en""),)"),"")</f>
        <v/>
      </c>
      <c r="C952" s="4" t="str">
        <f ca="1">IFERROR(__xludf.DUMMYFUNCTION("IFERROR(GOOGLETRANSLATE(B952,""en"",""ja""),)"),"")</f>
        <v/>
      </c>
      <c r="D952" s="4" t="str">
        <f ca="1">IFERROR(__xludf.DUMMYFUNCTION("IFERROR(GOOGLETRANSLATE(B952,""en"",""zh-TW""),)"),"")</f>
        <v/>
      </c>
      <c r="E952" s="4" t="str">
        <f ca="1">IFERROR(__xludf.DUMMYFUNCTION("IFERROR(GOOGLETRANSLATE(B952,""en"",""zh-CN""),)"),"")</f>
        <v/>
      </c>
    </row>
    <row r="953" spans="1:5">
      <c r="A953" s="3"/>
      <c r="B953" s="4" t="str">
        <f ca="1">IFERROR(__xludf.DUMMYFUNCTION("IFERROR(GOOGLETRANSLATE(A953,""ko"",""en""),)"),"")</f>
        <v/>
      </c>
      <c r="C953" s="4" t="str">
        <f ca="1">IFERROR(__xludf.DUMMYFUNCTION("IFERROR(GOOGLETRANSLATE(B953,""en"",""ja""),)"),"")</f>
        <v/>
      </c>
      <c r="D953" s="4" t="str">
        <f ca="1">IFERROR(__xludf.DUMMYFUNCTION("IFERROR(GOOGLETRANSLATE(B953,""en"",""zh-TW""),)"),"")</f>
        <v/>
      </c>
      <c r="E953" s="4" t="str">
        <f ca="1">IFERROR(__xludf.DUMMYFUNCTION("IFERROR(GOOGLETRANSLATE(B953,""en"",""zh-CN""),)"),"")</f>
        <v/>
      </c>
    </row>
    <row r="954" spans="1:5">
      <c r="A954" s="3"/>
      <c r="B954" s="4" t="str">
        <f ca="1">IFERROR(__xludf.DUMMYFUNCTION("IFERROR(GOOGLETRANSLATE(A954,""ko"",""en""),)"),"")</f>
        <v/>
      </c>
      <c r="C954" s="4" t="str">
        <f ca="1">IFERROR(__xludf.DUMMYFUNCTION("IFERROR(GOOGLETRANSLATE(B954,""en"",""ja""),)"),"")</f>
        <v/>
      </c>
      <c r="D954" s="4" t="str">
        <f ca="1">IFERROR(__xludf.DUMMYFUNCTION("IFERROR(GOOGLETRANSLATE(B954,""en"",""zh-TW""),)"),"")</f>
        <v/>
      </c>
      <c r="E954" s="4" t="str">
        <f ca="1">IFERROR(__xludf.DUMMYFUNCTION("IFERROR(GOOGLETRANSLATE(B954,""en"",""zh-CN""),)"),"")</f>
        <v/>
      </c>
    </row>
    <row r="955" spans="1:5">
      <c r="A955" s="3"/>
      <c r="B955" s="4" t="str">
        <f ca="1">IFERROR(__xludf.DUMMYFUNCTION("IFERROR(GOOGLETRANSLATE(A955,""ko"",""en""),)"),"")</f>
        <v/>
      </c>
      <c r="C955" s="4" t="str">
        <f ca="1">IFERROR(__xludf.DUMMYFUNCTION("IFERROR(GOOGLETRANSLATE(B955,""en"",""ja""),)"),"")</f>
        <v/>
      </c>
      <c r="D955" s="4" t="str">
        <f ca="1">IFERROR(__xludf.DUMMYFUNCTION("IFERROR(GOOGLETRANSLATE(B955,""en"",""zh-TW""),)"),"")</f>
        <v/>
      </c>
      <c r="E955" s="4" t="str">
        <f ca="1">IFERROR(__xludf.DUMMYFUNCTION("IFERROR(GOOGLETRANSLATE(B955,""en"",""zh-CN""),)"),"")</f>
        <v/>
      </c>
    </row>
    <row r="956" spans="1:5">
      <c r="A956" s="3"/>
      <c r="B956" s="4" t="str">
        <f ca="1">IFERROR(__xludf.DUMMYFUNCTION("IFERROR(GOOGLETRANSLATE(A956,""ko"",""en""),)"),"")</f>
        <v/>
      </c>
      <c r="C956" s="4" t="str">
        <f ca="1">IFERROR(__xludf.DUMMYFUNCTION("IFERROR(GOOGLETRANSLATE(B956,""en"",""ja""),)"),"")</f>
        <v/>
      </c>
      <c r="D956" s="4" t="str">
        <f ca="1">IFERROR(__xludf.DUMMYFUNCTION("IFERROR(GOOGLETRANSLATE(B956,""en"",""zh-TW""),)"),"")</f>
        <v/>
      </c>
      <c r="E956" s="4" t="str">
        <f ca="1">IFERROR(__xludf.DUMMYFUNCTION("IFERROR(GOOGLETRANSLATE(B956,""en"",""zh-CN""),)"),"")</f>
        <v/>
      </c>
    </row>
    <row r="957" spans="1:5">
      <c r="A957" s="3"/>
      <c r="B957" s="4" t="str">
        <f ca="1">IFERROR(__xludf.DUMMYFUNCTION("IFERROR(GOOGLETRANSLATE(A957,""ko"",""en""),)"),"")</f>
        <v/>
      </c>
      <c r="C957" s="4" t="str">
        <f ca="1">IFERROR(__xludf.DUMMYFUNCTION("IFERROR(GOOGLETRANSLATE(B957,""en"",""ja""),)"),"")</f>
        <v/>
      </c>
      <c r="D957" s="4" t="str">
        <f ca="1">IFERROR(__xludf.DUMMYFUNCTION("IFERROR(GOOGLETRANSLATE(B957,""en"",""zh-TW""),)"),"")</f>
        <v/>
      </c>
      <c r="E957" s="4" t="str">
        <f ca="1">IFERROR(__xludf.DUMMYFUNCTION("IFERROR(GOOGLETRANSLATE(B957,""en"",""zh-CN""),)"),"")</f>
        <v/>
      </c>
    </row>
    <row r="958" spans="1:5">
      <c r="A958" s="3"/>
      <c r="B958" s="4" t="str">
        <f ca="1">IFERROR(__xludf.DUMMYFUNCTION("IFERROR(GOOGLETRANSLATE(A958,""ko"",""en""),)"),"")</f>
        <v/>
      </c>
      <c r="C958" s="4" t="str">
        <f ca="1">IFERROR(__xludf.DUMMYFUNCTION("IFERROR(GOOGLETRANSLATE(B958,""en"",""ja""),)"),"")</f>
        <v/>
      </c>
      <c r="D958" s="4" t="str">
        <f ca="1">IFERROR(__xludf.DUMMYFUNCTION("IFERROR(GOOGLETRANSLATE(B958,""en"",""zh-TW""),)"),"")</f>
        <v/>
      </c>
      <c r="E958" s="4" t="str">
        <f ca="1">IFERROR(__xludf.DUMMYFUNCTION("IFERROR(GOOGLETRANSLATE(B958,""en"",""zh-CN""),)"),"")</f>
        <v/>
      </c>
    </row>
    <row r="959" spans="1:5">
      <c r="A959" s="3"/>
      <c r="B959" s="4" t="str">
        <f ca="1">IFERROR(__xludf.DUMMYFUNCTION("IFERROR(GOOGLETRANSLATE(A959,""ko"",""en""),)"),"")</f>
        <v/>
      </c>
      <c r="C959" s="4" t="str">
        <f ca="1">IFERROR(__xludf.DUMMYFUNCTION("IFERROR(GOOGLETRANSLATE(B959,""en"",""ja""),)"),"")</f>
        <v/>
      </c>
      <c r="D959" s="4" t="str">
        <f ca="1">IFERROR(__xludf.DUMMYFUNCTION("IFERROR(GOOGLETRANSLATE(B959,""en"",""zh-TW""),)"),"")</f>
        <v/>
      </c>
      <c r="E959" s="4" t="str">
        <f ca="1">IFERROR(__xludf.DUMMYFUNCTION("IFERROR(GOOGLETRANSLATE(B959,""en"",""zh-CN""),)"),"")</f>
        <v/>
      </c>
    </row>
    <row r="960" spans="1:5">
      <c r="A960" s="3"/>
      <c r="B960" s="4" t="str">
        <f ca="1">IFERROR(__xludf.DUMMYFUNCTION("IFERROR(GOOGLETRANSLATE(A960,""ko"",""en""),)"),"")</f>
        <v/>
      </c>
      <c r="C960" s="4" t="str">
        <f ca="1">IFERROR(__xludf.DUMMYFUNCTION("IFERROR(GOOGLETRANSLATE(B960,""en"",""ja""),)"),"")</f>
        <v/>
      </c>
      <c r="D960" s="4" t="str">
        <f ca="1">IFERROR(__xludf.DUMMYFUNCTION("IFERROR(GOOGLETRANSLATE(B960,""en"",""zh-TW""),)"),"")</f>
        <v/>
      </c>
      <c r="E960" s="4" t="str">
        <f ca="1">IFERROR(__xludf.DUMMYFUNCTION("IFERROR(GOOGLETRANSLATE(B960,""en"",""zh-CN""),)"),"")</f>
        <v/>
      </c>
    </row>
    <row r="961" spans="1:5">
      <c r="A961" s="3"/>
      <c r="B961" s="4" t="str">
        <f ca="1">IFERROR(__xludf.DUMMYFUNCTION("IFERROR(GOOGLETRANSLATE(A961,""ko"",""en""),)"),"")</f>
        <v/>
      </c>
      <c r="C961" s="4" t="str">
        <f ca="1">IFERROR(__xludf.DUMMYFUNCTION("IFERROR(GOOGLETRANSLATE(B961,""en"",""ja""),)"),"")</f>
        <v/>
      </c>
      <c r="D961" s="4" t="str">
        <f ca="1">IFERROR(__xludf.DUMMYFUNCTION("IFERROR(GOOGLETRANSLATE(B961,""en"",""zh-TW""),)"),"")</f>
        <v/>
      </c>
      <c r="E961" s="4" t="str">
        <f ca="1">IFERROR(__xludf.DUMMYFUNCTION("IFERROR(GOOGLETRANSLATE(B961,""en"",""zh-CN""),)"),"")</f>
        <v/>
      </c>
    </row>
    <row r="962" spans="1:5">
      <c r="A962" s="3"/>
      <c r="B962" s="4" t="str">
        <f ca="1">IFERROR(__xludf.DUMMYFUNCTION("IFERROR(GOOGLETRANSLATE(A962,""ko"",""en""),)"),"")</f>
        <v/>
      </c>
      <c r="C962" s="4" t="str">
        <f ca="1">IFERROR(__xludf.DUMMYFUNCTION("IFERROR(GOOGLETRANSLATE(B962,""en"",""ja""),)"),"")</f>
        <v/>
      </c>
      <c r="D962" s="4" t="str">
        <f ca="1">IFERROR(__xludf.DUMMYFUNCTION("IFERROR(GOOGLETRANSLATE(B962,""en"",""zh-TW""),)"),"")</f>
        <v/>
      </c>
      <c r="E962" s="4" t="str">
        <f ca="1">IFERROR(__xludf.DUMMYFUNCTION("IFERROR(GOOGLETRANSLATE(B962,""en"",""zh-CN""),)"),"")</f>
        <v/>
      </c>
    </row>
    <row r="963" spans="1:5">
      <c r="A963" s="3"/>
      <c r="B963" s="4" t="str">
        <f ca="1">IFERROR(__xludf.DUMMYFUNCTION("IFERROR(GOOGLETRANSLATE(A963,""ko"",""en""),)"),"")</f>
        <v/>
      </c>
      <c r="C963" s="4" t="str">
        <f ca="1">IFERROR(__xludf.DUMMYFUNCTION("IFERROR(GOOGLETRANSLATE(B963,""en"",""ja""),)"),"")</f>
        <v/>
      </c>
      <c r="D963" s="4" t="str">
        <f ca="1">IFERROR(__xludf.DUMMYFUNCTION("IFERROR(GOOGLETRANSLATE(B963,""en"",""zh-TW""),)"),"")</f>
        <v/>
      </c>
      <c r="E963" s="4" t="str">
        <f ca="1">IFERROR(__xludf.DUMMYFUNCTION("IFERROR(GOOGLETRANSLATE(B963,""en"",""zh-CN""),)"),"")</f>
        <v/>
      </c>
    </row>
    <row r="964" spans="1:5">
      <c r="A964" s="3"/>
      <c r="B964" s="4" t="str">
        <f ca="1">IFERROR(__xludf.DUMMYFUNCTION("IFERROR(GOOGLETRANSLATE(A964,""ko"",""en""),)"),"")</f>
        <v/>
      </c>
      <c r="C964" s="4" t="str">
        <f ca="1">IFERROR(__xludf.DUMMYFUNCTION("IFERROR(GOOGLETRANSLATE(B964,""en"",""ja""),)"),"")</f>
        <v/>
      </c>
      <c r="D964" s="4" t="str">
        <f ca="1">IFERROR(__xludf.DUMMYFUNCTION("IFERROR(GOOGLETRANSLATE(B964,""en"",""zh-TW""),)"),"")</f>
        <v/>
      </c>
      <c r="E964" s="4" t="str">
        <f ca="1">IFERROR(__xludf.DUMMYFUNCTION("IFERROR(GOOGLETRANSLATE(B964,""en"",""zh-CN""),)"),"")</f>
        <v/>
      </c>
    </row>
    <row r="965" spans="1:5">
      <c r="A965" s="3"/>
      <c r="B965" s="4" t="str">
        <f ca="1">IFERROR(__xludf.DUMMYFUNCTION("IFERROR(GOOGLETRANSLATE(A965,""ko"",""en""),)"),"")</f>
        <v/>
      </c>
      <c r="C965" s="4" t="str">
        <f ca="1">IFERROR(__xludf.DUMMYFUNCTION("IFERROR(GOOGLETRANSLATE(B965,""en"",""ja""),)"),"")</f>
        <v/>
      </c>
      <c r="D965" s="4" t="str">
        <f ca="1">IFERROR(__xludf.DUMMYFUNCTION("IFERROR(GOOGLETRANSLATE(B965,""en"",""zh-TW""),)"),"")</f>
        <v/>
      </c>
      <c r="E965" s="4" t="str">
        <f ca="1">IFERROR(__xludf.DUMMYFUNCTION("IFERROR(GOOGLETRANSLATE(B965,""en"",""zh-CN""),)"),"")</f>
        <v/>
      </c>
    </row>
    <row r="966" spans="1:5">
      <c r="A966" s="3"/>
      <c r="B966" s="4" t="str">
        <f ca="1">IFERROR(__xludf.DUMMYFUNCTION("IFERROR(GOOGLETRANSLATE(A966,""ko"",""en""),)"),"")</f>
        <v/>
      </c>
      <c r="C966" s="4" t="str">
        <f ca="1">IFERROR(__xludf.DUMMYFUNCTION("IFERROR(GOOGLETRANSLATE(B966,""en"",""ja""),)"),"")</f>
        <v/>
      </c>
      <c r="D966" s="4" t="str">
        <f ca="1">IFERROR(__xludf.DUMMYFUNCTION("IFERROR(GOOGLETRANSLATE(B966,""en"",""zh-TW""),)"),"")</f>
        <v/>
      </c>
      <c r="E966" s="4" t="str">
        <f ca="1">IFERROR(__xludf.DUMMYFUNCTION("IFERROR(GOOGLETRANSLATE(B966,""en"",""zh-CN""),)"),"")</f>
        <v/>
      </c>
    </row>
    <row r="967" spans="1:5">
      <c r="A967" s="3"/>
      <c r="B967" s="4" t="str">
        <f ca="1">IFERROR(__xludf.DUMMYFUNCTION("IFERROR(GOOGLETRANSLATE(A967,""ko"",""en""),)"),"")</f>
        <v/>
      </c>
      <c r="C967" s="4" t="str">
        <f ca="1">IFERROR(__xludf.DUMMYFUNCTION("IFERROR(GOOGLETRANSLATE(B967,""en"",""ja""),)"),"")</f>
        <v/>
      </c>
      <c r="D967" s="4" t="str">
        <f ca="1">IFERROR(__xludf.DUMMYFUNCTION("IFERROR(GOOGLETRANSLATE(B967,""en"",""zh-TW""),)"),"")</f>
        <v/>
      </c>
      <c r="E967" s="4" t="str">
        <f ca="1">IFERROR(__xludf.DUMMYFUNCTION("IFERROR(GOOGLETRANSLATE(B967,""en"",""zh-CN""),)"),"")</f>
        <v/>
      </c>
    </row>
    <row r="968" spans="1:5">
      <c r="A968" s="3"/>
      <c r="B968" s="4" t="str">
        <f ca="1">IFERROR(__xludf.DUMMYFUNCTION("IFERROR(GOOGLETRANSLATE(A968,""ko"",""en""),)"),"")</f>
        <v/>
      </c>
      <c r="C968" s="4" t="str">
        <f ca="1">IFERROR(__xludf.DUMMYFUNCTION("IFERROR(GOOGLETRANSLATE(B968,""en"",""ja""),)"),"")</f>
        <v/>
      </c>
      <c r="D968" s="4" t="str">
        <f ca="1">IFERROR(__xludf.DUMMYFUNCTION("IFERROR(GOOGLETRANSLATE(B968,""en"",""zh-TW""),)"),"")</f>
        <v/>
      </c>
      <c r="E968" s="4" t="str">
        <f ca="1">IFERROR(__xludf.DUMMYFUNCTION("IFERROR(GOOGLETRANSLATE(B968,""en"",""zh-CN""),)"),"")</f>
        <v/>
      </c>
    </row>
    <row r="969" spans="1:5">
      <c r="A969" s="3"/>
      <c r="B969" s="4" t="str">
        <f ca="1">IFERROR(__xludf.DUMMYFUNCTION("IFERROR(GOOGLETRANSLATE(A969,""ko"",""en""),)"),"")</f>
        <v/>
      </c>
      <c r="C969" s="4" t="str">
        <f ca="1">IFERROR(__xludf.DUMMYFUNCTION("IFERROR(GOOGLETRANSLATE(B969,""en"",""ja""),)"),"")</f>
        <v/>
      </c>
      <c r="D969" s="4" t="str">
        <f ca="1">IFERROR(__xludf.DUMMYFUNCTION("IFERROR(GOOGLETRANSLATE(B969,""en"",""zh-TW""),)"),"")</f>
        <v/>
      </c>
      <c r="E969" s="4" t="str">
        <f ca="1">IFERROR(__xludf.DUMMYFUNCTION("IFERROR(GOOGLETRANSLATE(B969,""en"",""zh-CN""),)"),"")</f>
        <v/>
      </c>
    </row>
    <row r="970" spans="1:5">
      <c r="A970" s="3"/>
      <c r="B970" s="4" t="str">
        <f ca="1">IFERROR(__xludf.DUMMYFUNCTION("IFERROR(GOOGLETRANSLATE(A970,""ko"",""en""),)"),"")</f>
        <v/>
      </c>
      <c r="C970" s="4" t="str">
        <f ca="1">IFERROR(__xludf.DUMMYFUNCTION("IFERROR(GOOGLETRANSLATE(B970,""en"",""ja""),)"),"")</f>
        <v/>
      </c>
      <c r="D970" s="4" t="str">
        <f ca="1">IFERROR(__xludf.DUMMYFUNCTION("IFERROR(GOOGLETRANSLATE(B970,""en"",""zh-TW""),)"),"")</f>
        <v/>
      </c>
      <c r="E970" s="4" t="str">
        <f ca="1">IFERROR(__xludf.DUMMYFUNCTION("IFERROR(GOOGLETRANSLATE(B970,""en"",""zh-CN""),)"),"")</f>
        <v/>
      </c>
    </row>
    <row r="971" spans="1:5">
      <c r="A971" s="3"/>
      <c r="B971" s="4" t="str">
        <f ca="1">IFERROR(__xludf.DUMMYFUNCTION("IFERROR(GOOGLETRANSLATE(A971,""ko"",""en""),)"),"")</f>
        <v/>
      </c>
      <c r="C971" s="4" t="str">
        <f ca="1">IFERROR(__xludf.DUMMYFUNCTION("IFERROR(GOOGLETRANSLATE(B971,""en"",""ja""),)"),"")</f>
        <v/>
      </c>
      <c r="D971" s="4" t="str">
        <f ca="1">IFERROR(__xludf.DUMMYFUNCTION("IFERROR(GOOGLETRANSLATE(B971,""en"",""zh-TW""),)"),"")</f>
        <v/>
      </c>
      <c r="E971" s="4" t="str">
        <f ca="1">IFERROR(__xludf.DUMMYFUNCTION("IFERROR(GOOGLETRANSLATE(B971,""en"",""zh-CN""),)"),"")</f>
        <v/>
      </c>
    </row>
    <row r="972" spans="1:5">
      <c r="A972" s="3"/>
      <c r="B972" s="4" t="str">
        <f ca="1">IFERROR(__xludf.DUMMYFUNCTION("IFERROR(GOOGLETRANSLATE(A972,""ko"",""en""),)"),"")</f>
        <v/>
      </c>
      <c r="C972" s="4" t="str">
        <f ca="1">IFERROR(__xludf.DUMMYFUNCTION("IFERROR(GOOGLETRANSLATE(B972,""en"",""ja""),)"),"")</f>
        <v/>
      </c>
      <c r="D972" s="4" t="str">
        <f ca="1">IFERROR(__xludf.DUMMYFUNCTION("IFERROR(GOOGLETRANSLATE(B972,""en"",""zh-TW""),)"),"")</f>
        <v/>
      </c>
      <c r="E972" s="4" t="str">
        <f ca="1">IFERROR(__xludf.DUMMYFUNCTION("IFERROR(GOOGLETRANSLATE(B972,""en"",""zh-CN""),)"),"")</f>
        <v/>
      </c>
    </row>
    <row r="973" spans="1:5">
      <c r="A973" s="3"/>
      <c r="B973" s="4" t="str">
        <f ca="1">IFERROR(__xludf.DUMMYFUNCTION("IFERROR(GOOGLETRANSLATE(A973,""ko"",""en""),)"),"")</f>
        <v/>
      </c>
      <c r="C973" s="4" t="str">
        <f ca="1">IFERROR(__xludf.DUMMYFUNCTION("IFERROR(GOOGLETRANSLATE(B973,""en"",""ja""),)"),"")</f>
        <v/>
      </c>
      <c r="D973" s="4" t="str">
        <f ca="1">IFERROR(__xludf.DUMMYFUNCTION("IFERROR(GOOGLETRANSLATE(B973,""en"",""zh-TW""),)"),"")</f>
        <v/>
      </c>
      <c r="E973" s="4" t="str">
        <f ca="1">IFERROR(__xludf.DUMMYFUNCTION("IFERROR(GOOGLETRANSLATE(B973,""en"",""zh-CN""),)"),"")</f>
        <v/>
      </c>
    </row>
    <row r="974" spans="1:5">
      <c r="A974" s="3"/>
      <c r="B974" s="4" t="str">
        <f ca="1">IFERROR(__xludf.DUMMYFUNCTION("IFERROR(GOOGLETRANSLATE(A974,""ko"",""en""),)"),"")</f>
        <v/>
      </c>
      <c r="C974" s="4" t="str">
        <f ca="1">IFERROR(__xludf.DUMMYFUNCTION("IFERROR(GOOGLETRANSLATE(B974,""en"",""ja""),)"),"")</f>
        <v/>
      </c>
      <c r="D974" s="4" t="str">
        <f ca="1">IFERROR(__xludf.DUMMYFUNCTION("IFERROR(GOOGLETRANSLATE(B974,""en"",""zh-TW""),)"),"")</f>
        <v/>
      </c>
      <c r="E974" s="4" t="str">
        <f ca="1">IFERROR(__xludf.DUMMYFUNCTION("IFERROR(GOOGLETRANSLATE(B974,""en"",""zh-CN""),)"),"")</f>
        <v/>
      </c>
    </row>
    <row r="975" spans="1:5">
      <c r="A975" s="3"/>
      <c r="B975" s="4" t="str">
        <f ca="1">IFERROR(__xludf.DUMMYFUNCTION("IFERROR(GOOGLETRANSLATE(A975,""ko"",""en""),)"),"")</f>
        <v/>
      </c>
      <c r="C975" s="4" t="str">
        <f ca="1">IFERROR(__xludf.DUMMYFUNCTION("IFERROR(GOOGLETRANSLATE(B975,""en"",""ja""),)"),"")</f>
        <v/>
      </c>
      <c r="D975" s="4" t="str">
        <f ca="1">IFERROR(__xludf.DUMMYFUNCTION("IFERROR(GOOGLETRANSLATE(B975,""en"",""zh-TW""),)"),"")</f>
        <v/>
      </c>
      <c r="E975" s="4" t="str">
        <f ca="1">IFERROR(__xludf.DUMMYFUNCTION("IFERROR(GOOGLETRANSLATE(B975,""en"",""zh-CN""),)"),"")</f>
        <v/>
      </c>
    </row>
    <row r="976" spans="1:5">
      <c r="A976" s="3"/>
      <c r="B976" s="4" t="str">
        <f ca="1">IFERROR(__xludf.DUMMYFUNCTION("IFERROR(GOOGLETRANSLATE(A976,""ko"",""en""),)"),"")</f>
        <v/>
      </c>
      <c r="C976" s="4" t="str">
        <f ca="1">IFERROR(__xludf.DUMMYFUNCTION("IFERROR(GOOGLETRANSLATE(B976,""en"",""ja""),)"),"")</f>
        <v/>
      </c>
      <c r="D976" s="4" t="str">
        <f ca="1">IFERROR(__xludf.DUMMYFUNCTION("IFERROR(GOOGLETRANSLATE(B976,""en"",""zh-TW""),)"),"")</f>
        <v/>
      </c>
      <c r="E976" s="4" t="str">
        <f ca="1">IFERROR(__xludf.DUMMYFUNCTION("IFERROR(GOOGLETRANSLATE(B976,""en"",""zh-CN""),)"),"")</f>
        <v/>
      </c>
    </row>
    <row r="977" spans="1:5">
      <c r="A977" s="3"/>
      <c r="B977" s="4" t="str">
        <f ca="1">IFERROR(__xludf.DUMMYFUNCTION("IFERROR(GOOGLETRANSLATE(A977,""ko"",""en""),)"),"")</f>
        <v/>
      </c>
      <c r="C977" s="4" t="str">
        <f ca="1">IFERROR(__xludf.DUMMYFUNCTION("IFERROR(GOOGLETRANSLATE(B977,""en"",""ja""),)"),"")</f>
        <v/>
      </c>
      <c r="D977" s="4" t="str">
        <f ca="1">IFERROR(__xludf.DUMMYFUNCTION("IFERROR(GOOGLETRANSLATE(B977,""en"",""zh-TW""),)"),"")</f>
        <v/>
      </c>
      <c r="E977" s="4" t="str">
        <f ca="1">IFERROR(__xludf.DUMMYFUNCTION("IFERROR(GOOGLETRANSLATE(B977,""en"",""zh-CN""),)"),"")</f>
        <v/>
      </c>
    </row>
    <row r="978" spans="1:5">
      <c r="A978" s="3"/>
      <c r="B978" s="4" t="str">
        <f ca="1">IFERROR(__xludf.DUMMYFUNCTION("IFERROR(GOOGLETRANSLATE(A978,""ko"",""en""),)"),"")</f>
        <v/>
      </c>
      <c r="C978" s="4" t="str">
        <f ca="1">IFERROR(__xludf.DUMMYFUNCTION("IFERROR(GOOGLETRANSLATE(B978,""en"",""ja""),)"),"")</f>
        <v/>
      </c>
      <c r="D978" s="4" t="str">
        <f ca="1">IFERROR(__xludf.DUMMYFUNCTION("IFERROR(GOOGLETRANSLATE(B978,""en"",""zh-TW""),)"),"")</f>
        <v/>
      </c>
      <c r="E978" s="4" t="str">
        <f ca="1">IFERROR(__xludf.DUMMYFUNCTION("IFERROR(GOOGLETRANSLATE(B978,""en"",""zh-CN""),)"),"")</f>
        <v/>
      </c>
    </row>
    <row r="979" spans="1:5">
      <c r="A979" s="3"/>
      <c r="B979" s="4" t="str">
        <f ca="1">IFERROR(__xludf.DUMMYFUNCTION("IFERROR(GOOGLETRANSLATE(A979,""ko"",""en""),)"),"")</f>
        <v/>
      </c>
      <c r="C979" s="4" t="str">
        <f ca="1">IFERROR(__xludf.DUMMYFUNCTION("IFERROR(GOOGLETRANSLATE(B979,""en"",""ja""),)"),"")</f>
        <v/>
      </c>
      <c r="D979" s="4" t="str">
        <f ca="1">IFERROR(__xludf.DUMMYFUNCTION("IFERROR(GOOGLETRANSLATE(B979,""en"",""zh-TW""),)"),"")</f>
        <v/>
      </c>
      <c r="E979" s="4" t="str">
        <f ca="1">IFERROR(__xludf.DUMMYFUNCTION("IFERROR(GOOGLETRANSLATE(B979,""en"",""zh-CN""),)"),"")</f>
        <v/>
      </c>
    </row>
    <row r="980" spans="1:5">
      <c r="A980" s="3"/>
      <c r="B980" s="4" t="str">
        <f ca="1">IFERROR(__xludf.DUMMYFUNCTION("IFERROR(GOOGLETRANSLATE(A980,""ko"",""en""),)"),"")</f>
        <v/>
      </c>
      <c r="C980" s="4" t="str">
        <f ca="1">IFERROR(__xludf.DUMMYFUNCTION("IFERROR(GOOGLETRANSLATE(B980,""en"",""ja""),)"),"")</f>
        <v/>
      </c>
      <c r="D980" s="4" t="str">
        <f ca="1">IFERROR(__xludf.DUMMYFUNCTION("IFERROR(GOOGLETRANSLATE(B980,""en"",""zh-TW""),)"),"")</f>
        <v/>
      </c>
      <c r="E980" s="4" t="str">
        <f ca="1">IFERROR(__xludf.DUMMYFUNCTION("IFERROR(GOOGLETRANSLATE(B980,""en"",""zh-CN""),)"),"")</f>
        <v/>
      </c>
    </row>
    <row r="981" spans="1:5">
      <c r="A981" s="3"/>
      <c r="B981" s="4" t="str">
        <f ca="1">IFERROR(__xludf.DUMMYFUNCTION("IFERROR(GOOGLETRANSLATE(A981,""ko"",""en""),)"),"")</f>
        <v/>
      </c>
      <c r="C981" s="4" t="str">
        <f ca="1">IFERROR(__xludf.DUMMYFUNCTION("IFERROR(GOOGLETRANSLATE(B981,""en"",""ja""),)"),"")</f>
        <v/>
      </c>
      <c r="D981" s="4" t="str">
        <f ca="1">IFERROR(__xludf.DUMMYFUNCTION("IFERROR(GOOGLETRANSLATE(B981,""en"",""zh-TW""),)"),"")</f>
        <v/>
      </c>
      <c r="E981" s="4" t="str">
        <f ca="1">IFERROR(__xludf.DUMMYFUNCTION("IFERROR(GOOGLETRANSLATE(B981,""en"",""zh-CN""),)"),"")</f>
        <v/>
      </c>
    </row>
    <row r="982" spans="1:5">
      <c r="A982" s="3"/>
      <c r="B982" s="4" t="str">
        <f ca="1">IFERROR(__xludf.DUMMYFUNCTION("IFERROR(GOOGLETRANSLATE(A982,""ko"",""en""),)"),"")</f>
        <v/>
      </c>
      <c r="C982" s="4" t="str">
        <f ca="1">IFERROR(__xludf.DUMMYFUNCTION("IFERROR(GOOGLETRANSLATE(B982,""en"",""ja""),)"),"")</f>
        <v/>
      </c>
      <c r="D982" s="4" t="str">
        <f ca="1">IFERROR(__xludf.DUMMYFUNCTION("IFERROR(GOOGLETRANSLATE(B982,""en"",""zh-TW""),)"),"")</f>
        <v/>
      </c>
      <c r="E982" s="4" t="str">
        <f ca="1">IFERROR(__xludf.DUMMYFUNCTION("IFERROR(GOOGLETRANSLATE(B982,""en"",""zh-CN""),)"),"")</f>
        <v/>
      </c>
    </row>
    <row r="983" spans="1:5">
      <c r="A983" s="3"/>
      <c r="B983" s="4" t="str">
        <f ca="1">IFERROR(__xludf.DUMMYFUNCTION("IFERROR(GOOGLETRANSLATE(A983,""ko"",""en""),)"),"")</f>
        <v/>
      </c>
      <c r="C983" s="4" t="str">
        <f ca="1">IFERROR(__xludf.DUMMYFUNCTION("IFERROR(GOOGLETRANSLATE(B983,""en"",""ja""),)"),"")</f>
        <v/>
      </c>
      <c r="D983" s="4" t="str">
        <f ca="1">IFERROR(__xludf.DUMMYFUNCTION("IFERROR(GOOGLETRANSLATE(B983,""en"",""zh-TW""),)"),"")</f>
        <v/>
      </c>
      <c r="E983" s="4" t="str">
        <f ca="1">IFERROR(__xludf.DUMMYFUNCTION("IFERROR(GOOGLETRANSLATE(B983,""en"",""zh-CN""),)"),"")</f>
        <v/>
      </c>
    </row>
    <row r="984" spans="1:5">
      <c r="A984" s="3"/>
      <c r="B984" s="4" t="str">
        <f ca="1">IFERROR(__xludf.DUMMYFUNCTION("IFERROR(GOOGLETRANSLATE(A984,""ko"",""en""),)"),"")</f>
        <v/>
      </c>
      <c r="C984" s="4" t="str">
        <f ca="1">IFERROR(__xludf.DUMMYFUNCTION("IFERROR(GOOGLETRANSLATE(B984,""en"",""ja""),)"),"")</f>
        <v/>
      </c>
      <c r="D984" s="4" t="str">
        <f ca="1">IFERROR(__xludf.DUMMYFUNCTION("IFERROR(GOOGLETRANSLATE(B984,""en"",""zh-TW""),)"),"")</f>
        <v/>
      </c>
      <c r="E984" s="4" t="str">
        <f ca="1">IFERROR(__xludf.DUMMYFUNCTION("IFERROR(GOOGLETRANSLATE(B984,""en"",""zh-CN""),)"),"")</f>
        <v/>
      </c>
    </row>
    <row r="985" spans="1:5">
      <c r="A985" s="3"/>
      <c r="B985" s="4" t="str">
        <f ca="1">IFERROR(__xludf.DUMMYFUNCTION("IFERROR(GOOGLETRANSLATE(A985,""ko"",""en""),)"),"")</f>
        <v/>
      </c>
      <c r="C985" s="4" t="str">
        <f ca="1">IFERROR(__xludf.DUMMYFUNCTION("IFERROR(GOOGLETRANSLATE(B985,""en"",""ja""),)"),"")</f>
        <v/>
      </c>
      <c r="D985" s="4" t="str">
        <f ca="1">IFERROR(__xludf.DUMMYFUNCTION("IFERROR(GOOGLETRANSLATE(B985,""en"",""zh-TW""),)"),"")</f>
        <v/>
      </c>
      <c r="E985" s="4" t="str">
        <f ca="1">IFERROR(__xludf.DUMMYFUNCTION("IFERROR(GOOGLETRANSLATE(B985,""en"",""zh-CN""),)"),"")</f>
        <v/>
      </c>
    </row>
    <row r="986" spans="1:5">
      <c r="A986" s="3"/>
      <c r="B986" s="4" t="str">
        <f ca="1">IFERROR(__xludf.DUMMYFUNCTION("IFERROR(GOOGLETRANSLATE(A986,""ko"",""en""),)"),"")</f>
        <v/>
      </c>
      <c r="C986" s="4" t="str">
        <f ca="1">IFERROR(__xludf.DUMMYFUNCTION("IFERROR(GOOGLETRANSLATE(B986,""en"",""ja""),)"),"")</f>
        <v/>
      </c>
      <c r="D986" s="4" t="str">
        <f ca="1">IFERROR(__xludf.DUMMYFUNCTION("IFERROR(GOOGLETRANSLATE(B986,""en"",""zh-TW""),)"),"")</f>
        <v/>
      </c>
      <c r="E986" s="4" t="str">
        <f ca="1">IFERROR(__xludf.DUMMYFUNCTION("IFERROR(GOOGLETRANSLATE(B986,""en"",""zh-CN""),)"),"")</f>
        <v/>
      </c>
    </row>
    <row r="987" spans="1:5">
      <c r="A987" s="3"/>
      <c r="B987" s="4" t="str">
        <f ca="1">IFERROR(__xludf.DUMMYFUNCTION("IFERROR(GOOGLETRANSLATE(A987,""ko"",""en""),)"),"")</f>
        <v/>
      </c>
      <c r="C987" s="4" t="str">
        <f ca="1">IFERROR(__xludf.DUMMYFUNCTION("IFERROR(GOOGLETRANSLATE(B987,""en"",""ja""),)"),"")</f>
        <v/>
      </c>
      <c r="D987" s="4" t="str">
        <f ca="1">IFERROR(__xludf.DUMMYFUNCTION("IFERROR(GOOGLETRANSLATE(B987,""en"",""zh-TW""),)"),"")</f>
        <v/>
      </c>
      <c r="E987" s="4" t="str">
        <f ca="1">IFERROR(__xludf.DUMMYFUNCTION("IFERROR(GOOGLETRANSLATE(B987,""en"",""zh-CN""),)"),"")</f>
        <v/>
      </c>
    </row>
    <row r="988" spans="1:5">
      <c r="A988" s="3"/>
      <c r="B988" s="4" t="str">
        <f ca="1">IFERROR(__xludf.DUMMYFUNCTION("IFERROR(GOOGLETRANSLATE(A988,""ko"",""en""),)"),"")</f>
        <v/>
      </c>
      <c r="C988" s="4" t="str">
        <f ca="1">IFERROR(__xludf.DUMMYFUNCTION("IFERROR(GOOGLETRANSLATE(B988,""en"",""ja""),)"),"")</f>
        <v/>
      </c>
      <c r="D988" s="4" t="str">
        <f ca="1">IFERROR(__xludf.DUMMYFUNCTION("IFERROR(GOOGLETRANSLATE(B988,""en"",""zh-TW""),)"),"")</f>
        <v/>
      </c>
      <c r="E988" s="4" t="str">
        <f ca="1">IFERROR(__xludf.DUMMYFUNCTION("IFERROR(GOOGLETRANSLATE(B988,""en"",""zh-CN""),)"),"")</f>
        <v/>
      </c>
    </row>
    <row r="989" spans="1:5">
      <c r="A989" s="3"/>
      <c r="B989" s="4" t="str">
        <f ca="1">IFERROR(__xludf.DUMMYFUNCTION("IFERROR(GOOGLETRANSLATE(A989,""ko"",""en""),)"),"")</f>
        <v/>
      </c>
      <c r="C989" s="4" t="str">
        <f ca="1">IFERROR(__xludf.DUMMYFUNCTION("IFERROR(GOOGLETRANSLATE(B989,""en"",""ja""),)"),"")</f>
        <v/>
      </c>
      <c r="D989" s="4" t="str">
        <f ca="1">IFERROR(__xludf.DUMMYFUNCTION("IFERROR(GOOGLETRANSLATE(B989,""en"",""zh-TW""),)"),"")</f>
        <v/>
      </c>
      <c r="E989" s="4" t="str">
        <f ca="1">IFERROR(__xludf.DUMMYFUNCTION("IFERROR(GOOGLETRANSLATE(B989,""en"",""zh-CN""),)"),"")</f>
        <v/>
      </c>
    </row>
    <row r="990" spans="1:5">
      <c r="A990" s="3"/>
      <c r="B990" s="4" t="str">
        <f ca="1">IFERROR(__xludf.DUMMYFUNCTION("IFERROR(GOOGLETRANSLATE(A990,""ko"",""en""),)"),"")</f>
        <v/>
      </c>
      <c r="C990" s="4" t="str">
        <f ca="1">IFERROR(__xludf.DUMMYFUNCTION("IFERROR(GOOGLETRANSLATE(B990,""en"",""ja""),)"),"")</f>
        <v/>
      </c>
      <c r="D990" s="4" t="str">
        <f ca="1">IFERROR(__xludf.DUMMYFUNCTION("IFERROR(GOOGLETRANSLATE(B990,""en"",""zh-TW""),)"),"")</f>
        <v/>
      </c>
      <c r="E990" s="4" t="str">
        <f ca="1">IFERROR(__xludf.DUMMYFUNCTION("IFERROR(GOOGLETRANSLATE(B990,""en"",""zh-CN""),)"),"")</f>
        <v/>
      </c>
    </row>
    <row r="991" spans="1:5">
      <c r="A991" s="3"/>
      <c r="B991" s="4" t="str">
        <f ca="1">IFERROR(__xludf.DUMMYFUNCTION("IFERROR(GOOGLETRANSLATE(A991,""ko"",""en""),)"),"")</f>
        <v/>
      </c>
      <c r="C991" s="4" t="str">
        <f ca="1">IFERROR(__xludf.DUMMYFUNCTION("IFERROR(GOOGLETRANSLATE(B991,""en"",""ja""),)"),"")</f>
        <v/>
      </c>
      <c r="D991" s="4" t="str">
        <f ca="1">IFERROR(__xludf.DUMMYFUNCTION("IFERROR(GOOGLETRANSLATE(B991,""en"",""zh-TW""),)"),"")</f>
        <v/>
      </c>
      <c r="E991" s="4" t="str">
        <f ca="1">IFERROR(__xludf.DUMMYFUNCTION("IFERROR(GOOGLETRANSLATE(B991,""en"",""zh-CN""),)"),"")</f>
        <v/>
      </c>
    </row>
    <row r="992" spans="1:5">
      <c r="A992" s="3"/>
      <c r="B992" s="4" t="str">
        <f ca="1">IFERROR(__xludf.DUMMYFUNCTION("IFERROR(GOOGLETRANSLATE(A992,""ko"",""en""),)"),"")</f>
        <v/>
      </c>
      <c r="C992" s="4" t="str">
        <f ca="1">IFERROR(__xludf.DUMMYFUNCTION("IFERROR(GOOGLETRANSLATE(B992,""en"",""ja""),)"),"")</f>
        <v/>
      </c>
      <c r="D992" s="4" t="str">
        <f ca="1">IFERROR(__xludf.DUMMYFUNCTION("IFERROR(GOOGLETRANSLATE(B992,""en"",""zh-TW""),)"),"")</f>
        <v/>
      </c>
      <c r="E992" s="4" t="str">
        <f ca="1">IFERROR(__xludf.DUMMYFUNCTION("IFERROR(GOOGLETRANSLATE(B992,""en"",""zh-CN""),)"),"")</f>
        <v/>
      </c>
    </row>
    <row r="993" spans="1:5">
      <c r="A993" s="3"/>
      <c r="B993" s="4" t="str">
        <f ca="1">IFERROR(__xludf.DUMMYFUNCTION("IFERROR(GOOGLETRANSLATE(A993,""ko"",""en""),)"),"")</f>
        <v/>
      </c>
      <c r="C993" s="4" t="str">
        <f ca="1">IFERROR(__xludf.DUMMYFUNCTION("IFERROR(GOOGLETRANSLATE(B993,""en"",""ja""),)"),"")</f>
        <v/>
      </c>
      <c r="D993" s="4" t="str">
        <f ca="1">IFERROR(__xludf.DUMMYFUNCTION("IFERROR(GOOGLETRANSLATE(B993,""en"",""zh-TW""),)"),"")</f>
        <v/>
      </c>
      <c r="E993" s="4" t="str">
        <f ca="1">IFERROR(__xludf.DUMMYFUNCTION("IFERROR(GOOGLETRANSLATE(B993,""en"",""zh-CN""),)"),"")</f>
        <v/>
      </c>
    </row>
    <row r="994" spans="1:5">
      <c r="A994" s="3"/>
      <c r="B994" s="4" t="str">
        <f ca="1">IFERROR(__xludf.DUMMYFUNCTION("IFERROR(GOOGLETRANSLATE(A994,""ko"",""en""),)"),"")</f>
        <v/>
      </c>
      <c r="C994" s="4" t="str">
        <f ca="1">IFERROR(__xludf.DUMMYFUNCTION("IFERROR(GOOGLETRANSLATE(B994,""en"",""ja""),)"),"")</f>
        <v/>
      </c>
      <c r="D994" s="4" t="str">
        <f ca="1">IFERROR(__xludf.DUMMYFUNCTION("IFERROR(GOOGLETRANSLATE(B994,""en"",""zh-TW""),)"),"")</f>
        <v/>
      </c>
      <c r="E994" s="4" t="str">
        <f ca="1">IFERROR(__xludf.DUMMYFUNCTION("IFERROR(GOOGLETRANSLATE(B994,""en"",""zh-CN""),)"),"")</f>
        <v/>
      </c>
    </row>
    <row r="995" spans="1:5">
      <c r="A995" s="3"/>
      <c r="B995" s="4" t="str">
        <f ca="1">IFERROR(__xludf.DUMMYFUNCTION("IFERROR(GOOGLETRANSLATE(A995,""ko"",""en""),)"),"")</f>
        <v/>
      </c>
      <c r="C995" s="4" t="str">
        <f ca="1">IFERROR(__xludf.DUMMYFUNCTION("IFERROR(GOOGLETRANSLATE(B995,""en"",""ja""),)"),"")</f>
        <v/>
      </c>
      <c r="D995" s="4" t="str">
        <f ca="1">IFERROR(__xludf.DUMMYFUNCTION("IFERROR(GOOGLETRANSLATE(B995,""en"",""zh-TW""),)"),"")</f>
        <v/>
      </c>
      <c r="E995" s="4" t="str">
        <f ca="1">IFERROR(__xludf.DUMMYFUNCTION("IFERROR(GOOGLETRANSLATE(B995,""en"",""zh-CN""),)"),"")</f>
        <v/>
      </c>
    </row>
    <row r="996" spans="1:5">
      <c r="A996" s="3"/>
      <c r="B996" s="4" t="str">
        <f ca="1">IFERROR(__xludf.DUMMYFUNCTION("IFERROR(GOOGLETRANSLATE(A996,""ko"",""en""),)"),"")</f>
        <v/>
      </c>
      <c r="C996" s="4" t="str">
        <f ca="1">IFERROR(__xludf.DUMMYFUNCTION("IFERROR(GOOGLETRANSLATE(B996,""en"",""ja""),)"),"")</f>
        <v/>
      </c>
      <c r="D996" s="4" t="str">
        <f ca="1">IFERROR(__xludf.DUMMYFUNCTION("IFERROR(GOOGLETRANSLATE(B996,""en"",""zh-TW""),)"),"")</f>
        <v/>
      </c>
      <c r="E996" s="4" t="str">
        <f ca="1">IFERROR(__xludf.DUMMYFUNCTION("IFERROR(GOOGLETRANSLATE(B996,""en"",""zh-CN""),)"),"")</f>
        <v/>
      </c>
    </row>
    <row r="997" spans="1:5">
      <c r="A997" s="3"/>
      <c r="B997" s="4" t="str">
        <f ca="1">IFERROR(__xludf.DUMMYFUNCTION("IFERROR(GOOGLETRANSLATE(A997,""ko"",""en""),)"),"")</f>
        <v/>
      </c>
      <c r="C997" s="4" t="str">
        <f ca="1">IFERROR(__xludf.DUMMYFUNCTION("IFERROR(GOOGLETRANSLATE(B997,""en"",""ja""),)"),"")</f>
        <v/>
      </c>
      <c r="D997" s="4" t="str">
        <f ca="1">IFERROR(__xludf.DUMMYFUNCTION("IFERROR(GOOGLETRANSLATE(B997,""en"",""zh-TW""),)"),"")</f>
        <v/>
      </c>
      <c r="E997" s="4" t="str">
        <f ca="1">IFERROR(__xludf.DUMMYFUNCTION("IFERROR(GOOGLETRANSLATE(B997,""en"",""zh-CN""),)"),"")</f>
        <v/>
      </c>
    </row>
    <row r="998" spans="1:5">
      <c r="A998" s="3"/>
      <c r="B998" s="4" t="str">
        <f ca="1">IFERROR(__xludf.DUMMYFUNCTION("IFERROR(GOOGLETRANSLATE(A998,""ko"",""en""),)"),"")</f>
        <v/>
      </c>
      <c r="C998" s="4" t="str">
        <f ca="1">IFERROR(__xludf.DUMMYFUNCTION("IFERROR(GOOGLETRANSLATE(B998,""en"",""ja""),)"),"")</f>
        <v/>
      </c>
      <c r="D998" s="4" t="str">
        <f ca="1">IFERROR(__xludf.DUMMYFUNCTION("IFERROR(GOOGLETRANSLATE(B998,""en"",""zh-TW""),)"),"")</f>
        <v/>
      </c>
      <c r="E998" s="4" t="str">
        <f ca="1">IFERROR(__xludf.DUMMYFUNCTION("IFERROR(GOOGLETRANSLATE(B998,""en"",""zh-CN""),)"),"")</f>
        <v/>
      </c>
    </row>
    <row r="999" spans="1:5">
      <c r="A999" s="3"/>
      <c r="B999" s="4" t="str">
        <f ca="1">IFERROR(__xludf.DUMMYFUNCTION("IFERROR(GOOGLETRANSLATE(A999,""ko"",""en""),)"),"")</f>
        <v/>
      </c>
      <c r="C999" s="4" t="str">
        <f ca="1">IFERROR(__xludf.DUMMYFUNCTION("IFERROR(GOOGLETRANSLATE(B999,""en"",""ja""),)"),"")</f>
        <v/>
      </c>
      <c r="D999" s="4" t="str">
        <f ca="1">IFERROR(__xludf.DUMMYFUNCTION("IFERROR(GOOGLETRANSLATE(B999,""en"",""zh-TW""),)"),"")</f>
        <v/>
      </c>
      <c r="E999" s="4" t="str">
        <f ca="1">IFERROR(__xludf.DUMMYFUNCTION("IFERROR(GOOGLETRANSLATE(B999,""en"",""zh-CN""),)"),"")</f>
        <v/>
      </c>
    </row>
    <row r="1000" spans="1:5">
      <c r="A1000" s="3"/>
      <c r="B1000" s="4" t="str">
        <f ca="1">IFERROR(__xludf.DUMMYFUNCTION("IFERROR(GOOGLETRANSLATE(A1000,""ko"",""en""),)"),"")</f>
        <v/>
      </c>
      <c r="C1000" s="4" t="str">
        <f ca="1">IFERROR(__xludf.DUMMYFUNCTION("IFERROR(GOOGLETRANSLATE(B1000,""en"",""ja""),)"),"")</f>
        <v/>
      </c>
      <c r="D1000" s="4" t="str">
        <f ca="1">IFERROR(__xludf.DUMMYFUNCTION("IFERROR(GOOGLETRANSLATE(B1000,""en"",""zh-TW""),)"),"")</f>
        <v/>
      </c>
      <c r="E1000" s="4" t="str">
        <f ca="1">IFERROR(__xludf.DUMMYFUNCTION("IFERROR(GOOGLETRANSLATE(B1000,""en"",""zh-CN""),)"),"")</f>
        <v/>
      </c>
    </row>
    <row r="1001" spans="1:5">
      <c r="A1001" s="3"/>
      <c r="B1001" s="4" t="str">
        <f ca="1">IFERROR(__xludf.DUMMYFUNCTION("IFERROR(GOOGLETRANSLATE(A1001,""ko"",""en""),)"),"")</f>
        <v/>
      </c>
      <c r="C1001" s="4" t="str">
        <f ca="1">IFERROR(__xludf.DUMMYFUNCTION("IFERROR(GOOGLETRANSLATE(B1001,""en"",""ja""),)"),"")</f>
        <v/>
      </c>
      <c r="D1001" s="4" t="str">
        <f ca="1">IFERROR(__xludf.DUMMYFUNCTION("IFERROR(GOOGLETRANSLATE(B1001,""en"",""zh-TW""),)"),"")</f>
        <v/>
      </c>
      <c r="E1001" s="4" t="str">
        <f ca="1">IFERROR(__xludf.DUMMYFUNCTION("IFERROR(GOOGLETRANSLATE(B1001,""en"",""zh-CN""),)"),"")</f>
        <v/>
      </c>
    </row>
    <row r="1002" spans="1:5">
      <c r="A1002" s="3"/>
      <c r="B1002" s="4" t="str">
        <f ca="1">IFERROR(__xludf.DUMMYFUNCTION("IFERROR(GOOGLETRANSLATE(A1002,""ko"",""en""),)"),"")</f>
        <v/>
      </c>
      <c r="C1002" s="4" t="str">
        <f ca="1">IFERROR(__xludf.DUMMYFUNCTION("IFERROR(GOOGLETRANSLATE(B1002,""en"",""ja""),)"),"")</f>
        <v/>
      </c>
      <c r="D1002" s="4" t="str">
        <f ca="1">IFERROR(__xludf.DUMMYFUNCTION("IFERROR(GOOGLETRANSLATE(B1002,""en"",""zh-TW""),)"),"")</f>
        <v/>
      </c>
      <c r="E1002" s="4" t="str">
        <f ca="1">IFERROR(__xludf.DUMMYFUNCTION("IFERROR(GOOGLETRANSLATE(B1002,""en"",""zh-CN""),)"),"")</f>
        <v/>
      </c>
    </row>
    <row r="1003" spans="1:5">
      <c r="A1003" s="3"/>
      <c r="B1003" s="4" t="str">
        <f ca="1">IFERROR(__xludf.DUMMYFUNCTION("IFERROR(GOOGLETRANSLATE(A1003,""ko"",""en""),)"),"")</f>
        <v/>
      </c>
      <c r="C1003" s="4" t="str">
        <f ca="1">IFERROR(__xludf.DUMMYFUNCTION("IFERROR(GOOGLETRANSLATE(B1003,""en"",""ja""),)"),"")</f>
        <v/>
      </c>
      <c r="D1003" s="4" t="str">
        <f ca="1">IFERROR(__xludf.DUMMYFUNCTION("IFERROR(GOOGLETRANSLATE(B1003,""en"",""zh-TW""),)"),"")</f>
        <v/>
      </c>
      <c r="E1003" s="4" t="str">
        <f ca="1">IFERROR(__xludf.DUMMYFUNCTION("IFERROR(GOOGLETRANSLATE(B1003,""en"",""zh-CN""),)"),"")</f>
        <v/>
      </c>
    </row>
    <row r="1004" spans="1:5">
      <c r="A1004" s="3"/>
      <c r="B1004" s="4" t="str">
        <f ca="1">IFERROR(__xludf.DUMMYFUNCTION("IFERROR(GOOGLETRANSLATE(A1004,""ko"",""en""),)"),"")</f>
        <v/>
      </c>
      <c r="C1004" s="4" t="str">
        <f ca="1">IFERROR(__xludf.DUMMYFUNCTION("IFERROR(GOOGLETRANSLATE(B1004,""en"",""ja""),)"),"")</f>
        <v/>
      </c>
      <c r="D1004" s="4" t="str">
        <f ca="1">IFERROR(__xludf.DUMMYFUNCTION("IFERROR(GOOGLETRANSLATE(B1004,""en"",""zh-TW""),)"),"")</f>
        <v/>
      </c>
      <c r="E1004" s="4" t="str">
        <f ca="1">IFERROR(__xludf.DUMMYFUNCTION("IFERROR(GOOGLETRANSLATE(B1004,""en"",""zh-CN""),)"),"")</f>
        <v/>
      </c>
    </row>
    <row r="1005" spans="1:5">
      <c r="A1005" s="3"/>
      <c r="B1005" s="4" t="str">
        <f ca="1">IFERROR(__xludf.DUMMYFUNCTION("IFERROR(GOOGLETRANSLATE(A1005,""ko"",""en""),)"),"")</f>
        <v/>
      </c>
      <c r="C1005" s="4" t="str">
        <f ca="1">IFERROR(__xludf.DUMMYFUNCTION("IFERROR(GOOGLETRANSLATE(B1005,""en"",""ja""),)"),"")</f>
        <v/>
      </c>
      <c r="D1005" s="4" t="str">
        <f ca="1">IFERROR(__xludf.DUMMYFUNCTION("IFERROR(GOOGLETRANSLATE(B1005,""en"",""zh-TW""),)"),"")</f>
        <v/>
      </c>
      <c r="E1005" s="4" t="str">
        <f ca="1">IFERROR(__xludf.DUMMYFUNCTION("IFERROR(GOOGLETRANSLATE(B1005,""en"",""zh-CN""),)"),"")</f>
        <v/>
      </c>
    </row>
    <row r="1006" spans="1:5">
      <c r="A1006" s="3"/>
      <c r="B1006" s="4" t="str">
        <f ca="1">IFERROR(__xludf.DUMMYFUNCTION("IFERROR(GOOGLETRANSLATE(A1006,""ko"",""en""),)"),"")</f>
        <v/>
      </c>
      <c r="C1006" s="4" t="str">
        <f ca="1">IFERROR(__xludf.DUMMYFUNCTION("IFERROR(GOOGLETRANSLATE(B1006,""en"",""ja""),)"),"")</f>
        <v/>
      </c>
      <c r="D1006" s="4" t="str">
        <f ca="1">IFERROR(__xludf.DUMMYFUNCTION("IFERROR(GOOGLETRANSLATE(B1006,""en"",""zh-TW""),)"),"")</f>
        <v/>
      </c>
      <c r="E1006" s="4" t="str">
        <f ca="1">IFERROR(__xludf.DUMMYFUNCTION("IFERROR(GOOGLETRANSLATE(B1006,""en"",""zh-CN""),)"),"")</f>
        <v/>
      </c>
    </row>
    <row r="1007" spans="1:5">
      <c r="A1007" s="3"/>
      <c r="B1007" s="4" t="str">
        <f ca="1">IFERROR(__xludf.DUMMYFUNCTION("IFERROR(GOOGLETRANSLATE(A1007,""ko"",""en""),)"),"")</f>
        <v/>
      </c>
      <c r="C1007" s="4" t="str">
        <f ca="1">IFERROR(__xludf.DUMMYFUNCTION("IFERROR(GOOGLETRANSLATE(B1007,""en"",""ja""),)"),"")</f>
        <v/>
      </c>
      <c r="D1007" s="4" t="str">
        <f ca="1">IFERROR(__xludf.DUMMYFUNCTION("IFERROR(GOOGLETRANSLATE(B1007,""en"",""zh-TW""),)"),"")</f>
        <v/>
      </c>
      <c r="E1007" s="4" t="str">
        <f ca="1">IFERROR(__xludf.DUMMYFUNCTION("IFERROR(GOOGLETRANSLATE(B1007,""en"",""zh-CN""),)"),"")</f>
        <v/>
      </c>
    </row>
    <row r="1008" spans="1:5">
      <c r="A1008" s="3"/>
      <c r="B1008" s="4" t="str">
        <f ca="1">IFERROR(__xludf.DUMMYFUNCTION("IFERROR(GOOGLETRANSLATE(A1008,""ko"",""en""),)"),"")</f>
        <v/>
      </c>
      <c r="C1008" s="4" t="str">
        <f ca="1">IFERROR(__xludf.DUMMYFUNCTION("IFERROR(GOOGLETRANSLATE(B1008,""en"",""ja""),)"),"")</f>
        <v/>
      </c>
      <c r="D1008" s="4" t="str">
        <f ca="1">IFERROR(__xludf.DUMMYFUNCTION("IFERROR(GOOGLETRANSLATE(B1008,""en"",""zh-TW""),)"),"")</f>
        <v/>
      </c>
      <c r="E1008" s="4" t="str">
        <f ca="1">IFERROR(__xludf.DUMMYFUNCTION("IFERROR(GOOGLETRANSLATE(B1008,""en"",""zh-CN""),)"),"")</f>
        <v/>
      </c>
    </row>
    <row r="1009" spans="1:5">
      <c r="A1009" s="3"/>
      <c r="B1009" s="4" t="str">
        <f ca="1">IFERROR(__xludf.DUMMYFUNCTION("IFERROR(GOOGLETRANSLATE(A1009,""ko"",""en""),)"),"")</f>
        <v/>
      </c>
      <c r="C1009" s="4" t="str">
        <f ca="1">IFERROR(__xludf.DUMMYFUNCTION("IFERROR(GOOGLETRANSLATE(B1009,""en"",""ja""),)"),"")</f>
        <v/>
      </c>
      <c r="D1009" s="4" t="str">
        <f ca="1">IFERROR(__xludf.DUMMYFUNCTION("IFERROR(GOOGLETRANSLATE(B1009,""en"",""zh-TW""),)"),"")</f>
        <v/>
      </c>
      <c r="E1009" s="4" t="str">
        <f ca="1">IFERROR(__xludf.DUMMYFUNCTION("IFERROR(GOOGLETRANSLATE(B1009,""en"",""zh-CN""),)"),"")</f>
        <v/>
      </c>
    </row>
    <row r="1010" spans="1:5">
      <c r="A1010" s="3"/>
      <c r="B1010" s="4" t="str">
        <f ca="1">IFERROR(__xludf.DUMMYFUNCTION("IFERROR(GOOGLETRANSLATE(A1010,""ko"",""en""),)"),"")</f>
        <v/>
      </c>
      <c r="C1010" s="4" t="str">
        <f ca="1">IFERROR(__xludf.DUMMYFUNCTION("IFERROR(GOOGLETRANSLATE(B1010,""en"",""ja""),)"),"")</f>
        <v/>
      </c>
      <c r="D1010" s="4" t="str">
        <f ca="1">IFERROR(__xludf.DUMMYFUNCTION("IFERROR(GOOGLETRANSLATE(B1010,""en"",""zh-TW""),)"),"")</f>
        <v/>
      </c>
      <c r="E1010" s="4" t="str">
        <f ca="1">IFERROR(__xludf.DUMMYFUNCTION("IFERROR(GOOGLETRANSLATE(B1010,""en"",""zh-CN""),)"),"")</f>
        <v/>
      </c>
    </row>
    <row r="1011" spans="1:5">
      <c r="A1011" s="3"/>
      <c r="B1011" s="4" t="str">
        <f ca="1">IFERROR(__xludf.DUMMYFUNCTION("IFERROR(GOOGLETRANSLATE(A1011,""ko"",""en""),)"),"")</f>
        <v/>
      </c>
      <c r="C1011" s="4" t="str">
        <f ca="1">IFERROR(__xludf.DUMMYFUNCTION("IFERROR(GOOGLETRANSLATE(B1011,""en"",""ja""),)"),"")</f>
        <v/>
      </c>
      <c r="D1011" s="4" t="str">
        <f ca="1">IFERROR(__xludf.DUMMYFUNCTION("IFERROR(GOOGLETRANSLATE(B1011,""en"",""zh-TW""),)"),"")</f>
        <v/>
      </c>
      <c r="E1011" s="4" t="str">
        <f ca="1">IFERROR(__xludf.DUMMYFUNCTION("IFERROR(GOOGLETRANSLATE(B1011,""en"",""zh-CN""),)"),"")</f>
        <v/>
      </c>
    </row>
    <row r="1012" spans="1:5">
      <c r="A1012" s="3"/>
      <c r="B1012" s="4" t="str">
        <f ca="1">IFERROR(__xludf.DUMMYFUNCTION("IFERROR(GOOGLETRANSLATE(A1012,""ko"",""en""),)"),"")</f>
        <v/>
      </c>
      <c r="C1012" s="4" t="str">
        <f ca="1">IFERROR(__xludf.DUMMYFUNCTION("IFERROR(GOOGLETRANSLATE(B1012,""en"",""ja""),)"),"")</f>
        <v/>
      </c>
      <c r="D1012" s="4" t="str">
        <f ca="1">IFERROR(__xludf.DUMMYFUNCTION("IFERROR(GOOGLETRANSLATE(B1012,""en"",""zh-TW""),)"),"")</f>
        <v/>
      </c>
      <c r="E1012" s="4" t="str">
        <f ca="1">IFERROR(__xludf.DUMMYFUNCTION("IFERROR(GOOGLETRANSLATE(B1012,""en"",""zh-CN""),)"),"")</f>
        <v/>
      </c>
    </row>
    <row r="1013" spans="1:5">
      <c r="A1013" s="3"/>
      <c r="B1013" s="4" t="str">
        <f ca="1">IFERROR(__xludf.DUMMYFUNCTION("IFERROR(GOOGLETRANSLATE(A1013,""ko"",""en""),)"),"")</f>
        <v/>
      </c>
      <c r="C1013" s="4" t="str">
        <f ca="1">IFERROR(__xludf.DUMMYFUNCTION("IFERROR(GOOGLETRANSLATE(B1013,""en"",""ja""),)"),"")</f>
        <v/>
      </c>
      <c r="D1013" s="4" t="str">
        <f ca="1">IFERROR(__xludf.DUMMYFUNCTION("IFERROR(GOOGLETRANSLATE(B1013,""en"",""zh-TW""),)"),"")</f>
        <v/>
      </c>
      <c r="E1013" s="4" t="str">
        <f ca="1">IFERROR(__xludf.DUMMYFUNCTION("IFERROR(GOOGLETRANSLATE(B1013,""en"",""zh-CN""),)"),"")</f>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21"/>
  <sheetViews>
    <sheetView workbookViewId="0"/>
  </sheetViews>
  <sheetFormatPr baseColWidth="10" defaultColWidth="12.6640625" defaultRowHeight="15.75" customHeight="1"/>
  <cols>
    <col min="1" max="1" width="64.1640625" customWidth="1"/>
    <col min="2" max="2" width="46.83203125" customWidth="1"/>
    <col min="3" max="3" width="32.1640625" customWidth="1"/>
  </cols>
  <sheetData>
    <row r="1" spans="1:3" ht="16">
      <c r="A1" s="1" t="s">
        <v>0</v>
      </c>
      <c r="B1" s="1" t="s">
        <v>1</v>
      </c>
      <c r="C1" s="1" t="s">
        <v>2</v>
      </c>
    </row>
    <row r="2" spans="1:3" ht="18">
      <c r="A2" s="2" t="s">
        <v>5</v>
      </c>
      <c r="B2" s="4" t="s">
        <v>7</v>
      </c>
      <c r="C2" s="4" t="str">
        <f ca="1">IFERROR(__xludf.DUMMYFUNCTION("IFERROR(GOOGLETRANSLATE(B2,""en"",""ja""),)"),"こんにちは。ディットマンと申します。会社員で、金融関係の仕事をしています。韓国文化に興味があり、11月にソウルに行く予定です。
はじめまして。")</f>
        <v>こんにちは。ディットマンと申します。会社員で、金融関係の仕事をしています。韓国文化に興味があり、11月にソウルに行く予定です。
はじめまして。</v>
      </c>
    </row>
    <row r="3" spans="1:3" ht="18">
      <c r="A3" s="2" t="s">
        <v>9</v>
      </c>
      <c r="B3" s="4" t="str">
        <f ca="1">IFERROR(__xludf.DUMMYFUNCTION("IFERROR(GOOGLETRANSLATE(A3,""ko"",""en""),)"),"I'm planning to go to Jeju Island.")</f>
        <v>I'm planning to go to Jeju Island.</v>
      </c>
      <c r="C3" s="4" t="str">
        <f ca="1">IFERROR(__xludf.DUMMYFUNCTION("IFERROR(GOOGLETRANSLATE(B3,""en"",""ja""),)"),"済州島に行く予定です。")</f>
        <v>済州島に行く予定です。</v>
      </c>
    </row>
    <row r="4" spans="1:3" ht="18">
      <c r="A4" s="3" t="s">
        <v>12</v>
      </c>
      <c r="B4" s="4" t="str">
        <f ca="1">IFERROR(__xludf.DUMMYFUNCTION("IFERROR(GOOGLETRANSLATE(A4,""ko"",""en""),)"),"I can tell you about the travel plan.")</f>
        <v>I can tell you about the travel plan.</v>
      </c>
      <c r="C4" s="4" t="str">
        <f ca="1">IFERROR(__xludf.DUMMYFUNCTION("IFERROR(GOOGLETRANSLATE(B4,""en"",""ja""),)"),"旅行計画についてお話しできます。")</f>
        <v>旅行計画についてお話しできます。</v>
      </c>
    </row>
    <row r="5" spans="1:3" ht="18">
      <c r="A5" s="3" t="s">
        <v>13</v>
      </c>
      <c r="B5" s="4" t="str">
        <f ca="1">IFERROR(__xludf.DUMMYFUNCTION("IFERROR(GOOGLETRANSLATE(A5,""ko"",""en""),)"),"mountain")</f>
        <v>mountain</v>
      </c>
      <c r="C5" s="4" t="str">
        <f ca="1">IFERROR(__xludf.DUMMYFUNCTION("IFERROR(GOOGLETRANSLATE(B5,""en"",""ja""),)"),"山")</f>
        <v>山</v>
      </c>
    </row>
    <row r="6" spans="1:3" ht="18">
      <c r="A6" s="5" t="s">
        <v>15</v>
      </c>
      <c r="B6" s="4" t="str">
        <f ca="1">IFERROR(__xludf.DUMMYFUNCTION("IFERROR(GOOGLETRANSLATE(A6,""ko"",""en""),)"),"island")</f>
        <v>island</v>
      </c>
      <c r="C6" s="4" t="str">
        <f ca="1">IFERROR(__xludf.DUMMYFUNCTION("IFERROR(GOOGLETRANSLATE(B6,""en"",""ja""),)"),"島")</f>
        <v>島</v>
      </c>
    </row>
    <row r="7" spans="1:3" ht="18">
      <c r="A7" s="3" t="s">
        <v>17</v>
      </c>
      <c r="B7" s="4" t="str">
        <f ca="1">IFERROR(__xludf.DUMMYFUNCTION("IFERROR(GOOGLETRANSLATE(A7,""ko"",""en""),)"),"ocean")</f>
        <v>ocean</v>
      </c>
      <c r="C7" s="4" t="str">
        <f ca="1">IFERROR(__xludf.DUMMYFUNCTION("IFERROR(GOOGLETRANSLATE(B7,""en"",""ja""),)"),"海")</f>
        <v>海</v>
      </c>
    </row>
    <row r="8" spans="1:3" ht="18">
      <c r="A8" s="3" t="s">
        <v>20</v>
      </c>
      <c r="B8" s="4" t="str">
        <f ca="1">IFERROR(__xludf.DUMMYFUNCTION("IFERROR(GOOGLETRANSLATE(A8,""ko"",""en""),)"),"The sea")</f>
        <v>The sea</v>
      </c>
      <c r="C8" s="4" t="str">
        <f ca="1">IFERROR(__xludf.DUMMYFUNCTION("IFERROR(GOOGLETRANSLATE(B8,""en"",""ja""),)"),"海")</f>
        <v>海</v>
      </c>
    </row>
    <row r="9" spans="1:3" ht="18">
      <c r="A9" s="3" t="s">
        <v>22</v>
      </c>
      <c r="B9" s="4" t="str">
        <f ca="1">IFERROR(__xludf.DUMMYFUNCTION("IFERROR(GOOGLETRANSLATE(A9,""ko"",""en""),)"),"city")</f>
        <v>city</v>
      </c>
      <c r="C9" s="4" t="str">
        <f ca="1">IFERROR(__xludf.DUMMYFUNCTION("IFERROR(GOOGLETRANSLATE(B9,""en"",""ja""),)"),"市")</f>
        <v>市</v>
      </c>
    </row>
    <row r="10" spans="1:3" ht="18">
      <c r="A10" s="5" t="s">
        <v>25</v>
      </c>
      <c r="B10" s="4" t="str">
        <f ca="1">IFERROR(__xludf.DUMMYFUNCTION("IFERROR(GOOGLETRANSLATE(A10,""ko"",""en""),)"),"lake")</f>
        <v>lake</v>
      </c>
      <c r="C10" s="4" t="str">
        <f ca="1">IFERROR(__xludf.DUMMYFUNCTION("IFERROR(GOOGLETRANSLATE(B10,""en"",""ja""),)"),"湖")</f>
        <v>湖</v>
      </c>
    </row>
    <row r="11" spans="1:3" ht="18">
      <c r="A11" s="3" t="s">
        <v>27</v>
      </c>
      <c r="B11" s="4" t="str">
        <f ca="1">IFERROR(__xludf.DUMMYFUNCTION("IFERROR(GOOGLETRANSLATE(A11,""ko"",""en""),)"),"money")</f>
        <v>money</v>
      </c>
      <c r="C11" s="4" t="str">
        <f ca="1">IFERROR(__xludf.DUMMYFUNCTION("IFERROR(GOOGLETRANSLATE(B11,""en"",""ja""),)"),"お金")</f>
        <v>お金</v>
      </c>
    </row>
    <row r="12" spans="1:3" ht="18">
      <c r="A12" s="5" t="s">
        <v>30</v>
      </c>
      <c r="B12" s="4" t="str">
        <f ca="1">IFERROR(__xludf.DUMMYFUNCTION("IFERROR(GOOGLETRANSLATE(A12,""ko"",""en""),)"),"cash")</f>
        <v>cash</v>
      </c>
      <c r="C12" s="4" t="str">
        <f ca="1">IFERROR(__xludf.DUMMYFUNCTION("IFERROR(GOOGLETRANSLATE(B12,""en"",""ja""),)"),"現金")</f>
        <v>現金</v>
      </c>
    </row>
    <row r="13" spans="1:3" ht="18">
      <c r="A13" s="5" t="s">
        <v>33</v>
      </c>
      <c r="B13" s="4" t="str">
        <f ca="1">IFERROR(__xludf.DUMMYFUNCTION("IFERROR(GOOGLETRANSLATE(A13,""ko"",""en""),)"),"credit card")</f>
        <v>credit card</v>
      </c>
      <c r="C13" s="4" t="str">
        <f ca="1">IFERROR(__xludf.DUMMYFUNCTION("IFERROR(GOOGLETRANSLATE(B13,""en"",""ja""),)"),"クレジットカード")</f>
        <v>クレジットカード</v>
      </c>
    </row>
    <row r="14" spans="1:3" ht="18">
      <c r="A14" s="3" t="s">
        <v>34</v>
      </c>
      <c r="B14" s="4" t="s">
        <v>36</v>
      </c>
      <c r="C14" s="4" t="str">
        <f ca="1">IFERROR(__xludf.DUMMYFUNCTION("IFERROR(GOOGLETRANSLATE(B14,""en"",""ja""),)"),"薬")</f>
        <v>薬</v>
      </c>
    </row>
    <row r="15" spans="1:3" ht="18">
      <c r="A15" s="3" t="s">
        <v>38</v>
      </c>
      <c r="B15" s="4" t="str">
        <f ca="1">IFERROR(__xludf.DUMMYFUNCTION("IFERROR(GOOGLETRANSLATE(A15,""ko"",""en""),)"),"pharmacy")</f>
        <v>pharmacy</v>
      </c>
      <c r="C15" s="4" t="str">
        <f ca="1">IFERROR(__xludf.DUMMYFUNCTION("IFERROR(GOOGLETRANSLATE(B15,""en"",""ja""),)"),"薬局")</f>
        <v>薬局</v>
      </c>
    </row>
    <row r="16" spans="1:3" ht="18">
      <c r="A16" s="5" t="s">
        <v>40</v>
      </c>
      <c r="B16" s="4" t="str">
        <f ca="1">IFERROR(__xludf.DUMMYFUNCTION("IFERROR(GOOGLETRANSLATE(A16,""ko"",""en""),)"),"passport")</f>
        <v>passport</v>
      </c>
      <c r="C16" s="4" t="str">
        <f ca="1">IFERROR(__xludf.DUMMYFUNCTION("IFERROR(GOOGLETRANSLATE(B16,""en"",""ja""),)"),"パスポート")</f>
        <v>パスポート</v>
      </c>
    </row>
    <row r="17" spans="1:3" ht="18">
      <c r="A17" s="3" t="s">
        <v>43</v>
      </c>
      <c r="B17" s="4" t="str">
        <f ca="1">IFERROR(__xludf.DUMMYFUNCTION("IFERROR(GOOGLETRANSLATE(A17,""ko"",""en""),)"),"hat")</f>
        <v>hat</v>
      </c>
      <c r="C17" s="4" t="str">
        <f ca="1">IFERROR(__xludf.DUMMYFUNCTION("IFERROR(GOOGLETRANSLATE(B17,""en"",""ja""),)"),"帽子")</f>
        <v>帽子</v>
      </c>
    </row>
    <row r="18" spans="1:3" ht="18">
      <c r="A18" s="3" t="s">
        <v>46</v>
      </c>
      <c r="B18" s="4" t="str">
        <f ca="1">IFERROR(__xludf.DUMMYFUNCTION("IFERROR(GOOGLETRANSLATE(A18,""ko"",""en""),)"),"umbrella")</f>
        <v>umbrella</v>
      </c>
      <c r="C18" s="4" t="str">
        <f ca="1">IFERROR(__xludf.DUMMYFUNCTION("IFERROR(GOOGLETRANSLATE(B18,""en"",""ja""),)"),"傘")</f>
        <v>傘</v>
      </c>
    </row>
    <row r="19" spans="1:3" ht="18">
      <c r="A19" s="3" t="s">
        <v>49</v>
      </c>
      <c r="B19" s="4" t="str">
        <f ca="1">IFERROR(__xludf.DUMMYFUNCTION("IFERROR(GOOGLETRANSLATE(A19,""ko"",""en""),)"),"sneakers")</f>
        <v>sneakers</v>
      </c>
      <c r="C19" s="4" t="str">
        <f ca="1">IFERROR(__xludf.DUMMYFUNCTION("IFERROR(GOOGLETRANSLATE(B19,""en"",""ja""),)"),"スニーカー")</f>
        <v>スニーカー</v>
      </c>
    </row>
    <row r="20" spans="1:3" ht="18">
      <c r="A20" s="3" t="s">
        <v>51</v>
      </c>
      <c r="B20" s="4" t="str">
        <f ca="1">IFERROR(__xludf.DUMMYFUNCTION("IFERROR(GOOGLETRANSLATE(A20,""ko"",""en""),)"),"swimsuit")</f>
        <v>swimsuit</v>
      </c>
      <c r="C20" s="4" t="str">
        <f ca="1">IFERROR(__xludf.DUMMYFUNCTION("IFERROR(GOOGLETRANSLATE(B20,""en"",""ja""),)"),"水着")</f>
        <v>水着</v>
      </c>
    </row>
    <row r="21" spans="1:3" ht="18">
      <c r="A21" s="3" t="s">
        <v>55</v>
      </c>
      <c r="B21" s="4" t="str">
        <f ca="1">IFERROR(__xludf.DUMMYFUNCTION("IFERROR(GOOGLETRANSLATE(A21,""ko"",""en""),)"),"cosmetics")</f>
        <v>cosmetics</v>
      </c>
      <c r="C21" s="4" t="str">
        <f ca="1">IFERROR(__xludf.DUMMYFUNCTION("IFERROR(GOOGLETRANSLATE(B21,""en"",""ja""),)"),"化粧品")</f>
        <v>化粧品</v>
      </c>
    </row>
    <row r="22" spans="1:3" ht="18">
      <c r="A22" s="2" t="s">
        <v>56</v>
      </c>
      <c r="B22" s="4" t="str">
        <f ca="1">IFERROR(__xludf.DUMMYFUNCTION("IFERROR(GOOGLETRANSLATE(A22,""ko"",""en""),)"),"toothbrush")</f>
        <v>toothbrush</v>
      </c>
      <c r="C22" s="4" t="str">
        <f ca="1">IFERROR(__xludf.DUMMYFUNCTION("IFERROR(GOOGLETRANSLATE(B22,""en"",""ja""),)"),"歯ブラシ")</f>
        <v>歯ブラシ</v>
      </c>
    </row>
    <row r="23" spans="1:3" ht="18">
      <c r="A23" s="5" t="s">
        <v>60</v>
      </c>
      <c r="B23" s="4" t="str">
        <f ca="1">IFERROR(__xludf.DUMMYFUNCTION("IFERROR(GOOGLETRANSLATE(A23,""ko"",""en""),)"),"toothpaste")</f>
        <v>toothpaste</v>
      </c>
      <c r="C23" s="4" t="str">
        <f ca="1">IFERROR(__xludf.DUMMYFUNCTION("IFERROR(GOOGLETRANSLATE(B23,""en"",""ja""),)"),"歯磨き粉")</f>
        <v>歯磨き粉</v>
      </c>
    </row>
    <row r="24" spans="1:3" ht="18">
      <c r="A24" s="5" t="s">
        <v>61</v>
      </c>
      <c r="B24" s="4" t="str">
        <f ca="1">IFERROR(__xludf.DUMMYFUNCTION("IFERROR(GOOGLETRANSLATE(A24,""ko"",""en""),)"),"glasses")</f>
        <v>glasses</v>
      </c>
      <c r="C24" s="4" t="str">
        <f ca="1">IFERROR(__xludf.DUMMYFUNCTION("IFERROR(GOOGLETRANSLATE(B24,""en"",""ja""),)"),"眼鏡")</f>
        <v>眼鏡</v>
      </c>
    </row>
    <row r="25" spans="1:3" ht="18">
      <c r="A25" s="3" t="s">
        <v>65</v>
      </c>
      <c r="B25" s="4" t="str">
        <f ca="1">IFERROR(__xludf.DUMMYFUNCTION("IFERROR(GOOGLETRANSLATE(A25,""ko"",""en""),)"),"sunglasses")</f>
        <v>sunglasses</v>
      </c>
      <c r="C25" s="4" t="str">
        <f ca="1">IFERROR(__xludf.DUMMYFUNCTION("IFERROR(GOOGLETRANSLATE(B25,""en"",""ja""),)"),"サングラス")</f>
        <v>サングラス</v>
      </c>
    </row>
    <row r="26" spans="1:3" ht="18">
      <c r="A26" s="3" t="s">
        <v>67</v>
      </c>
      <c r="B26" s="4" t="str">
        <f ca="1">IFERROR(__xludf.DUMMYFUNCTION("IFERROR(GOOGLETRANSLATE(A26,""ko"",""en""),)"),"I need a toothbrush when traveling.")</f>
        <v>I need a toothbrush when traveling.</v>
      </c>
      <c r="C26" s="4" t="str">
        <f ca="1">IFERROR(__xludf.DUMMYFUNCTION("IFERROR(GOOGLETRANSLATE(B26,""en"",""ja""),)"),"旅行中は歯ブラシが必要です。")</f>
        <v>旅行中は歯ブラシが必要です。</v>
      </c>
    </row>
    <row r="27" spans="1:3" ht="18">
      <c r="A27" s="3" t="s">
        <v>70</v>
      </c>
      <c r="B27" s="4" t="str">
        <f ca="1">IFERROR(__xludf.DUMMYFUNCTION("IFERROR(GOOGLETRANSLATE(A27,""ko"",""en""),)"),"Let's take a look.")</f>
        <v>Let's take a look.</v>
      </c>
      <c r="C27" s="4" t="str">
        <f ca="1">IFERROR(__xludf.DUMMYFUNCTION("IFERROR(GOOGLETRANSLATE(B27,""en"",""ja""),)"),"見てみましょう。")</f>
        <v>見てみましょう。</v>
      </c>
    </row>
    <row r="28" spans="1:3" ht="18">
      <c r="A28" s="3" t="s">
        <v>71</v>
      </c>
      <c r="B28" s="4" t="str">
        <f ca="1">IFERROR(__xludf.DUMMYFUNCTION("IFERROR(GOOGLETRANSLATE(A28,""ko"",""en""),)"),"I go hiking.")</f>
        <v>I go hiking.</v>
      </c>
      <c r="C28" s="4" t="str">
        <f ca="1">IFERROR(__xludf.DUMMYFUNCTION("IFERROR(GOOGLETRANSLATE(B28,""en"",""ja""),)"),"私はハイキングに行きます。")</f>
        <v>私はハイキングに行きます。</v>
      </c>
    </row>
    <row r="29" spans="1:3" ht="18">
      <c r="A29" s="3" t="s">
        <v>75</v>
      </c>
      <c r="B29" s="4" t="str">
        <f ca="1">IFERROR(__xludf.DUMMYFUNCTION("IFERROR(GOOGLETRANSLATE(A29,""ko"",""en""),)"),"I'm taking a boat")</f>
        <v>I'm taking a boat</v>
      </c>
      <c r="C29" s="4" t="str">
        <f ca="1">IFERROR(__xludf.DUMMYFUNCTION("IFERROR(GOOGLETRANSLATE(B29,""en"",""ja""),)"),"私はボートに乗る")</f>
        <v>私はボートに乗る</v>
      </c>
    </row>
    <row r="30" spans="1:3" ht="18">
      <c r="A30" s="3" t="s">
        <v>76</v>
      </c>
      <c r="B30" s="4" t="str">
        <f ca="1">IFERROR(__xludf.DUMMYFUNCTION("IFERROR(GOOGLETRANSLATE(A30,""ko"",""en""),)"),"Let's have a party")</f>
        <v>Let's have a party</v>
      </c>
      <c r="C30" s="4" t="str">
        <f ca="1">IFERROR(__xludf.DUMMYFUNCTION("IFERROR(GOOGLETRANSLATE(B30,""en"",""ja""),)"),"パーティーをしよう")</f>
        <v>パーティーをしよう</v>
      </c>
    </row>
    <row r="31" spans="1:3" ht="18">
      <c r="A31" s="3" t="s">
        <v>78</v>
      </c>
      <c r="B31" s="4" t="str">
        <f ca="1">IFERROR(__xludf.DUMMYFUNCTION("IFERROR(GOOGLETRANSLATE(A31,""ko"",""en""),)"),"I go fishing.")</f>
        <v>I go fishing.</v>
      </c>
      <c r="C31" s="4" t="str">
        <f ca="1">IFERROR(__xludf.DUMMYFUNCTION("IFERROR(GOOGLETRANSLATE(B31,""en"",""ja""),)"),"私は釣りに行く。")</f>
        <v>私は釣りに行く。</v>
      </c>
    </row>
    <row r="32" spans="1:3" ht="18">
      <c r="A32" s="3" t="s">
        <v>80</v>
      </c>
      <c r="B32" s="4" t="str">
        <f ca="1">IFERROR(__xludf.DUMMYFUNCTION("IFERROR(GOOGLETRANSLATE(A32,""ko"",""en""),)"),"I'm buying a gift")</f>
        <v>I'm buying a gift</v>
      </c>
      <c r="C32" s="4" t="str">
        <f ca="1">IFERROR(__xludf.DUMMYFUNCTION("IFERROR(GOOGLETRANSLATE(B32,""en"",""ja""),)"),"プレゼントを買います")</f>
        <v>プレゼントを買います</v>
      </c>
    </row>
    <row r="33" spans="1:3" ht="18">
      <c r="A33" s="5" t="s">
        <v>83</v>
      </c>
      <c r="B33" s="4" t="str">
        <f ca="1">IFERROR(__xludf.DUMMYFUNCTION("IFERROR(GOOGLETRANSLATE(A33,""ko"",""en""),)"),"souvenir")</f>
        <v>souvenir</v>
      </c>
      <c r="C33" s="4" t="str">
        <f ca="1">IFERROR(__xludf.DUMMYFUNCTION("IFERROR(GOOGLETRANSLATE(B33,""en"",""ja""),)"),"お土産")</f>
        <v>お土産</v>
      </c>
    </row>
    <row r="34" spans="1:3" ht="18">
      <c r="A34" s="3" t="s">
        <v>88</v>
      </c>
      <c r="B34" s="4" t="str">
        <f ca="1">IFERROR(__xludf.DUMMYFUNCTION("IFERROR(GOOGLETRANSLATE(A34,""ko"",""en""),)"),"Let's go to a good restaurant")</f>
        <v>Let's go to a good restaurant</v>
      </c>
      <c r="C34" s="4" t="str">
        <f ca="1">IFERROR(__xludf.DUMMYFUNCTION("IFERROR(GOOGLETRANSLATE(B34,""en"",""ja""),)"),"美味しいレストランに行こう")</f>
        <v>美味しいレストランに行こう</v>
      </c>
    </row>
    <row r="35" spans="1:3" ht="18">
      <c r="A35" s="3" t="s">
        <v>90</v>
      </c>
      <c r="B35" s="4" t="str">
        <f ca="1">IFERROR(__xludf.DUMMYFUNCTION("IFERROR(GOOGLETRANSLATE(A35,""ko"",""en""),)"),"Rest at the hotel")</f>
        <v>Rest at the hotel</v>
      </c>
      <c r="C35" s="4" t="str">
        <f ca="1">IFERROR(__xludf.DUMMYFUNCTION("IFERROR(GOOGLETRANSLATE(B35,""en"",""ja""),)"),"ホテルで休憩")</f>
        <v>ホテルで休憩</v>
      </c>
    </row>
    <row r="36" spans="1:3" ht="18">
      <c r="A36" s="3" t="s">
        <v>92</v>
      </c>
      <c r="B36" s="4" t="str">
        <f ca="1">IFERROR(__xludf.DUMMYFUNCTION("IFERROR(GOOGLETRANSLATE(A36,""ko"",""en""),)"),"shorts")</f>
        <v>shorts</v>
      </c>
      <c r="C36" s="4" t="str">
        <f ca="1">IFERROR(__xludf.DUMMYFUNCTION("IFERROR(GOOGLETRANSLATE(B36,""en"",""ja""),)"),"ショートパンツ")</f>
        <v>ショートパンツ</v>
      </c>
    </row>
    <row r="37" spans="1:3" ht="18">
      <c r="A37" s="3" t="s">
        <v>55</v>
      </c>
      <c r="B37" s="4" t="str">
        <f ca="1">IFERROR(__xludf.DUMMYFUNCTION("IFERROR(GOOGLETRANSLATE(A37,""ko"",""en""),)"),"cosmetics")</f>
        <v>cosmetics</v>
      </c>
      <c r="C37" s="4" t="str">
        <f ca="1">IFERROR(__xludf.DUMMYFUNCTION("IFERROR(GOOGLETRANSLATE(B37,""en"",""ja""),)"),"化粧品")</f>
        <v>化粧品</v>
      </c>
    </row>
    <row r="38" spans="1:3" ht="18">
      <c r="A38" s="5" t="s">
        <v>98</v>
      </c>
      <c r="B38" s="4" t="str">
        <f ca="1">IFERROR(__xludf.DUMMYFUNCTION("IFERROR(GOOGLETRANSLATE(A38,""ko"",""en""),)"),"unlimited pass")</f>
        <v>unlimited pass</v>
      </c>
      <c r="C38" s="4" t="str">
        <f ca="1">IFERROR(__xludf.DUMMYFUNCTION("IFERROR(GOOGLETRANSLATE(B38,""en"",""ja""),)"),"無制限パス")</f>
        <v>無制限パス</v>
      </c>
    </row>
    <row r="39" spans="1:3" ht="18">
      <c r="A39" s="3" t="s">
        <v>100</v>
      </c>
      <c r="B39" s="4" t="str">
        <f ca="1">IFERROR(__xludf.DUMMYFUNCTION("IFERROR(GOOGLETRANSLATE(A39,""ko"",""en""),)"),"What are you going to do in Jeju Island?")</f>
        <v>What are you going to do in Jeju Island?</v>
      </c>
      <c r="C39" s="4" t="str">
        <f ca="1">IFERROR(__xludf.DUMMYFUNCTION("IFERROR(GOOGLETRANSLATE(B39,""en"",""ja""),)"),"済州島では何をする予定ですか？")</f>
        <v>済州島では何をする予定ですか？</v>
      </c>
    </row>
    <row r="40" spans="1:3" ht="18">
      <c r="A40" s="3" t="s">
        <v>102</v>
      </c>
      <c r="B40" s="4" t="str">
        <f ca="1">IFERROR(__xludf.DUMMYFUNCTION("IFERROR(GOOGLETRANSLATE(A40,""ko"",""en""),)"),"I'm going to go hiking.")</f>
        <v>I'm going to go hiking.</v>
      </c>
      <c r="C40" s="4" t="str">
        <f ca="1">IFERROR(__xludf.DUMMYFUNCTION("IFERROR(GOOGLETRANSLATE(B40,""en"",""ja""),)"),"ハイキングに行く予定です。")</f>
        <v>ハイキングに行く予定です。</v>
      </c>
    </row>
    <row r="41" spans="1:3" ht="18">
      <c r="A41" s="3" t="s">
        <v>104</v>
      </c>
      <c r="B41" s="4" t="str">
        <f ca="1">IFERROR(__xludf.DUMMYFUNCTION("IFERROR(GOOGLETRANSLATE(A41,""ko"",""en""),)"),"What are you going to do at sea?")</f>
        <v>What are you going to do at sea?</v>
      </c>
      <c r="C41" s="4" t="str">
        <f ca="1">IFERROR(__xludf.DUMMYFUNCTION("IFERROR(GOOGLETRANSLATE(B41,""en"",""ja""),)"),"海では何をする予定ですか？")</f>
        <v>海では何をする予定ですか？</v>
      </c>
    </row>
    <row r="42" spans="1:3" ht="18">
      <c r="A42" s="3" t="s">
        <v>109</v>
      </c>
      <c r="B42" s="4" t="str">
        <f ca="1">IFERROR(__xludf.DUMMYFUNCTION("IFERROR(GOOGLETRANSLATE(A42,""ko"",""en""),)"),"I'm going fishing.")</f>
        <v>I'm going fishing.</v>
      </c>
      <c r="C42" s="4" t="str">
        <f ca="1">IFERROR(__xludf.DUMMYFUNCTION("IFERROR(GOOGLETRANSLATE(B42,""en"",""ja""),)"),"釣りに行くよ。")</f>
        <v>釣りに行くよ。</v>
      </c>
    </row>
    <row r="43" spans="1:3" ht="18">
      <c r="A43" s="3" t="s">
        <v>111</v>
      </c>
      <c r="B43" s="4" t="str">
        <f ca="1">IFERROR(__xludf.DUMMYFUNCTION("IFERROR(GOOGLETRANSLATE(A43,""ko"",""en""),)"),"What are you going to do at the lake?")</f>
        <v>What are you going to do at the lake?</v>
      </c>
      <c r="C43" s="4" t="str">
        <f ca="1">IFERROR(__xludf.DUMMYFUNCTION("IFERROR(GOOGLETRANSLATE(B43,""en"",""ja""),)"),"湖では何をする予定ですか？")</f>
        <v>湖では何をする予定ですか？</v>
      </c>
    </row>
    <row r="44" spans="1:3" ht="18">
      <c r="A44" s="3" t="s">
        <v>114</v>
      </c>
      <c r="B44" s="4" t="str">
        <f ca="1">IFERROR(__xludf.DUMMYFUNCTION("IFERROR(GOOGLETRANSLATE(A44,""ko"",""en""),)"),"I'm planning to take a boat ride on the lake.")</f>
        <v>I'm planning to take a boat ride on the lake.</v>
      </c>
      <c r="C44" s="4" t="str">
        <f ca="1">IFERROR(__xludf.DUMMYFUNCTION("IFERROR(GOOGLETRANSLATE(B44,""en"",""ja""),)"),"湖でボートに乗る予定です。")</f>
        <v>湖でボートに乗る予定です。</v>
      </c>
    </row>
    <row r="45" spans="1:3" ht="18">
      <c r="A45" s="3" t="s">
        <v>116</v>
      </c>
      <c r="B45" s="4" t="str">
        <f ca="1">IFERROR(__xludf.DUMMYFUNCTION("IFERROR(GOOGLETRANSLATE(A45,""ko"",""en""),)"),"What are you going to do this afternoon?")</f>
        <v>What are you going to do this afternoon?</v>
      </c>
      <c r="C45" s="4" t="str">
        <f ca="1">IFERROR(__xludf.DUMMYFUNCTION("IFERROR(GOOGLETRANSLATE(B45,""en"",""ja""),)"),"今日の午後は何をする予定ですか？")</f>
        <v>今日の午後は何をする予定ですか？</v>
      </c>
    </row>
    <row r="46" spans="1:3" ht="18">
      <c r="A46" s="3" t="s">
        <v>120</v>
      </c>
      <c r="B46" s="4" t="str">
        <f ca="1">IFERROR(__xludf.DUMMYFUNCTION("IFERROR(GOOGLETRANSLATE(A46,""ko"",""en""),)"),"I'm going to buy a gift.")</f>
        <v>I'm going to buy a gift.</v>
      </c>
      <c r="C46" s="4" t="str">
        <f ca="1">IFERROR(__xludf.DUMMYFUNCTION("IFERROR(GOOGLETRANSLATE(B46,""en"",""ja""),)"),"プレゼントを買いに行くつもりです。")</f>
        <v>プレゼントを買いに行くつもりです。</v>
      </c>
    </row>
    <row r="47" spans="1:3" ht="18">
      <c r="A47" s="3" t="s">
        <v>122</v>
      </c>
      <c r="B47" s="4" t="str">
        <f ca="1">IFERROR(__xludf.DUMMYFUNCTION("IFERROR(GOOGLETRANSLATE(A47,""ko"",""en""),)"),"Are you going to rest at the hotel in the evening?")</f>
        <v>Are you going to rest at the hotel in the evening?</v>
      </c>
      <c r="C47" s="4" t="str">
        <f ca="1">IFERROR(__xludf.DUMMYFUNCTION("IFERROR(GOOGLETRANSLATE(B47,""en"",""ja""),)"),"夕方はホテルで休む予定ですか？")</f>
        <v>夕方はホテルで休む予定ですか？</v>
      </c>
    </row>
    <row r="48" spans="1:3" ht="18">
      <c r="A48" s="3" t="s">
        <v>124</v>
      </c>
      <c r="B48" s="4" t="str">
        <f ca="1">IFERROR(__xludf.DUMMYFUNCTION("IFERROR(GOOGLETRANSLATE(A48,""ko"",""en""),)"),"No, I plan to eat at a good restaurant.")</f>
        <v>No, I plan to eat at a good restaurant.</v>
      </c>
      <c r="C48" s="4" t="str">
        <f ca="1">IFERROR(__xludf.DUMMYFUNCTION("IFERROR(GOOGLETRANSLATE(B48,""en"",""ja""),)"),"いいえ、良いレストランで食事をする予定です。")</f>
        <v>いいえ、良いレストランで食事をする予定です。</v>
      </c>
    </row>
    <row r="49" spans="1:3" ht="18">
      <c r="A49" s="3" t="s">
        <v>126</v>
      </c>
      <c r="B49" s="4" t="str">
        <f ca="1">IFERROR(__xludf.DUMMYFUNCTION("IFERROR(GOOGLETRANSLATE(A49,""ko"",""en""),)"),"No, I'm going to a good restaurant.")</f>
        <v>No, I'm going to a good restaurant.</v>
      </c>
      <c r="C49" s="4" t="str">
        <f ca="1">IFERROR(__xludf.DUMMYFUNCTION("IFERROR(GOOGLETRANSLATE(B49,""en"",""ja""),)"),"いいえ、私は良いレストランに行くんです。")</f>
        <v>いいえ、私は良いレストランに行くんです。</v>
      </c>
    </row>
    <row r="50" spans="1:3" ht="18">
      <c r="A50" s="3" t="s">
        <v>129</v>
      </c>
      <c r="B50" s="4" t="str">
        <f ca="1">IFERROR(__xludf.DUMMYFUNCTION("IFERROR(GOOGLETRANSLATE(A50,""ko"",""en""),)"),"Where are you traveling to?")</f>
        <v>Where are you traveling to?</v>
      </c>
      <c r="C50" s="4" t="str">
        <f ca="1">IFERROR(__xludf.DUMMYFUNCTION("IFERROR(GOOGLETRANSLATE(B50,""en"",""ja""),)"),"どこへ旅行に行く予定ですか？")</f>
        <v>どこへ旅行に行く予定ですか？</v>
      </c>
    </row>
    <row r="51" spans="1:3" ht="18">
      <c r="A51" s="3" t="s">
        <v>130</v>
      </c>
      <c r="B51" s="4" t="str">
        <f ca="1">IFERROR(__xludf.DUMMYFUNCTION("IFERROR(GOOGLETRANSLATE(A51,""ko"",""en""),)"),"I'm going to Busan.")</f>
        <v>I'm going to Busan.</v>
      </c>
      <c r="C51" s="4" t="str">
        <f ca="1">IFERROR(__xludf.DUMMYFUNCTION("IFERROR(GOOGLETRANSLATE(B51,""en"",""ja""),)"),"私は釜山に行きます。")</f>
        <v>私は釜山に行きます。</v>
      </c>
    </row>
    <row r="52" spans="1:3" ht="18">
      <c r="A52" s="3" t="s">
        <v>132</v>
      </c>
      <c r="B52" s="4" t="str">
        <f ca="1">IFERROR(__xludf.DUMMYFUNCTION("IFERROR(GOOGLETRANSLATE(A52,""ko"",""en""),)"),"I'm going to Seoul.")</f>
        <v>I'm going to Seoul.</v>
      </c>
      <c r="C52" s="4" t="str">
        <f ca="1">IFERROR(__xludf.DUMMYFUNCTION("IFERROR(GOOGLETRANSLATE(B52,""en"",""ja""),)"),"私はソウルに行きます。")</f>
        <v>私はソウルに行きます。</v>
      </c>
    </row>
    <row r="53" spans="1:3" ht="18">
      <c r="A53" s="3" t="s">
        <v>134</v>
      </c>
      <c r="B53" s="4" t="str">
        <f ca="1">IFERROR(__xludf.DUMMYFUNCTION("IFERROR(GOOGLETRANSLATE(A53,""ko"",""en""),)"),"What are you having for dinner tonight?")</f>
        <v>What are you having for dinner tonight?</v>
      </c>
      <c r="C53" s="4" t="str">
        <f ca="1">IFERROR(__xludf.DUMMYFUNCTION("IFERROR(GOOGLETRANSLATE(B53,""en"",""ja""),)"),"今晩の夕食は何にする予定ですか？")</f>
        <v>今晩の夕食は何にする予定ですか？</v>
      </c>
    </row>
    <row r="54" spans="1:3" ht="18">
      <c r="A54" s="3" t="s">
        <v>137</v>
      </c>
      <c r="B54" s="4" t="str">
        <f ca="1">IFERROR(__xludf.DUMMYFUNCTION("IFERROR(GOOGLETRANSLATE(A54,""ko"",""en""),)"),"I'm going to eat dakgalbi.")</f>
        <v>I'm going to eat dakgalbi.</v>
      </c>
      <c r="C54" s="4" t="str">
        <f ca="1">IFERROR(__xludf.DUMMYFUNCTION("IFERROR(GOOGLETRANSLATE(B54,""en"",""ja""),)"),"タッカルビを食べに行きます。")</f>
        <v>タッカルビを食べに行きます。</v>
      </c>
    </row>
    <row r="55" spans="1:3" ht="18">
      <c r="A55" s="3" t="s">
        <v>139</v>
      </c>
      <c r="B55" s="4" t="str">
        <f ca="1">IFERROR(__xludf.DUMMYFUNCTION("IFERROR(GOOGLETRANSLATE(A55,""ko"",""en""),)"),"Jaemin, what are you going to do on your vacation?")</f>
        <v>Jaemin, what are you going to do on your vacation?</v>
      </c>
      <c r="C55" s="4" t="str">
        <f ca="1">IFERROR(__xludf.DUMMYFUNCTION("IFERROR(GOOGLETRANSLATE(B55,""en"",""ja""),)"),"ジェミン、休暇中は何をする予定？")</f>
        <v>ジェミン、休暇中は何をする予定？</v>
      </c>
    </row>
    <row r="56" spans="1:3" ht="18">
      <c r="A56" s="3" t="s">
        <v>140</v>
      </c>
      <c r="B56" s="4" t="str">
        <f ca="1">IFERROR(__xludf.DUMMYFUNCTION("IFERROR(GOOGLETRANSLATE(A56,""ko"",""en""),)"),"I'm planning to go on a trip.")</f>
        <v>I'm planning to go on a trip.</v>
      </c>
      <c r="C56" s="4" t="str">
        <f ca="1">IFERROR(__xludf.DUMMYFUNCTION("IFERROR(GOOGLETRANSLATE(B56,""en"",""ja""),)"),"旅行に行く予定です。")</f>
        <v>旅行に行く予定です。</v>
      </c>
    </row>
    <row r="57" spans="1:3" ht="18">
      <c r="A57" s="3" t="s">
        <v>142</v>
      </c>
      <c r="B57" s="4" t="str">
        <f ca="1">IFERROR(__xludf.DUMMYFUNCTION("IFERROR(GOOGLETRANSLATE(A57,""ko"",""en""),)"),"Trying to eat")</f>
        <v>Trying to eat</v>
      </c>
      <c r="C57" s="4" t="str">
        <f ca="1">IFERROR(__xludf.DUMMYFUNCTION("IFERROR(GOOGLETRANSLATE(B57,""en"",""ja""),)"),"食べようとしている")</f>
        <v>食べようとしている</v>
      </c>
    </row>
    <row r="58" spans="1:3" ht="18">
      <c r="A58" s="3" t="s">
        <v>143</v>
      </c>
      <c r="B58" s="4" t="str">
        <f ca="1">IFERROR(__xludf.DUMMYFUNCTION("IFERROR(GOOGLETRANSLATE(A58,""ko"",""en""),)"),"Trying to read")</f>
        <v>Trying to read</v>
      </c>
      <c r="C58" s="4" t="str">
        <f ca="1">IFERROR(__xludf.DUMMYFUNCTION("IFERROR(GOOGLETRANSLATE(B58,""en"",""ja""),)"),"読もうとしている")</f>
        <v>読もうとしている</v>
      </c>
    </row>
    <row r="59" spans="1:3" ht="18">
      <c r="A59" s="3" t="s">
        <v>144</v>
      </c>
      <c r="B59" s="4" t="str">
        <f ca="1">IFERROR(__xludf.DUMMYFUNCTION("IFERROR(GOOGLETRANSLATE(A59,""ko"",""en""),)"),"Trying to sit")</f>
        <v>Trying to sit</v>
      </c>
      <c r="C59" s="4" t="str">
        <f ca="1">IFERROR(__xludf.DUMMYFUNCTION("IFERROR(GOOGLETRANSLATE(B59,""en"",""ja""),)"),"座ろうとする")</f>
        <v>座ろうとする</v>
      </c>
    </row>
    <row r="60" spans="1:3" ht="18">
      <c r="A60" s="3" t="s">
        <v>147</v>
      </c>
      <c r="B60" s="4" t="str">
        <f ca="1">IFERROR(__xludf.DUMMYFUNCTION("IFERROR(GOOGLETRANSLATE(A60,""ko"",""en""),)"),"Trying to go")</f>
        <v>Trying to go</v>
      </c>
      <c r="C60" s="4" t="str">
        <f ca="1">IFERROR(__xludf.DUMMYFUNCTION("IFERROR(GOOGLETRANSLATE(B60,""en"",""ja""),)"),"行こうとしている")</f>
        <v>行こうとしている</v>
      </c>
    </row>
    <row r="61" spans="1:3" ht="18">
      <c r="A61" s="3" t="s">
        <v>149</v>
      </c>
      <c r="B61" s="4" t="str">
        <f ca="1">IFERROR(__xludf.DUMMYFUNCTION("IFERROR(GOOGLETRANSLATE(A61,""ko"",""en""),)"),"Trying to study")</f>
        <v>Trying to study</v>
      </c>
      <c r="C61" s="4" t="str">
        <f ca="1">IFERROR(__xludf.DUMMYFUNCTION("IFERROR(GOOGLETRANSLATE(B61,""en"",""ja""),)"),"勉強しようとしている")</f>
        <v>勉強しようとしている</v>
      </c>
    </row>
    <row r="62" spans="1:3" ht="18">
      <c r="A62" s="3" t="s">
        <v>150</v>
      </c>
      <c r="B62" s="4" t="str">
        <f ca="1">IFERROR(__xludf.DUMMYFUNCTION("IFERROR(GOOGLETRANSLATE(A62,""ko"",""en""),)"),"Trying to make")</f>
        <v>Trying to make</v>
      </c>
      <c r="C62" s="4" t="str">
        <f ca="1">IFERROR(__xludf.DUMMYFUNCTION("IFERROR(GOOGLETRANSLATE(B62,""en"",""ja""),)"),"作ろうとしている")</f>
        <v>作ろうとしている</v>
      </c>
    </row>
    <row r="63" spans="1:3" ht="18">
      <c r="A63" s="3" t="s">
        <v>153</v>
      </c>
      <c r="B63" s="4" t="str">
        <f ca="1">IFERROR(__xludf.DUMMYFUNCTION("IFERROR(GOOGLETRANSLATE(A63,""ko"",""en""),)"),"I plan to wear them.")</f>
        <v>I plan to wear them.</v>
      </c>
      <c r="C63" s="4" t="str">
        <f ca="1">IFERROR(__xludf.DUMMYFUNCTION("IFERROR(GOOGLETRANSLATE(B63,""en"",""ja""),)"),"私はそれを着るつもりです。")</f>
        <v>私はそれを着るつもりです。</v>
      </c>
    </row>
    <row r="64" spans="1:3" ht="18">
      <c r="A64" s="3" t="s">
        <v>154</v>
      </c>
      <c r="B64" s="4" t="str">
        <f ca="1">IFERROR(__xludf.DUMMYFUNCTION("IFERROR(GOOGLETRANSLATE(A64,""ko"",""en""),)"),"I plan to wear it.")</f>
        <v>I plan to wear it.</v>
      </c>
      <c r="C64" s="4" t="str">
        <f ca="1">IFERROR(__xludf.DUMMYFUNCTION("IFERROR(GOOGLETRANSLATE(B64,""en"",""ja""),)"),"私はそれを着るつもりです。")</f>
        <v>私はそれを着るつもりです。</v>
      </c>
    </row>
    <row r="65" spans="1:3" ht="18">
      <c r="A65" s="3" t="s">
        <v>158</v>
      </c>
      <c r="B65" s="4" t="str">
        <f ca="1">IFERROR(__xludf.DUMMYFUNCTION("IFERROR(GOOGLETRANSLATE(A65,""ko"",""en""),)"),"I'm trying to listen.")</f>
        <v>I'm trying to listen.</v>
      </c>
      <c r="C65" s="4" t="str">
        <f ca="1">IFERROR(__xludf.DUMMYFUNCTION("IFERROR(GOOGLETRANSLATE(B65,""en"",""ja""),)"),"聞こうとしているんです。")</f>
        <v>聞こうとしているんです。</v>
      </c>
    </row>
    <row r="66" spans="1:3" ht="18">
      <c r="A66" s="3" t="s">
        <v>159</v>
      </c>
      <c r="B66" s="4" t="str">
        <f ca="1">IFERROR(__xludf.DUMMYFUNCTION("IFERROR(GOOGLETRANSLATE(A66,""ko"",""en""),)"),"I'm trying to learn.")</f>
        <v>I'm trying to learn.</v>
      </c>
      <c r="C66" s="4" t="str">
        <f ca="1">IFERROR(__xludf.DUMMYFUNCTION("IFERROR(GOOGLETRANSLATE(B66,""en"",""ja""),)"),"私は学ぼうとしています。")</f>
        <v>私は学ぼうとしています。</v>
      </c>
    </row>
    <row r="67" spans="1:3" ht="18">
      <c r="A67" s="3" t="s">
        <v>163</v>
      </c>
      <c r="B67" s="4" t="str">
        <f ca="1">IFERROR(__xludf.DUMMYFUNCTION("IFERROR(GOOGLETRANSLATE(A67,""ko"",""en""),)"),"I'm planning to travel.")</f>
        <v>I'm planning to travel.</v>
      </c>
      <c r="C67" s="4" t="str">
        <f ca="1">IFERROR(__xludf.DUMMYFUNCTION("IFERROR(GOOGLETRANSLATE(B67,""en"",""ja""),)"),"旅行を計画しています。")</f>
        <v>旅行を計画しています。</v>
      </c>
    </row>
    <row r="68" spans="1:3" ht="18">
      <c r="A68" s="3" t="s">
        <v>165</v>
      </c>
      <c r="B68" s="4" t="str">
        <f ca="1">IFERROR(__xludf.DUMMYFUNCTION("IFERROR(GOOGLETRANSLATE(A68,""ko"",""en""),)"),"I'm going on a trip today. So I'm planning to wear jeans.")</f>
        <v>I'm going on a trip today. So I'm planning to wear jeans.</v>
      </c>
      <c r="C68" s="4" t="str">
        <f ca="1">IFERROR(__xludf.DUMMYFUNCTION("IFERROR(GOOGLETRANSLATE(B68,""en"",""ja""),)"),"今日は旅行に行くので、ジーンズを履いていく予定です。")</f>
        <v>今日は旅行に行くので、ジーンズを履いていく予定です。</v>
      </c>
    </row>
    <row r="69" spans="1:3" ht="18">
      <c r="A69" s="3" t="s">
        <v>167</v>
      </c>
      <c r="B69" s="4" t="str">
        <f ca="1">IFERROR(__xludf.DUMMYFUNCTION("IFERROR(GOOGLETRANSLATE(A69,""ko"",""en""),)"),"I am going to the park on Saturday. I plan to ride a bicycle at the park.")</f>
        <v>I am going to the park on Saturday. I plan to ride a bicycle at the park.</v>
      </c>
      <c r="C69" s="4" t="str">
        <f ca="1">IFERROR(__xludf.DUMMYFUNCTION("IFERROR(GOOGLETRANSLATE(B69,""en"",""ja""),)"),"私は土曜日に公園に行く予定です。公園で自転車に乗るつもりです。")</f>
        <v>私は土曜日に公園に行く予定です。公園で自転車に乗るつもりです。</v>
      </c>
    </row>
    <row r="70" spans="1:3" ht="18">
      <c r="A70" s="3" t="s">
        <v>169</v>
      </c>
      <c r="B70" s="4" t="str">
        <f ca="1">IFERROR(__xludf.DUMMYFUNCTION("IFERROR(GOOGLETRANSLATE(A70,""ko"",""en""),)"),"My vacation starts next week. I'm planning to travel with a friend.")</f>
        <v>My vacation starts next week. I'm planning to travel with a friend.</v>
      </c>
      <c r="C70" s="4" t="str">
        <f ca="1">IFERROR(__xludf.DUMMYFUNCTION("IFERROR(GOOGLETRANSLATE(B70,""en"",""ja""),)"),"来週から休暇が始まります。友達と旅行に行く予定です。")</f>
        <v>来週から休暇が始まります。友達と旅行に行く予定です。</v>
      </c>
    </row>
    <row r="71" spans="1:3" ht="18">
      <c r="A71" s="3" t="s">
        <v>172</v>
      </c>
      <c r="B71" s="4" t="str">
        <f ca="1">IFERROR(__xludf.DUMMYFUNCTION("IFERROR(GOOGLETRANSLATE(A71,""ko"",""en""),)"),"I like K-pop. I plan to listen to K-pop again today.")</f>
        <v>I like K-pop. I plan to listen to K-pop again today.</v>
      </c>
      <c r="C71" s="4" t="str">
        <f ca="1">IFERROR(__xludf.DUMMYFUNCTION("IFERROR(GOOGLETRANSLATE(B71,""en"",""ja""),)"),"私はK-POPが好きです。今日もまたK-POPを聴く予定です。")</f>
        <v>私はK-POPが好きです。今日もまたK-POPを聴く予定です。</v>
      </c>
    </row>
    <row r="72" spans="1:3" ht="18">
      <c r="A72" s="3" t="s">
        <v>174</v>
      </c>
      <c r="B72" s="4" t="str">
        <f ca="1">IFERROR(__xludf.DUMMYFUNCTION("IFERROR(GOOGLETRANSLATE(A72,""ko"",""en""),)"),"Where are you going tomorrow?")</f>
        <v>Where are you going tomorrow?</v>
      </c>
      <c r="C72" s="4" t="str">
        <f ca="1">IFERROR(__xludf.DUMMYFUNCTION("IFERROR(GOOGLETRANSLATE(B72,""en"",""ja""),)"),"明日、どこへ行く予定ですか？")</f>
        <v>明日、どこへ行く予定ですか？</v>
      </c>
    </row>
    <row r="73" spans="1:3" ht="18">
      <c r="A73" s="3" t="s">
        <v>175</v>
      </c>
      <c r="B73" s="4" t="str">
        <f ca="1">IFERROR(__xludf.DUMMYFUNCTION("IFERROR(GOOGLETRANSLATE(A73,""ko"",""en""),)"),"I'm planning to climb Mt. Halla.")</f>
        <v>I'm planning to climb Mt. Halla.</v>
      </c>
      <c r="C73" s="4" t="str">
        <f ca="1">IFERROR(__xludf.DUMMYFUNCTION("IFERROR(GOOGLETRANSLATE(B73,""en"",""ja""),)"),"私は漢拏山に登る予定です。")</f>
        <v>私は漢拏山に登る予定です。</v>
      </c>
    </row>
    <row r="74" spans="1:3" ht="18">
      <c r="A74" s="3" t="s">
        <v>178</v>
      </c>
      <c r="B74" s="4" t="str">
        <f ca="1">IFERROR(__xludf.DUMMYFUNCTION("IFERROR(GOOGLETRANSLATE(A74,""ko"",""en""),)"),"What are you going to do this weekend?")</f>
        <v>What are you going to do this weekend?</v>
      </c>
      <c r="C74" s="4" t="str">
        <f ca="1">IFERROR(__xludf.DUMMYFUNCTION("IFERROR(GOOGLETRANSLATE(B74,""en"",""ja""),)"),"今週末は何をする予定ですか？")</f>
        <v>今週末は何をする予定ですか？</v>
      </c>
    </row>
    <row r="75" spans="1:3" ht="18">
      <c r="A75" s="3" t="s">
        <v>180</v>
      </c>
      <c r="B75" s="4" t="str">
        <f ca="1">IFERROR(__xludf.DUMMYFUNCTION("IFERROR(GOOGLETRANSLATE(A75,""ko"",""en""),)"),"I'm going to clean.")</f>
        <v>I'm going to clean.</v>
      </c>
      <c r="C75" s="4" t="str">
        <f ca="1">IFERROR(__xludf.DUMMYFUNCTION("IFERROR(GOOGLETRANSLATE(B75,""en"",""ja""),)"),"掃除をします。")</f>
        <v>掃除をします。</v>
      </c>
    </row>
    <row r="76" spans="1:3" ht="18">
      <c r="A76" s="3" t="s">
        <v>182</v>
      </c>
      <c r="B76" s="4" t="str">
        <f ca="1">IFERROR(__xludf.DUMMYFUNCTION("IFERROR(GOOGLETRANSLATE(A76,""ko"",""en""),)"),"What are you going to do during vacation?")</f>
        <v>What are you going to do during vacation?</v>
      </c>
      <c r="C76" s="4" t="str">
        <f ca="1">IFERROR(__xludf.DUMMYFUNCTION("IFERROR(GOOGLETRANSLATE(B76,""en"",""ja""),)"),"休暇中は何をする予定ですか？")</f>
        <v>休暇中は何をする予定ですか？</v>
      </c>
    </row>
    <row r="77" spans="1:3" ht="18">
      <c r="A77" s="8" t="s">
        <v>183</v>
      </c>
      <c r="B77" s="4" t="str">
        <f ca="1">IFERROR(__xludf.DUMMYFUNCTION("IFERROR(GOOGLETRANSLATE(A77,""ko"",""en""),)"),"I try to read a lot of books.")</f>
        <v>I try to read a lot of books.</v>
      </c>
      <c r="C77" s="4" t="str">
        <f ca="1">IFERROR(__xludf.DUMMYFUNCTION("IFERROR(GOOGLETRANSLATE(B77,""en"",""ja""),)"),"私はできるだけたくさんの本を読むようにしています。")</f>
        <v>私はできるだけたくさんの本を読むようにしています。</v>
      </c>
    </row>
    <row r="78" spans="1:3" ht="18">
      <c r="A78" s="3" t="s">
        <v>189</v>
      </c>
      <c r="B78" s="4" t="str">
        <f ca="1">IFERROR(__xludf.DUMMYFUNCTION("IFERROR(GOOGLETRANSLATE(A78,""ko"",""en""),)"),"What food are you going to make?")</f>
        <v>What food are you going to make?</v>
      </c>
      <c r="C78" s="4" t="str">
        <f ca="1">IFERROR(__xludf.DUMMYFUNCTION("IFERROR(GOOGLETRANSLATE(B78,""en"",""ja""),)"),"どんな料理を作る予定ですか？")</f>
        <v>どんな料理を作る予定ですか？</v>
      </c>
    </row>
    <row r="79" spans="1:3" ht="18">
      <c r="A79" s="3" t="s">
        <v>191</v>
      </c>
      <c r="B79" s="4" t="str">
        <f ca="1">IFERROR(__xludf.DUMMYFUNCTION("IFERROR(GOOGLETRANSLATE(A79,""ko"",""en""),)"),"I'm going to make bibimbap.")</f>
        <v>I'm going to make bibimbap.</v>
      </c>
      <c r="C79" s="4" t="str">
        <f ca="1">IFERROR(__xludf.DUMMYFUNCTION("IFERROR(GOOGLETRANSLATE(B79,""en"",""ja""),)"),"ビビンバを作ろうと思います。")</f>
        <v>ビビンバを作ろうと思います。</v>
      </c>
    </row>
    <row r="80" spans="1:3" ht="18">
      <c r="A80" s="3" t="s">
        <v>192</v>
      </c>
      <c r="B80" s="4" t="str">
        <f ca="1">IFERROR(__xludf.DUMMYFUNCTION("IFERROR(GOOGLETRANSLATE(A80,""ko"",""en""),)"),"I am going to the convenience store. I don't have any milk, so I'm going to buy some.")</f>
        <v>I am going to the convenience store. I don't have any milk, so I'm going to buy some.</v>
      </c>
      <c r="C80" s="4" t="str">
        <f ca="1">IFERROR(__xludf.DUMMYFUNCTION("IFERROR(GOOGLETRANSLATE(B80,""en"",""ja""),)"),"コンビニに行くよ。牛乳がないから、買いに行くんだ。")</f>
        <v>コンビニに行くよ。牛乳がないから、買いに行くんだ。</v>
      </c>
    </row>
    <row r="81" spans="1:3" ht="18">
      <c r="A81" s="3" t="s">
        <v>196</v>
      </c>
      <c r="B81" s="4" t="str">
        <f ca="1">IFERROR(__xludf.DUMMYFUNCTION("IFERROR(GOOGLETRANSLATE(A81,""ko"",""en""),)"),"I'm going to the park. The weather is nice today, so I'm planning to ride my bike.")</f>
        <v>I'm going to the park. The weather is nice today, so I'm planning to ride my bike.</v>
      </c>
      <c r="C81" s="4" t="str">
        <f ca="1">IFERROR(__xludf.DUMMYFUNCTION("IFERROR(GOOGLETRANSLATE(B81,""en"",""ja""),)"),"公園に行くよ。今日は天気がいいから、自転車に乗って行こうと思ってるんだ。")</f>
        <v>公園に行くよ。今日は天気がいいから、自転車に乗って行こうと思ってるんだ。</v>
      </c>
    </row>
    <row r="82" spans="1:3" ht="18">
      <c r="A82" s="5" t="s">
        <v>198</v>
      </c>
      <c r="B82" s="4" t="str">
        <f ca="1">IFERROR(__xludf.DUMMYFUNCTION("IFERROR(GOOGLETRANSLATE(A82,""ko"",""en""),)"),"I am going to my friend's house. It is my friend's birthday, so I am planning to have a birthday party.")</f>
        <v>I am going to my friend's house. It is my friend's birthday, so I am planning to have a birthday party.</v>
      </c>
      <c r="C82" s="4" t="str">
        <f ca="1">IFERROR(__xludf.DUMMYFUNCTION("IFERROR(GOOGLETRANSLATE(B82,""en"",""ja""),)"),"友達の家に行く予定です。今日は友達の誕生日なので、誕生日パーティーを開こうと思っています。")</f>
        <v>友達の家に行く予定です。今日は友達の誕生日なので、誕生日パーティーを開こうと思っています。</v>
      </c>
    </row>
    <row r="83" spans="1:3" ht="18">
      <c r="A83" s="3" t="s">
        <v>201</v>
      </c>
      <c r="B83" s="4" t="str">
        <f ca="1">IFERROR(__xludf.DUMMYFUNCTION("IFERROR(GOOGLETRANSLATE(A83,""ko"",""en""),)"),"because")</f>
        <v>because</v>
      </c>
      <c r="C83" s="4" t="str">
        <f ca="1">IFERROR(__xludf.DUMMYFUNCTION("IFERROR(GOOGLETRANSLATE(B83,""en"",""ja""),)"),"なぜなら")</f>
        <v>なぜなら</v>
      </c>
    </row>
    <row r="84" spans="1:3" ht="18">
      <c r="A84" s="3" t="s">
        <v>202</v>
      </c>
      <c r="B84" s="4" t="str">
        <f ca="1">IFERROR(__xludf.DUMMYFUNCTION("IFERROR(GOOGLETRANSLATE(A84,""ko"",""en""),)"),"I am going to the hair salon. My hair is long, so I want to cut it.")</f>
        <v>I am going to the hair salon. My hair is long, so I want to cut it.</v>
      </c>
      <c r="C84" s="4" t="str">
        <f ca="1">IFERROR(__xludf.DUMMYFUNCTION("IFERROR(GOOGLETRANSLATE(B84,""en"",""ja""),)"),"美容院に行きます。髪が長いので、切りたいんです。")</f>
        <v>美容院に行きます。髪が長いので、切りたいんです。</v>
      </c>
    </row>
    <row r="85" spans="1:3" ht="18">
      <c r="A85" s="3" t="s">
        <v>58</v>
      </c>
      <c r="B85" s="4" t="str">
        <f ca="1">IFERROR(__xludf.DUMMYFUNCTION("IFERROR(GOOGLETRANSLATE(A85,""ko"",""en""),)"),"What are you going to do this weekend?")</f>
        <v>What are you going to do this weekend?</v>
      </c>
      <c r="C85" s="4" t="str">
        <f ca="1">IFERROR(__xludf.DUMMYFUNCTION("IFERROR(GOOGLETRANSLATE(B85,""en"",""ja""),)"),"今週末は何をする予定ですか？")</f>
        <v>今週末は何をする予定ですか？</v>
      </c>
    </row>
    <row r="86" spans="1:3" ht="18">
      <c r="A86" s="3" t="s">
        <v>205</v>
      </c>
      <c r="B86" s="4" t="str">
        <f ca="1">IFERROR(__xludf.DUMMYFUNCTION("IFERROR(GOOGLETRANSLATE(A86,""ko"",""en""),)"),"I'm planning to go to an amusement park.")</f>
        <v>I'm planning to go to an amusement park.</v>
      </c>
      <c r="C86" s="4" t="str">
        <f ca="1">IFERROR(__xludf.DUMMYFUNCTION("IFERROR(GOOGLETRANSLATE(B86,""en"",""ja""),)"),"遊園地に行く予定です。")</f>
        <v>遊園地に行く予定です。</v>
      </c>
    </row>
    <row r="87" spans="1:3" ht="18">
      <c r="A87" s="3" t="s">
        <v>207</v>
      </c>
      <c r="B87" s="4" t="str">
        <f ca="1">IFERROR(__xludf.DUMMYFUNCTION("IFERROR(GOOGLETRANSLATE(A87,""ko"",""en""),)"),"What are you doing this afternoon?")</f>
        <v>What are you doing this afternoon?</v>
      </c>
      <c r="C87" s="4" t="str">
        <f ca="1">IFERROR(__xludf.DUMMYFUNCTION("IFERROR(GOOGLETRANSLATE(B87,""en"",""ja""),)"),"今日の午後は何をする予定ですか？")</f>
        <v>今日の午後は何をする予定ですか？</v>
      </c>
    </row>
    <row r="88" spans="1:3" ht="18">
      <c r="A88" s="3" t="s">
        <v>209</v>
      </c>
      <c r="B88" s="4" t="str">
        <f ca="1">IFERROR(__xludf.DUMMYFUNCTION("IFERROR(GOOGLETRANSLATE(A88,""ko"",""en""),)"),"I'm planning to buy cosmetics.")</f>
        <v>I'm planning to buy cosmetics.</v>
      </c>
      <c r="C88" s="4" t="str">
        <f ca="1">IFERROR(__xludf.DUMMYFUNCTION("IFERROR(GOOGLETRANSLATE(B88,""en"",""ja""),)"),"化粧品を買う予定です。")</f>
        <v>化粧品を買う予定です。</v>
      </c>
    </row>
    <row r="89" spans="1:3" ht="18">
      <c r="A89" s="3" t="s">
        <v>212</v>
      </c>
      <c r="B89" s="4" t="str">
        <f ca="1">IFERROR(__xludf.DUMMYFUNCTION("IFERROR(GOOGLETRANSLATE(A89,""ko"",""en""),)"),"Are you meeting a friend on Saturday?")</f>
        <v>Are you meeting a friend on Saturday?</v>
      </c>
      <c r="C89" s="4" t="str">
        <f ca="1">IFERROR(__xludf.DUMMYFUNCTION("IFERROR(GOOGLETRANSLATE(B89,""en"",""ja""),)"),"土曜日に友達と会う予定ですか？")</f>
        <v>土曜日に友達と会う予定ですか？</v>
      </c>
    </row>
    <row r="90" spans="1:3" ht="18">
      <c r="A90" s="3" t="s">
        <v>213</v>
      </c>
      <c r="B90" s="4" t="str">
        <f ca="1">IFERROR(__xludf.DUMMYFUNCTION("IFERROR(GOOGLETRANSLATE(A90,""ko"",""en""),)"),"Yes, I'm planning to watch a movie with a friend.")</f>
        <v>Yes, I'm planning to watch a movie with a friend.</v>
      </c>
      <c r="C90" s="4" t="str">
        <f ca="1">IFERROR(__xludf.DUMMYFUNCTION("IFERROR(GOOGLETRANSLATE(B90,""en"",""ja""),)"),"はい、友達と映画を観に行く予定です。")</f>
        <v>はい、友達と映画を観に行く予定です。</v>
      </c>
    </row>
    <row r="91" spans="1:3" ht="18">
      <c r="A91" s="3" t="s">
        <v>218</v>
      </c>
      <c r="B91" s="4" t="str">
        <f ca="1">IFERROR(__xludf.DUMMYFUNCTION("IFERROR(GOOGLETRANSLATE(A91,""ko"",""en""),)"),"Are you going on a trip this vacation too?")</f>
        <v>Are you going on a trip this vacation too?</v>
      </c>
      <c r="C91" s="4" t="str">
        <f ca="1">IFERROR(__xludf.DUMMYFUNCTION("IFERROR(GOOGLETRANSLATE(B91,""en"",""ja""),)"),"あなたも今回の休暇に旅行に行く予定ですか？")</f>
        <v>あなたも今回の休暇に旅行に行く予定ですか？</v>
      </c>
    </row>
    <row r="92" spans="1:3" ht="18">
      <c r="A92" s="3" t="s">
        <v>219</v>
      </c>
      <c r="B92" s="4" t="str">
        <f ca="1">IFERROR(__xludf.DUMMYFUNCTION("IFERROR(GOOGLETRANSLATE(A92,""ko"",""en""),)"),"No, I plan to rest during this vacation.")</f>
        <v>No, I plan to rest during this vacation.</v>
      </c>
      <c r="C92" s="4" t="str">
        <f ca="1">IFERROR(__xludf.DUMMYFUNCTION("IFERROR(GOOGLETRANSLATE(B92,""en"",""ja""),)"),"いいえ、この休暇中はゆっくり休むつもりです。")</f>
        <v>いいえ、この休暇中はゆっくり休むつもりです。</v>
      </c>
    </row>
    <row r="93" spans="1:3" ht="18">
      <c r="A93" s="3" t="s">
        <v>100</v>
      </c>
      <c r="B93" s="4" t="str">
        <f ca="1">IFERROR(__xludf.DUMMYFUNCTION("IFERROR(GOOGLETRANSLATE(A93,""ko"",""en""),)"),"What are you going to do in Jeju Island?")</f>
        <v>What are you going to do in Jeju Island?</v>
      </c>
      <c r="C93" s="4" t="str">
        <f ca="1">IFERROR(__xludf.DUMMYFUNCTION("IFERROR(GOOGLETRANSLATE(B93,""en"",""ja""),)"),"済州島では何をする予定ですか？")</f>
        <v>済州島では何をする予定ですか？</v>
      </c>
    </row>
    <row r="94" spans="1:3" ht="18">
      <c r="A94" s="3" t="s">
        <v>223</v>
      </c>
      <c r="B94" s="4" t="str">
        <f ca="1">IFERROR(__xludf.DUMMYFUNCTION("IFERROR(GOOGLETRANSLATE(A94,""ko"",""en""),)"),"I'm going to go swimming.")</f>
        <v>I'm going to go swimming.</v>
      </c>
      <c r="C94" s="4" t="str">
        <f ca="1">IFERROR(__xludf.DUMMYFUNCTION("IFERROR(GOOGLETRANSLATE(B94,""en"",""ja""),)"),"泳ぎに行くよ。")</f>
        <v>泳ぎに行くよ。</v>
      </c>
    </row>
    <row r="95" spans="1:3" ht="18">
      <c r="A95" s="3" t="s">
        <v>224</v>
      </c>
      <c r="B95" s="4" t="str">
        <f ca="1">IFERROR(__xludf.DUMMYFUNCTION("IFERROR(GOOGLETRANSLATE(A95,""ko"",""en""),)"),"How about this restaurant?")</f>
        <v>How about this restaurant?</v>
      </c>
      <c r="C95" s="4" t="str">
        <f ca="1">IFERROR(__xludf.DUMMYFUNCTION("IFERROR(GOOGLETRANSLATE(B95,""en"",""ja""),)"),"このレストランはどうですか？")</f>
        <v>このレストランはどうですか？</v>
      </c>
    </row>
    <row r="96" spans="1:3" ht="18">
      <c r="A96" s="3" t="s">
        <v>231</v>
      </c>
      <c r="B96" s="4" t="str">
        <f ca="1">IFERROR(__xludf.DUMMYFUNCTION("IFERROR(GOOGLETRANSLATE(A96,""ko"",""en""),)"),"The food is delicious and cheap.")</f>
        <v>The food is delicious and cheap.</v>
      </c>
      <c r="C96" s="4" t="str">
        <f ca="1">IFERROR(__xludf.DUMMYFUNCTION("IFERROR(GOOGLETRANSLATE(B96,""en"",""ja""),)"),"料理は美味しくて安い。")</f>
        <v>料理は美味しくて安い。</v>
      </c>
    </row>
    <row r="97" spans="1:3" ht="18">
      <c r="A97" s="3" t="s">
        <v>100</v>
      </c>
      <c r="B97" s="4" t="str">
        <f ca="1">IFERROR(__xludf.DUMMYFUNCTION("IFERROR(GOOGLETRANSLATE(A97,""ko"",""en""),)"),"What are you going to do in Jeju Island?")</f>
        <v>What are you going to do in Jeju Island?</v>
      </c>
      <c r="C97" s="4" t="str">
        <f ca="1">IFERROR(__xludf.DUMMYFUNCTION("IFERROR(GOOGLETRANSLATE(B97,""en"",""ja""),)"),"済州島では何をする予定ですか？")</f>
        <v>済州島では何をする予定ですか？</v>
      </c>
    </row>
    <row r="98" spans="1:3" ht="18">
      <c r="A98" s="3" t="s">
        <v>234</v>
      </c>
      <c r="B98" s="4" t="str">
        <f ca="1">IFERROR(__xludf.DUMMYFUNCTION("IFERROR(GOOGLETRANSLATE(A98,""ko"",""en""),)"),"I'm going hiking and fishing.")</f>
        <v>I'm going hiking and fishing.</v>
      </c>
      <c r="C98" s="4" t="str">
        <f ca="1">IFERROR(__xludf.DUMMYFUNCTION("IFERROR(GOOGLETRANSLATE(B98,""en"",""ja""),)"),"ハイキングと釣りに行く予定です。")</f>
        <v>ハイキングと釣りに行く予定です。</v>
      </c>
    </row>
    <row r="99" spans="1:3" ht="18">
      <c r="A99" s="3" t="s">
        <v>236</v>
      </c>
      <c r="B99" s="4" t="str">
        <f ca="1">IFERROR(__xludf.DUMMYFUNCTION("IFERROR(GOOGLETRANSLATE(A99,""ko"",""en""),)"),"It is raining and hot.")</f>
        <v>It is raining and hot.</v>
      </c>
      <c r="C99" s="4" t="str">
        <f ca="1">IFERROR(__xludf.DUMMYFUNCTION("IFERROR(GOOGLETRANSLATE(B99,""en"",""ja""),)"),"雨が降っていて、暑い。")</f>
        <v>雨が降っていて、暑い。</v>
      </c>
    </row>
    <row r="100" spans="1:3" ht="18">
      <c r="A100" s="3" t="s">
        <v>239</v>
      </c>
      <c r="B100" s="4" t="str">
        <f ca="1">IFERROR(__xludf.DUMMYFUNCTION("IFERROR(GOOGLETRANSLATE(A100,""ko"",""en""),)"),"I go swimming and take walks.")</f>
        <v>I go swimming and take walks.</v>
      </c>
      <c r="C100" s="4" t="str">
        <f ca="1">IFERROR(__xludf.DUMMYFUNCTION("IFERROR(GOOGLETRANSLATE(B100,""en"",""ja""),)"),"私は水泳をしたり、散歩をしたりします。")</f>
        <v>私は水泳をしたり、散歩をしたりします。</v>
      </c>
    </row>
    <row r="101" spans="1:3" ht="18">
      <c r="A101" s="3" t="s">
        <v>240</v>
      </c>
      <c r="B101" s="4" t="str">
        <f ca="1">IFERROR(__xludf.DUMMYFUNCTION("IFERROR(GOOGLETRANSLATE(A101,""ko"",""en""),)"),"I am learning Korean and working part-time.")</f>
        <v>I am learning Korean and working part-time.</v>
      </c>
      <c r="C101" s="4" t="str">
        <f ca="1">IFERROR(__xludf.DUMMYFUNCTION("IFERROR(GOOGLETRANSLATE(B101,""en"",""ja""),)"),"私は韓国語を勉強しながら、アルバイトをしています。")</f>
        <v>私は韓国語を勉強しながら、アルバイトをしています。</v>
      </c>
    </row>
    <row r="102" spans="1:3" ht="18">
      <c r="A102" s="3" t="s">
        <v>243</v>
      </c>
      <c r="B102" s="4" t="str">
        <f ca="1">IFERROR(__xludf.DUMMYFUNCTION("IFERROR(GOOGLETRANSLATE(A102,""ko"",""en""),)"),"I watch television and listen to music.")</f>
        <v>I watch television and listen to music.</v>
      </c>
      <c r="C102" s="4" t="str">
        <f ca="1">IFERROR(__xludf.DUMMYFUNCTION("IFERROR(GOOGLETRANSLATE(B102,""en"",""ja""),)"),"私はテレビを見たり、音楽を聴いたりします。")</f>
        <v>私はテレビを見たり、音楽を聴いたりします。</v>
      </c>
    </row>
    <row r="103" spans="1:3" ht="18">
      <c r="A103" s="9" t="s">
        <v>244</v>
      </c>
      <c r="B103" s="4" t="str">
        <f ca="1">IFERROR(__xludf.DUMMYFUNCTION("IFERROR(GOOGLETRANSLATE(A103,""ko"",""en""),)"),"That restaurant is close and the food is delicious.")</f>
        <v>That restaurant is close and the food is delicious.</v>
      </c>
      <c r="C103" s="4" t="str">
        <f ca="1">IFERROR(__xludf.DUMMYFUNCTION("IFERROR(GOOGLETRANSLATE(B103,""en"",""ja""),)"),"そのレストランは近くて、料理も美味しいよ。")</f>
        <v>そのレストランは近くて、料理も美味しいよ。</v>
      </c>
    </row>
    <row r="104" spans="1:3" ht="18">
      <c r="A104" s="9" t="s">
        <v>250</v>
      </c>
      <c r="B104" s="4" t="str">
        <f ca="1">IFERROR(__xludf.DUMMYFUNCTION("IFERROR(GOOGLETRANSLATE(A104,""ko"",""en""),)"),"Did you go to that restaurant again?")</f>
        <v>Did you go to that restaurant again?</v>
      </c>
      <c r="C104" s="4" t="str">
        <f ca="1">IFERROR(__xludf.DUMMYFUNCTION("IFERROR(GOOGLETRANSLATE(B104,""en"",""ja""),)"),"またあのレストランに行ったの？")</f>
        <v>またあのレストランに行ったの？</v>
      </c>
    </row>
    <row r="105" spans="1:3" ht="18">
      <c r="A105" s="3" t="s">
        <v>253</v>
      </c>
      <c r="B105" s="4" t="str">
        <f ca="1">IFERROR(__xludf.DUMMYFUNCTION("IFERROR(GOOGLETRANSLATE(A105,""ko"",""en""),)"),"I work part-time on Saturdays and rest at home on Sundays.")</f>
        <v>I work part-time on Saturdays and rest at home on Sundays.</v>
      </c>
      <c r="C105" s="4" t="str">
        <f ca="1">IFERROR(__xludf.DUMMYFUNCTION("IFERROR(GOOGLETRANSLATE(B105,""en"",""ja""),)"),"私は土曜日にパートタイムで働き、日曜日は家で休んでいます。")</f>
        <v>私は土曜日にパートタイムで働き、日曜日は家で休んでいます。</v>
      </c>
    </row>
    <row r="106" spans="1:3" ht="18">
      <c r="A106" s="3" t="s">
        <v>256</v>
      </c>
      <c r="B106" s="4" t="str">
        <f ca="1">IFERROR(__xludf.DUMMYFUNCTION("IFERROR(GOOGLETRANSLATE(A106,""ko"",""en""),)"),"Look at the picture and complete the conversation.")</f>
        <v>Look at the picture and complete the conversation.</v>
      </c>
      <c r="C106" s="4" t="str">
        <f ca="1">IFERROR(__xludf.DUMMYFUNCTION("IFERROR(GOOGLETRANSLATE(B106,""en"",""ja""),)"),"写真を見て、会話を完成させてください。")</f>
        <v>写真を見て、会話を完成させてください。</v>
      </c>
    </row>
    <row r="107" spans="1:3" ht="18">
      <c r="A107" s="3" t="s">
        <v>258</v>
      </c>
      <c r="B107" s="4" t="str">
        <f ca="1">IFERROR(__xludf.DUMMYFUNCTION("IFERROR(GOOGLETRANSLATE(A107,""ko"",""en""),)"),"What are you going to do in Busan?")</f>
        <v>What are you going to do in Busan?</v>
      </c>
      <c r="C107" s="4" t="str">
        <f ca="1">IFERROR(__xludf.DUMMYFUNCTION("IFERROR(GOOGLETRANSLATE(B107,""en"",""ja""),)"),"釜山では何をする予定ですか？")</f>
        <v>釜山では何をする予定ですか？</v>
      </c>
    </row>
    <row r="108" spans="1:3" ht="18">
      <c r="A108" s="3" t="s">
        <v>261</v>
      </c>
      <c r="B108" s="4" t="str">
        <f ca="1">IFERROR(__xludf.DUMMYFUNCTION("IFERROR(GOOGLETRANSLATE(A108,""ko"",""en""),)"),"I'm going to go swimming and fishing.")</f>
        <v>I'm going to go swimming and fishing.</v>
      </c>
      <c r="C108" s="4" t="str">
        <f ca="1">IFERROR(__xludf.DUMMYFUNCTION("IFERROR(GOOGLETRANSLATE(B108,""en"",""ja""),)"),"泳ぎと釣りに行く予定です。")</f>
        <v>泳ぎと釣りに行く予定です。</v>
      </c>
    </row>
    <row r="109" spans="1:3" ht="18">
      <c r="A109" s="3" t="s">
        <v>264</v>
      </c>
      <c r="B109" s="4" t="str">
        <f ca="1">IFERROR(__xludf.DUMMYFUNCTION("IFERROR(GOOGLETRANSLATE(A109,""ko"",""en""),)"),"What are you going to do this afternoon?")</f>
        <v>What are you going to do this afternoon?</v>
      </c>
      <c r="C109" s="4" t="str">
        <f ca="1">IFERROR(__xludf.DUMMYFUNCTION("IFERROR(GOOGLETRANSLATE(B109,""en"",""ja""),)"),"今日の午後は何をする予定ですか？")</f>
        <v>今日の午後は何をする予定ですか？</v>
      </c>
    </row>
    <row r="110" spans="1:3" ht="18">
      <c r="A110" s="3" t="s">
        <v>267</v>
      </c>
      <c r="B110" s="4" t="str">
        <f ca="1">IFERROR(__xludf.DUMMYFUNCTION("IFERROR(GOOGLETRANSLATE(A110,""ko"",""en""),)"),"I'm going to go to the supermarket and clean.")</f>
        <v>I'm going to go to the supermarket and clean.</v>
      </c>
      <c r="C110" s="4" t="str">
        <f ca="1">IFERROR(__xludf.DUMMYFUNCTION("IFERROR(GOOGLETRANSLATE(B110,""en"",""ja""),)"),"スーパーに行って掃除をするつもりです。")</f>
        <v>スーパーに行って掃除をするつもりです。</v>
      </c>
    </row>
    <row r="111" spans="1:3" ht="18">
      <c r="A111" s="3" t="s">
        <v>269</v>
      </c>
      <c r="B111" s="4" t="str">
        <f ca="1">IFERROR(__xludf.DUMMYFUNCTION("IFERROR(GOOGLETRANSLATE(A111,""ko"",""en""),)"),"What are you going to buy at the department store?")</f>
        <v>What are you going to buy at the department store?</v>
      </c>
      <c r="C111" s="4" t="str">
        <f ca="1">IFERROR(__xludf.DUMMYFUNCTION("IFERROR(GOOGLETRANSLATE(B111,""en"",""ja""),)"),"デパートで何を買う予定ですか？")</f>
        <v>デパートで何を買う予定ですか？</v>
      </c>
    </row>
    <row r="112" spans="1:3" ht="18">
      <c r="A112" s="3" t="s">
        <v>272</v>
      </c>
      <c r="B112" s="4" t="str">
        <f ca="1">IFERROR(__xludf.DUMMYFUNCTION("IFERROR(GOOGLETRANSLATE(A112,""ko"",""en""),)"),"I'm going to buy sunglasses and a swimsuit.")</f>
        <v>I'm going to buy sunglasses and a swimsuit.</v>
      </c>
      <c r="C112" s="4" t="str">
        <f ca="1">IFERROR(__xludf.DUMMYFUNCTION("IFERROR(GOOGLETRANSLATE(B112,""en"",""ja""),)"),"サングラスと水着を買うつもりです。")</f>
        <v>サングラスと水着を買うつもりです。</v>
      </c>
    </row>
    <row r="113" spans="1:3" ht="18">
      <c r="A113" s="3" t="s">
        <v>273</v>
      </c>
      <c r="B113" s="4" t="str">
        <f ca="1">IFERROR(__xludf.DUMMYFUNCTION("IFERROR(GOOGLETRANSLATE(A113,""ko"",""en""),)"),"Where are you planning to go with your friend?")</f>
        <v>Where are you planning to go with your friend?</v>
      </c>
      <c r="C113" s="4" t="str">
        <f ca="1">IFERROR(__xludf.DUMMYFUNCTION("IFERROR(GOOGLETRANSLATE(B113,""en"",""ja""),)"),"友達とどこに行く予定ですか？")</f>
        <v>友達とどこに行く予定ですか？</v>
      </c>
    </row>
    <row r="114" spans="1:3" ht="18">
      <c r="A114" s="3" t="s">
        <v>276</v>
      </c>
      <c r="B114" s="4" t="str">
        <f ca="1">IFERROR(__xludf.DUMMYFUNCTION("IFERROR(GOOGLETRANSLATE(A114,""ko"",""en""),)"),"I plan to go to a restaurant and also to a karaoke bar.")</f>
        <v>I plan to go to a restaurant and also to a karaoke bar.</v>
      </c>
      <c r="C114" s="4" t="str">
        <f ca="1">IFERROR(__xludf.DUMMYFUNCTION("IFERROR(GOOGLETRANSLATE(B114,""en"",""ja""),)"),"レストランとカラオケバーに行く予定です。")</f>
        <v>レストランとカラオケバーに行く予定です。</v>
      </c>
    </row>
    <row r="115" spans="1:3" ht="18">
      <c r="A115" s="3" t="s">
        <v>278</v>
      </c>
      <c r="B115" s="4" t="str">
        <f ca="1">IFERROR(__xludf.DUMMYFUNCTION("IFERROR(GOOGLETRANSLATE(A115,""ko"",""en""),)"),"What are you planning to do during vacation?")</f>
        <v>What are you planning to do during vacation?</v>
      </c>
      <c r="C115" s="4" t="str">
        <f ca="1">IFERROR(__xludf.DUMMYFUNCTION("IFERROR(GOOGLETRANSLATE(B115,""en"",""ja""),)"),"休暇中は何をする予定ですか？")</f>
        <v>休暇中は何をする予定ですか？</v>
      </c>
    </row>
    <row r="116" spans="1:3" ht="18">
      <c r="A116" s="3" t="s">
        <v>281</v>
      </c>
      <c r="B116" s="4" t="str">
        <f ca="1">IFERROR(__xludf.DUMMYFUNCTION("IFERROR(GOOGLETRANSLATE(A116,""ko"",""en""),)"),"I plan to read books and exercise.")</f>
        <v>I plan to read books and exercise.</v>
      </c>
      <c r="C116" s="4" t="str">
        <f ca="1">IFERROR(__xludf.DUMMYFUNCTION("IFERROR(GOOGLETRANSLATE(B116,""en"",""ja""),)"),"私は読書と運動をする予定です。")</f>
        <v>私は読書と運動をする予定です。</v>
      </c>
    </row>
    <row r="117" spans="1:3" ht="18">
      <c r="A117" s="3" t="s">
        <v>282</v>
      </c>
      <c r="B117" s="4" t="str">
        <f ca="1">IFERROR(__xludf.DUMMYFUNCTION("IFERROR(GOOGLETRANSLATE(A117,""ko"",""en""),)"),"I study at the library. I also study at home.")</f>
        <v>I study at the library. I also study at home.</v>
      </c>
      <c r="C117" s="4" t="str">
        <f ca="1">IFERROR(__xludf.DUMMYFUNCTION("IFERROR(GOOGLETRANSLATE(B117,""en"",""ja""),)"),"私は図書館で勉強します。家でも勉強します。")</f>
        <v>私は図書館で勉強します。家でも勉強します。</v>
      </c>
    </row>
    <row r="118" spans="1:3" ht="18">
      <c r="A118" s="3" t="s">
        <v>283</v>
      </c>
      <c r="B118" s="4" t="str">
        <f ca="1">IFERROR(__xludf.DUMMYFUNCTION("IFERROR(GOOGLETRANSLATE(A118,""ko"",""en""),)"),"How is the weather in Seoul?")</f>
        <v>How is the weather in Seoul?</v>
      </c>
      <c r="C118" s="4" t="str">
        <f ca="1">IFERROR(__xludf.DUMMYFUNCTION("IFERROR(GOOGLETRANSLATE(B118,""en"",""ja""),)"),"ソウルの天気はどうですか？")</f>
        <v>ソウルの天気はどうですか？</v>
      </c>
    </row>
    <row r="119" spans="1:3" ht="18">
      <c r="A119" s="9" t="s">
        <v>285</v>
      </c>
      <c r="B119" s="4" t="str">
        <f ca="1">IFERROR(__xludf.DUMMYFUNCTION("IFERROR(GOOGLETRANSLATE(A119,""ko"",""en""),)"),"It's cold and snowing.")</f>
        <v>It's cold and snowing.</v>
      </c>
      <c r="C119" s="4" t="str">
        <f ca="1">IFERROR(__xludf.DUMMYFUNCTION("IFERROR(GOOGLETRANSLATE(B119,""en"",""ja""),)"),"寒くて雪が降っている。")</f>
        <v>寒くて雪が降っている。</v>
      </c>
    </row>
    <row r="120" spans="1:3" ht="18">
      <c r="A120" s="3" t="s">
        <v>178</v>
      </c>
      <c r="B120" s="4" t="str">
        <f ca="1">IFERROR(__xludf.DUMMYFUNCTION("IFERROR(GOOGLETRANSLATE(A120,""ko"",""en""),)"),"What are you going to do this weekend?")</f>
        <v>What are you going to do this weekend?</v>
      </c>
      <c r="C120" s="4" t="str">
        <f ca="1">IFERROR(__xludf.DUMMYFUNCTION("IFERROR(GOOGLETRANSLATE(B120,""en"",""ja""),)"),"今週末は何をする予定ですか？")</f>
        <v>今週末は何をする予定ですか？</v>
      </c>
    </row>
    <row r="121" spans="1:3" ht="18">
      <c r="A121" s="3" t="s">
        <v>290</v>
      </c>
      <c r="B121" s="4" t="str">
        <f ca="1">IFERROR(__xludf.DUMMYFUNCTION("IFERROR(GOOGLETRANSLATE(A121,""ko"",""en""),)"),"I'm going to meet a friend and do some cleaning.")</f>
        <v>I'm going to meet a friend and do some cleaning.</v>
      </c>
      <c r="C121" s="4" t="str">
        <f ca="1">IFERROR(__xludf.DUMMYFUNCTION("IFERROR(GOOGLETRANSLATE(B121,""en"",""ja""),)"),"友達と会って、掃除をする予定です。")</f>
        <v>友達と会って、掃除をする予定です。</v>
      </c>
    </row>
    <row r="122" spans="1:3" ht="18">
      <c r="A122" s="3" t="s">
        <v>294</v>
      </c>
      <c r="B122" s="4" t="str">
        <f ca="1">IFERROR(__xludf.DUMMYFUNCTION("IFERROR(GOOGLETRANSLATE(A122,""ko"",""en""),)"),"How about Jeju Island?")</f>
        <v>How about Jeju Island?</v>
      </c>
      <c r="C122" s="4" t="str">
        <f ca="1">IFERROR(__xludf.DUMMYFUNCTION("IFERROR(GOOGLETRANSLATE(B122,""en"",""ja""),)"),"済州島はどうでしょう？")</f>
        <v>済州島はどうでしょう？</v>
      </c>
    </row>
    <row r="123" spans="1:3" ht="18">
      <c r="A123" s="3" t="s">
        <v>295</v>
      </c>
      <c r="B123" s="4" t="str">
        <f ca="1">IFERROR(__xludf.DUMMYFUNCTION("IFERROR(GOOGLETRANSLATE(A123,""ko"",""en""),)"),"The sea is beautiful and the food is delicious.")</f>
        <v>The sea is beautiful and the food is delicious.</v>
      </c>
      <c r="C123" s="4" t="str">
        <f ca="1">IFERROR(__xludf.DUMMYFUNCTION("IFERROR(GOOGLETRANSLATE(B123,""en"",""ja""),)"),"海は美しく、食べ物も美味しい。")</f>
        <v>海は美しく、食べ物も美味しい。</v>
      </c>
    </row>
    <row r="124" spans="1:3" ht="18">
      <c r="A124" s="3" t="s">
        <v>300</v>
      </c>
      <c r="B124" s="4" t="str">
        <f ca="1">IFERROR(__xludf.DUMMYFUNCTION("IFERROR(GOOGLETRANSLATE(A124,""ko"",""en""),)"),"Are you very busy these days, Anna?")</f>
        <v>Are you very busy these days, Anna?</v>
      </c>
      <c r="C124" s="4" t="str">
        <f ca="1">IFERROR(__xludf.DUMMYFUNCTION("IFERROR(GOOGLETRANSLATE(B124,""en"",""ja""),)"),"アンナ、最近とても忙しいの？")</f>
        <v>アンナ、最近とても忙しいの？</v>
      </c>
    </row>
    <row r="125" spans="1:3" ht="18">
      <c r="A125" s="3" t="s">
        <v>301</v>
      </c>
      <c r="B125" s="4" t="str">
        <f ca="1">IFERROR(__xludf.DUMMYFUNCTION("IFERROR(GOOGLETRANSLATE(A125,""ko"",""en""),)"),"Yes, I study Korean and I also work part-time.")</f>
        <v>Yes, I study Korean and I also work part-time.</v>
      </c>
      <c r="C125" s="4" t="str">
        <f ca="1">IFERROR(__xludf.DUMMYFUNCTION("IFERROR(GOOGLETRANSLATE(B125,""en"",""ja""),)"),"はい、韓国語を勉強していますし、アルバイトもしています。")</f>
        <v>はい、韓国語を勉強していますし、アルバイトもしています。</v>
      </c>
    </row>
    <row r="126" spans="1:3" ht="18">
      <c r="A126" s="3" t="s">
        <v>303</v>
      </c>
      <c r="B126" s="4" t="str">
        <f ca="1">IFERROR(__xludf.DUMMYFUNCTION("IFERROR(GOOGLETRANSLATE(A126,""ko"",""en""),)"),"What do you usually do in the evening?")</f>
        <v>What do you usually do in the evening?</v>
      </c>
      <c r="C126" s="4" t="str">
        <f ca="1">IFERROR(__xludf.DUMMYFUNCTION("IFERROR(GOOGLETRANSLATE(B126,""en"",""ja""),)"),"あなたは普段、夜は何をしていますか？")</f>
        <v>あなたは普段、夜は何をしていますか？</v>
      </c>
    </row>
    <row r="127" spans="1:3" ht="18">
      <c r="A127" s="3" t="s">
        <v>305</v>
      </c>
      <c r="B127" s="4" t="str">
        <f ca="1">IFERROR(__xludf.DUMMYFUNCTION("IFERROR(GOOGLETRANSLATE(A127,""ko"",""en""),)"),"I watch television and read books.")</f>
        <v>I watch television and read books.</v>
      </c>
      <c r="C127" s="4" t="str">
        <f ca="1">IFERROR(__xludf.DUMMYFUNCTION("IFERROR(GOOGLETRANSLATE(B127,""en"",""ja""),)"),"私はテレビを見たり、本を読んだりします。")</f>
        <v>私はテレビを見たり、本を読んだりします。</v>
      </c>
    </row>
    <row r="128" spans="1:3" ht="18">
      <c r="A128" s="3" t="s">
        <v>309</v>
      </c>
      <c r="B128" s="4" t="str">
        <f ca="1">IFERROR(__xludf.DUMMYFUNCTION("IFERROR(GOOGLETRANSLATE(A128,""ko"",""en""),)"),"What are the two of you doing right now?")</f>
        <v>What are the two of you doing right now?</v>
      </c>
      <c r="C128" s="4" t="str">
        <f ca="1">IFERROR(__xludf.DUMMYFUNCTION("IFERROR(GOOGLETRANSLATE(B128,""en"",""ja""),)"),"お二人は今、何をしているのですか？")</f>
        <v>お二人は今、何をしているのですか？</v>
      </c>
    </row>
    <row r="129" spans="1:3" ht="18">
      <c r="A129" s="3" t="s">
        <v>310</v>
      </c>
      <c r="B129" s="4" t="str">
        <f ca="1">IFERROR(__xludf.DUMMYFUNCTION("IFERROR(GOOGLETRANSLATE(A129,""ko"",""en""),)"),"Suji is sleeping and Marie is listening to music.")</f>
        <v>Suji is sleeping and Marie is listening to music.</v>
      </c>
      <c r="C129" s="4" t="str">
        <f ca="1">IFERROR(__xludf.DUMMYFUNCTION("IFERROR(GOOGLETRANSLATE(B129,""en"",""ja""),)"),"スジは寝ていて、マリーは音楽を聴いている。")</f>
        <v>スジは寝ていて、マリーは音楽を聴いている。</v>
      </c>
    </row>
    <row r="130" spans="1:3" ht="18">
      <c r="A130" s="3" t="s">
        <v>309</v>
      </c>
      <c r="B130" s="4" t="str">
        <f ca="1">IFERROR(__xludf.DUMMYFUNCTION("IFERROR(GOOGLETRANSLATE(A130,""ko"",""en""),)"),"What are the two of you doing right now?")</f>
        <v>What are the two of you doing right now?</v>
      </c>
      <c r="C130" s="4" t="str">
        <f ca="1">IFERROR(__xludf.DUMMYFUNCTION("IFERROR(GOOGLETRANSLATE(B130,""en"",""ja""),)"),"お二人は今、何をしているのですか？")</f>
        <v>お二人は今、何をしているのですか？</v>
      </c>
    </row>
    <row r="131" spans="1:3" ht="18">
      <c r="A131" s="3" t="s">
        <v>314</v>
      </c>
      <c r="B131" s="4" t="str">
        <f ca="1">IFERROR(__xludf.DUMMYFUNCTION("IFERROR(GOOGLETRANSLATE(A131,""ko"",""en""),)"),"Suzy watches television and Marie cooks.")</f>
        <v>Suzy watches television and Marie cooks.</v>
      </c>
      <c r="C131" s="4" t="str">
        <f ca="1">IFERROR(__xludf.DUMMYFUNCTION("IFERROR(GOOGLETRANSLATE(B131,""en"",""ja""),)"),"スージーはテレビを見て、マリーは料理をする。")</f>
        <v>スージーはテレビを見て、マリーは料理をする。</v>
      </c>
    </row>
    <row r="132" spans="1:3" ht="18">
      <c r="A132" s="3" t="s">
        <v>317</v>
      </c>
      <c r="B132" s="4" t="str">
        <f ca="1">IFERROR(__xludf.DUMMYFUNCTION("IFERROR(GOOGLETRANSLATE(A132,""ko"",""en""),)"),"What did the two of you do yesterday?")</f>
        <v>What did the two of you do yesterday?</v>
      </c>
      <c r="C132" s="4" t="str">
        <f ca="1">IFERROR(__xludf.DUMMYFUNCTION("IFERROR(GOOGLETRANSLATE(B132,""en"",""ja""),)"),"お二人は昨日何をしていましたか？")</f>
        <v>お二人は昨日何をしていましたか？</v>
      </c>
    </row>
    <row r="133" spans="1:3" ht="18">
      <c r="A133" s="3" t="s">
        <v>320</v>
      </c>
      <c r="B133" s="4" t="str">
        <f ca="1">IFERROR(__xludf.DUMMYFUNCTION("IFERROR(GOOGLETRANSLATE(A133,""ko"",""en""),)"),"Suzy cleaned and Marie met a friend.")</f>
        <v>Suzy cleaned and Marie met a friend.</v>
      </c>
      <c r="C133" s="4" t="str">
        <f ca="1">IFERROR(__xludf.DUMMYFUNCTION("IFERROR(GOOGLETRANSLATE(B133,""en"",""ja""),)"),"スージーは掃除をし、マリーは友人と会った。")</f>
        <v>スージーは掃除をし、マリーは友人と会った。</v>
      </c>
    </row>
    <row r="134" spans="1:3" ht="18">
      <c r="A134" s="3" t="s">
        <v>322</v>
      </c>
      <c r="B134" s="4" t="str">
        <f ca="1">IFERROR(__xludf.DUMMYFUNCTION("IFERROR(GOOGLETRANSLATE(A134,""ko"",""en""),)"),"What are you going to do today?")</f>
        <v>What are you going to do today?</v>
      </c>
      <c r="C134" s="4" t="str">
        <f ca="1">IFERROR(__xludf.DUMMYFUNCTION("IFERROR(GOOGLETRANSLATE(B134,""en"",""ja""),)"),"今日は何をする予定ですか？")</f>
        <v>今日は何をする予定ですか？</v>
      </c>
    </row>
    <row r="135" spans="1:3" ht="18">
      <c r="A135" s="3" t="s">
        <v>325</v>
      </c>
      <c r="B135" s="4" t="str">
        <f ca="1">IFERROR(__xludf.DUMMYFUNCTION("IFERROR(GOOGLETRANSLATE(A135,""ko"",""en""),)"),"I work today and study Korean.")</f>
        <v>I work today and study Korean.</v>
      </c>
      <c r="C135" s="4" t="str">
        <f ca="1">IFERROR(__xludf.DUMMYFUNCTION("IFERROR(GOOGLETRANSLATE(B135,""en"",""ja""),)"),"私は今日仕事をして、韓国語を勉強しています。")</f>
        <v>私は今日仕事をして、韓国語を勉強しています。</v>
      </c>
    </row>
    <row r="136" spans="1:3" ht="18">
      <c r="A136" s="3" t="s">
        <v>327</v>
      </c>
      <c r="B136" s="4" t="str">
        <f ca="1">IFERROR(__xludf.DUMMYFUNCTION("IFERROR(GOOGLETRANSLATE(A136,""ko"",""en""),)"),"Dolhareubang")</f>
        <v>Dolhareubang</v>
      </c>
      <c r="C136" s="4" t="str">
        <f ca="1">IFERROR(__xludf.DUMMYFUNCTION("IFERROR(GOOGLETRANSLATE(B136,""en"",""ja""),)"),"ドルハルバン")</f>
        <v>ドルハルバン</v>
      </c>
    </row>
    <row r="137" spans="1:3" ht="18">
      <c r="A137" s="5" t="s">
        <v>330</v>
      </c>
      <c r="B137" s="4" t="str">
        <f ca="1">IFERROR(__xludf.DUMMYFUNCTION("IFERROR(GOOGLETRANSLATE(A137,""ko"",""en""),)"),"Shall we find out?")</f>
        <v>Shall we find out?</v>
      </c>
      <c r="C137" s="4" t="str">
        <f ca="1">IFERROR(__xludf.DUMMYFUNCTION("IFERROR(GOOGLETRANSLATE(B137,""en"",""ja""),)"),"調べてみましょうか？")</f>
        <v>調べてみましょうか？</v>
      </c>
    </row>
    <row r="138" spans="1:3" ht="18">
      <c r="A138" s="3" t="s">
        <v>333</v>
      </c>
      <c r="B138" s="4" t="str">
        <f ca="1">IFERROR(__xludf.DUMMYFUNCTION("IFERROR(GOOGLETRANSLATE(A138,""ko"",""en""),)"),"I am going on a trip to Seoraksan Mountain with my friends for this vacation.")</f>
        <v>I am going on a trip to Seoraksan Mountain with my friends for this vacation.</v>
      </c>
      <c r="C138" s="4" t="str">
        <f ca="1">IFERROR(__xludf.DUMMYFUNCTION("IFERROR(GOOGLETRANSLATE(B138,""en"",""ja""),)"),"今回の休暇で、友達と雪岳山へ旅行に行く予定です。")</f>
        <v>今回の休暇で、友達と雪岳山へ旅行に行く予定です。</v>
      </c>
    </row>
    <row r="139" spans="1:3" ht="18">
      <c r="A139" s="3" t="s">
        <v>335</v>
      </c>
      <c r="B139" s="4" t="str">
        <f ca="1">IFERROR(__xludf.DUMMYFUNCTION("IFERROR(GOOGLETRANSLATE(A139,""ko"",""en""),)"),"There is also the sea next to Mt. Seorak. I’m going to go hiking and swim in the sea.")</f>
        <v>There is also the sea next to Mt. Seorak. I’m going to go hiking and swim in the sea.</v>
      </c>
      <c r="C139" s="4" t="str">
        <f ca="1">IFERROR(__xludf.DUMMYFUNCTION("IFERROR(GOOGLETRANSLATE(B139,""en"",""ja""),)"),"雪岳山のすぐそばには海もあります。ハイキングに行って、海で泳ぐつもりです。")</f>
        <v>雪岳山のすぐそばには海もあります。ハイキングに行って、海で泳ぐつもりです。</v>
      </c>
    </row>
    <row r="140" spans="1:3" ht="18">
      <c r="A140" s="3" t="s">
        <v>338</v>
      </c>
      <c r="B140" s="4" t="str">
        <f ca="1">IFERROR(__xludf.DUMMYFUNCTION("IFERROR(GOOGLETRANSLATE(A140,""ko"",""en""),)"),"I also plan to have a party with my friends at the hotel at night.")</f>
        <v>I also plan to have a party with my friends at the hotel at night.</v>
      </c>
      <c r="C140" s="4" t="str">
        <f ca="1">IFERROR(__xludf.DUMMYFUNCTION("IFERROR(GOOGLETRANSLATE(B140,""en"",""ja""),)"),"夜にはホテルで友達とパーティーをする予定です。")</f>
        <v>夜にはホテルで友達とパーティーをする予定です。</v>
      </c>
    </row>
    <row r="141" spans="1:3" ht="18">
      <c r="A141" s="3" t="s">
        <v>340</v>
      </c>
      <c r="B141" s="4" t="str">
        <f ca="1">IFERROR(__xludf.DUMMYFUNCTION("IFERROR(GOOGLETRANSLATE(A141,""ko"",""en""),)"),"So I bought hiking boots and a swimsuit.")</f>
        <v>So I bought hiking boots and a swimsuit.</v>
      </c>
      <c r="C141" s="4" t="str">
        <f ca="1">IFERROR(__xludf.DUMMYFUNCTION("IFERROR(GOOGLETRANSLATE(B141,""en"",""ja""),)"),"それで、ハイキングブーツと水着を買いました。")</f>
        <v>それで、ハイキングブーツと水着を買いました。</v>
      </c>
    </row>
    <row r="142" spans="1:3" ht="18">
      <c r="A142" s="3" t="s">
        <v>343</v>
      </c>
      <c r="B142" s="4" t="str">
        <f ca="1">IFERROR(__xludf.DUMMYFUNCTION("IFERROR(GOOGLETRANSLATE(A142,""ko"",""en""),)"),"I also bought sunglasses. I want to go on a trip to Seoraksan Mountain soon.")</f>
        <v>I also bought sunglasses. I want to go on a trip to Seoraksan Mountain soon.</v>
      </c>
      <c r="C142" s="4" t="str">
        <f ca="1">IFERROR(__xludf.DUMMYFUNCTION("IFERROR(GOOGLETRANSLATE(B142,""en"",""ja""),)"),"サングラスも買いました。近いうちに雪岳山に旅行に行きたいんです。")</f>
        <v>サングラスも買いました。近いうちに雪岳山に旅行に行きたいんです。</v>
      </c>
    </row>
    <row r="143" spans="1:3" ht="18">
      <c r="A143" s="3" t="s">
        <v>345</v>
      </c>
      <c r="B143" s="4" t="str">
        <f ca="1">IFERROR(__xludf.DUMMYFUNCTION("IFERROR(GOOGLETRANSLATE(A143,""ko"",""en""),)"),"Let's look around the streets.")</f>
        <v>Let's look around the streets.</v>
      </c>
      <c r="C143" s="4" t="str">
        <f ca="1">IFERROR(__xludf.DUMMYFUNCTION("IFERROR(GOOGLETRANSLATE(B143,""en"",""ja""),)"),"街を見渡してみましょう。")</f>
        <v>街を見渡してみましょう。</v>
      </c>
    </row>
    <row r="144" spans="1:3" ht="18">
      <c r="A144" s="3" t="s">
        <v>347</v>
      </c>
      <c r="B144" s="4" t="str">
        <f ca="1">IFERROR(__xludf.DUMMYFUNCTION("IFERROR(GOOGLETRANSLATE(A144,""ko"",""en""),)"),"I'm going to the festival")</f>
        <v>I'm going to the festival</v>
      </c>
      <c r="C144" s="4" t="str">
        <f ca="1">IFERROR(__xludf.DUMMYFUNCTION("IFERROR(GOOGLETRANSLATE(B144,""en"",""ja""),)"),"私はフェスティバルに行く")</f>
        <v>私はフェスティバルに行く</v>
      </c>
    </row>
    <row r="145" spans="1:3" ht="18">
      <c r="A145" s="3" t="s">
        <v>350</v>
      </c>
      <c r="B145" s="4" t="str">
        <f ca="1">IFERROR(__xludf.DUMMYFUNCTION("IFERROR(GOOGLETRANSLATE(A145,""ko"",""en""),)"),"Let's go to the traditional market")</f>
        <v>Let's go to the traditional market</v>
      </c>
      <c r="C145" s="4" t="str">
        <f ca="1">IFERROR(__xludf.DUMMYFUNCTION("IFERROR(GOOGLETRANSLATE(B145,""en"",""ja""),)"),"伝統的な市場に行ってみましょう")</f>
        <v>伝統的な市場に行ってみましょう</v>
      </c>
    </row>
    <row r="146" spans="1:3" ht="18">
      <c r="A146" s="3" t="s">
        <v>352</v>
      </c>
      <c r="B146" s="4" t="str">
        <f ca="1">IFERROR(__xludf.DUMMYFUNCTION("IFERROR(GOOGLETRANSLATE(A146,""ko"",""en""),)"),"I'm eating new food.")</f>
        <v>I'm eating new food.</v>
      </c>
      <c r="C146" s="4" t="str">
        <f ca="1">IFERROR(__xludf.DUMMYFUNCTION("IFERROR(GOOGLETRANSLATE(B146,""en"",""ja""),)"),"新しい食べ物を食べています。")</f>
        <v>新しい食べ物を食べています。</v>
      </c>
    </row>
    <row r="147" spans="1:3" ht="18">
      <c r="A147" s="3" t="s">
        <v>355</v>
      </c>
      <c r="B147" s="4" t="str">
        <f ca="1">IFERROR(__xludf.DUMMYFUNCTION("IFERROR(GOOGLETRANSLATE(A147,""ko"",""en""),)"),"Let's go to the museum")</f>
        <v>Let's go to the museum</v>
      </c>
      <c r="C147" s="4" t="str">
        <f ca="1">IFERROR(__xludf.DUMMYFUNCTION("IFERROR(GOOGLETRANSLATE(B147,""en"",""ja""),)"),"博物館に行こう")</f>
        <v>博物館に行こう</v>
      </c>
    </row>
    <row r="148" spans="1:3" ht="18">
      <c r="A148" s="5" t="s">
        <v>357</v>
      </c>
      <c r="B148" s="4" t="str">
        <f ca="1">IFERROR(__xludf.DUMMYFUNCTION("IFERROR(GOOGLETRANSLATE(A148,""ko"",""en""),)"),"Watch the performance")</f>
        <v>Watch the performance</v>
      </c>
      <c r="C148" s="4" t="str">
        <f ca="1">IFERROR(__xludf.DUMMYFUNCTION("IFERROR(GOOGLETRANSLATE(B148,""en"",""ja""),)"),"パフォーマンスをご覧ください")</f>
        <v>パフォーマンスをご覧ください</v>
      </c>
    </row>
    <row r="149" spans="1:3" ht="18">
      <c r="A149" s="3" t="s">
        <v>360</v>
      </c>
      <c r="B149" s="4" t="str">
        <f ca="1">IFERROR(__xludf.DUMMYFUNCTION("IFERROR(GOOGLETRANSLATE(A149,""ko"",""en""),)"),"Watch the people")</f>
        <v>Watch the people</v>
      </c>
      <c r="C149" s="4" t="str">
        <f ca="1">IFERROR(__xludf.DUMMYFUNCTION("IFERROR(GOOGLETRANSLATE(B149,""en"",""ja""),)"),"人々を見てください")</f>
        <v>人々を見てください</v>
      </c>
    </row>
    <row r="150" spans="1:3" ht="18">
      <c r="A150" s="5" t="s">
        <v>363</v>
      </c>
      <c r="B150" s="4" t="str">
        <f ca="1">IFERROR(__xludf.DUMMYFUNCTION("IFERROR(GOOGLETRANSLATE(A150,""ko"",""en""),)"),"I eat street food.")</f>
        <v>I eat street food.</v>
      </c>
      <c r="C150" s="4" t="str">
        <f ca="1">IFERROR(__xludf.DUMMYFUNCTION("IFERROR(GOOGLETRANSLATE(B150,""en"",""ja""),)"),"私は屋台の食べ物を食べます。")</f>
        <v>私は屋台の食べ物を食べます。</v>
      </c>
    </row>
    <row r="151" spans="1:3" ht="18">
      <c r="A151" s="8" t="s">
        <v>365</v>
      </c>
      <c r="B151" s="4" t="str">
        <f ca="1">IFERROR(__xludf.DUMMYFUNCTION("IFERROR(GOOGLETRANSLATE(A151,""ko"",""en""),)"),"I'm buying souvenirs")</f>
        <v>I'm buying souvenirs</v>
      </c>
      <c r="C151" s="4" t="str">
        <f ca="1">IFERROR(__xludf.DUMMYFUNCTION("IFERROR(GOOGLETRANSLATE(B151,""en"",""ja""),)"),"お土産を買っています")</f>
        <v>お土産を買っています</v>
      </c>
    </row>
    <row r="152" spans="1:3" ht="18">
      <c r="A152" s="3" t="s">
        <v>368</v>
      </c>
      <c r="B152" s="4" t="str">
        <f ca="1">IFERROR(__xludf.DUMMYFUNCTION("IFERROR(GOOGLETRANSLATE(A152,""ko"",""en""),)"),"Try wearing a Hanbok")</f>
        <v>Try wearing a Hanbok</v>
      </c>
      <c r="C152" s="4" t="str">
        <f ca="1">IFERROR(__xludf.DUMMYFUNCTION("IFERROR(GOOGLETRANSLATE(B152,""en"",""ja""),)"),"韓服を着てみて")</f>
        <v>韓服を着てみて</v>
      </c>
    </row>
    <row r="153" spans="1:3" ht="18">
      <c r="A153" s="3" t="s">
        <v>369</v>
      </c>
      <c r="B153" s="4" t="str">
        <f ca="1">IFERROR(__xludf.DUMMYFUNCTION("IFERROR(GOOGLETRANSLATE(A153,""ko"",""en""),)"),"I'm eating Samgyetang.")</f>
        <v>I'm eating Samgyetang.</v>
      </c>
      <c r="C153" s="4" t="str">
        <f ca="1">IFERROR(__xludf.DUMMYFUNCTION("IFERROR(GOOGLETRANSLATE(B153,""en"",""ja""),)"),"私はサムゲタンを食べています。")</f>
        <v>私はサムゲタンを食べています。</v>
      </c>
    </row>
    <row r="154" spans="1:3" ht="18">
      <c r="A154" s="3" t="s">
        <v>371</v>
      </c>
      <c r="B154" s="4" t="str">
        <f ca="1">IFERROR(__xludf.DUMMYFUNCTION("IFERROR(GOOGLETRANSLATE(A154,""ko"",""en""),)"),"I'm going to a K-POP concert")</f>
        <v>I'm going to a K-POP concert</v>
      </c>
      <c r="C154" s="4" t="str">
        <f ca="1">IFERROR(__xludf.DUMMYFUNCTION("IFERROR(GOOGLETRANSLATE(B154,""en"",""ja""),)"),"K-POPコンサートに行く予定です")</f>
        <v>K-POPコンサートに行く予定です</v>
      </c>
    </row>
    <row r="155" spans="1:3" ht="18">
      <c r="A155" s="3" t="s">
        <v>373</v>
      </c>
      <c r="B155" s="4" t="str">
        <f ca="1">IFERROR(__xludf.DUMMYFUNCTION("IFERROR(GOOGLETRANSLATE(A155,""ko"",""en""),)"),"I wear a Hanbok.")</f>
        <v>I wear a Hanbok.</v>
      </c>
      <c r="C155" s="4" t="str">
        <f ca="1">IFERROR(__xludf.DUMMYFUNCTION("IFERROR(GOOGLETRANSLATE(B155,""en"",""ja""),)"),"私は韓服を着ます。")</f>
        <v>私は韓服を着ます。</v>
      </c>
    </row>
    <row r="156" spans="1:3" ht="18">
      <c r="A156" s="3" t="s">
        <v>375</v>
      </c>
      <c r="B156" s="4" t="str">
        <f ca="1">IFERROR(__xludf.DUMMYFUNCTION("IFERROR(GOOGLETRANSLATE(A156,""ko"",""en""),)"),"I'm going to a movie festival.")</f>
        <v>I'm going to a movie festival.</v>
      </c>
      <c r="C156" s="4" t="str">
        <f ca="1">IFERROR(__xludf.DUMMYFUNCTION("IFERROR(GOOGLETRANSLATE(B156,""en"",""ja""),)"),"映画祭に行く予定です。")</f>
        <v>映画祭に行く予定です。</v>
      </c>
    </row>
    <row r="157" spans="1:3" ht="18">
      <c r="A157" s="3" t="s">
        <v>377</v>
      </c>
      <c r="B157" s="4" t="str">
        <f ca="1">IFERROR(__xludf.DUMMYFUNCTION("IFERROR(GOOGLETRANSLATE(A157,""ko"",""en""),)"),"I watched the performance.")</f>
        <v>I watched the performance.</v>
      </c>
      <c r="C157" s="4" t="str">
        <f ca="1">IFERROR(__xludf.DUMMYFUNCTION("IFERROR(GOOGLETRANSLATE(B157,""en"",""ja""),)"),"私はその公演を観ました。")</f>
        <v>私はその公演を観ました。</v>
      </c>
    </row>
    <row r="158" spans="1:3" ht="18">
      <c r="A158" s="5" t="s">
        <v>379</v>
      </c>
      <c r="B158" s="4" t="str">
        <f ca="1">IFERROR(__xludf.DUMMYFUNCTION("IFERROR(GOOGLETRANSLATE(A158,""ko"",""en""),)"),"I went to the Busan International Film Festival.")</f>
        <v>I went to the Busan International Film Festival.</v>
      </c>
      <c r="C158" s="4" t="str">
        <f ca="1">IFERROR(__xludf.DUMMYFUNCTION("IFERROR(GOOGLETRANSLATE(B158,""en"",""ja""),)"),"私は釜山国際映画祭に行きました。")</f>
        <v>私は釜山国際映画祭に行きました。</v>
      </c>
    </row>
    <row r="159" spans="1:3" ht="18">
      <c r="A159" s="3" t="s">
        <v>382</v>
      </c>
      <c r="B159" s="4" t="str">
        <f ca="1">IFERROR(__xludf.DUMMYFUNCTION("IFERROR(GOOGLETRANSLATE(A159,""ko"",""en""),)"),"I ate a new food.")</f>
        <v>I ate a new food.</v>
      </c>
      <c r="C159" s="4" t="str">
        <f ca="1">IFERROR(__xludf.DUMMYFUNCTION("IFERROR(GOOGLETRANSLATE(B159,""en"",""ja""),)"),"私は新しい食べ物を食べました。")</f>
        <v>私は新しい食べ物を食べました。</v>
      </c>
    </row>
    <row r="160" spans="1:3" ht="18">
      <c r="A160" s="3" t="s">
        <v>384</v>
      </c>
      <c r="B160" s="4" t="str">
        <f ca="1">IFERROR(__xludf.DUMMYFUNCTION("IFERROR(GOOGLETRANSLATE(A160,""ko"",""en""),)"),"I went to the museum.")</f>
        <v>I went to the museum.</v>
      </c>
      <c r="C160" s="4" t="str">
        <f ca="1">IFERROR(__xludf.DUMMYFUNCTION("IFERROR(GOOGLETRANSLATE(B160,""en"",""ja""),)"),"私は博物館に行った。")</f>
        <v>私は博物館に行った。</v>
      </c>
    </row>
    <row r="161" spans="1:3" ht="18">
      <c r="A161" s="3" t="s">
        <v>388</v>
      </c>
      <c r="B161" s="4" t="str">
        <f ca="1">IFERROR(__xludf.DUMMYFUNCTION("IFERROR(GOOGLETRANSLATE(A161,""ko"",""en""),)"),"I bought a gift.")</f>
        <v>I bought a gift.</v>
      </c>
      <c r="C161" s="4" t="str">
        <f ca="1">IFERROR(__xludf.DUMMYFUNCTION("IFERROR(GOOGLETRANSLATE(B161,""en"",""ja""),)"),"私は贈り物を買いました。")</f>
        <v>私は贈り物を買いました。</v>
      </c>
    </row>
    <row r="162" spans="1:3" ht="18">
      <c r="A162" s="3" t="s">
        <v>389</v>
      </c>
      <c r="B162" s="4" t="str">
        <f ca="1">IFERROR(__xludf.DUMMYFUNCTION("IFERROR(GOOGLETRANSLATE(A162,""ko"",""en""),)"),"I bought a souvenir.")</f>
        <v>I bought a souvenir.</v>
      </c>
      <c r="C162" s="4" t="str">
        <f ca="1">IFERROR(__xludf.DUMMYFUNCTION("IFERROR(GOOGLETRANSLATE(B162,""en"",""ja""),)"),"お土産を買いました。")</f>
        <v>お土産を買いました。</v>
      </c>
    </row>
    <row r="163" spans="1:3" ht="18">
      <c r="A163" s="3" t="s">
        <v>393</v>
      </c>
      <c r="B163" s="4" t="str">
        <f ca="1">IFERROR(__xludf.DUMMYFUNCTION("IFERROR(GOOGLETRANSLATE(A163,""ko"",""en""),)"),"I looked around the streets.")</f>
        <v>I looked around the streets.</v>
      </c>
      <c r="C163" s="4" t="str">
        <f ca="1">IFERROR(__xludf.DUMMYFUNCTION("IFERROR(GOOGLETRANSLATE(B163,""en"",""ja""),)"),"私は街を見回した。")</f>
        <v>私は街を見回した。</v>
      </c>
    </row>
    <row r="164" spans="1:3" ht="18">
      <c r="A164" s="3" t="s">
        <v>395</v>
      </c>
      <c r="B164" s="4" t="str">
        <f ca="1">IFERROR(__xludf.DUMMYFUNCTION("IFERROR(GOOGLETRANSLATE(A164,""ko"",""en""),)"),"What did you do in Busan?")</f>
        <v>What did you do in Busan?</v>
      </c>
      <c r="C164" s="4" t="str">
        <f ca="1">IFERROR(__xludf.DUMMYFUNCTION("IFERROR(GOOGLETRANSLATE(B164,""en"",""ja""),)"),"釜山では何をしましたか？")</f>
        <v>釜山では何をしましたか？</v>
      </c>
    </row>
    <row r="165" spans="1:3" ht="18">
      <c r="A165" s="3" t="s">
        <v>398</v>
      </c>
      <c r="B165" s="4" t="str">
        <f ca="1">IFERROR(__xludf.DUMMYFUNCTION("IFERROR(GOOGLETRANSLATE(A165,""ko"",""en""),)"),"I watched a movie festival.")</f>
        <v>I watched a movie festival.</v>
      </c>
      <c r="C165" s="4" t="str">
        <f ca="1">IFERROR(__xludf.DUMMYFUNCTION("IFERROR(GOOGLETRANSLATE(B165,""en"",""ja""),)"),"私は映画祭を観ました。")</f>
        <v>私は映画祭を観ました。</v>
      </c>
    </row>
    <row r="166" spans="1:3" ht="18">
      <c r="A166" s="3" t="s">
        <v>400</v>
      </c>
      <c r="B166" s="4" t="str">
        <f ca="1">IFERROR(__xludf.DUMMYFUNCTION("IFERROR(GOOGLETRANSLATE(A166,""ko"",""en""),)"),"What did you do in Myeongdong?")</f>
        <v>What did you do in Myeongdong?</v>
      </c>
      <c r="C166" s="4" t="str">
        <f ca="1">IFERROR(__xludf.DUMMYFUNCTION("IFERROR(GOOGLETRANSLATE(B166,""en"",""ja""),)"),"明洞では何をしましたか？")</f>
        <v>明洞では何をしましたか？</v>
      </c>
    </row>
    <row r="167" spans="1:3" ht="18">
      <c r="A167" s="3" t="s">
        <v>403</v>
      </c>
      <c r="B167" s="4" t="str">
        <f ca="1">IFERROR(__xludf.DUMMYFUNCTION("IFERROR(GOOGLETRANSLATE(A167,""ko"",""en""),)"),"I ate Samgyetang.")</f>
        <v>I ate Samgyetang.</v>
      </c>
      <c r="C167" s="4" t="str">
        <f ca="1">IFERROR(__xludf.DUMMYFUNCTION("IFERROR(GOOGLETRANSLATE(B167,""en"",""ja""),)"),"私はサムゲタンを食べました。")</f>
        <v>私はサムゲタンを食べました。</v>
      </c>
    </row>
    <row r="168" spans="1:3" ht="18">
      <c r="A168" s="3" t="s">
        <v>406</v>
      </c>
      <c r="B168" s="4" t="str">
        <f ca="1">IFERROR(__xludf.DUMMYFUNCTION("IFERROR(GOOGLETRANSLATE(A168,""ko"",""en""),)"),"What did you do in Insadong?")</f>
        <v>What did you do in Insadong?</v>
      </c>
      <c r="C168" s="4" t="str">
        <f ca="1">IFERROR(__xludf.DUMMYFUNCTION("IFERROR(GOOGLETRANSLATE(B168,""en"",""ja""),)"),"仁寺洞では何をしましたか？")</f>
        <v>仁寺洞では何をしましたか？</v>
      </c>
    </row>
    <row r="169" spans="1:3" ht="18">
      <c r="A169" s="3" t="s">
        <v>393</v>
      </c>
      <c r="B169" s="4" t="str">
        <f ca="1">IFERROR(__xludf.DUMMYFUNCTION("IFERROR(GOOGLETRANSLATE(A169,""ko"",""en""),)"),"I looked around the streets.")</f>
        <v>I looked around the streets.</v>
      </c>
      <c r="C169" s="4" t="str">
        <f ca="1">IFERROR(__xludf.DUMMYFUNCTION("IFERROR(GOOGLETRANSLATE(B169,""en"",""ja""),)"),"私は街を見回した。")</f>
        <v>私は街を見回した。</v>
      </c>
    </row>
    <row r="170" spans="1:3" ht="18">
      <c r="A170" s="3" t="s">
        <v>408</v>
      </c>
      <c r="B170" s="4" t="str">
        <f ca="1">IFERROR(__xludf.DUMMYFUNCTION("IFERROR(GOOGLETRANSLATE(A170,""ko"",""en""),)"),"What did you do in Seoul?")</f>
        <v>What did you do in Seoul?</v>
      </c>
      <c r="C170" s="4" t="str">
        <f ca="1">IFERROR(__xludf.DUMMYFUNCTION("IFERROR(GOOGLETRANSLATE(B170,""en"",""ja""),)"),"ソウルでは何をしましたか？")</f>
        <v>ソウルでは何をしましたか？</v>
      </c>
    </row>
    <row r="171" spans="1:3" ht="18">
      <c r="A171" s="3" t="s">
        <v>412</v>
      </c>
      <c r="B171" s="4" t="str">
        <f ca="1">IFERROR(__xludf.DUMMYFUNCTION("IFERROR(GOOGLETRANSLATE(A171,""ko"",""en""),)"),"I went to a K-pop concert.")</f>
        <v>I went to a K-pop concert.</v>
      </c>
      <c r="C171" s="4" t="str">
        <f ca="1">IFERROR(__xludf.DUMMYFUNCTION("IFERROR(GOOGLETRANSLATE(B171,""en"",""ja""),)"),"K-POPのコンサートに行った。")</f>
        <v>K-POPのコンサートに行った。</v>
      </c>
    </row>
    <row r="172" spans="1:3" ht="18">
      <c r="A172" s="3" t="s">
        <v>414</v>
      </c>
      <c r="B172" s="4" t="str">
        <f ca="1">IFERROR(__xludf.DUMMYFUNCTION("IFERROR(GOOGLETRANSLATE(A172,""ko"",""en""),)"),"What did you do at Gyeongbokgung Palace?")</f>
        <v>What did you do at Gyeongbokgung Palace?</v>
      </c>
      <c r="C172" s="4" t="str">
        <f ca="1">IFERROR(__xludf.DUMMYFUNCTION("IFERROR(GOOGLETRANSLATE(B172,""en"",""ja""),)"),"景福宮では何をしましたか？")</f>
        <v>景福宮では何をしましたか？</v>
      </c>
    </row>
    <row r="173" spans="1:3" ht="18">
      <c r="A173" s="3" t="s">
        <v>416</v>
      </c>
      <c r="B173" s="4" t="str">
        <f ca="1">IFERROR(__xludf.DUMMYFUNCTION("IFERROR(GOOGLETRANSLATE(A173,""ko"",""en""),)"),"I took a picture wearing a Hanbok.")</f>
        <v>I took a picture wearing a Hanbok.</v>
      </c>
      <c r="C173" s="4" t="str">
        <f ca="1">IFERROR(__xludf.DUMMYFUNCTION("IFERROR(GOOGLETRANSLATE(B173,""en"",""ja""),)"),"韓服を着て写真を撮りました。")</f>
        <v>韓服を着て写真を撮りました。</v>
      </c>
    </row>
    <row r="174" spans="1:3" ht="18">
      <c r="A174" s="3" t="s">
        <v>418</v>
      </c>
      <c r="B174" s="4" t="str">
        <f ca="1">IFERROR(__xludf.DUMMYFUNCTION("IFERROR(GOOGLETRANSLATE(A174,""ko"",""en""),)"),"When do I take my medicine?")</f>
        <v>When do I take my medicine?</v>
      </c>
      <c r="C174" s="4" t="str">
        <f ca="1">IFERROR(__xludf.DUMMYFUNCTION("IFERROR(GOOGLETRANSLATE(B174,""en"",""ja""),)"),"薬はいつ服用すればいいですか？")</f>
        <v>薬はいつ服用すればいいですか？</v>
      </c>
    </row>
    <row r="175" spans="1:3" ht="18">
      <c r="A175" s="3" t="s">
        <v>421</v>
      </c>
      <c r="B175" s="4" t="str">
        <f ca="1">IFERROR(__xludf.DUMMYFUNCTION("IFERROR(GOOGLETRANSLATE(A175,""ko"",""en""),)"),"Eat it after you've eaten.")</f>
        <v>Eat it after you've eaten.</v>
      </c>
      <c r="C175" s="4" t="str">
        <f ca="1">IFERROR(__xludf.DUMMYFUNCTION("IFERROR(GOOGLETRANSLATE(B175,""en"",""ja""),)"),"食事を済ませてから食べてください。")</f>
        <v>食事を済ませてから食べてください。</v>
      </c>
    </row>
    <row r="176" spans="1:3" ht="18">
      <c r="A176" s="3" t="s">
        <v>423</v>
      </c>
      <c r="B176" s="4" t="str">
        <f ca="1">IFERROR(__xludf.DUMMYFUNCTION("IFERROR(GOOGLETRANSLATE(A176,""ko"",""en""),)"),"Did you take a picture with the singer?")</f>
        <v>Did you take a picture with the singer?</v>
      </c>
      <c r="C176" s="4" t="str">
        <f ca="1">IFERROR(__xludf.DUMMYFUNCTION("IFERROR(GOOGLETRANSLATE(B176,""en"",""ja""),)"),"その歌手と一緒に写真を撮りましたか？")</f>
        <v>その歌手と一緒に写真を撮りましたか？</v>
      </c>
    </row>
    <row r="177" spans="1:3" ht="18">
      <c r="A177" s="3" t="s">
        <v>425</v>
      </c>
      <c r="B177" s="4" t="str">
        <f ca="1">IFERROR(__xludf.DUMMYFUNCTION("IFERROR(GOOGLETRANSLATE(A177,""ko"",""en""),)"),"Yes, we took a picture together after the concert.")</f>
        <v>Yes, we took a picture together after the concert.</v>
      </c>
      <c r="C177" s="4" t="str">
        <f ca="1">IFERROR(__xludf.DUMMYFUNCTION("IFERROR(GOOGLETRANSLATE(B177,""en"",""ja""),)"),"はい、コンサートの後に一緒に写真を撮りました。")</f>
        <v>はい、コンサートの後に一緒に写真を撮りました。</v>
      </c>
    </row>
    <row r="178" spans="1:3" ht="18">
      <c r="A178" s="3" t="s">
        <v>428</v>
      </c>
      <c r="B178" s="4" t="str">
        <f ca="1">IFERROR(__xludf.DUMMYFUNCTION("IFERROR(GOOGLETRANSLATE(A178,""ko"",""en""),)"),"After eating")</f>
        <v>After eating</v>
      </c>
      <c r="C178" s="4" t="str">
        <f ca="1">IFERROR(__xludf.DUMMYFUNCTION("IFERROR(GOOGLETRANSLATE(B178,""en"",""ja""),)"),"食後")</f>
        <v>食後</v>
      </c>
    </row>
    <row r="179" spans="1:3" ht="18">
      <c r="A179" s="3" t="s">
        <v>431</v>
      </c>
      <c r="B179" s="4" t="str">
        <f ca="1">IFERROR(__xludf.DUMMYFUNCTION("IFERROR(GOOGLETRANSLATE(A179,""ko"",""en""),)"),"After washing")</f>
        <v>After washing</v>
      </c>
      <c r="C179" s="4" t="str">
        <f ca="1">IFERROR(__xludf.DUMMYFUNCTION("IFERROR(GOOGLETRANSLATE(B179,""en"",""ja""),)"),"洗濯後")</f>
        <v>洗濯後</v>
      </c>
    </row>
    <row r="180" spans="1:3" ht="18">
      <c r="A180" s="3" t="s">
        <v>434</v>
      </c>
      <c r="B180" s="4" t="str">
        <f ca="1">IFERROR(__xludf.DUMMYFUNCTION("IFERROR(GOOGLETRANSLATE(A180,""ko"",""en""),)"),"After reading")</f>
        <v>After reading</v>
      </c>
      <c r="C180" s="4" t="str">
        <f ca="1">IFERROR(__xludf.DUMMYFUNCTION("IFERROR(GOOGLETRANSLATE(B180,""en"",""ja""),)"),"読んだ後")</f>
        <v>読んだ後</v>
      </c>
    </row>
    <row r="181" spans="1:3" ht="18">
      <c r="A181" s="3" t="s">
        <v>436</v>
      </c>
      <c r="B181" s="4" t="str">
        <f ca="1">IFERROR(__xludf.DUMMYFUNCTION("IFERROR(GOOGLETRANSLATE(A181,""ko"",""en""),)"),"After hearing")</f>
        <v>After hearing</v>
      </c>
      <c r="C181" s="4" t="str">
        <f ca="1">IFERROR(__xludf.DUMMYFUNCTION("IFERROR(GOOGLETRANSLATE(B181,""en"",""ja""),)"),"聞いた後")</f>
        <v>聞いた後</v>
      </c>
    </row>
    <row r="182" spans="1:3" ht="18">
      <c r="A182" s="3" t="s">
        <v>439</v>
      </c>
      <c r="B182" s="4" t="str">
        <f ca="1">IFERROR(__xludf.DUMMYFUNCTION("IFERROR(GOOGLETRANSLATE(A182,""ko"",""en""),)"),"After watching")</f>
        <v>After watching</v>
      </c>
      <c r="C182" s="4" t="str">
        <f ca="1">IFERROR(__xludf.DUMMYFUNCTION("IFERROR(GOOGLETRANSLATE(B182,""en"",""ja""),)"),"視聴後")</f>
        <v>視聴後</v>
      </c>
    </row>
    <row r="183" spans="1:3" ht="18">
      <c r="A183" s="3" t="s">
        <v>440</v>
      </c>
      <c r="B183" s="4" t="str">
        <f ca="1">IFERROR(__xludf.DUMMYFUNCTION("IFERROR(GOOGLETRANSLATE(A183,""ko"",""en""),)"),"After childbirth")</f>
        <v>After childbirth</v>
      </c>
      <c r="C183" s="4" t="str">
        <f ca="1">IFERROR(__xludf.DUMMYFUNCTION("IFERROR(GOOGLETRANSLATE(B183,""en"",""ja""),)"),"出産後")</f>
        <v>出産後</v>
      </c>
    </row>
    <row r="184" spans="1:3" ht="18">
      <c r="A184" s="3" t="s">
        <v>443</v>
      </c>
      <c r="B184" s="4" t="str">
        <f ca="1">IFERROR(__xludf.DUMMYFUNCTION("IFERROR(GOOGLETRANSLATE(A184,""ko"",""en""),)"),"After drinking")</f>
        <v>After drinking</v>
      </c>
      <c r="C184" s="4" t="str">
        <f ca="1">IFERROR(__xludf.DUMMYFUNCTION("IFERROR(GOOGLETRANSLATE(B184,""en"",""ja""),)"),"飲んだ後")</f>
        <v>飲んだ後</v>
      </c>
    </row>
    <row r="185" spans="1:3" ht="18">
      <c r="A185" s="3" t="s">
        <v>444</v>
      </c>
      <c r="B185" s="4" t="str">
        <f ca="1">IFERROR(__xludf.DUMMYFUNCTION("IFERROR(GOOGLETRANSLATE(A185,""ko"",""en""),)"),"After making it")</f>
        <v>After making it</v>
      </c>
      <c r="C185" s="4" t="str">
        <f ca="1">IFERROR(__xludf.DUMMYFUNCTION("IFERROR(GOOGLETRANSLATE(B185,""en"",""ja""),)"),"作った後")</f>
        <v>作った後</v>
      </c>
    </row>
    <row r="186" spans="1:3" ht="18">
      <c r="A186" s="3" t="s">
        <v>447</v>
      </c>
      <c r="B186" s="4" t="str">
        <f ca="1">IFERROR(__xludf.DUMMYFUNCTION("IFERROR(GOOGLETRANSLATE(A186,""ko"",""en""),)"),"After the rice field")</f>
        <v>After the rice field</v>
      </c>
      <c r="C186" s="4" t="str">
        <f ca="1">IFERROR(__xludf.DUMMYFUNCTION("IFERROR(GOOGLETRANSLATE(B186,""en"",""ja""),)"),"田んぼの後")</f>
        <v>田んぼの後</v>
      </c>
    </row>
    <row r="187" spans="1:3" ht="18">
      <c r="A187" s="3" t="s">
        <v>448</v>
      </c>
      <c r="B187" s="4" t="str">
        <f ca="1">IFERROR(__xludf.DUMMYFUNCTION("IFERROR(GOOGLETRANSLATE(A187,""ko"",""en""),)"),"After walking")</f>
        <v>After walking</v>
      </c>
      <c r="C187" s="4" t="str">
        <f ca="1">IFERROR(__xludf.DUMMYFUNCTION("IFERROR(GOOGLETRANSLATE(B187,""en"",""ja""),)"),"歩いた後")</f>
        <v>歩いた後</v>
      </c>
    </row>
    <row r="188" spans="1:3" ht="18">
      <c r="A188" s="8" t="s">
        <v>451</v>
      </c>
      <c r="B188" s="4" t="str">
        <f ca="1">IFERROR(__xludf.DUMMYFUNCTION("IFERROR(GOOGLETRANSLATE(A188,""ko"",""en""),)"),"I eat after washing my hands.")</f>
        <v>I eat after washing my hands.</v>
      </c>
      <c r="C188" s="4" t="str">
        <f ca="1">IFERROR(__xludf.DUMMYFUNCTION("IFERROR(GOOGLETRANSLATE(B188,""en"",""ja""),)"),"私は手を洗ってから食事をします。")</f>
        <v>私は手を洗ってから食事をします。</v>
      </c>
    </row>
    <row r="189" spans="1:3" ht="18">
      <c r="A189" s="5" t="s">
        <v>453</v>
      </c>
      <c r="B189" s="4" t="str">
        <f ca="1">IFERROR(__xludf.DUMMYFUNCTION("IFERROR(GOOGLETRANSLATE(A189,""ko"",""en""),)"),"I put on my socks after putting on my pants.")</f>
        <v>I put on my socks after putting on my pants.</v>
      </c>
      <c r="C189" s="4" t="str">
        <f ca="1">IFERROR(__xludf.DUMMYFUNCTION("IFERROR(GOOGLETRANSLATE(B189,""en"",""ja""),)"),"私はズボンを履いた後に靴下を履いた。")</f>
        <v>私はズボンを履いた後に靴下を履いた。</v>
      </c>
    </row>
    <row r="190" spans="1:3" ht="18">
      <c r="A190" s="3" t="s">
        <v>455</v>
      </c>
      <c r="B190" s="4" t="str">
        <f ca="1">IFERROR(__xludf.DUMMYFUNCTION("IFERROR(GOOGLETRANSLATE(A190,""ko"",""en""),)"),"Put on your socks first, then put on your pants.")</f>
        <v>Put on your socks first, then put on your pants.</v>
      </c>
      <c r="C190" s="4" t="str">
        <f ca="1">IFERROR(__xludf.DUMMYFUNCTION("IFERROR(GOOGLETRANSLATE(B190,""en"",""ja""),)"),"まず靴下を履いてから、ズボンを履いてください。")</f>
        <v>まず靴下を履いてから、ズボンを履いてください。</v>
      </c>
    </row>
    <row r="191" spans="1:3" ht="18">
      <c r="A191" s="3" t="s">
        <v>456</v>
      </c>
      <c r="B191" s="4" t="str">
        <f ca="1">IFERROR(__xludf.DUMMYFUNCTION("IFERROR(GOOGLETRANSLATE(A191,""ko"",""en""),)"),"I go home after meeting a friend at the cafe.")</f>
        <v>I go home after meeting a friend at the cafe.</v>
      </c>
      <c r="C191" s="4" t="str">
        <f ca="1">IFERROR(__xludf.DUMMYFUNCTION("IFERROR(GOOGLETRANSLATE(B191,""en"",""ja""),)"),"カフェで友達と会った後、家に帰ります。")</f>
        <v>カフェで友達と会った後、家に帰ります。</v>
      </c>
    </row>
    <row r="192" spans="1:3" ht="18">
      <c r="A192" s="5" t="s">
        <v>459</v>
      </c>
      <c r="B192" s="4" t="str">
        <f ca="1">IFERROR(__xludf.DUMMYFUNCTION("IFERROR(GOOGLETRANSLATE(A192,""ko"",""en""),)"),"I do the dishes after making the rice.")</f>
        <v>I do the dishes after making the rice.</v>
      </c>
      <c r="C192" s="4" t="str">
        <f ca="1">IFERROR(__xludf.DUMMYFUNCTION("IFERROR(GOOGLETRANSLATE(B192,""en"",""ja""),)"),"私はご飯を炊いた後に食器を洗います。")</f>
        <v>私はご飯を炊いた後に食器を洗います。</v>
      </c>
    </row>
    <row r="193" spans="1:26" ht="18">
      <c r="A193" s="3" t="s">
        <v>461</v>
      </c>
      <c r="B193" s="4" t="str">
        <f ca="1">IFERROR(__xludf.DUMMYFUNCTION("IFERROR(GOOGLETRANSLATE(A193,""ko"",""en""),)"),"I do the dishes after cooking.")</f>
        <v>I do the dishes after cooking.</v>
      </c>
      <c r="C193" s="4" t="str">
        <f ca="1">IFERROR(__xludf.DUMMYFUNCTION("IFERROR(GOOGLETRANSLATE(B193,""en"",""ja""),)"),"私は料理の後に食器を洗います。")</f>
        <v>私は料理の後に食器を洗います。</v>
      </c>
    </row>
    <row r="194" spans="1:26" ht="18">
      <c r="A194" s="5" t="s">
        <v>462</v>
      </c>
      <c r="B194" s="4" t="str">
        <f ca="1">IFERROR(__xludf.DUMMYFUNCTION("IFERROR(GOOGLETRANSLATE(A194,""ko"",""en""),)"),"Let's clean up.")</f>
        <v>Let's clean up.</v>
      </c>
      <c r="C194" s="4" t="str">
        <f ca="1">IFERROR(__xludf.DUMMYFUNCTION("IFERROR(GOOGLETRANSLATE(B194,""en"",""ja""),)"),"片付けましょう。")</f>
        <v>片付けましょう。</v>
      </c>
    </row>
    <row r="195" spans="1:26" ht="18">
      <c r="A195" s="5" t="s">
        <v>465</v>
      </c>
      <c r="B195" s="4" t="str">
        <f ca="1">IFERROR(__xludf.DUMMYFUNCTION("IFERROR(GOOGLETRANSLATE(A195,""ko"",""en""),)"),"Let's wrap it up.")</f>
        <v>Let's wrap it up.</v>
      </c>
      <c r="C195" s="4" t="str">
        <f ca="1">IFERROR(__xludf.DUMMYFUNCTION("IFERROR(GOOGLETRANSLATE(B195,""en"",""ja""),)"),"そろそろ締めくくりましょう。")</f>
        <v>そろそろ締めくくりましょう。</v>
      </c>
    </row>
    <row r="196" spans="1:26" ht="18">
      <c r="A196" s="3" t="s">
        <v>467</v>
      </c>
      <c r="B196" s="4" t="str">
        <f ca="1">IFERROR(__xludf.DUMMYFUNCTION("IFERROR(GOOGLETRANSLATE(A196,""ko"",""en""),)"),"I'll wrap things up.")</f>
        <v>I'll wrap things up.</v>
      </c>
      <c r="C196" s="4" t="str">
        <f ca="1">IFERROR(__xludf.DUMMYFUNCTION("IFERROR(GOOGLETRANSLATE(B196,""en"",""ja""),)"),"これで締めくくりたいと思います。")</f>
        <v>これで締めくくりたいと思います。</v>
      </c>
    </row>
    <row r="197" spans="1:26" ht="18">
      <c r="A197" s="3" t="s">
        <v>468</v>
      </c>
      <c r="B197" s="4" t="str">
        <f ca="1">IFERROR(__xludf.DUMMYFUNCTION("IFERROR(GOOGLETRANSLATE(A197,""ko"",""en""),)"),"I have a meal. And I drink tea.")</f>
        <v>I have a meal. And I drink tea.</v>
      </c>
      <c r="C197" s="4" t="str">
        <f ca="1">IFERROR(__xludf.DUMMYFUNCTION("IFERROR(GOOGLETRANSLATE(B197,""en"",""ja""),)"),"私は食事をし、お茶を飲みます。")</f>
        <v>私は食事をし、お茶を飲みます。</v>
      </c>
    </row>
    <row r="198" spans="1:26" ht="18">
      <c r="A198" s="3" t="s">
        <v>471</v>
      </c>
      <c r="B198" s="4" t="str">
        <f ca="1">IFERROR(__xludf.DUMMYFUNCTION("IFERROR(GOOGLETRANSLATE(A198,""ko"",""en""),)"),"I drink tea after the meal.")</f>
        <v>I drink tea after the meal.</v>
      </c>
      <c r="C198" s="4" t="str">
        <f ca="1">IFERROR(__xludf.DUMMYFUNCTION("IFERROR(GOOGLETRANSLATE(B198,""en"",""ja""),)"),"私は食後に紅茶を飲みます。")</f>
        <v>私は食後に紅茶を飲みます。</v>
      </c>
    </row>
    <row r="199" spans="1:26" ht="18">
      <c r="A199" s="8" t="s">
        <v>473</v>
      </c>
      <c r="B199" s="4" t="str">
        <f ca="1">IFERROR(__xludf.DUMMYFUNCTION("IFERROR(GOOGLETRANSLATE(A199,""ko"",""en""),)"),"I exercise. And I take a shower.")</f>
        <v>I exercise. And I take a shower.</v>
      </c>
      <c r="C199" s="4" t="str">
        <f ca="1">IFERROR(__xludf.DUMMYFUNCTION("IFERROR(GOOGLETRANSLATE(B199,""en"",""ja""),)"),"私は運動をする。そしてシャワーを浴びる。")</f>
        <v>私は運動をする。そしてシャワーを浴びる。</v>
      </c>
    </row>
    <row r="200" spans="1:26" ht="18">
      <c r="A200" s="3" t="s">
        <v>474</v>
      </c>
      <c r="B200" s="4" t="str">
        <f ca="1">IFERROR(__xludf.DUMMYFUNCTION("IFERROR(GOOGLETRANSLATE(A200,""ko"",""en""),)"),"I take a shower after exercising.")</f>
        <v>I take a shower after exercising.</v>
      </c>
      <c r="C200" s="4" t="str">
        <f ca="1">IFERROR(__xludf.DUMMYFUNCTION("IFERROR(GOOGLETRANSLATE(B200,""en"",""ja""),)"),"私は運動後にシャワーを浴びます。")</f>
        <v>私は運動後にシャワーを浴びます。</v>
      </c>
    </row>
    <row r="201" spans="1:26" ht="18">
      <c r="A201" s="2" t="s">
        <v>477</v>
      </c>
      <c r="B201" s="11" t="str">
        <f ca="1">IFERROR(__xludf.DUMMYFUNCTION("IFERROR(GOOGLETRANSLATE(A201,""ko"",""en""),)"),"I read books. And I listen to music.")</f>
        <v>I read books. And I listen to music.</v>
      </c>
      <c r="C201" s="11" t="str">
        <f ca="1">IFERROR(__xludf.DUMMYFUNCTION("IFERROR(GOOGLETRANSLATE(B201,""en"",""ja""),)"),"私は本を​​読みます。そして音楽を聴きます。")</f>
        <v>私は本を​​読みます。そして音楽を聴きます。</v>
      </c>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8">
      <c r="A202" s="3" t="s">
        <v>483</v>
      </c>
      <c r="B202" s="4" t="str">
        <f ca="1">IFERROR(__xludf.DUMMYFUNCTION("IFERROR(GOOGLETRANSLATE(A202,""ko"",""en""),)"),"I listen to music after reading a book.")</f>
        <v>I listen to music after reading a book.</v>
      </c>
      <c r="C202" s="4" t="str">
        <f ca="1">IFERROR(__xludf.DUMMYFUNCTION("IFERROR(GOOGLETRANSLATE(B202,""en"",""ja""),)"),"私は本を​​読んだ後に音楽を聴きます。")</f>
        <v>私は本を​​読んだ後に音楽を聴きます。</v>
      </c>
    </row>
    <row r="203" spans="1:26" ht="18">
      <c r="A203" s="3" t="s">
        <v>487</v>
      </c>
      <c r="B203" s="4" t="str">
        <f ca="1">IFERROR(__xludf.DUMMYFUNCTION("IFERROR(GOOGLETRANSLATE(A203,""ko"",""en""),)"),"I watch the performance. And I take pictures.")</f>
        <v>I watch the performance. And I take pictures.</v>
      </c>
      <c r="C203" s="4" t="str">
        <f ca="1">IFERROR(__xludf.DUMMYFUNCTION("IFERROR(GOOGLETRANSLATE(B203,""en"",""ja""),)"),"私は公演を観て、写真を撮る。")</f>
        <v>私は公演を観て、写真を撮る。</v>
      </c>
    </row>
    <row r="204" spans="1:26" ht="18">
      <c r="A204" s="3" t="s">
        <v>490</v>
      </c>
      <c r="B204" s="4" t="str">
        <f ca="1">IFERROR(__xludf.DUMMYFUNCTION("IFERROR(GOOGLETRANSLATE(A204,""ko"",""en""),)"),"I take a picture after watching the performance.")</f>
        <v>I take a picture after watching the performance.</v>
      </c>
      <c r="C204" s="4" t="str">
        <f ca="1">IFERROR(__xludf.DUMMYFUNCTION("IFERROR(GOOGLETRANSLATE(B204,""en"",""ja""),)"),"公演を観終わった後、写真を撮りました。")</f>
        <v>公演を観終わった後、写真を撮りました。</v>
      </c>
    </row>
    <row r="205" spans="1:26" ht="18">
      <c r="A205" s="3" t="s">
        <v>494</v>
      </c>
      <c r="B205" s="4" t="str">
        <f ca="1">IFERROR(__xludf.DUMMYFUNCTION("IFERROR(GOOGLETRANSLATE(A205,""ko"",""en""),)"),"I look around the streets. And I go to a famous restaurant.")</f>
        <v>I look around the streets. And I go to a famous restaurant.</v>
      </c>
      <c r="C205" s="4" t="str">
        <f ca="1">IFERROR(__xludf.DUMMYFUNCTION("IFERROR(GOOGLETRANSLATE(B205,""en"",""ja""),)"),"私は街を見回し、そして有名なレストランへ向かった。")</f>
        <v>私は街を見回し、そして有名なレストランへ向かった。</v>
      </c>
    </row>
    <row r="206" spans="1:26" ht="18">
      <c r="A206" s="5" t="s">
        <v>497</v>
      </c>
      <c r="B206" s="4" t="str">
        <f ca="1">IFERROR(__xludf.DUMMYFUNCTION("IFERROR(GOOGLETRANSLATE(A206,""ko"",""en""),)"),"After looking around the streets, I go to a famous restaurant.")</f>
        <v>After looking around the streets, I go to a famous restaurant.</v>
      </c>
      <c r="C206" s="4" t="str">
        <f ca="1">IFERROR(__xludf.DUMMYFUNCTION("IFERROR(GOOGLETRANSLATE(B206,""en"",""ja""),)"),"街を散策した後、有名なレストランへ行った。")</f>
        <v>街を散策した後、有名なレストランへ行った。</v>
      </c>
    </row>
    <row r="207" spans="1:26" ht="18">
      <c r="A207" s="3" t="s">
        <v>499</v>
      </c>
      <c r="B207" s="4" t="str">
        <f ca="1">IFERROR(__xludf.DUMMYFUNCTION("IFERROR(GOOGLETRANSLATE(A207,""ko"",""en""),)"),"Brush your teeth after eating.")</f>
        <v>Brush your teeth after eating.</v>
      </c>
      <c r="C207" s="4" t="str">
        <f ca="1">IFERROR(__xludf.DUMMYFUNCTION("IFERROR(GOOGLETRANSLATE(B207,""en"",""ja""),)"),"食後は歯を磨きましょう。")</f>
        <v>食後は歯を磨きましょう。</v>
      </c>
    </row>
    <row r="208" spans="1:26" ht="18">
      <c r="A208" s="3" t="s">
        <v>501</v>
      </c>
      <c r="B208" s="4" t="str">
        <f ca="1">IFERROR(__xludf.DUMMYFUNCTION("IFERROR(GOOGLETRANSLATE(A208,""ko"",""en""),)"),"Drink water after exercising.")</f>
        <v>Drink water after exercising.</v>
      </c>
      <c r="C208" s="4" t="str">
        <f ca="1">IFERROR(__xludf.DUMMYFUNCTION("IFERROR(GOOGLETRANSLATE(B208,""en"",""ja""),)"),"運動後は水を飲みましょう。")</f>
        <v>運動後は水を飲みましょう。</v>
      </c>
    </row>
    <row r="209" spans="1:3" ht="18">
      <c r="A209" s="3" t="s">
        <v>504</v>
      </c>
      <c r="B209" s="4" t="str">
        <f ca="1">IFERROR(__xludf.DUMMYFUNCTION("IFERROR(GOOGLETRANSLATE(A209,""ko"",""en""),)"),"Drink water after eating.")</f>
        <v>Drink water after eating.</v>
      </c>
      <c r="C209" s="4" t="str">
        <f ca="1">IFERROR(__xludf.DUMMYFUNCTION("IFERROR(GOOGLETRANSLATE(B209,""en"",""ja""),)"),"食後は水を飲んでください。")</f>
        <v>食後は水を飲んでください。</v>
      </c>
    </row>
    <row r="210" spans="1:3" ht="18">
      <c r="A210" s="3" t="s">
        <v>506</v>
      </c>
      <c r="B210" s="4" t="str">
        <f ca="1">IFERROR(__xludf.DUMMYFUNCTION("IFERROR(GOOGLETRANSLATE(A210,""ko"",""en""),)"),"I watch TV after doing my homework.")</f>
        <v>I watch TV after doing my homework.</v>
      </c>
      <c r="C210" s="4" t="str">
        <f ca="1">IFERROR(__xludf.DUMMYFUNCTION("IFERROR(GOOGLETRANSLATE(B210,""en"",""ja""),)"),"私は宿題を終えた後にテレビを見ます。")</f>
        <v>私は宿題を終えた後にテレビを見ます。</v>
      </c>
    </row>
    <row r="211" spans="1:3" ht="18">
      <c r="A211" s="3" t="s">
        <v>509</v>
      </c>
      <c r="B211" s="4" t="str">
        <f ca="1">IFERROR(__xludf.DUMMYFUNCTION("IFERROR(GOOGLETRANSLATE(A211,""ko"",""en""),)"),"I call my friend after I make rice.")</f>
        <v>I call my friend after I make rice.</v>
      </c>
      <c r="C211" s="4" t="str">
        <f ca="1">IFERROR(__xludf.DUMMYFUNCTION("IFERROR(GOOGLETRANSLATE(B211,""en"",""ja""),)"),"ご飯を炊いた後、友達に電話する。")</f>
        <v>ご飯を炊いた後、友達に電話する。</v>
      </c>
    </row>
    <row r="212" spans="1:3" ht="18">
      <c r="A212" s="3" t="s">
        <v>511</v>
      </c>
      <c r="B212" s="4" t="str">
        <f ca="1">IFERROR(__xludf.DUMMYFUNCTION("IFERROR(GOOGLETRANSLATE(A212,""ko"",""en""),)"),"Do you prefer summer travel or winter travel?")</f>
        <v>Do you prefer summer travel or winter travel?</v>
      </c>
      <c r="C212" s="4" t="str">
        <f ca="1">IFERROR(__xludf.DUMMYFUNCTION("IFERROR(GOOGLETRANSLATE(B212,""en"",""ja""),)"),"夏の旅行と冬の旅行、どちらがお好みですか？")</f>
        <v>夏の旅行と冬の旅行、どちらがお好みですか？</v>
      </c>
    </row>
    <row r="213" spans="1:3" ht="18">
      <c r="A213" s="3" t="s">
        <v>513</v>
      </c>
      <c r="B213" s="4" t="str">
        <f ca="1">IFERROR(__xludf.DUMMYFUNCTION("IFERROR(GOOGLETRANSLATE(A213,""ko"",""en""),)"),"I prefer summer travel to winter travel.")</f>
        <v>I prefer summer travel to winter travel.</v>
      </c>
      <c r="C213" s="4" t="str">
        <f ca="1">IFERROR(__xludf.DUMMYFUNCTION("IFERROR(GOOGLETRANSLATE(B213,""en"",""ja""),)"),"私は冬の旅行よりも夏の旅行の方が好きです。")</f>
        <v>私は冬の旅行よりも夏の旅行の方が好きです。</v>
      </c>
    </row>
    <row r="214" spans="1:3" ht="18">
      <c r="A214" s="3" t="s">
        <v>515</v>
      </c>
      <c r="B214" s="4" t="str">
        <f ca="1">IFERROR(__xludf.DUMMYFUNCTION("IFERROR(GOOGLETRANSLATE(A214,""ko"",""en""),)"),"Which one is more expensive?")</f>
        <v>Which one is more expensive?</v>
      </c>
      <c r="C214" s="4" t="str">
        <f ca="1">IFERROR(__xludf.DUMMYFUNCTION("IFERROR(GOOGLETRANSLATE(B214,""en"",""ja""),)"),"どちらの方が高価ですか？")</f>
        <v>どちらの方が高価ですか？</v>
      </c>
    </row>
    <row r="215" spans="1:3" ht="18">
      <c r="A215" s="5" t="s">
        <v>518</v>
      </c>
      <c r="B215" s="4" t="str">
        <f ca="1">IFERROR(__xludf.DUMMYFUNCTION("IFERROR(GOOGLETRANSLATE(A215,""ko"",""en""),)"),"Watermelon is more expensive than strawberries.")</f>
        <v>Watermelon is more expensive than strawberries.</v>
      </c>
      <c r="C215" s="4" t="str">
        <f ca="1">IFERROR(__xludf.DUMMYFUNCTION("IFERROR(GOOGLETRANSLATE(B215,""en"",""ja""),)"),"スイカはイチゴよりも値段が高い。")</f>
        <v>スイカはイチゴよりも値段が高い。</v>
      </c>
    </row>
    <row r="216" spans="1:3" ht="18">
      <c r="A216" s="3" t="s">
        <v>521</v>
      </c>
      <c r="B216" s="4" t="str">
        <f ca="1">IFERROR(__xludf.DUMMYFUNCTION("IFERROR(GOOGLETRANSLATE(A216,""ko"",""en""),)"),"Is Australia big? Is Korea big?")</f>
        <v>Is Australia big? Is Korea big?</v>
      </c>
      <c r="C216" s="4" t="str">
        <f ca="1">IFERROR(__xludf.DUMMYFUNCTION("IFERROR(GOOGLETRANSLATE(B216,""en"",""ja""),)"),"オーストラリアは大きいですか？韓国は大きいですか？")</f>
        <v>オーストラリアは大きいですか？韓国は大きいですか？</v>
      </c>
    </row>
    <row r="217" spans="1:3" ht="18">
      <c r="A217" s="3" t="s">
        <v>523</v>
      </c>
      <c r="B217" s="4" t="str">
        <f ca="1">IFERROR(__xludf.DUMMYFUNCTION("IFERROR(GOOGLETRANSLATE(A217,""ko"",""en""),)"),"Australia is bigger than Korea.")</f>
        <v>Australia is bigger than Korea.</v>
      </c>
      <c r="C217" s="4" t="str">
        <f ca="1">IFERROR(__xludf.DUMMYFUNCTION("IFERROR(GOOGLETRANSLATE(B217,""en"",""ja""),)"),"オーストラリアは韓国より大きい。")</f>
        <v>オーストラリアは韓国より大きい。</v>
      </c>
    </row>
    <row r="218" spans="1:3" ht="18">
      <c r="A218" s="3" t="s">
        <v>526</v>
      </c>
      <c r="B218" s="4" t="str">
        <f ca="1">IFERROR(__xludf.DUMMYFUNCTION("IFERROR(GOOGLETRANSLATE(A218,""ko"",""en""),)"),"Do you like summer or winter?")</f>
        <v>Do you like summer or winter?</v>
      </c>
      <c r="C218" s="4" t="str">
        <f ca="1">IFERROR(__xludf.DUMMYFUNCTION("IFERROR(GOOGLETRANSLATE(B218,""en"",""ja""),)"),"あなたは夏と冬、どちらが好きですか？")</f>
        <v>あなたは夏と冬、どちらが好きですか？</v>
      </c>
    </row>
    <row r="219" spans="1:3" ht="18">
      <c r="A219" s="3" t="s">
        <v>527</v>
      </c>
      <c r="B219" s="4" t="str">
        <f ca="1">IFERROR(__xludf.DUMMYFUNCTION("IFERROR(GOOGLETRANSLATE(A219,""ko"",""en""),)"),"I like summer better than winter.")</f>
        <v>I like summer better than winter.</v>
      </c>
      <c r="C219" s="4" t="str">
        <f ca="1">IFERROR(__xludf.DUMMYFUNCTION("IFERROR(GOOGLETRANSLATE(B219,""en"",""ja""),)"),"私は冬より夏の方が好きだ。")</f>
        <v>私は冬より夏の方が好きだ。</v>
      </c>
    </row>
    <row r="220" spans="1:3" ht="18">
      <c r="A220" s="3" t="s">
        <v>530</v>
      </c>
      <c r="B220" s="4" t="str">
        <f ca="1">IFERROR(__xludf.DUMMYFUNCTION("IFERROR(GOOGLETRANSLATE(A220,""ko"",""en""),)"),"Who sings better?")</f>
        <v>Who sings better?</v>
      </c>
      <c r="C220" s="4" t="str">
        <f ca="1">IFERROR(__xludf.DUMMYFUNCTION("IFERROR(GOOGLETRANSLATE(B220,""en"",""ja""),)"),"どちらの方が歌が上手いですか？")</f>
        <v>どちらの方が歌が上手いですか？</v>
      </c>
    </row>
    <row r="221" spans="1:3" ht="18">
      <c r="A221" s="5" t="s">
        <v>533</v>
      </c>
      <c r="B221" s="4" t="str">
        <f ca="1">IFERROR(__xludf.DUMMYFUNCTION("IFERROR(GOOGLETRANSLATE(A221,""ko"",""en""),)"),"Who is more handsome?")</f>
        <v>Who is more handsome?</v>
      </c>
      <c r="C221" s="4" t="str">
        <f ca="1">IFERROR(__xludf.DUMMYFUNCTION("IFERROR(GOOGLETRANSLATE(B221,""en"",""ja""),)"),"どちらの方がハンサムですか？")</f>
        <v>どちらの方がハンサムですか？</v>
      </c>
    </row>
    <row r="222" spans="1:3" ht="18">
      <c r="A222" s="3" t="s">
        <v>535</v>
      </c>
      <c r="B222" s="4" t="str">
        <f ca="1">IFERROR(__xludf.DUMMYFUNCTION("IFERROR(GOOGLETRANSLATE(A222,""ko"",""en""),)"),"Who is taller?")</f>
        <v>Who is taller?</v>
      </c>
      <c r="C222" s="4" t="str">
        <f ca="1">IFERROR(__xludf.DUMMYFUNCTION("IFERROR(GOOGLETRANSLATE(B222,""en"",""ja""),)"),"どちらの方が背が高いですか？")</f>
        <v>どちらの方が背が高いですか？</v>
      </c>
    </row>
    <row r="223" spans="1:3" ht="18">
      <c r="A223" s="3" t="s">
        <v>538</v>
      </c>
      <c r="B223" s="4" t="str">
        <f ca="1">IFERROR(__xludf.DUMMYFUNCTION("IFERROR(GOOGLETRANSLATE(A223,""ko"",""en""),)"),"Which exercise do you prefer?")</f>
        <v>Which exercise do you prefer?</v>
      </c>
      <c r="C223" s="4" t="str">
        <f ca="1">IFERROR(__xludf.DUMMYFUNCTION("IFERROR(GOOGLETRANSLATE(B223,""en"",""ja""),)"),"どちらの運動がお好みですか？")</f>
        <v>どちらの運動がお好みですか？</v>
      </c>
    </row>
    <row r="224" spans="1:3" ht="18">
      <c r="A224" s="3" t="s">
        <v>540</v>
      </c>
      <c r="B224" s="4" t="str">
        <f ca="1">IFERROR(__xludf.DUMMYFUNCTION("IFERROR(GOOGLETRANSLATE(A224,""ko"",""en""),)"),"I like soccer more than swimming.")</f>
        <v>I like soccer more than swimming.</v>
      </c>
      <c r="C224" s="4" t="str">
        <f ca="1">IFERROR(__xludf.DUMMYFUNCTION("IFERROR(GOOGLETRANSLATE(B224,""en"",""ja""),)"),"私は水泳よりもサッカーが好きです。")</f>
        <v>私は水泳よりもサッカーが好きです。</v>
      </c>
    </row>
    <row r="225" spans="1:3" ht="18">
      <c r="A225" s="3" t="s">
        <v>543</v>
      </c>
      <c r="B225" s="4" t="str">
        <f ca="1">IFERROR(__xludf.DUMMYFUNCTION("IFERROR(GOOGLETRANSLATE(A225,""ko"",""en""),)"),"Is Hallasan high? Is Seoraksan high?")</f>
        <v>Is Hallasan high? Is Seoraksan high?</v>
      </c>
      <c r="C225" s="4" t="str">
        <f ca="1">IFERROR(__xludf.DUMMYFUNCTION("IFERROR(GOOGLETRANSLATE(B225,""en"",""ja""),)"),"漢拏山は高いですか？雪岳山は高いですか？")</f>
        <v>漢拏山は高いですか？雪岳山は高いですか？</v>
      </c>
    </row>
    <row r="226" spans="1:3" ht="18">
      <c r="A226" s="3" t="s">
        <v>546</v>
      </c>
      <c r="B226" s="4" t="str">
        <f ca="1">IFERROR(__xludf.DUMMYFUNCTION("IFERROR(GOOGLETRANSLATE(A226,""ko"",""en""),)"),"Halla Mountain is higher than Seorak Mountain.")</f>
        <v>Halla Mountain is higher than Seorak Mountain.</v>
      </c>
      <c r="C226" s="4" t="str">
        <f ca="1">IFERROR(__xludf.DUMMYFUNCTION("IFERROR(GOOGLETRANSLATE(B226,""en"",""ja""),)"),"漢拏山は雪岳山よりも標高が高い。")</f>
        <v>漢拏山は雪岳山よりも標高が高い。</v>
      </c>
    </row>
    <row r="227" spans="1:3" ht="18">
      <c r="A227" s="3" t="s">
        <v>549</v>
      </c>
      <c r="B227" s="4" t="str">
        <f ca="1">IFERROR(__xludf.DUMMYFUNCTION("IFERROR(GOOGLETRANSLATE(A227,""ko"",""en""),)"),"Is the subway more convenient? Or the bus?")</f>
        <v>Is the subway more convenient? Or the bus?</v>
      </c>
      <c r="C227" s="4" t="str">
        <f ca="1">IFERROR(__xludf.DUMMYFUNCTION("IFERROR(GOOGLETRANSLATE(B227,""en"",""ja""),)"),"地下鉄の方が便利？それともバス？")</f>
        <v>地下鉄の方が便利？それともバス？</v>
      </c>
    </row>
    <row r="228" spans="1:3" ht="18">
      <c r="A228" s="3" t="s">
        <v>552</v>
      </c>
      <c r="B228" s="4" t="str">
        <f ca="1">IFERROR(__xludf.DUMMYFUNCTION("IFERROR(GOOGLETRANSLATE(A228,""ko"",""en""),)"),"The subway is more convenient than the bus.")</f>
        <v>The subway is more convenient than the bus.</v>
      </c>
      <c r="C228" s="4" t="str">
        <f ca="1">IFERROR(__xludf.DUMMYFUNCTION("IFERROR(GOOGLETRANSLATE(B228,""en"",""ja""),)"),"地下鉄はバスよりも便利だ。")</f>
        <v>地下鉄はバスよりも便利だ。</v>
      </c>
    </row>
    <row r="229" spans="1:3" ht="18">
      <c r="A229" s="3" t="s">
        <v>556</v>
      </c>
      <c r="B229" s="4" t="str">
        <f ca="1">IFERROR(__xludf.DUMMYFUNCTION("IFERROR(GOOGLETRANSLATE(A229,""ko"",""en""),)"),"Which one tastes better?")</f>
        <v>Which one tastes better?</v>
      </c>
      <c r="C229" s="4" t="str">
        <f ca="1">IFERROR(__xludf.DUMMYFUNCTION("IFERROR(GOOGLETRANSLATE(B229,""en"",""ja""),)"),"どちらの方が美味しいですか？")</f>
        <v>どちらの方が美味しいですか？</v>
      </c>
    </row>
    <row r="230" spans="1:3" ht="18">
      <c r="A230" s="3" t="s">
        <v>557</v>
      </c>
      <c r="B230" s="4" t="str">
        <f ca="1">IFERROR(__xludf.DUMMYFUNCTION("IFERROR(GOOGLETRANSLATE(A230,""ko"",""en""),)"),"Samgyetang is tastier than bulgogi.")</f>
        <v>Samgyetang is tastier than bulgogi.</v>
      </c>
      <c r="C230" s="4" t="str">
        <f ca="1">IFERROR(__xludf.DUMMYFUNCTION("IFERROR(GOOGLETRANSLATE(B230,""en"",""ja""),)"),"サムゲタンはプルコギより美味しい。")</f>
        <v>サムゲタンはプルコギより美味しい。</v>
      </c>
    </row>
    <row r="231" spans="1:3" ht="18">
      <c r="A231" s="3" t="s">
        <v>560</v>
      </c>
      <c r="B231" s="4" t="str">
        <f ca="1">IFERROR(__xludf.DUMMYFUNCTION("IFERROR(GOOGLETRANSLATE(A231,""ko"",""en""),)"),"Apples are cheaper than strawberries.")</f>
        <v>Apples are cheaper than strawberries.</v>
      </c>
      <c r="C231" s="4" t="str">
        <f ca="1">IFERROR(__xludf.DUMMYFUNCTION("IFERROR(GOOGLETRANSLATE(B231,""en"",""ja""),)"),"リンゴはイチゴより安い。")</f>
        <v>リンゴはイチゴより安い。</v>
      </c>
    </row>
    <row r="232" spans="1:3" ht="18">
      <c r="A232" s="3" t="s">
        <v>562</v>
      </c>
      <c r="B232" s="4" t="str">
        <f ca="1">IFERROR(__xludf.DUMMYFUNCTION("IFERROR(GOOGLETRANSLATE(A232,""ko"",""en""),)"),"The subway is more convenient than the bus.")</f>
        <v>The subway is more convenient than the bus.</v>
      </c>
      <c r="C232" s="4" t="str">
        <f ca="1">IFERROR(__xludf.DUMMYFUNCTION("IFERROR(GOOGLETRANSLATE(B232,""en"",""ja""),)"),"地下鉄はバスよりも便利だ。")</f>
        <v>地下鉄はバスよりも便利だ。</v>
      </c>
    </row>
    <row r="233" spans="1:3" ht="18">
      <c r="A233" s="3" t="s">
        <v>565</v>
      </c>
      <c r="B233" s="4" t="str">
        <f ca="1">IFERROR(__xludf.DUMMYFUNCTION("IFERROR(GOOGLETRANSLATE(A233,""ko"",""en""),)"),"Today is warmer than yesterday.")</f>
        <v>Today is warmer than yesterday.</v>
      </c>
      <c r="C233" s="4" t="str">
        <f ca="1">IFERROR(__xludf.DUMMYFUNCTION("IFERROR(GOOGLETRANSLATE(B233,""en"",""ja""),)"),"今日は昨日より暖かい。")</f>
        <v>今日は昨日より暖かい。</v>
      </c>
    </row>
    <row r="234" spans="1:3" ht="18">
      <c r="A234" s="3" t="s">
        <v>568</v>
      </c>
      <c r="B234" s="4" t="str">
        <f ca="1">IFERROR(__xludf.DUMMYFUNCTION("IFERROR(GOOGLETRANSLATE(A234,""ko"",""en""),)"),"Samgyetang is tastier than bibimbap.")</f>
        <v>Samgyetang is tastier than bibimbap.</v>
      </c>
      <c r="C234" s="4" t="str">
        <f ca="1">IFERROR(__xludf.DUMMYFUNCTION("IFERROR(GOOGLETRANSLATE(B234,""en"",""ja""),)"),"サムゲタンはビビンバより美味しい。")</f>
        <v>サムゲタンはビビンバより美味しい。</v>
      </c>
    </row>
    <row r="235" spans="1:3" ht="18">
      <c r="A235" s="3" t="s">
        <v>570</v>
      </c>
      <c r="B235" s="4" t="str">
        <f ca="1">IFERROR(__xludf.DUMMYFUNCTION("IFERROR(GOOGLETRANSLATE(A235,""ko"",""en""),)"),"Drama is more interesting than movies.")</f>
        <v>Drama is more interesting than movies.</v>
      </c>
      <c r="C235" s="4" t="str">
        <f ca="1">IFERROR(__xludf.DUMMYFUNCTION("IFERROR(GOOGLETRANSLATE(B235,""en"",""ja""),)"),"ドラマは映画よりも面白い。")</f>
        <v>ドラマは映画よりも面白い。</v>
      </c>
    </row>
    <row r="236" spans="1:3" ht="18">
      <c r="A236" s="3" t="s">
        <v>572</v>
      </c>
      <c r="B236" s="4" t="str">
        <f ca="1">IFERROR(__xludf.DUMMYFUNCTION("IFERROR(GOOGLETRANSLATE(A236,""ko"",""en""),)"),"Summer is better than winter.")</f>
        <v>Summer is better than winter.</v>
      </c>
      <c r="C236" s="4" t="str">
        <f ca="1">IFERROR(__xludf.DUMMYFUNCTION("IFERROR(GOOGLETRANSLATE(B236,""en"",""ja""),)"),"夏は冬よりも良い。")</f>
        <v>夏は冬よりも良い。</v>
      </c>
    </row>
    <row r="237" spans="1:3" ht="18">
      <c r="A237" s="3" t="s">
        <v>574</v>
      </c>
      <c r="B237" s="4" t="str">
        <f ca="1">IFERROR(__xludf.DUMMYFUNCTION("IFERROR(GOOGLETRANSLATE(A237,""ko"",""en""),)"),"I like summer more than winter.")</f>
        <v>I like summer more than winter.</v>
      </c>
      <c r="C237" s="4" t="str">
        <f ca="1">IFERROR(__xludf.DUMMYFUNCTION("IFERROR(GOOGLETRANSLATE(B237,""en"",""ja""),)"),"私は冬よりも夏が好きです。")</f>
        <v>私は冬よりも夏が好きです。</v>
      </c>
    </row>
    <row r="238" spans="1:3" ht="18">
      <c r="A238" s="3" t="s">
        <v>577</v>
      </c>
      <c r="B238" s="4" t="str">
        <f ca="1">IFERROR(__xludf.DUMMYFUNCTION("IFERROR(GOOGLETRANSLATE(A238,""ko"",""en""),)"),"Tteokbokki is spicier than soft tofu stew.")</f>
        <v>Tteokbokki is spicier than soft tofu stew.</v>
      </c>
      <c r="C238" s="4" t="str">
        <f ca="1">IFERROR(__xludf.DUMMYFUNCTION("IFERROR(GOOGLETRANSLATE(B238,""en"",""ja""),)"),"トッポッキは、豆腐チゲよりも辛い。")</f>
        <v>トッポッキは、豆腐チゲよりも辛い。</v>
      </c>
    </row>
    <row r="239" spans="1:3" ht="18">
      <c r="A239" s="3" t="s">
        <v>580</v>
      </c>
      <c r="B239" s="4" t="str">
        <f ca="1">IFERROR(__xludf.DUMMYFUNCTION("IFERROR(GOOGLETRANSLATE(A239,""ko"",""en""),)"),"Which fruit do you like more?")</f>
        <v>Which fruit do you like more?</v>
      </c>
      <c r="C239" s="4" t="str">
        <f ca="1">IFERROR(__xludf.DUMMYFUNCTION("IFERROR(GOOGLETRANSLATE(B239,""en"",""ja""),)"),"あなたはどちらの果物が好きですか？")</f>
        <v>あなたはどちらの果物が好きですか？</v>
      </c>
    </row>
    <row r="240" spans="1:3" ht="18">
      <c r="A240" s="3" t="s">
        <v>582</v>
      </c>
      <c r="B240" s="4" t="str">
        <f ca="1">IFERROR(__xludf.DUMMYFUNCTION("IFERROR(GOOGLETRANSLATE(A240,""ko"",""en""),)"),"I like watermelon more than banana.")</f>
        <v>I like watermelon more than banana.</v>
      </c>
      <c r="C240" s="4" t="str">
        <f ca="1">IFERROR(__xludf.DUMMYFUNCTION("IFERROR(GOOGLETRANSLATE(B240,""en"",""ja""),)"),"私はバナナよりスイカの方が好きです。")</f>
        <v>私はバナナよりスイカの方が好きです。</v>
      </c>
    </row>
    <row r="241" spans="1:3" ht="18">
      <c r="A241" s="3" t="s">
        <v>584</v>
      </c>
      <c r="B241" s="4" t="str">
        <f ca="1">IFERROR(__xludf.DUMMYFUNCTION("IFERROR(GOOGLETRANSLATE(A241,""ko"",""en""),)"),"Which bag is good?")</f>
        <v>Which bag is good?</v>
      </c>
      <c r="C241" s="4" t="str">
        <f ca="1">IFERROR(__xludf.DUMMYFUNCTION("IFERROR(GOOGLETRANSLATE(B241,""en"",""ja""),)"),"どのバッグが良いですか？")</f>
        <v>どのバッグが良いですか？</v>
      </c>
    </row>
    <row r="242" spans="1:3" ht="18">
      <c r="A242" s="3" t="s">
        <v>587</v>
      </c>
      <c r="B242" s="4" t="str">
        <f ca="1">IFERROR(__xludf.DUMMYFUNCTION("IFERROR(GOOGLETRANSLATE(A242,""ko"",""en""),)"),"Small bags are better than big bags.")</f>
        <v>Small bags are better than big bags.</v>
      </c>
      <c r="C242" s="4" t="str">
        <f ca="1">IFERROR(__xludf.DUMMYFUNCTION("IFERROR(GOOGLETRANSLATE(B242,""en"",""ja""),)"),"小さいバッグは大きいバッグよりも優れている。")</f>
        <v>小さいバッグは大きいバッグよりも優れている。</v>
      </c>
    </row>
    <row r="243" spans="1:3" ht="18">
      <c r="A243" s="3" t="s">
        <v>591</v>
      </c>
      <c r="B243" s="4" t="str">
        <f ca="1">IFERROR(__xludf.DUMMYFUNCTION("IFERROR(GOOGLETRANSLATE(A243,""ko"",""en""),)"),"Which is more comfortable?")</f>
        <v>Which is more comfortable?</v>
      </c>
      <c r="C243" s="4" t="str">
        <f ca="1">IFERROR(__xludf.DUMMYFUNCTION("IFERROR(GOOGLETRANSLATE(B243,""en"",""ja""),)"),"どちらの方が快適ですか？")</f>
        <v>どちらの方が快適ですか？</v>
      </c>
    </row>
    <row r="244" spans="1:3" ht="18">
      <c r="A244" s="3" t="s">
        <v>595</v>
      </c>
      <c r="B244" s="4" t="str">
        <f ca="1">IFERROR(__xludf.DUMMYFUNCTION("IFERROR(GOOGLETRANSLATE(A244,""ko"",""en""),)"),"Sneakers are more comfortable than dress shoes.")</f>
        <v>Sneakers are more comfortable than dress shoes.</v>
      </c>
      <c r="C244" s="4" t="str">
        <f ca="1">IFERROR(__xludf.DUMMYFUNCTION("IFERROR(GOOGLETRANSLATE(B244,""en"",""ja""),)"),"スニーカーはドレスシューズよりも履き心地が良い。")</f>
        <v>スニーカーはドレスシューズよりも履き心地が良い。</v>
      </c>
    </row>
    <row r="245" spans="1:3" ht="18">
      <c r="A245" s="3" t="s">
        <v>598</v>
      </c>
      <c r="B245" s="4" t="str">
        <f ca="1">IFERROR(__xludf.DUMMYFUNCTION("IFERROR(GOOGLETRANSLATE(A245,""ko"",""en""),)"),"Is the department store close? Is the market close?")</f>
        <v>Is the department store close? Is the market close?</v>
      </c>
      <c r="C245" s="4" t="str">
        <f ca="1">IFERROR(__xludf.DUMMYFUNCTION("IFERROR(GOOGLETRANSLATE(B245,""en"",""ja""),)"),"デパートは閉まっていますか？市場は閉まっていますか？")</f>
        <v>デパートは閉まっていますか？市場は閉まっていますか？</v>
      </c>
    </row>
    <row r="246" spans="1:3" ht="18">
      <c r="A246" s="3" t="s">
        <v>601</v>
      </c>
      <c r="B246" s="4" t="str">
        <f ca="1">IFERROR(__xludf.DUMMYFUNCTION("IFERROR(GOOGLETRANSLATE(A246,""ko"",""en""),)"),"The market is closer than the department store.")</f>
        <v>The market is closer than the department store.</v>
      </c>
      <c r="C246" s="4" t="str">
        <f ca="1">IFERROR(__xludf.DUMMYFUNCTION("IFERROR(GOOGLETRANSLATE(B246,""en"",""ja""),)"),"市場はデパートよりも近い。")</f>
        <v>市場はデパートよりも近い。</v>
      </c>
    </row>
    <row r="247" spans="1:3" ht="18">
      <c r="A247" s="3" t="s">
        <v>603</v>
      </c>
      <c r="B247" s="4" t="str">
        <f ca="1">IFERROR(__xludf.DUMMYFUNCTION("IFERROR(GOOGLETRANSLATE(A247,""ko"",""en""),)"),"Are there more men? Or more women?")</f>
        <v>Are there more men? Or more women?</v>
      </c>
      <c r="C247" s="4" t="str">
        <f ca="1">IFERROR(__xludf.DUMMYFUNCTION("IFERROR(GOOGLETRANSLATE(B247,""en"",""ja""),)"),"男性が多いですか？それとも女性が多いですか？")</f>
        <v>男性が多いですか？それとも女性が多いですか？</v>
      </c>
    </row>
    <row r="248" spans="1:3" ht="18">
      <c r="A248" s="3" t="s">
        <v>605</v>
      </c>
      <c r="B248" s="4" t="str">
        <f ca="1">IFERROR(__xludf.DUMMYFUNCTION("IFERROR(GOOGLETRANSLATE(A248,""ko"",""en""),)"),"There are more women than men.")</f>
        <v>There are more women than men.</v>
      </c>
      <c r="C248" s="4" t="str">
        <f ca="1">IFERROR(__xludf.DUMMYFUNCTION("IFERROR(GOOGLETRANSLATE(B248,""en"",""ja""),)"),"女性の方が男性より多い。")</f>
        <v>女性の方が男性より多い。</v>
      </c>
    </row>
    <row r="249" spans="1:3" ht="18">
      <c r="A249" s="3" t="s">
        <v>607</v>
      </c>
      <c r="B249" s="4" t="str">
        <f ca="1">IFERROR(__xludf.DUMMYFUNCTION("IFERROR(GOOGLETRANSLATE(A249,""ko"",""en""),)"),"It seems like it.")</f>
        <v>It seems like it.</v>
      </c>
      <c r="C249" s="4" t="str">
        <f ca="1">IFERROR(__xludf.DUMMYFUNCTION("IFERROR(GOOGLETRANSLATE(B249,""en"",""ja""),)"),"そうみたいですね。")</f>
        <v>そうみたいですね。</v>
      </c>
    </row>
    <row r="250" spans="1:3" ht="18">
      <c r="A250" s="3" t="s">
        <v>610</v>
      </c>
      <c r="B250" s="4" t="str">
        <f ca="1">IFERROR(__xludf.DUMMYFUNCTION("IFERROR(GOOGLETRANSLATE(A250,""ko"",""en""),)"),"Mari, did you have a good trip to Busan? How was this trip?")</f>
        <v>Mari, did you have a good trip to Busan? How was this trip?</v>
      </c>
      <c r="C250" s="4" t="str">
        <f ca="1">IFERROR(__xludf.DUMMYFUNCTION("IFERROR(GOOGLETRANSLATE(B250,""en"",""ja""),)"),"マリ、釜山旅行は楽しかった？今回の旅行はどうだった？")</f>
        <v>マリ、釜山旅行は楽しかった？今回の旅行はどうだった？</v>
      </c>
    </row>
    <row r="251" spans="1:3" ht="18">
      <c r="A251" s="3" t="s">
        <v>613</v>
      </c>
      <c r="B251" s="4" t="str">
        <f ca="1">IFERROR(__xludf.DUMMYFUNCTION("IFERROR(GOOGLETRANSLATE(A251,""ko"",""en""),)"),"It was better than the last trip. The movie festival was especially fun.")</f>
        <v>It was better than the last trip. The movie festival was especially fun.</v>
      </c>
      <c r="C251" s="4" t="str">
        <f ca="1">IFERROR(__xludf.DUMMYFUNCTION("IFERROR(GOOGLETRANSLATE(B251,""en"",""ja""),)"),"前回の旅行よりも良かった。特に映画祭が楽しかった。")</f>
        <v>前回の旅行よりも良かった。特に映画祭が楽しかった。</v>
      </c>
    </row>
    <row r="252" spans="1:3" ht="18">
      <c r="A252" s="3" t="s">
        <v>616</v>
      </c>
      <c r="B252" s="4" t="str">
        <f ca="1">IFERROR(__xludf.DUMMYFUNCTION("IFERROR(GOOGLETRANSLATE(A252,""ko"",""en""),)"),"Oh, really? Was the weather nice?")</f>
        <v>Oh, really? Was the weather nice?</v>
      </c>
      <c r="C252" s="4" t="str">
        <f ca="1">IFERROR(__xludf.DUMMYFUNCTION("IFERROR(GOOGLETRANSLATE(B252,""en"",""ja""),)"),"え、そうなんですか？天気は良かったですか？")</f>
        <v>え、そうなんですか？天気は良かったですか？</v>
      </c>
    </row>
    <row r="253" spans="1:3" ht="18">
      <c r="A253" s="3" t="s">
        <v>619</v>
      </c>
      <c r="B253" s="4" t="str">
        <f ca="1">IFERROR(__xludf.DUMMYFUNCTION("IFERROR(GOOGLETRANSLATE(A253,""ko"",""en""),)"),"Yes, so I took a walk on the beach every day after dinner.")</f>
        <v>Yes, so I took a walk on the beach every day after dinner.</v>
      </c>
      <c r="C253" s="4" t="str">
        <f ca="1">IFERROR(__xludf.DUMMYFUNCTION("IFERROR(GOOGLETRANSLATE(B253,""en"",""ja""),)"),"はい、それで私は毎日夕食後にビーチを散歩していました。")</f>
        <v>はい、それで私は毎日夕食後にビーチを散歩していました。</v>
      </c>
    </row>
    <row r="254" spans="1:3" ht="18">
      <c r="A254" s="3" t="s">
        <v>620</v>
      </c>
      <c r="B254" s="4" t="str">
        <f ca="1">IFERROR(__xludf.DUMMYFUNCTION("IFERROR(GOOGLETRANSLATE(A254,""ko"",""en""),)"),"last year")</f>
        <v>last year</v>
      </c>
      <c r="C254" s="4" t="str">
        <f ca="1">IFERROR(__xludf.DUMMYFUNCTION("IFERROR(GOOGLETRANSLATE(B254,""en"",""ja""),)"),"去年")</f>
        <v>去年</v>
      </c>
    </row>
    <row r="255" spans="1:3" ht="18">
      <c r="A255" s="3" t="s">
        <v>623</v>
      </c>
      <c r="B255" s="4" t="str">
        <f ca="1">IFERROR(__xludf.DUMMYFUNCTION("IFERROR(GOOGLETRANSLATE(A255,""ko"",""en""),)"),"The next day")</f>
        <v>The next day</v>
      </c>
      <c r="C255" s="4" t="str">
        <f ca="1">IFERROR(__xludf.DUMMYFUNCTION("IFERROR(GOOGLETRANSLATE(B255,""en"",""ja""),)"),"次の日")</f>
        <v>次の日</v>
      </c>
    </row>
    <row r="256" spans="1:3" ht="18">
      <c r="A256" s="3" t="s">
        <v>624</v>
      </c>
      <c r="B256" s="4" t="str">
        <f ca="1">IFERROR(__xludf.DUMMYFUNCTION("IFERROR(GOOGLETRANSLATE(A256,""ko"",""en""),)"),"It was very delicious.")</f>
        <v>It was very delicious.</v>
      </c>
      <c r="C256" s="4" t="str">
        <f ca="1">IFERROR(__xludf.DUMMYFUNCTION("IFERROR(GOOGLETRANSLATE(B256,""en"",""ja""),)"),"とても美味しかったです。")</f>
        <v>とても美味しかったです。</v>
      </c>
    </row>
    <row r="257" spans="1:3" ht="18">
      <c r="A257" s="3" t="s">
        <v>627</v>
      </c>
      <c r="B257" s="4" t="str">
        <f ca="1">IFERROR(__xludf.DUMMYFUNCTION("IFERROR(GOOGLETRANSLATE(A257,""ko"",""en""),)"),"There were more foreigners than Koreans at Gyeongbokgung Palace.")</f>
        <v>There were more foreigners than Koreans at Gyeongbokgung Palace.</v>
      </c>
      <c r="C257" s="4" t="str">
        <f ca="1">IFERROR(__xludf.DUMMYFUNCTION("IFERROR(GOOGLETRANSLATE(B257,""en"",""ja""),)"),"景福宮には韓国人よりも外国人の方が多かった。")</f>
        <v>景福宮には韓国人よりも外国人の方が多かった。</v>
      </c>
    </row>
    <row r="258" spans="1:3" ht="18">
      <c r="A258" s="3" t="s">
        <v>629</v>
      </c>
      <c r="B258" s="4" t="str">
        <f ca="1">IFERROR(__xludf.DUMMYFUNCTION("IFERROR(GOOGLETRANSLATE(A258,""ko"",""en""),)"),"I like Netflix more than Disney+.")</f>
        <v>I like Netflix more than Disney+.</v>
      </c>
      <c r="C258" s="4" t="str">
        <f ca="1">IFERROR(__xludf.DUMMYFUNCTION("IFERROR(GOOGLETRANSLATE(B258,""en"",""ja""),)"),"私はDisney+よりもNetflixの方が好きです。")</f>
        <v>私はDisney+よりもNetflixの方が好きです。</v>
      </c>
    </row>
    <row r="259" spans="1:3" ht="18">
      <c r="A259" s="3" t="s">
        <v>632</v>
      </c>
      <c r="B259" s="4" t="str">
        <f ca="1">IFERROR(__xludf.DUMMYFUNCTION("IFERROR(GOOGLETRANSLATE(A259,""ko"",""en""),)"),"I like tea more than coffee.")</f>
        <v>I like tea more than coffee.</v>
      </c>
      <c r="C259" s="4" t="str">
        <f ca="1">IFERROR(__xludf.DUMMYFUNCTION("IFERROR(GOOGLETRANSLATE(B259,""en"",""ja""),)"),"私はコーヒーより紅茶が好きです。")</f>
        <v>私はコーヒーより紅茶が好きです。</v>
      </c>
    </row>
    <row r="260" spans="1:3" ht="18">
      <c r="A260" s="3" t="s">
        <v>635</v>
      </c>
      <c r="B260" s="4" t="str">
        <f ca="1">IFERROR(__xludf.DUMMYFUNCTION("IFERROR(GOOGLETRANSLATE(A260,""ko"",""en""),)"),"I like green tea more than black tea.")</f>
        <v>I like green tea more than black tea.</v>
      </c>
      <c r="C260" s="4" t="str">
        <f ca="1">IFERROR(__xludf.DUMMYFUNCTION("IFERROR(GOOGLETRANSLATE(B260,""en"",""ja""),)"),"私は紅茶よりも緑茶の方が好きです。")</f>
        <v>私は紅茶よりも緑茶の方が好きです。</v>
      </c>
    </row>
    <row r="261" spans="1:3" ht="18">
      <c r="A261" s="3" t="s">
        <v>637</v>
      </c>
      <c r="B261" s="4" t="str">
        <f ca="1">IFERROR(__xludf.DUMMYFUNCTION("IFERROR(GOOGLETRANSLATE(A261,""ko"",""en""),)"),"I like green tea better than black tea.")</f>
        <v>I like green tea better than black tea.</v>
      </c>
      <c r="C261" s="4" t="str">
        <f ca="1">IFERROR(__xludf.DUMMYFUNCTION("IFERROR(GOOGLETRANSLATE(B261,""en"",""ja""),)"),"私は紅茶よりも緑茶の方が好きです。")</f>
        <v>私は紅茶よりも緑茶の方が好きです。</v>
      </c>
    </row>
    <row r="262" spans="1:3" ht="18">
      <c r="A262" s="3" t="s">
        <v>640</v>
      </c>
      <c r="B262" s="4" t="str">
        <f ca="1">IFERROR(__xludf.DUMMYFUNCTION("IFERROR(GOOGLETRANSLATE(A262,""ko"",""en""),)"),"Coconuts are heavier than tangerines.")</f>
        <v>Coconuts are heavier than tangerines.</v>
      </c>
      <c r="C262" s="4" t="str">
        <f ca="1">IFERROR(__xludf.DUMMYFUNCTION("IFERROR(GOOGLETRANSLATE(B262,""en"",""ja""),)"),"ココナッツはミカンよりも重い。")</f>
        <v>ココナッツはミカンよりも重い。</v>
      </c>
    </row>
    <row r="263" spans="1:3" ht="18">
      <c r="A263" s="3" t="s">
        <v>643</v>
      </c>
      <c r="B263" s="4" t="str">
        <f ca="1">IFERROR(__xludf.DUMMYFUNCTION("IFERROR(GOOGLETRANSLATE(A263,""ko"",""en""),)"),"My younger sibling is taller than me.")</f>
        <v>My younger sibling is taller than me.</v>
      </c>
      <c r="C263" s="4" t="str">
        <f ca="1">IFERROR(__xludf.DUMMYFUNCTION("IFERROR(GOOGLETRANSLATE(B263,""en"",""ja""),)"),"私の弟は私より背が高い。")</f>
        <v>私の弟は私より背が高い。</v>
      </c>
    </row>
    <row r="264" spans="1:3" ht="18">
      <c r="A264" s="5" t="s">
        <v>645</v>
      </c>
      <c r="B264" s="4" t="str">
        <f ca="1">IFERROR(__xludf.DUMMYFUNCTION("IFERROR(GOOGLETRANSLATE(A264,""ko"",""en""),)"),"Stray Kids' music is louder than Yiruma's music.")</f>
        <v>Stray Kids' music is louder than Yiruma's music.</v>
      </c>
      <c r="C264" s="4" t="str">
        <f ca="1">IFERROR(__xludf.DUMMYFUNCTION("IFERROR(GOOGLETRANSLATE(B264,""en"",""ja""),)"),"Stray Kidsの音楽は、イルマの音楽よりも音量が大きい。")</f>
        <v>Stray Kidsの音楽は、イルマの音楽よりも音量が大きい。</v>
      </c>
    </row>
    <row r="265" spans="1:3" ht="18">
      <c r="A265" s="3" t="s">
        <v>647</v>
      </c>
      <c r="B265" s="4" t="str">
        <f ca="1">IFERROR(__xludf.DUMMYFUNCTION("IFERROR(GOOGLETRANSLATE(A265,""ko"",""en""),)"),"The weather today is warmer than yesterday.")</f>
        <v>The weather today is warmer than yesterday.</v>
      </c>
      <c r="C265" s="4" t="str">
        <f ca="1">IFERROR(__xludf.DUMMYFUNCTION("IFERROR(GOOGLETRANSLATE(B265,""en"",""ja""),)"),"今日の天気は昨日よりも暖かい。")</f>
        <v>今日の天気は昨日よりも暖かい。</v>
      </c>
    </row>
    <row r="266" spans="1:3" ht="18">
      <c r="A266" s="3" t="s">
        <v>649</v>
      </c>
      <c r="B266" s="4" t="str">
        <f ca="1">IFERROR(__xludf.DUMMYFUNCTION("IFERROR(GOOGLETRANSLATE(A266,""ko"",""en""),)"),"You need to get plenty of rest at home.")</f>
        <v>You need to get plenty of rest at home.</v>
      </c>
      <c r="C266" s="4" t="str">
        <f ca="1">IFERROR(__xludf.DUMMYFUNCTION("IFERROR(GOOGLETRANSLATE(B266,""en"",""ja""),)"),"家で十分な休息を取る必要があります。")</f>
        <v>家で十分な休息を取る必要があります。</v>
      </c>
    </row>
    <row r="267" spans="1:3" ht="18">
      <c r="A267" s="3" t="s">
        <v>651</v>
      </c>
      <c r="B267" s="4" t="str">
        <f ca="1">IFERROR(__xludf.DUMMYFUNCTION("IFERROR(GOOGLETRANSLATE(A267,""ko"",""en""),)"),"face")</f>
        <v>face</v>
      </c>
      <c r="C267" s="4" t="str">
        <f ca="1">IFERROR(__xludf.DUMMYFUNCTION("IFERROR(GOOGLETRANSLATE(B267,""en"",""ja""),)"),"顔")</f>
        <v>顔</v>
      </c>
    </row>
    <row r="268" spans="1:3" ht="18">
      <c r="A268" s="3" t="s">
        <v>654</v>
      </c>
      <c r="B268" s="4" t="str">
        <f ca="1">IFERROR(__xludf.DUMMYFUNCTION("IFERROR(GOOGLETRANSLATE(A268,""ko"",""en""),)"),"eye")</f>
        <v>eye</v>
      </c>
      <c r="C268" s="4" t="str">
        <f ca="1">IFERROR(__xludf.DUMMYFUNCTION("IFERROR(GOOGLETRANSLATE(B268,""en"",""ja""),)"),"目")</f>
        <v>目</v>
      </c>
    </row>
    <row r="269" spans="1:3" ht="18">
      <c r="A269" s="3" t="s">
        <v>656</v>
      </c>
      <c r="B269" s="4" t="str">
        <f ca="1">IFERROR(__xludf.DUMMYFUNCTION("IFERROR(GOOGLETRANSLATE(A269,""ko"",""en""),)"),"ear")</f>
        <v>ear</v>
      </c>
      <c r="C269" s="4" t="str">
        <f ca="1">IFERROR(__xludf.DUMMYFUNCTION("IFERROR(GOOGLETRANSLATE(B269,""en"",""ja""),)"),"耳")</f>
        <v>耳</v>
      </c>
    </row>
    <row r="270" spans="1:3" ht="18">
      <c r="A270" s="3" t="s">
        <v>660</v>
      </c>
      <c r="B270" s="4" t="str">
        <f ca="1">IFERROR(__xludf.DUMMYFUNCTION("IFERROR(GOOGLETRANSLATE(A270,""ko"",""en""),)"),"nose")</f>
        <v>nose</v>
      </c>
      <c r="C270" s="4" t="str">
        <f ca="1">IFERROR(__xludf.DUMMYFUNCTION("IFERROR(GOOGLETRANSLATE(B270,""en"",""ja""),)"),"鼻")</f>
        <v>鼻</v>
      </c>
    </row>
    <row r="271" spans="1:3" ht="18">
      <c r="A271" s="3" t="s">
        <v>661</v>
      </c>
      <c r="B271" s="4" t="str">
        <f ca="1">IFERROR(__xludf.DUMMYFUNCTION("IFERROR(GOOGLETRANSLATE(A271,""ko"",""en""),)"),"mouth")</f>
        <v>mouth</v>
      </c>
      <c r="C271" s="4" t="str">
        <f ca="1">IFERROR(__xludf.DUMMYFUNCTION("IFERROR(GOOGLETRANSLATE(B271,""en"",""ja""),)"),"口")</f>
        <v>口</v>
      </c>
    </row>
    <row r="272" spans="1:3" ht="18">
      <c r="A272" s="3" t="s">
        <v>665</v>
      </c>
      <c r="B272" s="4" t="s">
        <v>666</v>
      </c>
      <c r="C272" s="4" t="str">
        <f ca="1">IFERROR(__xludf.DUMMYFUNCTION("IFERROR(GOOGLETRANSLATE(B272,""en"",""ja""),)"),"歯")</f>
        <v>歯</v>
      </c>
    </row>
    <row r="273" spans="1:3" ht="18">
      <c r="A273" s="3" t="s">
        <v>667</v>
      </c>
      <c r="B273" s="4" t="str">
        <f ca="1">IFERROR(__xludf.DUMMYFUNCTION("IFERROR(GOOGLETRANSLATE(A273,""ko"",""en""),)"),"teardrop")</f>
        <v>teardrop</v>
      </c>
      <c r="C273" s="4" t="str">
        <f ca="1">IFERROR(__xludf.DUMMYFUNCTION("IFERROR(GOOGLETRANSLATE(B273,""en"",""ja""),)"),"涙滴")</f>
        <v>涙滴</v>
      </c>
    </row>
    <row r="274" spans="1:3" ht="18">
      <c r="A274" s="3" t="s">
        <v>671</v>
      </c>
      <c r="B274" s="4" t="str">
        <f ca="1">IFERROR(__xludf.DUMMYFUNCTION("IFERROR(GOOGLETRANSLATE(A274,""ko"",""en""),)"),"snot")</f>
        <v>snot</v>
      </c>
      <c r="C274" s="4" t="str">
        <f ca="1">IFERROR(__xludf.DUMMYFUNCTION("IFERROR(GOOGLETRANSLATE(B274,""en"",""ja""),)"),"鼻水")</f>
        <v>鼻水</v>
      </c>
    </row>
    <row r="275" spans="1:3" ht="18">
      <c r="A275" s="3" t="s">
        <v>672</v>
      </c>
      <c r="B275" s="4" t="str">
        <f ca="1">IFERROR(__xludf.DUMMYFUNCTION("IFERROR(GOOGLETRANSLATE(A275,""ko"",""en""),)"),"lips")</f>
        <v>lips</v>
      </c>
      <c r="C275" s="4" t="str">
        <f ca="1">IFERROR(__xludf.DUMMYFUNCTION("IFERROR(GOOGLETRANSLATE(B275,""en"",""ja""),)"),"唇")</f>
        <v>唇</v>
      </c>
    </row>
    <row r="276" spans="1:3" ht="18">
      <c r="A276" s="3" t="s">
        <v>676</v>
      </c>
      <c r="B276" s="4" t="str">
        <f ca="1">IFERROR(__xludf.DUMMYFUNCTION("IFERROR(GOOGLETRANSLATE(A276,""ko"",""en""),)"),"gum")</f>
        <v>gum</v>
      </c>
      <c r="C276" s="4" t="str">
        <f ca="1">IFERROR(__xludf.DUMMYFUNCTION("IFERROR(GOOGLETRANSLATE(B276,""en"",""ja""),)"),"ガム")</f>
        <v>ガム</v>
      </c>
    </row>
    <row r="277" spans="1:3" ht="18">
      <c r="A277" s="3" t="s">
        <v>677</v>
      </c>
      <c r="B277" s="4" t="str">
        <f ca="1">IFERROR(__xludf.DUMMYFUNCTION("IFERROR(GOOGLETRANSLATE(A277,""ko"",""en""),)"),"tongue")</f>
        <v>tongue</v>
      </c>
      <c r="C277" s="4" t="str">
        <f ca="1">IFERROR(__xludf.DUMMYFUNCTION("IFERROR(GOOGLETRANSLATE(B277,""en"",""ja""),)"),"舌")</f>
        <v>舌</v>
      </c>
    </row>
    <row r="278" spans="1:3" ht="18">
      <c r="A278" s="3" t="s">
        <v>680</v>
      </c>
      <c r="B278" s="4" t="str">
        <f ca="1">IFERROR(__xludf.DUMMYFUNCTION("IFERROR(GOOGLETRANSLATE(A278,""ko"",""en""),)"),"hair")</f>
        <v>hair</v>
      </c>
      <c r="C278" s="4" t="str">
        <f ca="1">IFERROR(__xludf.DUMMYFUNCTION("IFERROR(GOOGLETRANSLATE(B278,""en"",""ja""),)"),"髪")</f>
        <v>髪</v>
      </c>
    </row>
    <row r="279" spans="1:3" ht="18">
      <c r="A279" s="3" t="s">
        <v>684</v>
      </c>
      <c r="B279" s="4" t="str">
        <f ca="1">IFERROR(__xludf.DUMMYFUNCTION("IFERROR(GOOGLETRANSLATE(A279,""ko"",""en""),)"),"head")</f>
        <v>head</v>
      </c>
      <c r="C279" s="4" t="str">
        <f ca="1">IFERROR(__xludf.DUMMYFUNCTION("IFERROR(GOOGLETRANSLATE(B279,""en"",""ja""),)"),"頭")</f>
        <v>頭</v>
      </c>
    </row>
    <row r="280" spans="1:3" ht="18">
      <c r="A280" s="3" t="s">
        <v>685</v>
      </c>
      <c r="B280" s="4" t="str">
        <f ca="1">IFERROR(__xludf.DUMMYFUNCTION("IFERROR(GOOGLETRANSLATE(A280,""ko"",""en""),)"),"neck")</f>
        <v>neck</v>
      </c>
      <c r="C280" s="4" t="str">
        <f ca="1">IFERROR(__xludf.DUMMYFUNCTION("IFERROR(GOOGLETRANSLATE(B280,""en"",""ja""),)"),"ネック")</f>
        <v>ネック</v>
      </c>
    </row>
    <row r="281" spans="1:3" ht="18">
      <c r="A281" s="3" t="s">
        <v>689</v>
      </c>
      <c r="B281" s="4" t="s">
        <v>690</v>
      </c>
      <c r="C281" s="4" t="str">
        <f ca="1">IFERROR(__xludf.DUMMYFUNCTION("IFERROR(GOOGLETRANSLATE(B281,""en"",""ja""),)"),"アーム")</f>
        <v>アーム</v>
      </c>
    </row>
    <row r="282" spans="1:3" ht="18">
      <c r="A282" s="3" t="s">
        <v>691</v>
      </c>
      <c r="B282" s="4" t="str">
        <f ca="1">IFERROR(__xludf.DUMMYFUNCTION("IFERROR(GOOGLETRANSLATE(A282,""ko"",""en""),)"),"foot")</f>
        <v>foot</v>
      </c>
      <c r="C282" s="4" t="str">
        <f ca="1">IFERROR(__xludf.DUMMYFUNCTION("IFERROR(GOOGLETRANSLATE(B282,""en"",""ja""),)"),"足")</f>
        <v>足</v>
      </c>
    </row>
    <row r="283" spans="1:3" ht="18">
      <c r="A283" s="3" t="s">
        <v>695</v>
      </c>
      <c r="B283" s="4" t="str">
        <f ca="1">IFERROR(__xludf.DUMMYFUNCTION("IFERROR(GOOGLETRANSLATE(A283,""ko"",""en""),)"),"hand")</f>
        <v>hand</v>
      </c>
      <c r="C283" s="4" t="str">
        <f ca="1">IFERROR(__xludf.DUMMYFUNCTION("IFERROR(GOOGLETRANSLATE(B283,""en"",""ja""),)"),"手")</f>
        <v>手</v>
      </c>
    </row>
    <row r="284" spans="1:3" ht="18">
      <c r="A284" s="3" t="s">
        <v>696</v>
      </c>
      <c r="B284" s="4" t="s">
        <v>697</v>
      </c>
      <c r="C284" s="4" t="str">
        <f ca="1">IFERROR(__xludf.DUMMYFUNCTION("IFERROR(GOOGLETRANSLATE(B284,""en"",""ja""),)"),"胃")</f>
        <v>胃</v>
      </c>
    </row>
    <row r="285" spans="1:3" ht="18">
      <c r="A285" s="3" t="s">
        <v>698</v>
      </c>
      <c r="B285" s="4" t="str">
        <f ca="1">IFERROR(__xludf.DUMMYFUNCTION("IFERROR(GOOGLETRANSLATE(A285,""ko"",""en""),)"),"leg")</f>
        <v>leg</v>
      </c>
      <c r="C285" s="4" t="str">
        <f ca="1">IFERROR(__xludf.DUMMYFUNCTION("IFERROR(GOOGLETRANSLATE(B285,""en"",""ja""),)"),"脚")</f>
        <v>脚</v>
      </c>
    </row>
    <row r="286" spans="1:3" ht="18">
      <c r="A286" s="3" t="s">
        <v>703</v>
      </c>
      <c r="B286" s="4" t="str">
        <f ca="1">IFERROR(__xludf.DUMMYFUNCTION("IFERROR(GOOGLETRANSLATE(A286,""ko"",""en""),)"),"shoulder")</f>
        <v>shoulder</v>
      </c>
      <c r="C286" s="4" t="str">
        <f ca="1">IFERROR(__xludf.DUMMYFUNCTION("IFERROR(GOOGLETRANSLATE(B286,""en"",""ja""),)"),"ショルダー")</f>
        <v>ショルダー</v>
      </c>
    </row>
    <row r="287" spans="1:3" ht="18">
      <c r="A287" s="3" t="s">
        <v>705</v>
      </c>
      <c r="B287" s="4" t="s">
        <v>706</v>
      </c>
      <c r="C287" s="4" t="str">
        <f ca="1">IFERROR(__xludf.DUMMYFUNCTION("IFERROR(GOOGLETRANSLATE(B287,""en"",""ja""),)"),"上背部")</f>
        <v>上背部</v>
      </c>
    </row>
    <row r="288" spans="1:3" ht="18">
      <c r="A288" s="3" t="s">
        <v>708</v>
      </c>
      <c r="B288" s="4" t="str">
        <f ca="1">IFERROR(__xludf.DUMMYFUNCTION("IFERROR(GOOGLETRANSLATE(A288,""ko"",""en""),)"),"waist")</f>
        <v>waist</v>
      </c>
      <c r="C288" s="4" t="str">
        <f ca="1">IFERROR(__xludf.DUMMYFUNCTION("IFERROR(GOOGLETRANSLATE(B288,""en"",""ja""),)"),"ウエスト")</f>
        <v>ウエスト</v>
      </c>
    </row>
    <row r="289" spans="1:3" ht="18">
      <c r="A289" s="3" t="s">
        <v>711</v>
      </c>
      <c r="B289" s="4" t="str">
        <f ca="1">IFERROR(__xludf.DUMMYFUNCTION("IFERROR(GOOGLETRANSLATE(A289,""ko"",""en""),)"),"knee")</f>
        <v>knee</v>
      </c>
      <c r="C289" s="4" t="str">
        <f ca="1">IFERROR(__xludf.DUMMYFUNCTION("IFERROR(GOOGLETRANSLATE(B289,""en"",""ja""),)"),"膝")</f>
        <v>膝</v>
      </c>
    </row>
    <row r="290" spans="1:3" ht="18">
      <c r="A290" s="3" t="s">
        <v>712</v>
      </c>
      <c r="B290" s="4" t="str">
        <f ca="1">IFERROR(__xludf.DUMMYFUNCTION("IFERROR(GOOGLETRANSLATE(A290,""ko"",""en""),)"),"finger")</f>
        <v>finger</v>
      </c>
      <c r="C290" s="4" t="str">
        <f ca="1">IFERROR(__xludf.DUMMYFUNCTION("IFERROR(GOOGLETRANSLATE(B290,""en"",""ja""),)"),"指")</f>
        <v>指</v>
      </c>
    </row>
    <row r="291" spans="1:3" ht="18">
      <c r="A291" s="3" t="s">
        <v>717</v>
      </c>
      <c r="B291" s="4" t="str">
        <f ca="1">IFERROR(__xludf.DUMMYFUNCTION("IFERROR(GOOGLETRANSLATE(A291,""ko"",""en""),)"),"toe")</f>
        <v>toe</v>
      </c>
      <c r="C291" s="4" t="str">
        <f ca="1">IFERROR(__xludf.DUMMYFUNCTION("IFERROR(GOOGLETRANSLATE(B291,""en"",""ja""),)"),"つま先")</f>
        <v>つま先</v>
      </c>
    </row>
    <row r="292" spans="1:3" ht="18">
      <c r="A292" s="3" t="s">
        <v>718</v>
      </c>
      <c r="B292" s="4" t="str">
        <f ca="1">IFERROR(__xludf.DUMMYFUNCTION("IFERROR(GOOGLETRANSLATE(A292,""ko"",""en""),)"),"chest")</f>
        <v>chest</v>
      </c>
      <c r="C292" s="4" t="str">
        <f ca="1">IFERROR(__xludf.DUMMYFUNCTION("IFERROR(GOOGLETRANSLATE(B292,""en"",""ja""),)"),"胸")</f>
        <v>胸</v>
      </c>
    </row>
    <row r="293" spans="1:3" ht="18">
      <c r="A293" s="3" t="s">
        <v>720</v>
      </c>
      <c r="B293" s="4" t="str">
        <f ca="1">IFERROR(__xludf.DUMMYFUNCTION("IFERROR(GOOGLETRANSLATE(A293,""ko"",""en""),)"),"My neck hurts.")</f>
        <v>My neck hurts.</v>
      </c>
      <c r="C293" s="4" t="str">
        <f ca="1">IFERROR(__xludf.DUMMYFUNCTION("IFERROR(GOOGLETRANSLATE(B293,""en"",""ja""),)"),"首が痛い。")</f>
        <v>首が痛い。</v>
      </c>
    </row>
    <row r="294" spans="1:3" ht="18">
      <c r="A294" s="3" t="s">
        <v>723</v>
      </c>
      <c r="B294" s="4" t="str">
        <f ca="1">IFERROR(__xludf.DUMMYFUNCTION("IFERROR(GOOGLETRANSLATE(A294,""ko"",""en""),)"),"I have a fever.")</f>
        <v>I have a fever.</v>
      </c>
      <c r="C294" s="4" t="str">
        <f ca="1">IFERROR(__xludf.DUMMYFUNCTION("IFERROR(GOOGLETRANSLATE(B294,""en"",""ja""),)"),"熱があります。")</f>
        <v>熱があります。</v>
      </c>
    </row>
    <row r="295" spans="1:3" ht="18">
      <c r="A295" s="3" t="s">
        <v>725</v>
      </c>
      <c r="B295" s="4" t="str">
        <f ca="1">IFERROR(__xludf.DUMMYFUNCTION("IFERROR(GOOGLETRANSLATE(A295,""ko"",""en""),)"),"I have a runny nose.")</f>
        <v>I have a runny nose.</v>
      </c>
      <c r="C295" s="4" t="str">
        <f ca="1">IFERROR(__xludf.DUMMYFUNCTION("IFERROR(GOOGLETRANSLATE(B295,""en"",""ja""),)"),"鼻水が出ます。")</f>
        <v>鼻水が出ます。</v>
      </c>
    </row>
    <row r="296" spans="1:3" ht="18">
      <c r="A296" s="5" t="s">
        <v>726</v>
      </c>
      <c r="B296" s="4" t="str">
        <f ca="1">IFERROR(__xludf.DUMMYFUNCTION("IFERROR(GOOGLETRANSLATE(A296,""ko"",""en""),)"),"My nose is stuffy.")</f>
        <v>My nose is stuffy.</v>
      </c>
      <c r="C296" s="4" t="str">
        <f ca="1">IFERROR(__xludf.DUMMYFUNCTION("IFERROR(GOOGLETRANSLATE(B296,""en"",""ja""),)"),"鼻が詰まっている。")</f>
        <v>鼻が詰まっている。</v>
      </c>
    </row>
    <row r="297" spans="1:3" ht="18">
      <c r="A297" s="3" t="s">
        <v>730</v>
      </c>
      <c r="B297" s="4" t="str">
        <f ca="1">IFERROR(__xludf.DUMMYFUNCTION("IFERROR(GOOGLETRANSLATE(A297,""ko"",""en""),)"),"I'm coughing.")</f>
        <v>I'm coughing.</v>
      </c>
      <c r="C297" s="4" t="str">
        <f ca="1">IFERROR(__xludf.DUMMYFUNCTION("IFERROR(GOOGLETRANSLATE(B297,""en"",""ja""),)"),"咳が出ています。")</f>
        <v>咳が出ています。</v>
      </c>
    </row>
    <row r="298" spans="1:3" ht="18">
      <c r="A298" s="3" t="s">
        <v>731</v>
      </c>
      <c r="B298" s="4" t="str">
        <f ca="1">IFERROR(__xludf.DUMMYFUNCTION("IFERROR(GOOGLETRANSLATE(A298,""ko"",""en""),)"),"My head hurts.")</f>
        <v>My head hurts.</v>
      </c>
      <c r="C298" s="4" t="str">
        <f ca="1">IFERROR(__xludf.DUMMYFUNCTION("IFERROR(GOOGLETRANSLATE(B298,""en"",""ja""),)"),"頭が痛い。")</f>
        <v>頭が痛い。</v>
      </c>
    </row>
    <row r="299" spans="1:3" ht="18">
      <c r="A299" s="3" t="s">
        <v>733</v>
      </c>
      <c r="B299" s="4" t="str">
        <f ca="1">IFERROR(__xludf.DUMMYFUNCTION("IFERROR(GOOGLETRANSLATE(A299,""ko"",""en""),)"),"My stomach hurts.")</f>
        <v>My stomach hurts.</v>
      </c>
      <c r="C299" s="4" t="str">
        <f ca="1">IFERROR(__xludf.DUMMYFUNCTION("IFERROR(GOOGLETRANSLATE(B299,""en"",""ja""),)"),"お腹が痛い。")</f>
        <v>お腹が痛い。</v>
      </c>
    </row>
    <row r="300" spans="1:3" ht="18">
      <c r="A300" s="3" t="s">
        <v>736</v>
      </c>
      <c r="B300" s="4" t="str">
        <f ca="1">IFERROR(__xludf.DUMMYFUNCTION("IFERROR(GOOGLETRANSLATE(A300,""ko"",""en""),)"),"I have a stomachache.")</f>
        <v>I have a stomachache.</v>
      </c>
      <c r="C300" s="4" t="str">
        <f ca="1">IFERROR(__xludf.DUMMYFUNCTION("IFERROR(GOOGLETRANSLATE(B300,""en"",""ja""),)"),"腹痛です。")</f>
        <v>腹痛です。</v>
      </c>
    </row>
    <row r="301" spans="1:3" ht="18">
      <c r="A301" s="5" t="s">
        <v>737</v>
      </c>
      <c r="B301" s="4" t="str">
        <f ca="1">IFERROR(__xludf.DUMMYFUNCTION("IFERROR(GOOGLETRANSLATE(A301,""ko"",""en""),)"),"Both feet")</f>
        <v>Both feet</v>
      </c>
      <c r="C301" s="4" t="str">
        <f ca="1">IFERROR(__xludf.DUMMYFUNCTION("IFERROR(GOOGLETRANSLATE(B301,""en"",""ja""),)"),"両足")</f>
        <v>両足</v>
      </c>
    </row>
    <row r="302" spans="1:3" ht="18">
      <c r="A302" s="3" t="s">
        <v>739</v>
      </c>
      <c r="B302" s="4" t="str">
        <f ca="1">IFERROR(__xludf.DUMMYFUNCTION("IFERROR(GOOGLETRANSLATE(A302,""ko"",""en""),)"),"My feet hurt.")</f>
        <v>My feet hurt.</v>
      </c>
      <c r="C302" s="4" t="str">
        <f ca="1">IFERROR(__xludf.DUMMYFUNCTION("IFERROR(GOOGLETRANSLATE(B302,""en"",""ja""),)"),"足が痛い。")</f>
        <v>足が痛い。</v>
      </c>
    </row>
    <row r="303" spans="1:3" ht="18">
      <c r="A303" s="5" t="s">
        <v>742</v>
      </c>
      <c r="B303" s="4" t="str">
        <f ca="1">IFERROR(__xludf.DUMMYFUNCTION("IFERROR(GOOGLETRANSLATE(A303,""ko"",""en""),)"),"My foot is swollen.")</f>
        <v>My foot is swollen.</v>
      </c>
      <c r="C303" s="4" t="str">
        <f ca="1">IFERROR(__xludf.DUMMYFUNCTION("IFERROR(GOOGLETRANSLATE(B303,""en"",""ja""),)"),"足が腫れています。")</f>
        <v>足が腫れています。</v>
      </c>
    </row>
    <row r="304" spans="1:3" ht="18">
      <c r="A304" s="3" t="s">
        <v>744</v>
      </c>
      <c r="B304" s="4" t="str">
        <f ca="1">IFERROR(__xludf.DUMMYFUNCTION("IFERROR(GOOGLETRANSLATE(A304,""ko"",""en""),)"),"My tooth hurts.")</f>
        <v>My tooth hurts.</v>
      </c>
      <c r="C304" s="4" t="str">
        <f ca="1">IFERROR(__xludf.DUMMYFUNCTION("IFERROR(GOOGLETRANSLATE(B304,""en"",""ja""),)"),"歯が痛い。")</f>
        <v>歯が痛い。</v>
      </c>
    </row>
    <row r="305" spans="1:3" ht="18">
      <c r="A305" s="3" t="s">
        <v>745</v>
      </c>
      <c r="B305" s="4" t="str">
        <f ca="1">IFERROR(__xludf.DUMMYFUNCTION("IFERROR(GOOGLETRANSLATE(A305,""ko"",""en""),)"),"I have a toothache.")</f>
        <v>I have a toothache.</v>
      </c>
      <c r="C305" s="4" t="str">
        <f ca="1">IFERROR(__xludf.DUMMYFUNCTION("IFERROR(GOOGLETRANSLATE(B305,""en"",""ja""),)"),"歯が痛いです。")</f>
        <v>歯が痛いです。</v>
      </c>
    </row>
    <row r="306" spans="1:3" ht="18">
      <c r="A306" s="3" t="s">
        <v>731</v>
      </c>
      <c r="B306" s="4" t="str">
        <f ca="1">IFERROR(__xludf.DUMMYFUNCTION("IFERROR(GOOGLETRANSLATE(A306,""ko"",""en""),)"),"My head hurts.")</f>
        <v>My head hurts.</v>
      </c>
      <c r="C306" s="4" t="str">
        <f ca="1">IFERROR(__xludf.DUMMYFUNCTION("IFERROR(GOOGLETRANSLATE(B306,""en"",""ja""),)"),"頭が痛い。")</f>
        <v>頭が痛い。</v>
      </c>
    </row>
    <row r="307" spans="1:3" ht="18">
      <c r="A307" s="3" t="s">
        <v>748</v>
      </c>
      <c r="B307" s="4" t="str">
        <f ca="1">IFERROR(__xludf.DUMMYFUNCTION("IFERROR(GOOGLETRANSLATE(A307,""ko"",""en""),)"),"I have a headache.")</f>
        <v>I have a headache.</v>
      </c>
      <c r="C307" s="4" t="str">
        <f ca="1">IFERROR(__xludf.DUMMYFUNCTION("IFERROR(GOOGLETRANSLATE(B307,""en"",""ja""),)"),"頭痛がします。")</f>
        <v>頭痛がします。</v>
      </c>
    </row>
    <row r="308" spans="1:3" ht="18">
      <c r="A308" s="3" t="s">
        <v>750</v>
      </c>
      <c r="B308" s="4" t="str">
        <f ca="1">IFERROR(__xludf.DUMMYFUNCTION("IFERROR(GOOGLETRANSLATE(A308,""ko"",""en""),)"),"My arm is broken.")</f>
        <v>My arm is broken.</v>
      </c>
      <c r="C308" s="4" t="str">
        <f ca="1">IFERROR(__xludf.DUMMYFUNCTION("IFERROR(GOOGLETRANSLATE(B308,""en"",""ja""),)"),"腕が折れた。")</f>
        <v>腕が折れた。</v>
      </c>
    </row>
    <row r="309" spans="1:3" ht="18">
      <c r="A309" s="3" t="s">
        <v>752</v>
      </c>
      <c r="B309" s="4" t="str">
        <f ca="1">IFERROR(__xludf.DUMMYFUNCTION("IFERROR(GOOGLETRANSLATE(A309,""ko"",""en""),)"),"I hurt my arm.")</f>
        <v>I hurt my arm.</v>
      </c>
      <c r="C309" s="4" t="str">
        <f ca="1">IFERROR(__xludf.DUMMYFUNCTION("IFERROR(GOOGLETRANSLATE(B309,""en"",""ja""),)"),"腕を痛めた。")</f>
        <v>腕を痛めた。</v>
      </c>
    </row>
    <row r="310" spans="1:3" ht="18">
      <c r="A310" s="3" t="s">
        <v>754</v>
      </c>
      <c r="B310" s="4" t="str">
        <f ca="1">IFERROR(__xludf.DUMMYFUNCTION("IFERROR(GOOGLETRANSLATE(A310,""ko"",""en""),)"),"I got a bruise.")</f>
        <v>I got a bruise.</v>
      </c>
      <c r="C310" s="4" t="str">
        <f ca="1">IFERROR(__xludf.DUMMYFUNCTION("IFERROR(GOOGLETRANSLATE(B310,""en"",""ja""),)"),"あざができた。")</f>
        <v>あざができた。</v>
      </c>
    </row>
    <row r="311" spans="1:3" ht="18">
      <c r="A311" s="3" t="s">
        <v>756</v>
      </c>
      <c r="B311" s="4" t="str">
        <f ca="1">IFERROR(__xludf.DUMMYFUNCTION("IFERROR(GOOGLETRANSLATE(A311,""ko"",""en""),)"),"Where does it hurt?")</f>
        <v>Where does it hurt?</v>
      </c>
      <c r="C311" s="4" t="str">
        <f ca="1">IFERROR(__xludf.DUMMYFUNCTION("IFERROR(GOOGLETRANSLATE(B311,""en"",""ja""),)"),"どこが痛みますか？")</f>
        <v>どこが痛みますか？</v>
      </c>
    </row>
    <row r="312" spans="1:3" ht="18">
      <c r="A312" s="3" t="s">
        <v>731</v>
      </c>
      <c r="B312" s="4" t="str">
        <f ca="1">IFERROR(__xludf.DUMMYFUNCTION("IFERROR(GOOGLETRANSLATE(A312,""ko"",""en""),)"),"My head hurts.")</f>
        <v>My head hurts.</v>
      </c>
      <c r="C312" s="4" t="str">
        <f ca="1">IFERROR(__xludf.DUMMYFUNCTION("IFERROR(GOOGLETRANSLATE(B312,""en"",""ja""),)"),"頭が痛い。")</f>
        <v>頭が痛い。</v>
      </c>
    </row>
    <row r="313" spans="1:3" ht="18">
      <c r="A313" s="3" t="s">
        <v>756</v>
      </c>
      <c r="B313" s="4" t="str">
        <f ca="1">IFERROR(__xludf.DUMMYFUNCTION("IFERROR(GOOGLETRANSLATE(A313,""ko"",""en""),)"),"Where does it hurt?")</f>
        <v>Where does it hurt?</v>
      </c>
      <c r="C313" s="4" t="str">
        <f ca="1">IFERROR(__xludf.DUMMYFUNCTION("IFERROR(GOOGLETRANSLATE(B313,""en"",""ja""),)"),"どこが痛みますか？")</f>
        <v>どこが痛みますか？</v>
      </c>
    </row>
    <row r="314" spans="1:3" ht="18">
      <c r="A314" s="3" t="s">
        <v>720</v>
      </c>
      <c r="B314" s="4" t="str">
        <f ca="1">IFERROR(__xludf.DUMMYFUNCTION("IFERROR(GOOGLETRANSLATE(A314,""ko"",""en""),)"),"My neck hurts.")</f>
        <v>My neck hurts.</v>
      </c>
      <c r="C314" s="4" t="str">
        <f ca="1">IFERROR(__xludf.DUMMYFUNCTION("IFERROR(GOOGLETRANSLATE(B314,""en"",""ja""),)"),"首が痛い。")</f>
        <v>首が痛い。</v>
      </c>
    </row>
    <row r="315" spans="1:3" ht="18">
      <c r="A315" s="3" t="s">
        <v>761</v>
      </c>
      <c r="B315" s="4" t="str">
        <f ca="1">IFERROR(__xludf.DUMMYFUNCTION("IFERROR(GOOGLETRANSLATE(A315,""ko"",""en""),)"),"Did you catch a cold?")</f>
        <v>Did you catch a cold?</v>
      </c>
      <c r="C315" s="4" t="str">
        <f ca="1">IFERROR(__xludf.DUMMYFUNCTION("IFERROR(GOOGLETRANSLATE(B315,""en"",""ja""),)"),"風邪を引いたの？")</f>
        <v>風邪を引いたの？</v>
      </c>
    </row>
    <row r="316" spans="1:3" ht="18">
      <c r="A316" s="3" t="s">
        <v>763</v>
      </c>
      <c r="B316" s="4" t="str">
        <f ca="1">IFERROR(__xludf.DUMMYFUNCTION("IFERROR(GOOGLETRANSLATE(A316,""ko"",""en""),)"),"Yes, I got caught.")</f>
        <v>Yes, I got caught.</v>
      </c>
      <c r="C316" s="4" t="str">
        <f ca="1">IFERROR(__xludf.DUMMYFUNCTION("IFERROR(GOOGLETRANSLATE(B316,""en"",""ja""),)"),"はい、捕まりました。")</f>
        <v>はい、捕まりました。</v>
      </c>
    </row>
    <row r="317" spans="1:3" ht="18">
      <c r="A317" s="3" t="s">
        <v>766</v>
      </c>
      <c r="B317" s="4" t="str">
        <f ca="1">IFERROR(__xludf.DUMMYFUNCTION("IFERROR(GOOGLETRANSLATE(A317,""ko"",""en""),)"),"Yes, I have a runny nose.")</f>
        <v>Yes, I have a runny nose.</v>
      </c>
      <c r="C317" s="4" t="str">
        <f ca="1">IFERROR(__xludf.DUMMYFUNCTION("IFERROR(GOOGLETRANSLATE(B317,""en"",""ja""),)"),"はい、鼻水が出ています。")</f>
        <v>はい、鼻水が出ています。</v>
      </c>
    </row>
    <row r="318" spans="1:3" ht="18">
      <c r="A318" s="3" t="s">
        <v>767</v>
      </c>
      <c r="B318" s="4" t="str">
        <f ca="1">IFERROR(__xludf.DUMMYFUNCTION("IFERROR(GOOGLETRANSLATE(A318,""ko"",""en""),)"),"Yes, I have a runny nose and a cough.")</f>
        <v>Yes, I have a runny nose and a cough.</v>
      </c>
      <c r="C318" s="4" t="str">
        <f ca="1">IFERROR(__xludf.DUMMYFUNCTION("IFERROR(GOOGLETRANSLATE(B318,""en"",""ja""),)"),"はい、鼻水と咳が出ています。")</f>
        <v>はい、鼻水と咳が出ています。</v>
      </c>
    </row>
    <row r="319" spans="1:3" ht="18">
      <c r="A319" s="3" t="s">
        <v>769</v>
      </c>
      <c r="B319" s="4" t="str">
        <f ca="1">IFERROR(__xludf.DUMMYFUNCTION("IFERROR(GOOGLETRANSLATE(A319,""ko"",""en""),)"),"Does it hurt a lot?")</f>
        <v>Does it hurt a lot?</v>
      </c>
      <c r="C319" s="4" t="str">
        <f ca="1">IFERROR(__xludf.DUMMYFUNCTION("IFERROR(GOOGLETRANSLATE(B319,""en"",""ja""),)"),"すごく痛いですか？")</f>
        <v>すごく痛いですか？</v>
      </c>
    </row>
    <row r="320" spans="1:3" ht="18">
      <c r="A320" s="3" t="s">
        <v>771</v>
      </c>
      <c r="B320" s="4" t="str">
        <f ca="1">IFERROR(__xludf.DUMMYFUNCTION("IFERROR(GOOGLETRANSLATE(A320,""ko"",""en""),)"),"Yes, it hurts a lot.")</f>
        <v>Yes, it hurts a lot.</v>
      </c>
      <c r="C320" s="4" t="str">
        <f ca="1">IFERROR(__xludf.DUMMYFUNCTION("IFERROR(GOOGLETRANSLATE(B320,""en"",""ja""),)"),"はい、とても痛いです。")</f>
        <v>はい、とても痛いです。</v>
      </c>
    </row>
    <row r="321" spans="1:3" ht="18">
      <c r="A321" s="3" t="s">
        <v>774</v>
      </c>
      <c r="B321" s="4" t="str">
        <f ca="1">IFERROR(__xludf.DUMMYFUNCTION("IFERROR(GOOGLETRANSLATE(A321,""ko"",""en""),)"),"Do you cough a lot?")</f>
        <v>Do you cough a lot?</v>
      </c>
      <c r="C321" s="4" t="str">
        <f ca="1">IFERROR(__xludf.DUMMYFUNCTION("IFERROR(GOOGLETRANSLATE(B321,""en"",""ja""),)"),"あなたはよく咳をしますか？")</f>
        <v>あなたはよく咳をしますか？</v>
      </c>
    </row>
    <row r="322" spans="1:3" ht="18">
      <c r="A322" s="3" t="s">
        <v>776</v>
      </c>
      <c r="B322" s="4" t="str">
        <f ca="1">IFERROR(__xludf.DUMMYFUNCTION("IFERROR(GOOGLETRANSLATE(A322,""ko"",""en""),)"),"No, I am healthy now.")</f>
        <v>No, I am healthy now.</v>
      </c>
      <c r="C322" s="4" t="str">
        <f ca="1">IFERROR(__xludf.DUMMYFUNCTION("IFERROR(GOOGLETRANSLATE(B322,""en"",""ja""),)"),"いいえ、今は健康です。")</f>
        <v>いいえ、今は健康です。</v>
      </c>
    </row>
    <row r="323" spans="1:3" ht="18">
      <c r="A323" s="3" t="s">
        <v>778</v>
      </c>
      <c r="B323" s="4" t="str">
        <f ca="1">IFERROR(__xludf.DUMMYFUNCTION("IFERROR(GOOGLETRANSLATE(A323,""ko"",""en""),)"),"No, I have a runny nose right now.")</f>
        <v>No, I have a runny nose right now.</v>
      </c>
      <c r="C323" s="4" t="str">
        <f ca="1">IFERROR(__xludf.DUMMYFUNCTION("IFERROR(GOOGLETRANSLATE(B323,""en"",""ja""),)"),"いいえ、今鼻水が出ています。")</f>
        <v>いいえ、今鼻水が出ています。</v>
      </c>
    </row>
    <row r="324" spans="1:3" ht="18">
      <c r="A324" s="3" t="s">
        <v>779</v>
      </c>
      <c r="B324" s="4" t="str">
        <f ca="1">IFERROR(__xludf.DUMMYFUNCTION("IFERROR(GOOGLETRANSLATE(A324,""ko"",""en""),)"),"I've become healthy.")</f>
        <v>I've become healthy.</v>
      </c>
      <c r="C324" s="4" t="str">
        <f ca="1">IFERROR(__xludf.DUMMYFUNCTION("IFERROR(GOOGLETRANSLATE(B324,""en"",""ja""),)"),"私は健康になった。")</f>
        <v>私は健康になった。</v>
      </c>
    </row>
    <row r="325" spans="1:3" ht="18">
      <c r="A325" s="3" t="s">
        <v>782</v>
      </c>
      <c r="B325" s="4" t="str">
        <f ca="1">IFERROR(__xludf.DUMMYFUNCTION("IFERROR(GOOGLETRANSLATE(A325,""ko"",""en""),)"),"It's getting better.")</f>
        <v>It's getting better.</v>
      </c>
      <c r="C325" s="4" t="str">
        <f ca="1">IFERROR(__xludf.DUMMYFUNCTION("IFERROR(GOOGLETRANSLATE(B325,""en"",""ja""),)"),"良くなってきています。")</f>
        <v>良くなってきています。</v>
      </c>
    </row>
    <row r="326" spans="1:3" ht="18">
      <c r="A326" s="3" t="s">
        <v>786</v>
      </c>
      <c r="B326" s="4" t="str">
        <f ca="1">IFERROR(__xludf.DUMMYFUNCTION("IFERROR(GOOGLETRANSLATE(A326,""ko"",""en""),)"),"I'm much better.")</f>
        <v>I'm much better.</v>
      </c>
      <c r="C326" s="4" t="str">
        <f ca="1">IFERROR(__xludf.DUMMYFUNCTION("IFERROR(GOOGLETRANSLATE(B326,""en"",""ja""),)"),"だいぶ良くなりました。")</f>
        <v>だいぶ良くなりました。</v>
      </c>
    </row>
    <row r="327" spans="1:3" ht="18">
      <c r="A327" s="3" t="s">
        <v>789</v>
      </c>
      <c r="B327" s="4" t="str">
        <f ca="1">IFERROR(__xludf.DUMMYFUNCTION("IFERROR(GOOGLETRANSLATE(A327,""ko"",""en""),)"),"I'm all better.")</f>
        <v>I'm all better.</v>
      </c>
      <c r="C327" s="4" t="str">
        <f ca="1">IFERROR(__xludf.DUMMYFUNCTION("IFERROR(GOOGLETRANSLATE(B327,""en"",""ja""),)"),"もうすっかり良くなりました。")</f>
        <v>もうすっかり良くなりました。</v>
      </c>
    </row>
    <row r="328" spans="1:3" ht="18">
      <c r="A328" s="3" t="s">
        <v>792</v>
      </c>
      <c r="B328" s="4" t="str">
        <f ca="1">IFERROR(__xludf.DUMMYFUNCTION("IFERROR(GOOGLETRANSLATE(A328,""ko"",""en""),)"),"It got better.")</f>
        <v>It got better.</v>
      </c>
      <c r="C328" s="4" t="str">
        <f ca="1">IFERROR(__xludf.DUMMYFUNCTION("IFERROR(GOOGLETRANSLATE(B328,""en"",""ja""),)"),"良くなった。")</f>
        <v>良くなった。</v>
      </c>
    </row>
    <row r="329" spans="1:3" ht="18">
      <c r="A329" s="3" t="s">
        <v>794</v>
      </c>
      <c r="B329" s="4" t="str">
        <f ca="1">IFERROR(__xludf.DUMMYFUNCTION("IFERROR(GOOGLETRANSLATE(A329,""ko"",""en""),)"),"I went into the hospital.")</f>
        <v>I went into the hospital.</v>
      </c>
      <c r="C329" s="4" t="str">
        <f ca="1">IFERROR(__xludf.DUMMYFUNCTION("IFERROR(GOOGLETRANSLATE(B329,""en"",""ja""),)"),"私は病院に行った。")</f>
        <v>私は病院に行った。</v>
      </c>
    </row>
    <row r="330" spans="1:3" ht="18">
      <c r="A330" s="5" t="s">
        <v>798</v>
      </c>
      <c r="B330" s="13" t="str">
        <f ca="1">IFERROR(__xludf.DUMMYFUNCTION("IFERROR(GOOGLETRANSLATE(A330,""ko"",""en""),)"),"I was hospitalized.")</f>
        <v>I was hospitalized.</v>
      </c>
      <c r="C330" s="13" t="str">
        <f ca="1">IFERROR(__xludf.DUMMYFUNCTION("IFERROR(GOOGLETRANSLATE(B330,""en"",""ja""),)"),"私は入院しました。")</f>
        <v>私は入院しました。</v>
      </c>
    </row>
    <row r="331" spans="1:3" ht="18">
      <c r="A331" s="5" t="s">
        <v>806</v>
      </c>
      <c r="B331" s="4" t="str">
        <f ca="1">IFERROR(__xludf.DUMMYFUNCTION("IFERROR(GOOGLETRANSLATE(A331,""ko"",""en""),)"),"Do you like fish, Jaemin?")</f>
        <v>Do you like fish, Jaemin?</v>
      </c>
      <c r="C331" s="4" t="str">
        <f ca="1">IFERROR(__xludf.DUMMYFUNCTION("IFERROR(GOOGLETRANSLATE(B331,""en"",""ja""),)"),"ジェミン、魚は好き？")</f>
        <v>ジェミン、魚は好き？</v>
      </c>
    </row>
    <row r="332" spans="1:3" ht="18">
      <c r="A332" s="3" t="s">
        <v>807</v>
      </c>
      <c r="B332" s="4" t="str">
        <f ca="1">IFERROR(__xludf.DUMMYFUNCTION("IFERROR(GOOGLETRANSLATE(A332,""ko"",""en""),)"),"Yes, I don't like meat, but I like fish.")</f>
        <v>Yes, I don't like meat, but I like fish.</v>
      </c>
      <c r="C332" s="4" t="str">
        <f ca="1">IFERROR(__xludf.DUMMYFUNCTION("IFERROR(GOOGLETRANSLATE(B332,""en"",""ja""),)"),"はい、私は肉は好きではありませんが、魚は好きです。")</f>
        <v>はい、私は肉は好きではありませんが、魚は好きです。</v>
      </c>
    </row>
    <row r="333" spans="1:3" ht="18">
      <c r="A333" s="3" t="s">
        <v>815</v>
      </c>
      <c r="B333" s="4" t="str">
        <f ca="1">IFERROR(__xludf.DUMMYFUNCTION("IFERROR(GOOGLETRANSLATE(A333,""ko"",""en""),)"),"Anna, how are you feeling today?")</f>
        <v>Anna, how are you feeling today?</v>
      </c>
      <c r="C333" s="4" t="str">
        <f ca="1">IFERROR(__xludf.DUMMYFUNCTION("IFERROR(GOOGLETRANSLATE(B333,""en"",""ja""),)"),"アンナ、今日の気分はどう？")</f>
        <v>アンナ、今日の気分はどう？</v>
      </c>
    </row>
    <row r="334" spans="1:3" ht="18">
      <c r="A334" s="3" t="s">
        <v>818</v>
      </c>
      <c r="B334" s="4" t="str">
        <f ca="1">IFERROR(__xludf.DUMMYFUNCTION("IFERROR(GOOGLETRANSLATE(A334,""ko"",""en""),)"),"I was in a lot of pain yesterday, but I'm fine today.")</f>
        <v>I was in a lot of pain yesterday, but I'm fine today.</v>
      </c>
      <c r="C334" s="4" t="str">
        <f ca="1">IFERROR(__xludf.DUMMYFUNCTION("IFERROR(GOOGLETRANSLATE(B334,""en"",""ja""),)"),"昨日はひどく痛かったのですが、今日はもう大丈夫です。")</f>
        <v>昨日はひどく痛かったのですが、今日はもう大丈夫です。</v>
      </c>
    </row>
    <row r="335" spans="1:3" ht="18">
      <c r="A335" s="3" t="s">
        <v>822</v>
      </c>
      <c r="B335" s="4" t="str">
        <f ca="1">IFERROR(__xludf.DUMMYFUNCTION("IFERROR(GOOGLETRANSLATE(A335,""ko"",""en""),)"),"I'm busy today, but I'm fine tomorrow.")</f>
        <v>I'm busy today, but I'm fine tomorrow.</v>
      </c>
      <c r="C335" s="4" t="str">
        <f ca="1">IFERROR(__xludf.DUMMYFUNCTION("IFERROR(GOOGLETRANSLATE(B335,""en"",""ja""),)"),"今日は忙しいですが、明日は大丈夫です。")</f>
        <v>今日は忙しいですが、明日は大丈夫です。</v>
      </c>
    </row>
    <row r="336" spans="1:3" ht="18">
      <c r="A336" s="3" t="s">
        <v>825</v>
      </c>
      <c r="B336" s="4" t="str">
        <f ca="1">IFERROR(__xludf.DUMMYFUNCTION("IFERROR(GOOGLETRANSLATE(A336,""ko"",""en""),)"),"That movie is fun, but it's a bit long.")</f>
        <v>That movie is fun, but it's a bit long.</v>
      </c>
      <c r="C336" s="4" t="str">
        <f ca="1">IFERROR(__xludf.DUMMYFUNCTION("IFERROR(GOOGLETRANSLATE(B336,""en"",""ja""),)"),"あの映画は面白いけど、ちょっと長いね。")</f>
        <v>あの映画は面白いけど、ちょっと長いね。</v>
      </c>
    </row>
    <row r="337" spans="1:26" ht="18">
      <c r="A337" s="3" t="s">
        <v>828</v>
      </c>
      <c r="B337" s="4" t="str">
        <f ca="1">IFERROR(__xludf.DUMMYFUNCTION("IFERROR(GOOGLETRANSLATE(A337,""ko"",""en""),)"),"I went to a friend's house, but my friend wasn't there.")</f>
        <v>I went to a friend's house, but my friend wasn't there.</v>
      </c>
      <c r="C337" s="4" t="str">
        <f ca="1">IFERROR(__xludf.DUMMYFUNCTION("IFERROR(GOOGLETRANSLATE(B337,""en"",""ja""),)"),"友達の家に行ったんだけど、友達はいなかった。")</f>
        <v>友達の家に行ったんだけど、友達はいなかった。</v>
      </c>
    </row>
    <row r="338" spans="1:26" ht="18">
      <c r="A338" s="3" t="s">
        <v>831</v>
      </c>
      <c r="B338" s="4" t="str">
        <f ca="1">IFERROR(__xludf.DUMMYFUNCTION("IFERROR(GOOGLETRANSLATE(A338,""ko"",""en""),)"),"I slept a lot yesterday, but I'm still tired.")</f>
        <v>I slept a lot yesterday, but I'm still tired.</v>
      </c>
      <c r="C338" s="4" t="str">
        <f ca="1">IFERROR(__xludf.DUMMYFUNCTION("IFERROR(GOOGLETRANSLATE(B338,""en"",""ja""),)"),"昨日はたくさん寝たけど、まだ疲れている。")</f>
        <v>昨日はたくさん寝たけど、まだ疲れている。</v>
      </c>
    </row>
    <row r="339" spans="1:26" ht="18">
      <c r="A339" s="3" t="s">
        <v>834</v>
      </c>
      <c r="B339" s="4" t="str">
        <f ca="1">IFERROR(__xludf.DUMMYFUNCTION("IFERROR(GOOGLETRANSLATE(A339,""ko"",""en""),)"),"The weather is nice, but it's a bit cold.")</f>
        <v>The weather is nice, but it's a bit cold.</v>
      </c>
      <c r="C339" s="4" t="str">
        <f ca="1">IFERROR(__xludf.DUMMYFUNCTION("IFERROR(GOOGLETRANSLATE(B339,""en"",""ja""),)"),"天気はいいけど、少し寒い。")</f>
        <v>天気はいいけど、少し寒い。</v>
      </c>
    </row>
    <row r="340" spans="1:26" ht="18">
      <c r="A340" s="3" t="s">
        <v>836</v>
      </c>
      <c r="B340" s="4" t="str">
        <f ca="1">IFERROR(__xludf.DUMMYFUNCTION("IFERROR(GOOGLETRANSLATE(A340,""ko"",""en""),)"),"The shoes are pretty, but expensive.")</f>
        <v>The shoes are pretty, but expensive.</v>
      </c>
      <c r="C340" s="4" t="str">
        <f ca="1">IFERROR(__xludf.DUMMYFUNCTION("IFERROR(GOOGLETRANSLATE(B340,""en"",""ja""),)"),"靴は可愛いけど、値段が高い。")</f>
        <v>靴は可愛いけど、値段が高い。</v>
      </c>
    </row>
    <row r="341" spans="1:26" ht="18">
      <c r="A341" s="3" t="s">
        <v>839</v>
      </c>
      <c r="B341" s="4" t="str">
        <f ca="1">IFERROR(__xludf.DUMMYFUNCTION("IFERROR(GOOGLETRANSLATE(A341,""ko"",""en""),)"),"Exercising is hard, but fun.")</f>
        <v>Exercising is hard, but fun.</v>
      </c>
      <c r="C341" s="4" t="str">
        <f ca="1">IFERROR(__xludf.DUMMYFUNCTION("IFERROR(GOOGLETRANSLATE(B341,""en"",""ja""),)"),"運動は大変だけど、楽しい。")</f>
        <v>運動は大変だけど、楽しい。</v>
      </c>
    </row>
    <row r="342" spans="1:26" ht="18">
      <c r="A342" s="3" t="s">
        <v>842</v>
      </c>
      <c r="B342" s="4" t="str">
        <f ca="1">IFERROR(__xludf.DUMMYFUNCTION("IFERROR(GOOGLETRANSLATE(A342,""ko"",""en""),)"),"I don't eat meat, but my younger sibling does.")</f>
        <v>I don't eat meat, but my younger sibling does.</v>
      </c>
      <c r="C342" s="4" t="str">
        <f ca="1">IFERROR(__xludf.DUMMYFUNCTION("IFERROR(GOOGLETRANSLATE(B342,""en"",""ja""),)"),"私は肉を食べませんが、弟は食べます。")</f>
        <v>私は肉を食べませんが、弟は食べます。</v>
      </c>
    </row>
    <row r="343" spans="1:26" ht="18">
      <c r="A343" s="3" t="s">
        <v>844</v>
      </c>
      <c r="B343" s="4" t="str">
        <f ca="1">IFERROR(__xludf.DUMMYFUNCTION("IFERROR(GOOGLETRANSLATE(A343,""ko"",""en""),)"),"The restaurant is small, but the food is delicious.")</f>
        <v>The restaurant is small, but the food is delicious.</v>
      </c>
      <c r="C343" s="4" t="str">
        <f ca="1">IFERROR(__xludf.DUMMYFUNCTION("IFERROR(GOOGLETRANSLATE(B343,""en"",""ja""),)"),"そのレストランは小さいけれど、料理は美味しい。")</f>
        <v>そのレストランは小さいけれど、料理は美味しい。</v>
      </c>
    </row>
    <row r="344" spans="1:26" ht="18">
      <c r="A344" s="3" t="s">
        <v>847</v>
      </c>
      <c r="B344" s="4" t="str">
        <f ca="1">IFERROR(__xludf.DUMMYFUNCTION("IFERROR(GOOGLETRANSLATE(A344,""ko"",""en""),)"),"It rained yesterday, but it isn't raining today.")</f>
        <v>It rained yesterday, but it isn't raining today.</v>
      </c>
      <c r="C344" s="4" t="str">
        <f ca="1">IFERROR(__xludf.DUMMYFUNCTION("IFERROR(GOOGLETRANSLATE(B344,""en"",""ja""),)"),"昨日は雨が降ったが、今日は降っていない。")</f>
        <v>昨日は雨が降ったが、今日は降っていない。</v>
      </c>
    </row>
    <row r="345" spans="1:26" ht="18">
      <c r="A345" s="5" t="s">
        <v>850</v>
      </c>
      <c r="B345" s="4" t="str">
        <f ca="1">IFERROR(__xludf.DUMMYFUNCTION("IFERROR(GOOGLETRANSLATE(A345,""ko"",""en""),)"),"The road wasn't complicated earlier, but it is complicated now.")</f>
        <v>The road wasn't complicated earlier, but it is complicated now.</v>
      </c>
      <c r="C345" s="4" t="str">
        <f ca="1">IFERROR(__xludf.DUMMYFUNCTION("IFERROR(GOOGLETRANSLATE(B345,""en"",""ja""),)"),"以前は道は複雑ではなかったが、今は複雑だ。")</f>
        <v>以前は道は複雑ではなかったが、今は複雑だ。</v>
      </c>
    </row>
    <row r="346" spans="1:26" ht="18">
      <c r="A346" s="2" t="s">
        <v>852</v>
      </c>
      <c r="B346" s="11" t="str">
        <f ca="1">IFERROR(__xludf.DUMMYFUNCTION("IFERROR(GOOGLETRANSLATE(A346,""ko"",""en""),)"),"Aren't you buying pants?")</f>
        <v>Aren't you buying pants?</v>
      </c>
      <c r="C346" s="11" t="str">
        <f ca="1">IFERROR(__xludf.DUMMYFUNCTION("IFERROR(GOOGLETRANSLATE(B346,""en"",""ja""),)"),"ズボンは買わないの？")</f>
        <v>ズボンは買わないの？</v>
      </c>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8">
      <c r="A347" s="3" t="s">
        <v>859</v>
      </c>
      <c r="B347" s="4" t="str">
        <f ca="1">IFERROR(__xludf.DUMMYFUNCTION("IFERROR(GOOGLETRANSLATE(A347,""ko"",""en""),)"),"Yes, it's cheap but long.")</f>
        <v>Yes, it's cheap but long.</v>
      </c>
      <c r="C347" s="4" t="str">
        <f ca="1">IFERROR(__xludf.DUMMYFUNCTION("IFERROR(GOOGLETRANSLATE(B347,""en"",""ja""),)"),"はい、安いですが、長いです。")</f>
        <v>はい、安いですが、長いです。</v>
      </c>
    </row>
    <row r="348" spans="1:26" ht="18">
      <c r="A348" s="3" t="s">
        <v>864</v>
      </c>
      <c r="B348" s="4" t="str">
        <f ca="1">IFERROR(__xludf.DUMMYFUNCTION("IFERROR(GOOGLETRANSLATE(A348,""ko"",""en""),)"),"Are you going to the Sejong Institute on the weekend?")</f>
        <v>Are you going to the Sejong Institute on the weekend?</v>
      </c>
      <c r="C348" s="4" t="str">
        <f ca="1">IFERROR(__xludf.DUMMYFUNCTION("IFERROR(GOOGLETRANSLATE(B348,""en"",""ja""),)"),"週末に世宗学院に行く予定ですか？")</f>
        <v>週末に世宗学院に行く予定ですか？</v>
      </c>
    </row>
    <row r="349" spans="1:26" ht="18">
      <c r="A349" s="3" t="s">
        <v>869</v>
      </c>
      <c r="B349" s="4" t="str">
        <f ca="1">IFERROR(__xludf.DUMMYFUNCTION("IFERROR(GOOGLETRANSLATE(A349,""ko"",""en""),)"),"I go to Sejong Institute on Saturdays, but I go to an amusement park on Sundays.")</f>
        <v>I go to Sejong Institute on Saturdays, but I go to an amusement park on Sundays.</v>
      </c>
      <c r="C349" s="4" t="str">
        <f ca="1">IFERROR(__xludf.DUMMYFUNCTION("IFERROR(GOOGLETRANSLATE(B349,""en"",""ja""),)"),"私は土曜日は世宗学院に通いますが、日曜日は遊園地に行きます。")</f>
        <v>私は土曜日は世宗学院に通いますが、日曜日は遊園地に行きます。</v>
      </c>
    </row>
    <row r="350" spans="1:26" ht="18">
      <c r="A350" s="3" t="s">
        <v>873</v>
      </c>
      <c r="B350" s="4" t="str">
        <f ca="1">IFERROR(__xludf.DUMMYFUNCTION("IFERROR(GOOGLETRANSLATE(A350,""ko"",""en""),)"),"I go to the Sejong Institute on Saturdays, but I don't go on Sundays.")</f>
        <v>I go to the Sejong Institute on Saturdays, but I don't go on Sundays.</v>
      </c>
      <c r="C350" s="4" t="str">
        <f ca="1">IFERROR(__xludf.DUMMYFUNCTION("IFERROR(GOOGLETRANSLATE(B350,""en"",""ja""),)"),"私は土曜日は世宗学院に行きますが、日曜日は行きません。")</f>
        <v>私は土曜日は世宗学院に行きますが、日曜日は行きません。</v>
      </c>
    </row>
    <row r="351" spans="1:26" ht="18">
      <c r="A351" s="5" t="s">
        <v>874</v>
      </c>
      <c r="B351" s="4" t="str">
        <f ca="1">IFERROR(__xludf.DUMMYFUNCTION("IFERROR(GOOGLETRANSLATE(A351,""ko"",""en""),)"),"You don't eat fish?")</f>
        <v>You don't eat fish?</v>
      </c>
      <c r="C351" s="4" t="str">
        <f ca="1">IFERROR(__xludf.DUMMYFUNCTION("IFERROR(GOOGLETRANSLATE(B351,""en"",""ja""),)"),"魚を食べないの？")</f>
        <v>魚を食べないの？</v>
      </c>
    </row>
    <row r="352" spans="1:26" ht="18">
      <c r="A352" s="3" t="s">
        <v>878</v>
      </c>
      <c r="B352" s="4" t="str">
        <f ca="1">IFERROR(__xludf.DUMMYFUNCTION("IFERROR(GOOGLETRANSLATE(A352,""ko"",""en""),)"),"I don't eat fish, but I eat meat.")</f>
        <v>I don't eat fish, but I eat meat.</v>
      </c>
      <c r="C352" s="4" t="str">
        <f ca="1">IFERROR(__xludf.DUMMYFUNCTION("IFERROR(GOOGLETRANSLATE(B352,""en"",""ja""),)"),"私は魚は食べませんが、肉は食べます。")</f>
        <v>私は魚は食べませんが、肉は食べます。</v>
      </c>
    </row>
    <row r="353" spans="1:3" ht="18">
      <c r="A353" s="3" t="s">
        <v>881</v>
      </c>
      <c r="B353" s="4" t="str">
        <f ca="1">IFERROR(__xludf.DUMMYFUNCTION("IFERROR(GOOGLETRANSLATE(A353,""ko"",""en""),)"),"Are you going on a trip too, Jaemin?")</f>
        <v>Are you going on a trip too, Jaemin?</v>
      </c>
      <c r="C353" s="4" t="str">
        <f ca="1">IFERROR(__xludf.DUMMYFUNCTION("IFERROR(GOOGLETRANSLATE(B353,""en"",""ja""),)"),"ジェミンも旅行に行くの？")</f>
        <v>ジェミンも旅行に行くの？</v>
      </c>
    </row>
    <row r="354" spans="1:3" ht="18">
      <c r="A354" s="3" t="s">
        <v>885</v>
      </c>
      <c r="B354" s="4" t="str">
        <f ca="1">IFERROR(__xludf.DUMMYFUNCTION("IFERROR(GOOGLETRANSLATE(A354,""ko"",""en""),)"),"No, Mari goes on a trip, but Jaemin does not.")</f>
        <v>No, Mari goes on a trip, but Jaemin does not.</v>
      </c>
      <c r="C354" s="4" t="str">
        <f ca="1">IFERROR(__xludf.DUMMYFUNCTION("IFERROR(GOOGLETRANSLATE(B354,""en"",""ja""),)"),"いいえ、マリは旅行に行きますが、ジェミンは行きません。")</f>
        <v>いいえ、マリは旅行に行きますが、ジェミンは行きません。</v>
      </c>
    </row>
    <row r="355" spans="1:3" ht="18">
      <c r="A355" s="3" t="s">
        <v>888</v>
      </c>
      <c r="B355" s="4" t="str">
        <f ca="1">IFERROR(__xludf.DUMMYFUNCTION("IFERROR(GOOGLETRANSLATE(A355,""ko"",""en""),)"),"Is it snowing again today?")</f>
        <v>Is it snowing again today?</v>
      </c>
      <c r="C355" s="4" t="str">
        <f ca="1">IFERROR(__xludf.DUMMYFUNCTION("IFERROR(GOOGLETRANSLATE(B355,""en"",""ja""),)"),"今日もまた雪が降っているの？")</f>
        <v>今日もまた雪が降っているの？</v>
      </c>
    </row>
    <row r="356" spans="1:3" ht="18">
      <c r="A356" s="3" t="s">
        <v>890</v>
      </c>
      <c r="B356" s="4" t="str">
        <f ca="1">IFERROR(__xludf.DUMMYFUNCTION("IFERROR(GOOGLETRANSLATE(A356,""ko"",""en""),)"),"No, it snowed yesterday, but it isn't snowing today.")</f>
        <v>No, it snowed yesterday, but it isn't snowing today.</v>
      </c>
      <c r="C356" s="4" t="str">
        <f ca="1">IFERROR(__xludf.DUMMYFUNCTION("IFERROR(GOOGLETRANSLATE(B356,""en"",""ja""),)"),"いいえ、昨日は雪が降りましたが、今日は雪は降っていません。")</f>
        <v>いいえ、昨日は雪が降りましたが、今日は雪は降っていません。</v>
      </c>
    </row>
    <row r="357" spans="1:3" ht="18">
      <c r="A357" s="3" t="s">
        <v>893</v>
      </c>
      <c r="B357" s="4" t="str">
        <f ca="1">IFERROR(__xludf.DUMMYFUNCTION("IFERROR(GOOGLETRANSLATE(A357,""ko"",""en""),)"),"How does the kimchi taste?")</f>
        <v>How does the kimchi taste?</v>
      </c>
      <c r="C357" s="4" t="str">
        <f ca="1">IFERROR(__xludf.DUMMYFUNCTION("IFERROR(GOOGLETRANSLATE(B357,""en"",""ja""),)"),"キムチの味はどうですか？")</f>
        <v>キムチの味はどうですか？</v>
      </c>
    </row>
    <row r="358" spans="1:3" ht="18">
      <c r="A358" s="3" t="s">
        <v>895</v>
      </c>
      <c r="B358" s="4" t="str">
        <f ca="1">IFERROR(__xludf.DUMMYFUNCTION("IFERROR(GOOGLETRANSLATE(A358,""ko"",""en""),)"),"It's spicy, but delicious.")</f>
        <v>It's spicy, but delicious.</v>
      </c>
      <c r="C358" s="4" t="str">
        <f ca="1">IFERROR(__xludf.DUMMYFUNCTION("IFERROR(GOOGLETRANSLATE(B358,""en"",""ja""),)"),"辛いけど、美味しい。")</f>
        <v>辛いけど、美味しい。</v>
      </c>
    </row>
    <row r="359" spans="1:3" ht="18">
      <c r="A359" s="3" t="s">
        <v>900</v>
      </c>
      <c r="B359" s="4" t="str">
        <f ca="1">IFERROR(__xludf.DUMMYFUNCTION("IFERROR(GOOGLETRANSLATE(A359,""ko"",""en""),)"),"How are your new shoes?")</f>
        <v>How are your new shoes?</v>
      </c>
      <c r="C359" s="4" t="str">
        <f ca="1">IFERROR(__xludf.DUMMYFUNCTION("IFERROR(GOOGLETRANSLATE(B359,""en"",""ja""),)"),"新しい靴の履き心地はどうですか？")</f>
        <v>新しい靴の履き心地はどうですか？</v>
      </c>
    </row>
    <row r="360" spans="1:3" ht="18">
      <c r="A360" s="3" t="s">
        <v>901</v>
      </c>
      <c r="B360" s="4" t="str">
        <f ca="1">IFERROR(__xludf.DUMMYFUNCTION("IFERROR(GOOGLETRANSLATE(A360,""ko"",""en""),)"),"It's pretty, but uncomfortable.")</f>
        <v>It's pretty, but uncomfortable.</v>
      </c>
      <c r="C360" s="4" t="str">
        <f ca="1">IFERROR(__xludf.DUMMYFUNCTION("IFERROR(GOOGLETRANSLATE(B360,""en"",""ja""),)"),"見た目は綺麗だけど、着心地は良くない。")</f>
        <v>見た目は綺麗だけど、着心地は良くない。</v>
      </c>
    </row>
    <row r="361" spans="1:3" ht="18">
      <c r="A361" s="3" t="s">
        <v>905</v>
      </c>
      <c r="B361" s="4" t="str">
        <f ca="1">IFERROR(__xludf.DUMMYFUNCTION("IFERROR(GOOGLETRANSLATE(A361,""ko"",""en""),)"),"How is the food at this restaurant?")</f>
        <v>How is the food at this restaurant?</v>
      </c>
      <c r="C361" s="4" t="str">
        <f ca="1">IFERROR(__xludf.DUMMYFUNCTION("IFERROR(GOOGLETRANSLATE(B361,""en"",""ja""),)"),"このレストランの料理はどうですか？")</f>
        <v>このレストランの料理はどうですか？</v>
      </c>
    </row>
    <row r="362" spans="1:3" ht="18">
      <c r="A362" s="3" t="s">
        <v>908</v>
      </c>
      <c r="B362" s="4" t="str">
        <f ca="1">IFERROR(__xludf.DUMMYFUNCTION("IFERROR(GOOGLETRANSLATE(A362,""ko"",""en""),)"),"It's delicious, but a bit expensive.")</f>
        <v>It's delicious, but a bit expensive.</v>
      </c>
      <c r="C362" s="4" t="str">
        <f ca="1">IFERROR(__xludf.DUMMYFUNCTION("IFERROR(GOOGLETRANSLATE(B362,""en"",""ja""),)"),"美味しいけど、ちょっと値段が高い。")</f>
        <v>美味しいけど、ちょっと値段が高い。</v>
      </c>
    </row>
    <row r="363" spans="1:3" ht="18">
      <c r="A363" s="3" t="s">
        <v>910</v>
      </c>
      <c r="B363" s="4" t="str">
        <f ca="1">IFERROR(__xludf.DUMMYFUNCTION("IFERROR(GOOGLETRANSLATE(A363,""ko"",""en""),)"),"Do you go to Sejong Institute on Sunday?")</f>
        <v>Do you go to Sejong Institute on Sunday?</v>
      </c>
      <c r="C363" s="4" t="str">
        <f ca="1">IFERROR(__xludf.DUMMYFUNCTION("IFERROR(GOOGLETRANSLATE(B363,""en"",""ja""),)"),"あなたは日曜日に世宗学院に行きますか？")</f>
        <v>あなたは日曜日に世宗学院に行きますか？</v>
      </c>
    </row>
    <row r="364" spans="1:3" ht="18">
      <c r="A364" s="3" t="s">
        <v>913</v>
      </c>
      <c r="B364" s="4" t="str">
        <f ca="1">IFERROR(__xludf.DUMMYFUNCTION("IFERROR(GOOGLETRANSLATE(A364,""ko"",""en""),)"),"No, I go on Saturdays, but not on Sundays.")</f>
        <v>No, I go on Saturdays, but not on Sundays.</v>
      </c>
      <c r="C364" s="4" t="str">
        <f ca="1">IFERROR(__xludf.DUMMYFUNCTION("IFERROR(GOOGLETRANSLATE(B364,""en"",""ja""),)"),"いいえ、土曜日は行きますが、日曜日は行きません。")</f>
        <v>いいえ、土曜日は行きますが、日曜日は行きません。</v>
      </c>
    </row>
    <row r="365" spans="1:3" ht="18">
      <c r="A365" s="3" t="s">
        <v>918</v>
      </c>
      <c r="B365" s="4" t="s">
        <v>919</v>
      </c>
      <c r="C365" s="4" t="str">
        <f ca="1">IFERROR(__xludf.DUMMYFUNCTION("IFERROR(GOOGLETRANSLATE(B365,""en"",""ja""),)"),"今も道路は混雑していますか？")</f>
        <v>今も道路は混雑していますか？</v>
      </c>
    </row>
    <row r="366" spans="1:3" ht="18">
      <c r="A366" s="3" t="s">
        <v>921</v>
      </c>
      <c r="B366" s="4" t="str">
        <f ca="1">IFERROR(__xludf.DUMMYFUNCTION("IFERROR(GOOGLETRANSLATE(A366,""ko"",""en""),)"),"No, it was complicated earlier, but it's not complicated now.")</f>
        <v>No, it was complicated earlier, but it's not complicated now.</v>
      </c>
      <c r="C366" s="4" t="str">
        <f ca="1">IFERROR(__xludf.DUMMYFUNCTION("IFERROR(GOOGLETRANSLATE(B366,""en"",""ja""),)"),"いいえ、以前は複雑でしたが、今は複雑ではありません。")</f>
        <v>いいえ、以前は複雑でしたが、今は複雑ではありません。</v>
      </c>
    </row>
    <row r="367" spans="1:3" ht="18">
      <c r="A367" s="5" t="s">
        <v>924</v>
      </c>
      <c r="B367" s="4" t="str">
        <f ca="1">IFERROR(__xludf.DUMMYFUNCTION("IFERROR(GOOGLETRANSLATE(A367,""ko"",""en""),)"),"I have a high fever.")</f>
        <v>I have a high fever.</v>
      </c>
      <c r="C367" s="4" t="str">
        <f ca="1">IFERROR(__xludf.DUMMYFUNCTION("IFERROR(GOOGLETRANSLATE(B367,""en"",""ja""),)"),"高熱があります。")</f>
        <v>高熱があります。</v>
      </c>
    </row>
    <row r="368" spans="1:3" ht="18">
      <c r="A368" s="3" t="s">
        <v>926</v>
      </c>
      <c r="B368" s="4" t="str">
        <f ca="1">IFERROR(__xludf.DUMMYFUNCTION("IFERROR(GOOGLETRANSLATE(A368,""ko"",""en""),)"),"I need to go to the hospital quickly.")</f>
        <v>I need to go to the hospital quickly.</v>
      </c>
      <c r="C368" s="4" t="str">
        <f ca="1">IFERROR(__xludf.DUMMYFUNCTION("IFERROR(GOOGLETRANSLATE(B368,""en"",""ja""),)"),"すぐに病院に行かなければならない。")</f>
        <v>すぐに病院に行かなければならない。</v>
      </c>
    </row>
    <row r="369" spans="1:3" ht="18">
      <c r="A369" s="3" t="s">
        <v>930</v>
      </c>
      <c r="B369" s="4" t="str">
        <f ca="1">IFERROR(__xludf.DUMMYFUNCTION("IFERROR(GOOGLETRANSLATE(A369,""ko"",""en""),)"),"What else do I need to prepare?")</f>
        <v>What else do I need to prepare?</v>
      </c>
      <c r="C369" s="4" t="str">
        <f ca="1">IFERROR(__xludf.DUMMYFUNCTION("IFERROR(GOOGLETRANSLATE(B369,""en"",""ja""),)"),"他に準備しておくべきことはありますか？")</f>
        <v>他に準備しておくべきことはありますか？</v>
      </c>
    </row>
    <row r="370" spans="1:3" ht="18">
      <c r="A370" s="3" t="s">
        <v>933</v>
      </c>
      <c r="B370" s="4" t="str">
        <f ca="1">IFERROR(__xludf.DUMMYFUNCTION("IFERROR(GOOGLETRANSLATE(A370,""ko"",""en""),)"),"You need a drink.")</f>
        <v>You need a drink.</v>
      </c>
      <c r="C370" s="4" t="str">
        <f ca="1">IFERROR(__xludf.DUMMYFUNCTION("IFERROR(GOOGLETRANSLATE(B370,""en"",""ja""),)"),"飲み物が必要だ。")</f>
        <v>飲み物が必要だ。</v>
      </c>
    </row>
    <row r="371" spans="1:3" ht="18">
      <c r="A371" s="3" t="s">
        <v>936</v>
      </c>
      <c r="B371" s="4" t="str">
        <f ca="1">IFERROR(__xludf.DUMMYFUNCTION("IFERROR(GOOGLETRANSLATE(A371,""ko"",""en""),)"),"I have to go")</f>
        <v>I have to go</v>
      </c>
      <c r="C371" s="4" t="str">
        <f ca="1">IFERROR(__xludf.DUMMYFUNCTION("IFERROR(GOOGLETRANSLATE(B371,""en"",""ja""),)"),"私は行かなければならない")</f>
        <v>私は行かなければならない</v>
      </c>
    </row>
    <row r="372" spans="1:3" ht="18">
      <c r="A372" s="2" t="s">
        <v>939</v>
      </c>
      <c r="B372" s="4" t="str">
        <f ca="1">IFERROR(__xludf.DUMMYFUNCTION("IFERROR(GOOGLETRANSLATE(A372,""ko"",""en""),)"),"You have to come.")</f>
        <v>You have to come.</v>
      </c>
      <c r="C372" s="4" t="str">
        <f ca="1">IFERROR(__xludf.DUMMYFUNCTION("IFERROR(GOOGLETRANSLATE(B372,""en"",""ja""),)"),"来てください。")</f>
        <v>来てください。</v>
      </c>
    </row>
    <row r="373" spans="1:3" ht="18">
      <c r="A373" s="3" t="s">
        <v>942</v>
      </c>
      <c r="B373" s="4" t="str">
        <f ca="1">IFERROR(__xludf.DUMMYFUNCTION("IFERROR(GOOGLETRANSLATE(A373,""ko"",""en""),)"),"I have to ride it.")</f>
        <v>I have to ride it.</v>
      </c>
      <c r="C373" s="4" t="str">
        <f ca="1">IFERROR(__xludf.DUMMYFUNCTION("IFERROR(GOOGLETRANSLATE(B373,""en"",""ja""),)"),"私はそれに乗る必要がある。")</f>
        <v>私はそれに乗る必要がある。</v>
      </c>
    </row>
    <row r="374" spans="1:3" ht="18">
      <c r="A374" s="3" t="s">
        <v>945</v>
      </c>
      <c r="B374" s="4" t="str">
        <f ca="1">IFERROR(__xludf.DUMMYFUNCTION("IFERROR(GOOGLETRANSLATE(A374,""ko"",""en""),)"),"It has to be good")</f>
        <v>It has to be good</v>
      </c>
      <c r="C374" s="4" t="str">
        <f ca="1">IFERROR(__xludf.DUMMYFUNCTION("IFERROR(GOOGLETRANSLATE(B374,""en"",""ja""),)"),"良いものでなければならない")</f>
        <v>良いものでなければならない</v>
      </c>
    </row>
    <row r="375" spans="1:3" ht="18">
      <c r="A375" s="3" t="s">
        <v>948</v>
      </c>
      <c r="B375" s="4" t="str">
        <f ca="1">IFERROR(__xludf.DUMMYFUNCTION("IFERROR(GOOGLETRANSLATE(A375,""ko"",""en""),)"),"I have to eat")</f>
        <v>I have to eat</v>
      </c>
      <c r="C375" s="4" t="str">
        <f ca="1">IFERROR(__xludf.DUMMYFUNCTION("IFERROR(GOOGLETRANSLATE(B375,""en"",""ja""),)"),"食べなければならない")</f>
        <v>食べなければならない</v>
      </c>
    </row>
    <row r="376" spans="1:3" ht="18">
      <c r="A376" s="3" t="s">
        <v>951</v>
      </c>
      <c r="B376" s="4" t="str">
        <f ca="1">IFERROR(__xludf.DUMMYFUNCTION("IFERROR(GOOGLETRANSLATE(A376,""ko"",""en""),)"),"You need to rest.")</f>
        <v>You need to rest.</v>
      </c>
      <c r="C376" s="4" t="str">
        <f ca="1">IFERROR(__xludf.DUMMYFUNCTION("IFERROR(GOOGLETRANSLATE(B376,""en"",""ja""),)"),"あなたは休む必要があります。")</f>
        <v>あなたは休む必要があります。</v>
      </c>
    </row>
    <row r="377" spans="1:3" ht="18">
      <c r="A377" s="3" t="s">
        <v>954</v>
      </c>
      <c r="B377" s="4" t="str">
        <f ca="1">IFERROR(__xludf.DUMMYFUNCTION("IFERROR(GOOGLETRANSLATE(A377,""ko"",""en""),)"),"It needs to be there")</f>
        <v>It needs to be there</v>
      </c>
      <c r="C377" s="4" t="str">
        <f ca="1">IFERROR(__xludf.DUMMYFUNCTION("IFERROR(GOOGLETRANSLATE(B377,""en"",""ja""),)"),"それはそこにある必要がある")</f>
        <v>それはそこにある必要がある</v>
      </c>
    </row>
    <row r="378" spans="1:3" ht="18">
      <c r="A378" s="3" t="s">
        <v>957</v>
      </c>
      <c r="B378" s="4" t="str">
        <f ca="1">IFERROR(__xludf.DUMMYFUNCTION("IFERROR(GOOGLETRANSLATE(A378,""ko"",""en""),)"),"You need a visa.")</f>
        <v>You need a visa.</v>
      </c>
      <c r="C378" s="4" t="str">
        <f ca="1">IFERROR(__xludf.DUMMYFUNCTION("IFERROR(GOOGLETRANSLATE(B378,""en"",""ja""),)"),"ビザが必要です。")</f>
        <v>ビザが必要です。</v>
      </c>
    </row>
    <row r="379" spans="1:3" ht="18">
      <c r="A379" s="3" t="s">
        <v>959</v>
      </c>
      <c r="B379" s="4" t="str">
        <f ca="1">IFERROR(__xludf.DUMMYFUNCTION("IFERROR(GOOGLETRANSLATE(A379,""ko"",""en""),)"),"It needs to be big")</f>
        <v>It needs to be big</v>
      </c>
      <c r="C379" s="4" t="str">
        <f ca="1">IFERROR(__xludf.DUMMYFUNCTION("IFERROR(GOOGLETRANSLATE(B379,""en"",""ja""),)"),"大きくなければならない")</f>
        <v>大きくなければならない</v>
      </c>
    </row>
    <row r="380" spans="1:3" ht="18">
      <c r="A380" s="3" t="s">
        <v>962</v>
      </c>
      <c r="B380" s="4" t="str">
        <f ca="1">IFERROR(__xludf.DUMMYFUNCTION("IFERROR(GOOGLETRANSLATE(A380,""ko"",""en""),)"),"I have to work")</f>
        <v>I have to work</v>
      </c>
      <c r="C380" s="4" t="str">
        <f ca="1">IFERROR(__xludf.DUMMYFUNCTION("IFERROR(GOOGLETRANSLATE(B380,""en"",""ja""),)"),"私は働かなければならない")</f>
        <v>私は働かなければならない</v>
      </c>
    </row>
    <row r="381" spans="1:3" ht="18">
      <c r="A381" s="3" t="s">
        <v>965</v>
      </c>
      <c r="B381" s="4" t="str">
        <f ca="1">IFERROR(__xludf.DUMMYFUNCTION("IFERROR(GOOGLETRANSLATE(A381,""ko"",""en""),)"),"I have to study")</f>
        <v>I have to study</v>
      </c>
      <c r="C381" s="4" t="str">
        <f ca="1">IFERROR(__xludf.DUMMYFUNCTION("IFERROR(GOOGLETRANSLATE(B381,""en"",""ja""),)"),"私は勉強しなければならない")</f>
        <v>私は勉強しなければならない</v>
      </c>
    </row>
    <row r="382" spans="1:3" ht="18">
      <c r="A382" s="3" t="s">
        <v>969</v>
      </c>
      <c r="B382" s="4" t="str">
        <f ca="1">IFERROR(__xludf.DUMMYFUNCTION("IFERROR(GOOGLETRANSLATE(A382,""ko"",""en""),)"),"You need to prepare")</f>
        <v>You need to prepare</v>
      </c>
      <c r="C382" s="4" t="str">
        <f ca="1">IFERROR(__xludf.DUMMYFUNCTION("IFERROR(GOOGLETRANSLATE(B382,""en"",""ja""),)"),"準備が必要です")</f>
        <v>準備が必要です</v>
      </c>
    </row>
    <row r="383" spans="1:3" ht="18">
      <c r="A383" s="3" t="s">
        <v>972</v>
      </c>
      <c r="B383" s="4" t="str">
        <f ca="1">IFERROR(__xludf.DUMMYFUNCTION("IFERROR(GOOGLETRANSLATE(A383,""ko"",""en""),)"),"You need to be comfortable.")</f>
        <v>You need to be comfortable.</v>
      </c>
      <c r="C383" s="4" t="str">
        <f ca="1">IFERROR(__xludf.DUMMYFUNCTION("IFERROR(GOOGLETRANSLATE(B383,""en"",""ja""),)"),"快適な環境が必要です。")</f>
        <v>快適な環境が必要です。</v>
      </c>
    </row>
    <row r="384" spans="1:3" ht="18">
      <c r="A384" s="5" t="s">
        <v>974</v>
      </c>
      <c r="B384" s="4" t="str">
        <f ca="1">IFERROR(__xludf.DUMMYFUNCTION("IFERROR(GOOGLETRANSLATE(A384,""ko"",""en""),)"),"enough ")</f>
        <v xml:space="preserve">enough </v>
      </c>
      <c r="C384" s="4" t="str">
        <f ca="1">IFERROR(__xludf.DUMMYFUNCTION("IFERROR(GOOGLETRANSLATE(B384,""en"",""ja""),)"),"十分 ")</f>
        <v xml:space="preserve">十分 </v>
      </c>
    </row>
    <row r="385" spans="1:3" ht="18">
      <c r="A385" s="5" t="s">
        <v>978</v>
      </c>
      <c r="B385" s="4" t="str">
        <f ca="1">IFERROR(__xludf.DUMMYFUNCTION("IFERROR(GOOGLETRANSLATE(A385,""ko"",""en""),)"),"You need to get enough sleep.")</f>
        <v>You need to get enough sleep.</v>
      </c>
      <c r="C385" s="4" t="str">
        <f ca="1">IFERROR(__xludf.DUMMYFUNCTION("IFERROR(GOOGLETRANSLATE(B385,""en"",""ja""),)"),"十分な睡眠をとる必要があります。")</f>
        <v>十分な睡眠をとる必要があります。</v>
      </c>
    </row>
    <row r="386" spans="1:3" ht="18">
      <c r="A386" s="3" t="s">
        <v>981</v>
      </c>
      <c r="B386" s="4" t="str">
        <f ca="1">IFERROR(__xludf.DUMMYFUNCTION("IFERROR(GOOGLETRANSLATE(A386,""ko"",""en""),)"),"I need to exercise")</f>
        <v>I need to exercise</v>
      </c>
      <c r="C386" s="4" t="str">
        <f ca="1">IFERROR(__xludf.DUMMYFUNCTION("IFERROR(GOOGLETRANSLATE(B386,""en"",""ja""),)"),"運動する必要がある")</f>
        <v>運動する必要がある</v>
      </c>
    </row>
    <row r="387" spans="1:3" ht="18">
      <c r="A387" s="3" t="s">
        <v>985</v>
      </c>
      <c r="B387" s="4" t="str">
        <f ca="1">IFERROR(__xludf.DUMMYFUNCTION("IFERROR(GOOGLETRANSLATE(A387,""ko"",""en""),)"),"You need to drink water.")</f>
        <v>You need to drink water.</v>
      </c>
      <c r="C387" s="4" t="str">
        <f ca="1">IFERROR(__xludf.DUMMYFUNCTION("IFERROR(GOOGLETRANSLATE(B387,""en"",""ja""),)"),"水を飲む必要があります。")</f>
        <v>水を飲む必要があります。</v>
      </c>
    </row>
    <row r="388" spans="1:3" ht="18">
      <c r="A388" s="3" t="s">
        <v>988</v>
      </c>
      <c r="B388" s="4" t="str">
        <f ca="1">IFERROR(__xludf.DUMMYFUNCTION("IFERROR(GOOGLETRANSLATE(A388,""ko"",""en""),)"),"You need to eat vegetables.")</f>
        <v>You need to eat vegetables.</v>
      </c>
      <c r="C388" s="4" t="str">
        <f ca="1">IFERROR(__xludf.DUMMYFUNCTION("IFERROR(GOOGLETRANSLATE(B388,""en"",""ja""),)"),"野菜を食べなければなりません。")</f>
        <v>野菜を食べなければなりません。</v>
      </c>
    </row>
    <row r="389" spans="1:3" ht="18">
      <c r="A389" s="3" t="s">
        <v>991</v>
      </c>
      <c r="B389" s="4" t="str">
        <f ca="1">IFERROR(__xludf.DUMMYFUNCTION("IFERROR(GOOGLETRANSLATE(A389,""ko"",""en""),)"),"I need to meet a friend")</f>
        <v>I need to meet a friend</v>
      </c>
      <c r="C389" s="4" t="str">
        <f ca="1">IFERROR(__xludf.DUMMYFUNCTION("IFERROR(GOOGLETRANSLATE(B389,""en"",""ja""),)"),"友達に会う必要がある")</f>
        <v>友達に会う必要がある</v>
      </c>
    </row>
    <row r="390" spans="1:3" ht="18">
      <c r="A390" s="3" t="s">
        <v>995</v>
      </c>
      <c r="B390" s="4" t="str">
        <f ca="1">IFERROR(__xludf.DUMMYFUNCTION("IFERROR(GOOGLETRANSLATE(A390,""ko"",""en""),)"),"I'm so tired. I need to get some good rest.")</f>
        <v>I'm so tired. I need to get some good rest.</v>
      </c>
      <c r="C390" s="4" t="str">
        <f ca="1">IFERROR(__xludf.DUMMYFUNCTION("IFERROR(GOOGLETRANSLATE(B390,""en"",""ja""),)"),"とても疲れた。しっかり休まなくちゃ。")</f>
        <v>とても疲れた。しっかり休まなくちゃ。</v>
      </c>
    </row>
    <row r="391" spans="1:3" ht="18">
      <c r="A391" s="3" t="s">
        <v>999</v>
      </c>
      <c r="B391" s="4" t="str">
        <f ca="1">IFERROR(__xludf.DUMMYFUNCTION("IFERROR(GOOGLETRANSLATE(A391,""ko"",""en""),)"),"It's raining outside. You need to get an umbrella.")</f>
        <v>It's raining outside. You need to get an umbrella.</v>
      </c>
      <c r="C391" s="4" t="str">
        <f ca="1">IFERROR(__xludf.DUMMYFUNCTION("IFERROR(GOOGLETRANSLATE(B391,""en"",""ja""),)"),"外は雨が降っています。傘が必要です。")</f>
        <v>外は雨が降っています。傘が必要です。</v>
      </c>
    </row>
    <row r="392" spans="1:3" ht="18">
      <c r="A392" s="3" t="s">
        <v>1001</v>
      </c>
      <c r="B392" s="4" t="str">
        <f ca="1">IFERROR(__xludf.DUMMYFUNCTION("IFERROR(GOOGLETRANSLATE(A392,""ko"",""en""),)"),"I have an exam tomorrow. I have to study today.")</f>
        <v>I have an exam tomorrow. I have to study today.</v>
      </c>
      <c r="C392" s="4" t="str">
        <f ca="1">IFERROR(__xludf.DUMMYFUNCTION("IFERROR(GOOGLETRANSLATE(B392,""en"",""ja""),)"),"明日試験がある。今日は勉強しなくてはならない。")</f>
        <v>明日試験がある。今日は勉強しなくてはならない。</v>
      </c>
    </row>
    <row r="393" spans="1:3" ht="18">
      <c r="A393" s="3" t="s">
        <v>1003</v>
      </c>
      <c r="B393" s="4" t="str">
        <f ca="1">IFERROR(__xludf.DUMMYFUNCTION("IFERROR(GOOGLETRANSLATE(A393,""ko"",""en""),)"),"Today is my friend's birthday. I need to buy a gift.")</f>
        <v>Today is my friend's birthday. I need to buy a gift.</v>
      </c>
      <c r="C393" s="4" t="str">
        <f ca="1">IFERROR(__xludf.DUMMYFUNCTION("IFERROR(GOOGLETRANSLATE(B393,""en"",""ja""),)"),"今日は友達の誕生日です。プレゼントを買わなくちゃ。")</f>
        <v>今日は友達の誕生日です。プレゼントを買わなくちゃ。</v>
      </c>
    </row>
    <row r="394" spans="1:3" ht="18">
      <c r="A394" s="3" t="s">
        <v>1005</v>
      </c>
      <c r="B394" s="4" t="str">
        <f ca="1">IFERROR(__xludf.DUMMYFUNCTION("IFERROR(GOOGLETRANSLATE(A394,""ko"",""en""),)"),"Did you finish reading the book?")</f>
        <v>Did you finish reading the book?</v>
      </c>
      <c r="C394" s="4" t="str">
        <f ca="1">IFERROR(__xludf.DUMMYFUNCTION("IFERROR(GOOGLETRANSLATE(B394,""en"",""ja""),)"),"あなたは本を読み終えましたか？")</f>
        <v>あなたは本を読み終えましたか？</v>
      </c>
    </row>
    <row r="395" spans="1:3" ht="18">
      <c r="A395" s="3" t="s">
        <v>1010</v>
      </c>
      <c r="B395" s="4" t="str">
        <f ca="1">IFERROR(__xludf.DUMMYFUNCTION("IFERROR(GOOGLETRANSLATE(A395,""ko"",""en""),)"),"No, you have to read it starting now.")</f>
        <v>No, you have to read it starting now.</v>
      </c>
      <c r="C395" s="4" t="str">
        <f ca="1">IFERROR(__xludf.DUMMYFUNCTION("IFERROR(GOOGLETRANSLATE(B395,""en"",""ja""),)"),"いいえ、今すぐ読み始めなければなりません。")</f>
        <v>いいえ、今すぐ読み始めなければなりません。</v>
      </c>
    </row>
    <row r="396" spans="1:3" ht="18">
      <c r="A396" s="3" t="s">
        <v>418</v>
      </c>
      <c r="B396" s="4" t="str">
        <f ca="1">IFERROR(__xludf.DUMMYFUNCTION("IFERROR(GOOGLETRANSLATE(A396,""ko"",""en""),)"),"When do I take my medicine?")</f>
        <v>When do I take my medicine?</v>
      </c>
      <c r="C396" s="4" t="str">
        <f ca="1">IFERROR(__xludf.DUMMYFUNCTION("IFERROR(GOOGLETRANSLATE(B396,""en"",""ja""),)"),"薬はいつ服用すればいいですか？")</f>
        <v>薬はいつ服用すればいいですか？</v>
      </c>
    </row>
    <row r="397" spans="1:3" ht="18">
      <c r="A397" s="3" t="s">
        <v>1013</v>
      </c>
      <c r="B397" s="4" t="str">
        <f ca="1">IFERROR(__xludf.DUMMYFUNCTION("IFERROR(GOOGLETRANSLATE(A397,""ko"",""en""),)"),"You have to eat it after a meal.")</f>
        <v>You have to eat it after a meal.</v>
      </c>
      <c r="C397" s="4" t="str">
        <f ca="1">IFERROR(__xludf.DUMMYFUNCTION("IFERROR(GOOGLETRANSLATE(B397,""en"",""ja""),)"),"食後に食べなければなりません。")</f>
        <v>食後に食べなければなりません。</v>
      </c>
    </row>
    <row r="398" spans="1:3" ht="18">
      <c r="A398" s="3" t="s">
        <v>1018</v>
      </c>
      <c r="B398" s="4" t="str">
        <f ca="1">IFERROR(__xludf.DUMMYFUNCTION("IFERROR(GOOGLETRANSLATE(A398,""ko"",""en""),)"),"Where do I get off?")</f>
        <v>Where do I get off?</v>
      </c>
      <c r="C398" s="4" t="str">
        <f ca="1">IFERROR(__xludf.DUMMYFUNCTION("IFERROR(GOOGLETRANSLATE(B398,""en"",""ja""),)"),"どこで降りればいいですか？")</f>
        <v>どこで降りればいいですか？</v>
      </c>
    </row>
    <row r="399" spans="1:3" ht="18">
      <c r="A399" s="3" t="s">
        <v>1021</v>
      </c>
      <c r="B399" s="4" t="str">
        <f ca="1">IFERROR(__xludf.DUMMYFUNCTION("IFERROR(GOOGLETRANSLATE(A399,""ko"",""en""),)"),"You have to get off at this stop.")</f>
        <v>You have to get off at this stop.</v>
      </c>
      <c r="C399" s="4" t="str">
        <f ca="1">IFERROR(__xludf.DUMMYFUNCTION("IFERROR(GOOGLETRANSLATE(B399,""en"",""ja""),)"),"この停留所で降りてください。")</f>
        <v>この停留所で降りてください。</v>
      </c>
    </row>
    <row r="400" spans="1:3" ht="18">
      <c r="A400" s="3" t="s">
        <v>1025</v>
      </c>
      <c r="B400" s="4" t="str">
        <f ca="1">IFERROR(__xludf.DUMMYFUNCTION("IFERROR(GOOGLETRANSLATE(A400,""ko"",""en""),)"),"Can't you go to work today?")</f>
        <v>Can't you go to work today?</v>
      </c>
      <c r="C400" s="4" t="str">
        <f ca="1">IFERROR(__xludf.DUMMYFUNCTION("IFERROR(GOOGLETRANSLATE(B400,""en"",""ja""),)"),"今日は仕事に行けないの？")</f>
        <v>今日は仕事に行けないの？</v>
      </c>
    </row>
    <row r="401" spans="1:3" ht="18">
      <c r="A401" s="3" t="s">
        <v>1029</v>
      </c>
      <c r="B401" s="4" t="str">
        <f ca="1">IFERROR(__xludf.DUMMYFUNCTION("IFERROR(GOOGLETRANSLATE(A401,""ko"",""en""),)"),"Yes, I need to go to the hospital.")</f>
        <v>Yes, I need to go to the hospital.</v>
      </c>
      <c r="C401" s="4" t="str">
        <f ca="1">IFERROR(__xludf.DUMMYFUNCTION("IFERROR(GOOGLETRANSLATE(B401,""en"",""ja""),)"),"はい、病院に行かなければなりません。")</f>
        <v>はい、病院に行かなければなりません。</v>
      </c>
    </row>
    <row r="402" spans="1:3" ht="18">
      <c r="A402" s="3" t="s">
        <v>1031</v>
      </c>
      <c r="B402" s="4" t="str">
        <f ca="1">IFERROR(__xludf.DUMMYFUNCTION("IFERROR(GOOGLETRANSLATE(A402,""ko"",""en""),)"),"Have you finished preparing for the party?")</f>
        <v>Have you finished preparing for the party?</v>
      </c>
      <c r="C402" s="4" t="str">
        <f ca="1">IFERROR(__xludf.DUMMYFUNCTION("IFERROR(GOOGLETRANSLATE(B402,""en"",""ja""),)"),"パーティーの準備は終わりましたか？")</f>
        <v>パーティーの準備は終わりましたか？</v>
      </c>
    </row>
    <row r="403" spans="1:3" ht="18">
      <c r="A403" s="3" t="s">
        <v>1033</v>
      </c>
      <c r="B403" s="4" t="str">
        <f ca="1">IFERROR(__xludf.DUMMYFUNCTION("IFERROR(GOOGLETRANSLATE(A403,""ko"",""en""),)"),"No. I need to buy more fruit.")</f>
        <v>No. I need to buy more fruit.</v>
      </c>
      <c r="C403" s="4" t="str">
        <f ca="1">IFERROR(__xludf.DUMMYFUNCTION("IFERROR(GOOGLETRANSLATE(B403,""en"",""ja""),)"),"いいえ。もっと果物を買わないといけないんです。")</f>
        <v>いいえ。もっと果物を買わないといけないんです。</v>
      </c>
    </row>
    <row r="404" spans="1:3" ht="18">
      <c r="A404" s="3" t="s">
        <v>1036</v>
      </c>
      <c r="B404" s="4" t="str">
        <f ca="1">IFERROR(__xludf.DUMMYFUNCTION("IFERROR(GOOGLETRANSLATE(A404,""ko"",""en""),)"),"Suzy, did you buy a birthday present for Jaemin?")</f>
        <v>Suzy, did you buy a birthday present for Jaemin?</v>
      </c>
      <c r="C404" s="4" t="str">
        <f ca="1">IFERROR(__xludf.DUMMYFUNCTION("IFERROR(GOOGLETRANSLATE(B404,""en"",""ja""),)"),"スジ、ジェミンへの誕生日プレゼントは買った？")</f>
        <v>スジ、ジェミンへの誕生日プレゼントは買った？</v>
      </c>
    </row>
    <row r="405" spans="1:3" ht="18">
      <c r="A405" s="3" t="s">
        <v>1038</v>
      </c>
      <c r="B405" s="4" t="str">
        <f ca="1">IFERROR(__xludf.DUMMYFUNCTION("IFERROR(GOOGLETRANSLATE(A405,""ko"",""en""),)"),"No. I have to buy it today.")</f>
        <v>No. I have to buy it today.</v>
      </c>
      <c r="C405" s="4" t="str">
        <f ca="1">IFERROR(__xludf.DUMMYFUNCTION("IFERROR(GOOGLETRANSLATE(B405,""en"",""ja""),)"),"いいえ。今日中に買わなければならないんです。")</f>
        <v>いいえ。今日中に買わなければならないんです。</v>
      </c>
    </row>
    <row r="406" spans="1:3" ht="18">
      <c r="A406" s="3" t="s">
        <v>1040</v>
      </c>
      <c r="B406" s="4" t="str">
        <f ca="1">IFERROR(__xludf.DUMMYFUNCTION("IFERROR(GOOGLETRANSLATE(A406,""ko"",""en""),)"),"Did you finish your homework?")</f>
        <v>Did you finish your homework?</v>
      </c>
      <c r="C406" s="4" t="str">
        <f ca="1">IFERROR(__xludf.DUMMYFUNCTION("IFERROR(GOOGLETRANSLATE(B406,""en"",""ja""),)"),"宿題は終わりましたか？")</f>
        <v>宿題は終わりましたか？</v>
      </c>
    </row>
    <row r="407" spans="1:3" ht="18">
      <c r="A407" s="5" t="s">
        <v>1042</v>
      </c>
      <c r="B407" s="4" t="str">
        <f ca="1">IFERROR(__xludf.DUMMYFUNCTION("IFERROR(GOOGLETRANSLATE(A407,""ko"",""en""),)"),"No. You have to start memorizing words now.")</f>
        <v>No. You have to start memorizing words now.</v>
      </c>
      <c r="C407" s="4" t="str">
        <f ca="1">IFERROR(__xludf.DUMMYFUNCTION("IFERROR(GOOGLETRANSLATE(B407,""en"",""ja""),)"),"いいえ。今すぐ単語を暗記し始めなければなりません。")</f>
        <v>いいえ。今すぐ単語を暗記し始めなければなりません。</v>
      </c>
    </row>
    <row r="408" spans="1:3" ht="18">
      <c r="A408" s="3" t="s">
        <v>1046</v>
      </c>
      <c r="B408" s="4" t="str">
        <f ca="1">IFERROR(__xludf.DUMMYFUNCTION("IFERROR(GOOGLETRANSLATE(A408,""ko"",""en""),)"),"Is the post office close from here?")</f>
        <v>Is the post office close from here?</v>
      </c>
      <c r="C408" s="4" t="str">
        <f ca="1">IFERROR(__xludf.DUMMYFUNCTION("IFERROR(GOOGLETRANSLATE(B408,""en"",""ja""),)"),"ここから郵便局は近いですか？")</f>
        <v>ここから郵便局は近いですか？</v>
      </c>
    </row>
    <row r="409" spans="1:3" ht="18">
      <c r="A409" s="5" t="s">
        <v>1049</v>
      </c>
      <c r="B409" s="4" t="str">
        <f ca="1">IFERROR(__xludf.DUMMYFUNCTION("IFERROR(GOOGLETRANSLATE(A409,""ko"",""en""),)"),"No. It's far, so I have to take the bus.")</f>
        <v>No. It's far, so I have to take the bus.</v>
      </c>
      <c r="C409" s="4" t="str">
        <f ca="1">IFERROR(__xludf.DUMMYFUNCTION("IFERROR(GOOGLETRANSLATE(B409,""en"",""ja""),)"),"いいえ。遠いので、バスに乗らなければなりません。")</f>
        <v>いいえ。遠いので、バスに乗らなければなりません。</v>
      </c>
    </row>
    <row r="410" spans="1:3" ht="18">
      <c r="A410" s="3" t="s">
        <v>1053</v>
      </c>
      <c r="B410" s="4" t="str">
        <f ca="1">IFERROR(__xludf.DUMMYFUNCTION("IFERROR(GOOGLETRANSLATE(A410,""ko"",""en""),)"),"Is the weather cold today?")</f>
        <v>Is the weather cold today?</v>
      </c>
      <c r="C410" s="4" t="str">
        <f ca="1">IFERROR(__xludf.DUMMYFUNCTION("IFERROR(GOOGLETRANSLATE(B410,""en"",""ja""),)"),"今日は寒いですか？")</f>
        <v>今日は寒いですか？</v>
      </c>
    </row>
    <row r="411" spans="1:3" ht="18">
      <c r="A411" s="2" t="s">
        <v>1054</v>
      </c>
      <c r="B411" s="4" t="str">
        <f ca="1">IFERROR(__xludf.DUMMYFUNCTION("IFERROR(GOOGLETRANSLATE(A411,""ko"",""en""),)"),"Yes. You have to wear a lot of clothes.")</f>
        <v>Yes. You have to wear a lot of clothes.</v>
      </c>
      <c r="C411" s="4" t="str">
        <f ca="1">IFERROR(__xludf.DUMMYFUNCTION("IFERROR(GOOGLETRANSLATE(B411,""en"",""ja""),)"),"はい。たくさん服を着なければなりません。")</f>
        <v>はい。たくさん服を着なければなりません。</v>
      </c>
    </row>
    <row r="412" spans="1:3" ht="18">
      <c r="A412" s="3" t="s">
        <v>1057</v>
      </c>
      <c r="B412" s="4" t="str">
        <f ca="1">IFERROR(__xludf.DUMMYFUNCTION("IFERROR(GOOGLETRANSLATE(A412,""ko"",""en""),)"),"What are you doing on Saturday?")</f>
        <v>What are you doing on Saturday?</v>
      </c>
      <c r="C412" s="4" t="str">
        <f ca="1">IFERROR(__xludf.DUMMYFUNCTION("IFERROR(GOOGLETRANSLATE(B412,""en"",""ja""),)"),"土曜日は何をする予定ですか？")</f>
        <v>土曜日は何をする予定ですか？</v>
      </c>
    </row>
    <row r="413" spans="1:3" ht="18">
      <c r="A413" s="3" t="s">
        <v>1060</v>
      </c>
      <c r="B413" s="4" t="str">
        <f ca="1">IFERROR(__xludf.DUMMYFUNCTION("IFERROR(GOOGLETRANSLATE(A413,""ko"",""en""),)"),"I have to do a part-time job.")</f>
        <v>I have to do a part-time job.</v>
      </c>
      <c r="C413" s="4" t="str">
        <f ca="1">IFERROR(__xludf.DUMMYFUNCTION("IFERROR(GOOGLETRANSLATE(B413,""en"",""ja""),)"),"私はアルバイトをしなければならない。")</f>
        <v>私はアルバイトをしなければならない。</v>
      </c>
    </row>
    <row r="414" spans="1:3" ht="18">
      <c r="A414" s="3" t="s">
        <v>1064</v>
      </c>
      <c r="B414" s="4" t="str">
        <f ca="1">IFERROR(__xludf.DUMMYFUNCTION("IFERROR(GOOGLETRANSLATE(A414,""ko"",""en""),)"),"Yujin needs to take medicine.")</f>
        <v>Yujin needs to take medicine.</v>
      </c>
      <c r="C414" s="4" t="str">
        <f ca="1">IFERROR(__xludf.DUMMYFUNCTION("IFERROR(GOOGLETRANSLATE(B414,""en"",""ja""),)"),"ユジンは薬を飲まなければならない。")</f>
        <v>ユジンは薬を飲まなければならない。</v>
      </c>
    </row>
    <row r="415" spans="1:3" ht="18">
      <c r="A415" s="3" t="s">
        <v>1066</v>
      </c>
      <c r="B415" s="4" t="str">
        <f ca="1">IFERROR(__xludf.DUMMYFUNCTION("IFERROR(GOOGLETRANSLATE(A415,""ko"",""en""),)"),"Yujin, you need to sleep well.")</f>
        <v>Yujin, you need to sleep well.</v>
      </c>
      <c r="C415" s="4" t="str">
        <f ca="1">IFERROR(__xludf.DUMMYFUNCTION("IFERROR(GOOGLETRANSLATE(B415,""en"",""ja""),)"),"ユジン、しっかり寝ないと。")</f>
        <v>ユジン、しっかり寝ないと。</v>
      </c>
    </row>
    <row r="416" spans="1:3" ht="18">
      <c r="A416" s="2" t="s">
        <v>1070</v>
      </c>
      <c r="B416" s="4" t="str">
        <f ca="1">IFERROR(__xludf.DUMMYFUNCTION("IFERROR(GOOGLETRANSLATE(A416,""ko"",""en""),)"),"Yujin, you need to drink a lot of water.")</f>
        <v>Yujin, you need to drink a lot of water.</v>
      </c>
      <c r="C416" s="4" t="str">
        <f ca="1">IFERROR(__xludf.DUMMYFUNCTION("IFERROR(GOOGLETRANSLATE(B416,""en"",""ja""),)"),"ユジン、もっとたくさん水を飲まないといけないよ。")</f>
        <v>ユジン、もっとたくさん水を飲まないといけないよ。</v>
      </c>
    </row>
    <row r="417" spans="1:3" ht="18">
      <c r="A417" s="3" t="s">
        <v>1075</v>
      </c>
      <c r="B417" s="4" t="str">
        <f ca="1">IFERROR(__xludf.DUMMYFUNCTION("IFERROR(GOOGLETRANSLATE(A417,""ko"",""en""),)"),"Yujin needs to be hospitalized.")</f>
        <v>Yujin needs to be hospitalized.</v>
      </c>
      <c r="C417" s="4" t="str">
        <f ca="1">IFERROR(__xludf.DUMMYFUNCTION("IFERROR(GOOGLETRANSLATE(B417,""en"",""ja""),)"),"ユジンは入院が必要だ。")</f>
        <v>ユジンは入院が必要だ。</v>
      </c>
    </row>
    <row r="418" spans="1:3" ht="18">
      <c r="A418" s="3" t="s">
        <v>1078</v>
      </c>
      <c r="B418" s="4" t="str">
        <f ca="1">IFERROR(__xludf.DUMMYFUNCTION("IFERROR(GOOGLETRANSLATE(A418,""ko"",""en""),)"),"Anna, are you in pain?")</f>
        <v>Anna, are you in pain?</v>
      </c>
      <c r="C418" s="4" t="str">
        <f ca="1">IFERROR(__xludf.DUMMYFUNCTION("IFERROR(GOOGLETRANSLATE(B418,""en"",""ja""),)"),"アンナ、痛みはありますか？")</f>
        <v>アンナ、痛みはありますか？</v>
      </c>
    </row>
    <row r="419" spans="1:3" ht="18">
      <c r="A419" s="3" t="s">
        <v>1080</v>
      </c>
      <c r="B419" s="4" t="str">
        <f ca="1">IFERROR(__xludf.DUMMYFUNCTION("IFERROR(GOOGLETRANSLATE(A419,""ko"",""en""),)"),"Yes. I have a fever and a sore throat.")</f>
        <v>Yes. I have a fever and a sore throat.</v>
      </c>
      <c r="C419" s="4" t="str">
        <f ca="1">IFERROR(__xludf.DUMMYFUNCTION("IFERROR(GOOGLETRANSLATE(B419,""en"",""ja""),)"),"はい。熱があって、喉も痛いです。")</f>
        <v>はい。熱があって、喉も痛いです。</v>
      </c>
    </row>
    <row r="420" spans="1:3" ht="18">
      <c r="A420" s="3" t="s">
        <v>1084</v>
      </c>
      <c r="B420" s="4" t="str">
        <f ca="1">IFERROR(__xludf.DUMMYFUNCTION("IFERROR(GOOGLETRANSLATE(A420,""ko"",""en""),)"),"Did you take your medicine?")</f>
        <v>Did you take your medicine?</v>
      </c>
      <c r="C420" s="4" t="str">
        <f ca="1">IFERROR(__xludf.DUMMYFUNCTION("IFERROR(GOOGLETRANSLATE(B420,""en"",""ja""),)"),"薬は飲みましたか？")</f>
        <v>薬は飲みましたか？</v>
      </c>
    </row>
    <row r="421" spans="1:3" ht="18">
      <c r="A421" s="3" t="s">
        <v>1087</v>
      </c>
      <c r="B421" s="4" t="str">
        <f ca="1">IFERROR(__xludf.DUMMYFUNCTION("IFERROR(GOOGLETRANSLATE(A421,""ko"",""en""),)"),"Yes. I took the medicine, but it still hurts a little.")</f>
        <v>Yes. I took the medicine, but it still hurts a little.</v>
      </c>
      <c r="C421" s="4" t="str">
        <f ca="1">IFERROR(__xludf.DUMMYFUNCTION("IFERROR(GOOGLETRANSLATE(B421,""en"",""ja""),)"),"はい。薬は飲みましたが、まだ少し痛みます。")</f>
        <v>はい。薬は飲みましたが、まだ少し痛みます。</v>
      </c>
    </row>
    <row r="422" spans="1:3" ht="18">
      <c r="A422" s="5" t="s">
        <v>1089</v>
      </c>
      <c r="B422" s="4" t="str">
        <f ca="1">IFERROR(__xludf.DUMMYFUNCTION("IFERROR(GOOGLETRANSLATE(A422,""ko"",""en""),)"),"Anna, you need to get some good rest at home.")</f>
        <v>Anna, you need to get some good rest at home.</v>
      </c>
      <c r="C422" s="4" t="str">
        <f ca="1">IFERROR(__xludf.DUMMYFUNCTION("IFERROR(GOOGLETRANSLATE(B422,""en"",""ja""),)"),"アンナ、家でゆっくり休んでください。")</f>
        <v>アンナ、家でゆっくり休んでください。</v>
      </c>
    </row>
    <row r="423" spans="1:3" ht="18">
      <c r="A423" s="5" t="s">
        <v>1092</v>
      </c>
      <c r="B423" s="4" t="str">
        <f ca="1">IFERROR(__xludf.DUMMYFUNCTION("IFERROR(GOOGLETRANSLATE(A423,""ko"",""en""),)"),"And please drink warm water often.")</f>
        <v>And please drink warm water often.</v>
      </c>
      <c r="C423" s="4" t="str">
        <f ca="1">IFERROR(__xludf.DUMMYFUNCTION("IFERROR(GOOGLETRANSLATE(B423,""en"",""ja""),)"),"そして、こまめに温かい水を飲んでください。")</f>
        <v>そして、こまめに温かい水を飲んでください。</v>
      </c>
    </row>
    <row r="424" spans="1:3" ht="18">
      <c r="A424" s="3" t="s">
        <v>1095</v>
      </c>
      <c r="B424" s="4" t="str">
        <f ca="1">IFERROR(__xludf.DUMMYFUNCTION("IFERROR(GOOGLETRANSLATE(A424,""ko"",""en""),)"),"I swim before going to school.")</f>
        <v>I swim before going to school.</v>
      </c>
      <c r="C424" s="4" t="str">
        <f ca="1">IFERROR(__xludf.DUMMYFUNCTION("IFERROR(GOOGLETRANSLATE(B424,""en"",""ja""),)"),"私は学校に行く前に泳ぎます。")</f>
        <v>私は学校に行く前に泳ぎます。</v>
      </c>
    </row>
    <row r="425" spans="1:3" ht="18">
      <c r="A425" s="3" t="s">
        <v>1098</v>
      </c>
      <c r="B425" s="4" t="str">
        <f ca="1">IFERROR(__xludf.DUMMYFUNCTION("IFERROR(GOOGLETRANSLATE(A425,""ko"",""en""),)"),"Wake up early")</f>
        <v>Wake up early</v>
      </c>
      <c r="C425" s="4" t="str">
        <f ca="1">IFERROR(__xludf.DUMMYFUNCTION("IFERROR(GOOGLETRANSLATE(B425,""en"",""ja""),)"),"早起きする")</f>
        <v>早起きする</v>
      </c>
    </row>
    <row r="426" spans="1:3" ht="18">
      <c r="A426" s="3" t="s">
        <v>1099</v>
      </c>
      <c r="B426" s="4" t="str">
        <f ca="1">IFERROR(__xludf.DUMMYFUNCTION("IFERROR(GOOGLETRANSLATE(A426,""ko"",""en""),)"),"I always eat breakfast.")</f>
        <v>I always eat breakfast.</v>
      </c>
      <c r="C426" s="4" t="str">
        <f ca="1">IFERROR(__xludf.DUMMYFUNCTION("IFERROR(GOOGLETRANSLATE(B426,""en"",""ja""),)"),"私はいつも朝食を食べます。")</f>
        <v>私はいつも朝食を食べます。</v>
      </c>
    </row>
    <row r="427" spans="1:3" ht="18">
      <c r="A427" s="3" t="s">
        <v>1103</v>
      </c>
      <c r="B427" s="4" t="str">
        <f ca="1">IFERROR(__xludf.DUMMYFUNCTION("IFERROR(GOOGLETRANSLATE(A427,""ko"",""en""),)"),"I exercise every day.")</f>
        <v>I exercise every day.</v>
      </c>
      <c r="C427" s="4" t="str">
        <f ca="1">IFERROR(__xludf.DUMMYFUNCTION("IFERROR(GOOGLETRANSLATE(B427,""en"",""ja""),)"),"私は毎日運動します。")</f>
        <v>私は毎日運動します。</v>
      </c>
    </row>
    <row r="428" spans="1:3" ht="18">
      <c r="A428" s="3" t="s">
        <v>1104</v>
      </c>
      <c r="B428" s="4" t="str">
        <f ca="1">IFERROR(__xludf.DUMMYFUNCTION("IFERROR(GOOGLETRANSLATE(A428,""ko"",""en""),)"),"I drink water often.")</f>
        <v>I drink water often.</v>
      </c>
      <c r="C428" s="4" t="str">
        <f ca="1">IFERROR(__xludf.DUMMYFUNCTION("IFERROR(GOOGLETRANSLATE(B428,""en"",""ja""),)"),"私はよく水を飲みます。")</f>
        <v>私はよく水を飲みます。</v>
      </c>
    </row>
    <row r="429" spans="1:3" ht="18">
      <c r="A429" s="3" t="s">
        <v>1107</v>
      </c>
      <c r="B429" s="4" t="str">
        <f ca="1">IFERROR(__xludf.DUMMYFUNCTION("IFERROR(GOOGLETRANSLATE(A429,""ko"",""en""),)"),"I eat a lot of vegetables and fruits.")</f>
        <v>I eat a lot of vegetables and fruits.</v>
      </c>
      <c r="C429" s="4" t="str">
        <f ca="1">IFERROR(__xludf.DUMMYFUNCTION("IFERROR(GOOGLETRANSLATE(B429,""en"",""ja""),)"),"私は野菜と果物をたくさん食べます。")</f>
        <v>私は野菜と果物をたくさん食べます。</v>
      </c>
    </row>
    <row r="430" spans="1:3" ht="18">
      <c r="A430" s="3" t="s">
        <v>1109</v>
      </c>
      <c r="B430" s="4" t="str">
        <f ca="1">IFERROR(__xludf.DUMMYFUNCTION("IFERROR(GOOGLETRANSLATE(A430,""ko"",""en""),)"),"I walk a lot.")</f>
        <v>I walk a lot.</v>
      </c>
      <c r="C430" s="4" t="str">
        <f ca="1">IFERROR(__xludf.DUMMYFUNCTION("IFERROR(GOOGLETRANSLATE(B430,""en"",""ja""),)"),"私はよく歩きます。")</f>
        <v>私はよく歩きます。</v>
      </c>
    </row>
    <row r="431" spans="1:3" ht="18">
      <c r="A431" s="3" t="s">
        <v>1112</v>
      </c>
      <c r="B431" s="4" t="str">
        <f ca="1">IFERROR(__xludf.DUMMYFUNCTION("IFERROR(GOOGLETRANSLATE(A431,""ko"",""en""),)"),"Laugh often.")</f>
        <v>Laugh often.</v>
      </c>
      <c r="C431" s="4" t="str">
        <f ca="1">IFERROR(__xludf.DUMMYFUNCTION("IFERROR(GOOGLETRANSLATE(B431,""en"",""ja""),)"),"よく笑いましょう。")</f>
        <v>よく笑いましょう。</v>
      </c>
    </row>
    <row r="432" spans="1:3" ht="18">
      <c r="A432" s="3" t="s">
        <v>1114</v>
      </c>
      <c r="B432" s="4" t="str">
        <f ca="1">IFERROR(__xludf.DUMMYFUNCTION("IFERROR(GOOGLETRANSLATE(A432,""ko"",""en""),)"),"Keep to meal times.")</f>
        <v>Keep to meal times.</v>
      </c>
      <c r="C432" s="4" t="str">
        <f ca="1">IFERROR(__xludf.DUMMYFUNCTION("IFERROR(GOOGLETRANSLATE(B432,""en"",""ja""),)"),"食事時間を守りましょう。")</f>
        <v>食事時間を守りましょう。</v>
      </c>
    </row>
    <row r="433" spans="1:3" ht="18">
      <c r="A433" s="3" t="s">
        <v>1115</v>
      </c>
      <c r="B433" s="4" t="str">
        <f ca="1">IFERROR(__xludf.DUMMYFUNCTION("IFERROR(GOOGLETRANSLATE(A433,""ko"",""en""),)"),"Sleep well.")</f>
        <v>Sleep well.</v>
      </c>
      <c r="C433" s="4" t="str">
        <f ca="1">IFERROR(__xludf.DUMMYFUNCTION("IFERROR(GOOGLETRANSLATE(B433,""en"",""ja""),)"),"よく眠る。")</f>
        <v>よく眠る。</v>
      </c>
    </row>
    <row r="434" spans="1:3" ht="18">
      <c r="A434" s="3" t="s">
        <v>1119</v>
      </c>
      <c r="B434" s="4" t="str">
        <f ca="1">IFERROR(__xludf.DUMMYFUNCTION("IFERROR(GOOGLETRANSLATE(A434,""ko"",""en""),)"),"I have many hobbies.")</f>
        <v>I have many hobbies.</v>
      </c>
      <c r="C434" s="4" t="str">
        <f ca="1">IFERROR(__xludf.DUMMYFUNCTION("IFERROR(GOOGLETRANSLATE(B434,""en"",""ja""),)"),"私にはたくさんの趣味があります。")</f>
        <v>私にはたくさんの趣味があります。</v>
      </c>
    </row>
    <row r="435" spans="1:3" ht="18">
      <c r="A435" s="3" t="s">
        <v>1121</v>
      </c>
      <c r="B435" s="4" t="str">
        <f ca="1">IFERROR(__xludf.DUMMYFUNCTION("IFERROR(GOOGLETRANSLATE(A435,""ko"",""en""),)"),"I eat a lot of kimchi.")</f>
        <v>I eat a lot of kimchi.</v>
      </c>
      <c r="C435" s="4" t="str">
        <f ca="1">IFERROR(__xludf.DUMMYFUNCTION("IFERROR(GOOGLETRANSLATE(B435,""en"",""ja""),)"),"私はキムチをよく食べます。")</f>
        <v>私はキムチをよく食べます。</v>
      </c>
    </row>
    <row r="436" spans="1:3" ht="18">
      <c r="A436" s="3" t="s">
        <v>1123</v>
      </c>
      <c r="B436" s="4" t="str">
        <f ca="1">IFERROR(__xludf.DUMMYFUNCTION("IFERROR(GOOGLETRANSLATE(A436,""ko"",""en""),)"),"I eat one apple every day.")</f>
        <v>I eat one apple every day.</v>
      </c>
      <c r="C436" s="4" t="str">
        <f ca="1">IFERROR(__xludf.DUMMYFUNCTION("IFERROR(GOOGLETRANSLATE(B436,""en"",""ja""),)"),"私は毎日リンゴを1個食べます。")</f>
        <v>私は毎日リンゴを1個食べます。</v>
      </c>
    </row>
    <row r="437" spans="1:3" ht="18">
      <c r="A437" s="3" t="s">
        <v>1126</v>
      </c>
      <c r="B437" s="4" t="str">
        <f ca="1">IFERROR(__xludf.DUMMYFUNCTION("IFERROR(GOOGLETRANSLATE(A437,""ko"",""en""),)"),"I don't smoke.")</f>
        <v>I don't smoke.</v>
      </c>
      <c r="C437" s="4" t="str">
        <f ca="1">IFERROR(__xludf.DUMMYFUNCTION("IFERROR(GOOGLETRANSLATE(B437,""en"",""ja""),)"),"私はタバコを吸いません。")</f>
        <v>私はタバコを吸いません。</v>
      </c>
    </row>
    <row r="438" spans="1:3" ht="18">
      <c r="A438" s="3" t="s">
        <v>1127</v>
      </c>
      <c r="B438" s="4" t="str">
        <f ca="1">IFERROR(__xludf.DUMMYFUNCTION("IFERROR(GOOGLETRANSLATE(A438,""ko"",""en""),)"),"Drink only a little soju.")</f>
        <v>Drink only a little soju.</v>
      </c>
      <c r="C438" s="4" t="str">
        <f ca="1">IFERROR(__xludf.DUMMYFUNCTION("IFERROR(GOOGLETRANSLATE(B438,""en"",""ja""),)"),"焼酎は少量だけ飲んでください。")</f>
        <v>焼酎は少量だけ飲んでください。</v>
      </c>
    </row>
    <row r="439" spans="1:3" ht="18">
      <c r="A439" s="3" t="s">
        <v>1130</v>
      </c>
      <c r="B439" s="4" t="str">
        <f ca="1">IFERROR(__xludf.DUMMYFUNCTION("IFERROR(GOOGLETRANSLATE(A439,""ko"",""en""),)"),"Drink soju in moderation.")</f>
        <v>Drink soju in moderation.</v>
      </c>
      <c r="C439" s="4" t="str">
        <f ca="1">IFERROR(__xludf.DUMMYFUNCTION("IFERROR(GOOGLETRANSLATE(B439,""en"",""ja""),)"),"焼酎は適量で飲みましょう。")</f>
        <v>焼酎は適量で飲みましょう。</v>
      </c>
    </row>
    <row r="440" spans="1:3" ht="18">
      <c r="A440" s="3" t="s">
        <v>1132</v>
      </c>
      <c r="B440" s="4" t="str">
        <f ca="1">IFERROR(__xludf.DUMMYFUNCTION("IFERROR(GOOGLETRANSLATE(A440,""ko"",""en""),)"),"I'm taking a walk in the park.")</f>
        <v>I'm taking a walk in the park.</v>
      </c>
      <c r="C440" s="4" t="str">
        <f ca="1">IFERROR(__xludf.DUMMYFUNCTION("IFERROR(GOOGLETRANSLATE(B440,""en"",""ja""),)"),"公園を散歩しています。")</f>
        <v>公園を散歩しています。</v>
      </c>
    </row>
    <row r="441" spans="1:3" ht="18">
      <c r="A441" s="3" t="s">
        <v>1133</v>
      </c>
      <c r="B441" s="4" t="str">
        <f ca="1">IFERROR(__xludf.DUMMYFUNCTION("IFERROR(GOOGLETRANSLATE(A441,""ko"",""en""),)"),"I don't think about work after I've worked.")</f>
        <v>I don't think about work after I've worked.</v>
      </c>
      <c r="C441" s="4" t="str">
        <f ca="1">IFERROR(__xludf.DUMMYFUNCTION("IFERROR(GOOGLETRANSLATE(B441,""en"",""ja""),)"),"仕事が終わった後は、仕事のことは考えません。")</f>
        <v>仕事が終わった後は、仕事のことは考えません。</v>
      </c>
    </row>
    <row r="442" spans="1:3" ht="18">
      <c r="A442" s="3" t="s">
        <v>1137</v>
      </c>
      <c r="B442" s="4" t="str">
        <f ca="1">IFERROR(__xludf.DUMMYFUNCTION("IFERROR(GOOGLETRANSLATE(A442,""ko"",""en""),)"),"Take a rest.")</f>
        <v>Take a rest.</v>
      </c>
      <c r="C442" s="4" t="str">
        <f ca="1">IFERROR(__xludf.DUMMYFUNCTION("IFERROR(GOOGLETRANSLATE(B442,""en"",""ja""),)"),"休憩してください。")</f>
        <v>休憩してください。</v>
      </c>
    </row>
    <row r="443" spans="1:3" ht="18">
      <c r="A443" s="3" t="s">
        <v>1138</v>
      </c>
      <c r="B443" s="4" t="str">
        <f ca="1">IFERROR(__xludf.DUMMYFUNCTION("IFERROR(GOOGLETRANSLATE(A443,""ko"",""en""),)"),"I'm going to the sauna")</f>
        <v>I'm going to the sauna</v>
      </c>
      <c r="C443" s="4" t="str">
        <f ca="1">IFERROR(__xludf.DUMMYFUNCTION("IFERROR(GOOGLETRANSLATE(B443,""en"",""ja""),)"),"サウナに行く")</f>
        <v>サウナに行く</v>
      </c>
    </row>
    <row r="444" spans="1:3" ht="18">
      <c r="A444" s="3" t="s">
        <v>1141</v>
      </c>
      <c r="B444" s="4" t="str">
        <f ca="1">IFERROR(__xludf.DUMMYFUNCTION("IFERROR(GOOGLETRANSLATE(A444,""ko"",""en""),)"),"I wake up early in the morning. And I drink a glass of water. I always eat breakfast.")</f>
        <v>I wake up early in the morning. And I drink a glass of water. I always eat breakfast.</v>
      </c>
      <c r="C444" s="4" t="str">
        <f ca="1">IFERROR(__xludf.DUMMYFUNCTION("IFERROR(GOOGLETRANSLATE(B444,""en"",""ja""),)"),"私は朝早く起きます。そして、コップ一杯の水を飲みます。朝食は必ず食べます。")</f>
        <v>私は朝早く起きます。そして、コップ一杯の水を飲みます。朝食は必ず食べます。</v>
      </c>
    </row>
    <row r="445" spans="1:3" ht="18">
      <c r="A445" s="3" t="s">
        <v>1143</v>
      </c>
      <c r="B445" s="4" t="str">
        <f ca="1">IFERROR(__xludf.DUMMYFUNCTION("IFERROR(GOOGLETRANSLATE(A445,""ko"",""en""),)"),"I eat milk, bread, and fruit every day. Also, I like exercising, so I exercise often.")</f>
        <v>I eat milk, bread, and fruit every day. Also, I like exercising, so I exercise often.</v>
      </c>
      <c r="C445" s="4" t="str">
        <f ca="1">IFERROR(__xludf.DUMMYFUNCTION("IFERROR(GOOGLETRANSLATE(B445,""en"",""ja""),)"),"私は毎日、牛乳、パン、果物を食べています。また、運動が好きなので、よく運動しています。")</f>
        <v>私は毎日、牛乳、パン、果物を食べています。また、運動が好きなので、よく運動しています。</v>
      </c>
    </row>
    <row r="446" spans="1:3" ht="18">
      <c r="A446" s="5" t="s">
        <v>1146</v>
      </c>
      <c r="B446" s="4" t="str">
        <f ca="1">IFERROR(__xludf.DUMMYFUNCTION("IFERROR(GOOGLETRANSLATE(A446,""ko"",""en""),)"),"I do it about five times a week. I go to the gym after work. I also do yoga at home sometimes.")</f>
        <v>I do it about five times a week. I go to the gym after work. I also do yoga at home sometimes.</v>
      </c>
      <c r="C446" s="4" t="str">
        <f ca="1">IFERROR(__xludf.DUMMYFUNCTION("IFERROR(GOOGLETRANSLATE(B446,""en"",""ja""),)"),"週に5回くらいやっています。仕事帰りにジムに行きます。あと、時々家でヨガもします。")</f>
        <v>週に5回くらいやっています。仕事帰りにジムに行きます。あと、時々家でヨガもします。</v>
      </c>
    </row>
    <row r="447" spans="1:3" ht="18">
      <c r="A447" s="3" t="s">
        <v>1149</v>
      </c>
      <c r="B447" s="4" t="str">
        <f ca="1">IFERROR(__xludf.DUMMYFUNCTION("IFERROR(GOOGLETRANSLATE(A447,""ko"",""en""),)"),"I ride my bike in the park on weekends. I ride for about an hour. It makes me feel really good.")</f>
        <v>I ride my bike in the park on weekends. I ride for about an hour. It makes me feel really good.</v>
      </c>
      <c r="C447" s="4" t="str">
        <f ca="1">IFERROR(__xludf.DUMMYFUNCTION("IFERROR(GOOGLETRANSLATE(B447,""en"",""ja""),)"),"週末は公園で自転車に乗ります。だいたい1時間くらい走ります。すごく気持ちがいいんです。")</f>
        <v>週末は公園で自転車に乗ります。だいたい1時間くらい走ります。すごく気持ちがいいんです。</v>
      </c>
    </row>
    <row r="448" spans="1:3" ht="18">
      <c r="A448" s="3" t="s">
        <v>1151</v>
      </c>
      <c r="B448" s="4" t="str">
        <f ca="1">IFERROR(__xludf.DUMMYFUNCTION("IFERROR(GOOGLETRANSLATE(A448,""ko"",""en""),)"),"I run every day.")</f>
        <v>I run every day.</v>
      </c>
      <c r="C448" s="4" t="str">
        <f ca="1">IFERROR(__xludf.DUMMYFUNCTION("IFERROR(GOOGLETRANSLATE(B448,""en"",""ja""),)"),"私は毎日走っています。")</f>
        <v>私は毎日走っています。</v>
      </c>
    </row>
    <row r="449" spans="1:26" ht="18">
      <c r="A449" s="3" t="s">
        <v>1154</v>
      </c>
      <c r="B449" s="4" t="str">
        <f ca="1">IFERROR(__xludf.DUMMYFUNCTION("IFERROR(GOOGLETRANSLATE(A449,""ko"",""en""),)"),"I drink water often.")</f>
        <v>I drink water often.</v>
      </c>
      <c r="C449" s="4" t="str">
        <f ca="1">IFERROR(__xludf.DUMMYFUNCTION("IFERROR(GOOGLETRANSLATE(B449,""en"",""ja""),)"),"私はよく水を飲みます。")</f>
        <v>私はよく水を飲みます。</v>
      </c>
    </row>
    <row r="450" spans="1:26" ht="18">
      <c r="A450" s="3" t="s">
        <v>1155</v>
      </c>
      <c r="B450" s="4" t="str">
        <f ca="1">IFERROR(__xludf.DUMMYFUNCTION("IFERROR(GOOGLETRANSLATE(A450,""ko"",""en""),)"),"Keep to your meal times.")</f>
        <v>Keep to your meal times.</v>
      </c>
      <c r="C450" s="4" t="str">
        <f ca="1">IFERROR(__xludf.DUMMYFUNCTION("IFERROR(GOOGLETRANSLATE(B450,""en"",""ja""),)"),"食事時間を守りましょう。")</f>
        <v>食事時間を守りましょう。</v>
      </c>
    </row>
    <row r="451" spans="1:26" ht="18">
      <c r="A451" s="7" t="s">
        <v>303</v>
      </c>
      <c r="B451" s="14" t="str">
        <f ca="1">IFERROR(__xludf.DUMMYFUNCTION("IFERROR(GOOGLETRANSLATE(A451,""ko"",""en""),)"),"What do you usually do in the evening?")</f>
        <v>What do you usually do in the evening?</v>
      </c>
      <c r="C451" s="14" t="str">
        <f ca="1">IFERROR(__xludf.DUMMYFUNCTION("IFERROR(GOOGLETRANSLATE(B451,""en"",""ja""),)"),"あなたは普段、夜は何をしていますか？")</f>
        <v>あなたは普段、夜は何をしていますか？</v>
      </c>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8">
      <c r="A452" s="3" t="s">
        <v>1166</v>
      </c>
      <c r="B452" s="4" t="str">
        <f ca="1">IFERROR(__xludf.DUMMYFUNCTION("IFERROR(GOOGLETRANSLATE(A452,""ko"",""en""),)"),"I take walks in the evening. I often walk in the park.")</f>
        <v>I take walks in the evening. I often walk in the park.</v>
      </c>
      <c r="C452" s="4" t="str">
        <f ca="1">IFERROR(__xludf.DUMMYFUNCTION("IFERROR(GOOGLETRANSLATE(B452,""en"",""ja""),)"),"私は夕方に散歩をします。よく公園を散歩します。")</f>
        <v>私は夕方に散歩をします。よく公園を散歩します。</v>
      </c>
    </row>
    <row r="453" spans="1:26" ht="18">
      <c r="A453" s="3" t="s">
        <v>1169</v>
      </c>
      <c r="B453" s="4" t="str">
        <f ca="1">IFERROR(__xludf.DUMMYFUNCTION("IFERROR(GOOGLETRANSLATE(A453,""ko"",""en""),)"),"Does Anna swim in the morning?")</f>
        <v>Does Anna swim in the morning?</v>
      </c>
      <c r="C453" s="4" t="str">
        <f ca="1">IFERROR(__xludf.DUMMYFUNCTION("IFERROR(GOOGLETRANSLATE(B453,""en"",""ja""),)"),"アンナは朝に泳ぎますか？")</f>
        <v>アンナは朝に泳ぎますか？</v>
      </c>
    </row>
    <row r="454" spans="1:26" ht="18">
      <c r="A454" s="3" t="s">
        <v>1172</v>
      </c>
      <c r="B454" s="4" t="str">
        <f ca="1">IFERROR(__xludf.DUMMYFUNCTION("IFERROR(GOOGLETRANSLATE(A454,""ko"",""en""),)"),"Yes. So I wake up early. I usually wake up at 6.")</f>
        <v>Yes. So I wake up early. I usually wake up at 6.</v>
      </c>
      <c r="C454" s="4" t="str">
        <f ca="1">IFERROR(__xludf.DUMMYFUNCTION("IFERROR(GOOGLETRANSLATE(B454,""en"",""ja""),)"),"はい。だから私は早起きします。大体6時に起きます。")</f>
        <v>はい。だから私は早起きします。大体6時に起きます。</v>
      </c>
    </row>
    <row r="455" spans="1:26" ht="18">
      <c r="A455" s="3" t="s">
        <v>1175</v>
      </c>
      <c r="B455" s="4" t="str">
        <f ca="1">IFERROR(__xludf.DUMMYFUNCTION("IFERROR(GOOGLETRANSLATE(A455,""ko"",""en""),)"),"What did you buy?")</f>
        <v>What did you buy?</v>
      </c>
      <c r="C455" s="4" t="str">
        <f ca="1">IFERROR(__xludf.DUMMYFUNCTION("IFERROR(GOOGLETRANSLATE(B455,""en"",""ja""),)"),"何を買ったの？")</f>
        <v>何を買ったの？</v>
      </c>
    </row>
    <row r="456" spans="1:26" ht="18">
      <c r="A456" s="3" t="s">
        <v>1178</v>
      </c>
      <c r="B456" s="4" t="str">
        <f ca="1">IFERROR(__xludf.DUMMYFUNCTION("IFERROR(GOOGLETRANSLATE(A456,""ko"",""en""),)"),"cucumber")</f>
        <v>cucumber</v>
      </c>
      <c r="C456" s="4" t="str">
        <f ca="1">IFERROR(__xludf.DUMMYFUNCTION("IFERROR(GOOGLETRANSLATE(B456,""en"",""ja""),)"),"キュウリ")</f>
        <v>キュウリ</v>
      </c>
    </row>
    <row r="457" spans="1:26" ht="18">
      <c r="A457" s="3" t="s">
        <v>1180</v>
      </c>
      <c r="B457" s="4" t="str">
        <f ca="1">IFERROR(__xludf.DUMMYFUNCTION("IFERROR(GOOGLETRANSLATE(A457,""ko"",""en""),)"),"I bought cucumbers and apples. I usually eat a lot of vegetables and fruits.")</f>
        <v>I bought cucumbers and apples. I usually eat a lot of vegetables and fruits.</v>
      </c>
      <c r="C457" s="4" t="str">
        <f ca="1">IFERROR(__xludf.DUMMYFUNCTION("IFERROR(GOOGLETRANSLATE(B457,""en"",""ja""),)"),"きゅうりとりんごを買いました。私は普段から野菜や果物をたくさん食べます。")</f>
        <v>きゅうりとりんごを買いました。私は普段から野菜や果物をたくさん食べます。</v>
      </c>
    </row>
    <row r="458" spans="1:26" ht="18">
      <c r="A458" s="3" t="s">
        <v>1183</v>
      </c>
      <c r="B458" s="4" t="str">
        <f ca="1">IFERROR(__xludf.DUMMYFUNCTION("IFERROR(GOOGLETRANSLATE(A458,""ko"",""en""),)"),"Did you have lunch, Yujin?")</f>
        <v>Did you have lunch, Yujin?</v>
      </c>
      <c r="C458" s="4" t="str">
        <f ca="1">IFERROR(__xludf.DUMMYFUNCTION("IFERROR(GOOGLETRANSLATE(B458,""en"",""ja""),)"),"ユジン、昼食は食べた？")</f>
        <v>ユジン、昼食は食べた？</v>
      </c>
    </row>
    <row r="459" spans="1:26" ht="18">
      <c r="A459" s="3" t="s">
        <v>1186</v>
      </c>
      <c r="B459" s="4" t="str">
        <f ca="1">IFERROR(__xludf.DUMMYFUNCTION("IFERROR(GOOGLETRANSLATE(A459,""ko"",""en""),)"),"Of course. I eat lunch at 12 every day. I am strict about my meal times.")</f>
        <v>Of course. I eat lunch at 12 every day. I am strict about my meal times.</v>
      </c>
      <c r="C459" s="4" t="str">
        <f ca="1">IFERROR(__xludf.DUMMYFUNCTION("IFERROR(GOOGLETRANSLATE(B459,""en"",""ja""),)"),"もちろん。私は毎日12時に昼食をとります。食事の時間には厳格です。")</f>
        <v>もちろん。私は毎日12時に昼食をとります。食事の時間には厳格です。</v>
      </c>
    </row>
    <row r="460" spans="1:26" ht="18">
      <c r="A460" s="3" t="s">
        <v>1189</v>
      </c>
      <c r="B460" s="4" t="str">
        <f ca="1">IFERROR(__xludf.DUMMYFUNCTION("IFERROR(GOOGLETRANSLATE(A460,""ko"",""en""),)"),"Jaemin, aren't you tired these days?")</f>
        <v>Jaemin, aren't you tired these days?</v>
      </c>
      <c r="C460" s="4" t="str">
        <f ca="1">IFERROR(__xludf.DUMMYFUNCTION("IFERROR(GOOGLETRANSLATE(B460,""en"",""ja""),)"),"ジェミン、最近疲れてないの？")</f>
        <v>ジェミン、最近疲れてないの？</v>
      </c>
    </row>
    <row r="461" spans="1:26" ht="18">
      <c r="A461" s="3" t="s">
        <v>1191</v>
      </c>
      <c r="B461" s="4" t="str">
        <f ca="1">IFERROR(__xludf.DUMMYFUNCTION("IFERROR(GOOGLETRANSLATE(A461,""ko"",""en""),)"),"Yes. I'm not tired. I sleep well at night these days.")</f>
        <v>Yes. I'm not tired. I sleep well at night these days.</v>
      </c>
      <c r="C461" s="4" t="str">
        <f ca="1">IFERROR(__xludf.DUMMYFUNCTION("IFERROR(GOOGLETRANSLATE(B461,""en"",""ja""),)"),"はい。疲れていません。最近は夜もぐっすり眠れています。")</f>
        <v>はい。疲れていません。最近は夜もぐっすり眠れています。</v>
      </c>
    </row>
    <row r="462" spans="1:26" ht="18">
      <c r="A462" s="3" t="s">
        <v>1193</v>
      </c>
      <c r="B462" s="4" t="str">
        <f ca="1">IFERROR(__xludf.DUMMYFUNCTION("IFERROR(GOOGLETRANSLATE(A462,""ko"",""en""),)"),"They are kind.")</f>
        <v>They are kind.</v>
      </c>
      <c r="C462" s="4" t="str">
        <f ca="1">IFERROR(__xludf.DUMMYFUNCTION("IFERROR(GOOGLETRANSLATE(B462,""en"",""ja""),)"),"彼らは親切だ。")</f>
        <v>彼らは親切だ。</v>
      </c>
    </row>
    <row r="463" spans="1:26" ht="18">
      <c r="A463" s="3" t="s">
        <v>1196</v>
      </c>
      <c r="B463" s="4" t="str">
        <f ca="1">IFERROR(__xludf.DUMMYFUNCTION("IFERROR(GOOGLETRANSLATE(A463,""ko"",""en""),)"),"They are not friendly.")</f>
        <v>They are not friendly.</v>
      </c>
      <c r="C463" s="4" t="str">
        <f ca="1">IFERROR(__xludf.DUMMYFUNCTION("IFERROR(GOOGLETRANSLATE(B463,""en"",""ja""),)"),"彼らは友好的ではない。")</f>
        <v>彼らは友好的ではない。</v>
      </c>
    </row>
    <row r="464" spans="1:26" ht="18">
      <c r="A464" s="3" t="s">
        <v>1198</v>
      </c>
      <c r="B464" s="4" t="str">
        <f ca="1">IFERROR(__xludf.DUMMYFUNCTION("IFERROR(GOOGLETRANSLATE(A464,""ko"",""en""),)"),"I am happy")</f>
        <v>I am happy</v>
      </c>
      <c r="C464" s="4" t="str">
        <f ca="1">IFERROR(__xludf.DUMMYFUNCTION("IFERROR(GOOGLETRANSLATE(B464,""en"",""ja""),)"),"私は幸せです")</f>
        <v>私は幸せです</v>
      </c>
    </row>
    <row r="465" spans="1:3" ht="18">
      <c r="A465" s="3" t="s">
        <v>1201</v>
      </c>
      <c r="B465" s="4" t="str">
        <f ca="1">IFERROR(__xludf.DUMMYFUNCTION("IFERROR(GOOGLETRANSLATE(A465,""ko"",""en""),)"),"I'm not happy")</f>
        <v>I'm not happy</v>
      </c>
      <c r="C465" s="4" t="str">
        <f ca="1">IFERROR(__xludf.DUMMYFUNCTION("IFERROR(GOOGLETRANSLATE(B465,""en"",""ja""),)"),"私は幸せではない")</f>
        <v>私は幸せではない</v>
      </c>
    </row>
    <row r="466" spans="1:3" ht="18">
      <c r="A466" s="3" t="s">
        <v>1203</v>
      </c>
      <c r="B466" s="4" t="str">
        <f ca="1">IFERROR(__xludf.DUMMYFUNCTION("IFERROR(GOOGLETRANSLATE(A466,""ko"",""en""),)"),"What do you usually do before dinner?")</f>
        <v>What do you usually do before dinner?</v>
      </c>
      <c r="C466" s="4" t="str">
        <f ca="1">IFERROR(__xludf.DUMMYFUNCTION("IFERROR(GOOGLETRANSLATE(B466,""en"",""ja""),)"),"夕食前に普段は何をしていますか？")</f>
        <v>夕食前に普段は何をしていますか？</v>
      </c>
    </row>
    <row r="467" spans="1:3" ht="18">
      <c r="A467" s="3" t="s">
        <v>1207</v>
      </c>
      <c r="B467" s="4" t="str">
        <f ca="1">IFERROR(__xludf.DUMMYFUNCTION("IFERROR(GOOGLETRANSLATE(A467,""ko"",""en""),)"),"I do Korean homework.")</f>
        <v>I do Korean homework.</v>
      </c>
      <c r="C467" s="4" t="str">
        <f ca="1">IFERROR(__xludf.DUMMYFUNCTION("IFERROR(GOOGLETRANSLATE(B467,""en"",""ja""),)"),"私は韓国語の宿題をします。")</f>
        <v>私は韓国語の宿題をします。</v>
      </c>
    </row>
    <row r="468" spans="1:3" ht="18">
      <c r="A468" s="5" t="s">
        <v>1209</v>
      </c>
      <c r="B468" s="4" t="str">
        <f ca="1">IFERROR(__xludf.DUMMYFUNCTION("IFERROR(GOOGLETRANSLATE(A468,""ko"",""en""),)"),"What do you want to do before graduating from university?")</f>
        <v>What do you want to do before graduating from university?</v>
      </c>
      <c r="C468" s="4" t="str">
        <f ca="1">IFERROR(__xludf.DUMMYFUNCTION("IFERROR(GOOGLETRANSLATE(B468,""en"",""ja""),)"),"大学卒業前に何をしたいですか？")</f>
        <v>大学卒業前に何をしたいですか？</v>
      </c>
    </row>
    <row r="469" spans="1:3" ht="18">
      <c r="A469" s="3" t="s">
        <v>1211</v>
      </c>
      <c r="B469" s="4" t="str">
        <f ca="1">IFERROR(__xludf.DUMMYFUNCTION("IFERROR(GOOGLETRANSLATE(A469,""ko"",""en""),)"),"I want to go on a trip with my friends.")</f>
        <v>I want to go on a trip with my friends.</v>
      </c>
      <c r="C469" s="4" t="str">
        <f ca="1">IFERROR(__xludf.DUMMYFUNCTION("IFERROR(GOOGLETRANSLATE(B469,""en"",""ja""),)"),"友達と旅行に行きたい。")</f>
        <v>友達と旅行に行きたい。</v>
      </c>
    </row>
    <row r="470" spans="1:3" ht="18">
      <c r="A470" s="3" t="s">
        <v>1214</v>
      </c>
      <c r="B470" s="4" t="str">
        <f ca="1">IFERROR(__xludf.DUMMYFUNCTION("IFERROR(GOOGLETRANSLATE(A470,""ko"",""en""),)"),"I want to learn Korean before going to Korea.")</f>
        <v>I want to learn Korean before going to Korea.</v>
      </c>
      <c r="C470" s="4" t="str">
        <f ca="1">IFERROR(__xludf.DUMMYFUNCTION("IFERROR(GOOGLETRANSLATE(B470,""en"",""ja""),)"),"韓国に行く前に韓国語を学びたい。")</f>
        <v>韓国に行く前に韓国語を学びたい。</v>
      </c>
    </row>
    <row r="471" spans="1:3" ht="18">
      <c r="A471" s="3" t="s">
        <v>1218</v>
      </c>
      <c r="B471" s="4" t="str">
        <f ca="1">IFERROR(__xludf.DUMMYFUNCTION("IFERROR(GOOGLETRANSLATE(A471,""ko"",""en""),)"),"I'm going to do my homework before reading this book.")</f>
        <v>I'm going to do my homework before reading this book.</v>
      </c>
      <c r="C471" s="4" t="str">
        <f ca="1">IFERROR(__xludf.DUMMYFUNCTION("IFERROR(GOOGLETRANSLATE(B471,""en"",""ja""),)"),"この本を読む前に、予習をしようと思います。")</f>
        <v>この本を読む前に、予習をしようと思います。</v>
      </c>
    </row>
    <row r="472" spans="1:3" ht="18">
      <c r="A472" s="3" t="s">
        <v>1219</v>
      </c>
      <c r="B472" s="4" t="str">
        <f ca="1">IFERROR(__xludf.DUMMYFUNCTION("IFERROR(GOOGLETRANSLATE(A472,""ko"",""en""),)"),"I lived in Waterloo before I lived in Kingsford.")</f>
        <v>I lived in Waterloo before I lived in Kingsford.</v>
      </c>
      <c r="C472" s="4" t="str">
        <f ca="1">IFERROR(__xludf.DUMMYFUNCTION("IFERROR(GOOGLETRANSLATE(B472,""en"",""ja""),)"),"キングスフォードに住む前はウォータールーに住んでいました。")</f>
        <v>キングスフォードに住む前はウォータールーに住んでいました。</v>
      </c>
    </row>
    <row r="473" spans="1:3" ht="18">
      <c r="A473" s="3" t="s">
        <v>1223</v>
      </c>
      <c r="B473" s="4" t="s">
        <v>1224</v>
      </c>
      <c r="C473" s="4" t="str">
        <f ca="1">IFERROR(__xludf.DUMMYFUNCTION("IFERROR(GOOGLETRANSLATE(B473,""en"",""ja""),)"),"あなたは手を洗ってから食事をしますか？")</f>
        <v>あなたは手を洗ってから食事をしますか？</v>
      </c>
    </row>
    <row r="474" spans="1:3" ht="18">
      <c r="A474" s="3" t="s">
        <v>1227</v>
      </c>
      <c r="B474" s="4" t="str">
        <f ca="1">IFERROR(__xludf.DUMMYFUNCTION("IFERROR(GOOGLETRANSLATE(A474,""ko"",""en""),)"),"Yes. I wash my hands before eating.")</f>
        <v>Yes. I wash my hands before eating.</v>
      </c>
      <c r="C474" s="4" t="str">
        <f ca="1">IFERROR(__xludf.DUMMYFUNCTION("IFERROR(GOOGLETRANSLATE(B474,""en"",""ja""),)"),"はい。食事の前には手を洗います。")</f>
        <v>はい。食事の前には手を洗います。</v>
      </c>
    </row>
    <row r="475" spans="1:3" ht="18">
      <c r="A475" s="5" t="s">
        <v>1228</v>
      </c>
      <c r="B475" s="4" t="str">
        <f ca="1">IFERROR(__xludf.DUMMYFUNCTION("IFERROR(GOOGLETRANSLATE(A475,""ko"",""en""),)"),"I brush my teeth before going to bed.")</f>
        <v>I brush my teeth before going to bed.</v>
      </c>
      <c r="C475" s="4" t="str">
        <f ca="1">IFERROR(__xludf.DUMMYFUNCTION("IFERROR(GOOGLETRANSLATE(B475,""en"",""ja""),)"),"私は寝る前に歯を磨きます。")</f>
        <v>私は寝る前に歯を磨きます。</v>
      </c>
    </row>
    <row r="476" spans="1:3" ht="18">
      <c r="A476" s="3" t="s">
        <v>1232</v>
      </c>
      <c r="B476" s="4" t="str">
        <f ca="1">IFERROR(__xludf.DUMMYFUNCTION("IFERROR(GOOGLETRANSLATE(A476,""ko"",""en""),)"),"Shall we buy popcorn before the movie?")</f>
        <v>Shall we buy popcorn before the movie?</v>
      </c>
      <c r="C476" s="4" t="str">
        <f ca="1">IFERROR(__xludf.DUMMYFUNCTION("IFERROR(GOOGLETRANSLATE(B476,""en"",""ja""),)"),"映画の前にポップコーンを買おうか？")</f>
        <v>映画の前にポップコーンを買おうか？</v>
      </c>
    </row>
    <row r="477" spans="1:3" ht="18">
      <c r="A477" s="3" t="s">
        <v>1234</v>
      </c>
      <c r="B477" s="4" t="str">
        <f ca="1">IFERROR(__xludf.DUMMYFUNCTION("IFERROR(GOOGLETRANSLATE(A477,""ko"",""en""),)"),"Shall we go shopping before having pizza for dinner?")</f>
        <v>Shall we go shopping before having pizza for dinner?</v>
      </c>
      <c r="C477" s="4" t="str">
        <f ca="1">IFERROR(__xludf.DUMMYFUNCTION("IFERROR(GOOGLETRANSLATE(B477,""en"",""ja""),)"),"夕食にピザを食べる前に、買い物に行きませんか？")</f>
        <v>夕食にピザを食べる前に、買い物に行きませんか？</v>
      </c>
    </row>
    <row r="478" spans="1:3" ht="18">
      <c r="A478" s="3" t="s">
        <v>1236</v>
      </c>
      <c r="B478" s="4" t="str">
        <f ca="1">IFERROR(__xludf.DUMMYFUNCTION("IFERROR(GOOGLETRANSLATE(A478,""ko"",""en""),)"),"Did you do warm-up exercises before swimming?")</f>
        <v>Did you do warm-up exercises before swimming?</v>
      </c>
      <c r="C478" s="4" t="str">
        <f ca="1">IFERROR(__xludf.DUMMYFUNCTION("IFERROR(GOOGLETRANSLATE(B478,""en"",""ja""),)"),"水泳の前にウォーミングアップ運動をしましたか？")</f>
        <v>水泳の前にウォーミングアップ運動をしましたか？</v>
      </c>
    </row>
    <row r="479" spans="1:3" ht="18">
      <c r="A479" s="3" t="s">
        <v>1238</v>
      </c>
      <c r="B479" s="4" t="str">
        <f ca="1">IFERROR(__xludf.DUMMYFUNCTION("IFERROR(GOOGLETRANSLATE(A479,""ko"",""en""),)"),"sure.")</f>
        <v>sure.</v>
      </c>
      <c r="C479" s="4" t="str">
        <f ca="1">IFERROR(__xludf.DUMMYFUNCTION("IFERROR(GOOGLETRANSLATE(B479,""en"",""ja""),)"),"もちろん。")</f>
        <v>もちろん。</v>
      </c>
    </row>
    <row r="480" spans="1:3" ht="18">
      <c r="A480" s="3" t="s">
        <v>1242</v>
      </c>
      <c r="B480" s="4" t="str">
        <f ca="1">IFERROR(__xludf.DUMMYFUNCTION("IFERROR(GOOGLETRANSLATE(A480,""ko"",""en""),)"),"What do you usually do before going to bed?")</f>
        <v>What do you usually do before going to bed?</v>
      </c>
      <c r="C480" s="4" t="str">
        <f ca="1">IFERROR(__xludf.DUMMYFUNCTION("IFERROR(GOOGLETRANSLATE(B480,""en"",""ja""),)"),"あなたは普段、寝る前に何をしますか？")</f>
        <v>あなたは普段、寝る前に何をしますか？</v>
      </c>
    </row>
    <row r="481" spans="1:3" ht="18">
      <c r="A481" s="3" t="s">
        <v>1243</v>
      </c>
      <c r="B481" s="4" t="str">
        <f ca="1">IFERROR(__xludf.DUMMYFUNCTION("IFERROR(GOOGLETRANSLATE(A481,""ko"",""en""),)"),"I usually read books.")</f>
        <v>I usually read books.</v>
      </c>
      <c r="C481" s="4" t="str">
        <f ca="1">IFERROR(__xludf.DUMMYFUNCTION("IFERROR(GOOGLETRANSLATE(B481,""en"",""ja""),)"),"私は普段、本を読みます。")</f>
        <v>私は普段、本を読みます。</v>
      </c>
    </row>
    <row r="482" spans="1:3" ht="18">
      <c r="A482" s="5" t="s">
        <v>1247</v>
      </c>
      <c r="B482" s="4" t="str">
        <f ca="1">IFERROR(__xludf.DUMMYFUNCTION("IFERROR(GOOGLETRANSLATE(A482,""ko"",""en""),)"),"Are you going back to your hometown next week?")</f>
        <v>Are you going back to your hometown next week?</v>
      </c>
      <c r="C482" s="4" t="str">
        <f ca="1">IFERROR(__xludf.DUMMYFUNCTION("IFERROR(GOOGLETRANSLATE(B482,""en"",""ja""),)"),"来週、故郷に帰る予定ですか？")</f>
        <v>来週、故郷に帰る予定ですか？</v>
      </c>
    </row>
    <row r="483" spans="1:3" ht="18">
      <c r="A483" s="3" t="s">
        <v>1251</v>
      </c>
      <c r="B483" s="4" t="str">
        <f ca="1">IFERROR(__xludf.DUMMYFUNCTION("IFERROR(GOOGLETRANSLATE(A483,""ko"",""en""),)"),"Yes. Let's have a meal together before going back to my hometown.")</f>
        <v>Yes. Let's have a meal together before going back to my hometown.</v>
      </c>
      <c r="C483" s="4" t="str">
        <f ca="1">IFERROR(__xludf.DUMMYFUNCTION("IFERROR(GOOGLETRANSLATE(B483,""en"",""ja""),)"),"はい。故郷に帰る前に、一緒に食事をしましょう。")</f>
        <v>はい。故郷に帰る前に、一緒に食事をしましょう。</v>
      </c>
    </row>
    <row r="484" spans="1:3" ht="18">
      <c r="A484" s="3" t="s">
        <v>1254</v>
      </c>
      <c r="B484" s="4" t="str">
        <f ca="1">IFERROR(__xludf.DUMMYFUNCTION("IFERROR(GOOGLETRANSLATE(A484,""ko"",""en""),)"),"I take a shower before breakfast.")</f>
        <v>I take a shower before breakfast.</v>
      </c>
      <c r="C484" s="4" t="str">
        <f ca="1">IFERROR(__xludf.DUMMYFUNCTION("IFERROR(GOOGLETRANSLATE(B484,""en"",""ja""),)"),"私は朝食前にシャワーを浴びます。")</f>
        <v>私は朝食前にシャワーを浴びます。</v>
      </c>
    </row>
    <row r="485" spans="1:3" ht="18">
      <c r="A485" s="3" t="s">
        <v>1258</v>
      </c>
      <c r="B485" s="4" t="str">
        <f ca="1">IFERROR(__xludf.DUMMYFUNCTION("IFERROR(GOOGLETRANSLATE(A485,""ko"",""en""),)"),"Wash your hands before cooking.")</f>
        <v>Wash your hands before cooking.</v>
      </c>
      <c r="C485" s="4" t="str">
        <f ca="1">IFERROR(__xludf.DUMMYFUNCTION("IFERROR(GOOGLETRANSLATE(B485,""en"",""ja""),)"),"調理する前に手を洗いましょう。")</f>
        <v>調理する前に手を洗いましょう。</v>
      </c>
    </row>
    <row r="486" spans="1:3" ht="18">
      <c r="A486" s="3" t="s">
        <v>1259</v>
      </c>
      <c r="B486" s="4" t="str">
        <f ca="1">IFERROR(__xludf.DUMMYFUNCTION("IFERROR(GOOGLETRANSLATE(A486,""ko"",""en""),)"),"Open the window before cleaning.")</f>
        <v>Open the window before cleaning.</v>
      </c>
      <c r="C486" s="4" t="str">
        <f ca="1">IFERROR(__xludf.DUMMYFUNCTION("IFERROR(GOOGLETRANSLATE(B486,""en"",""ja""),)"),"掃除をする前に窓を開けてください。")</f>
        <v>掃除をする前に窓を開けてください。</v>
      </c>
    </row>
    <row r="487" spans="1:3" ht="18">
      <c r="A487" s="3" t="s">
        <v>1262</v>
      </c>
      <c r="B487" s="4" t="str">
        <f ca="1">IFERROR(__xludf.DUMMYFUNCTION("IFERROR(GOOGLETRANSLATE(A487,""ko"",""en""),)"),"I do warm-up exercises before swimming.")</f>
        <v>I do warm-up exercises before swimming.</v>
      </c>
      <c r="C487" s="4" t="str">
        <f ca="1">IFERROR(__xludf.DUMMYFUNCTION("IFERROR(GOOGLETRANSLATE(B487,""en"",""ja""),)"),"私は水泳の前にウォーミングアップ運動をします。")</f>
        <v>私は水泳の前にウォーミングアップ運動をします。</v>
      </c>
    </row>
    <row r="488" spans="1:3" ht="18">
      <c r="A488" s="3" t="s">
        <v>1264</v>
      </c>
      <c r="B488" s="4" t="str">
        <f ca="1">IFERROR(__xludf.DUMMYFUNCTION("IFERROR(GOOGLETRANSLATE(A488,""ko"",""en""),)"),"I'm going to buy a gift for my younger sibling before I go back to my hometown.")</f>
        <v>I'm going to buy a gift for my younger sibling before I go back to my hometown.</v>
      </c>
      <c r="C488" s="4" t="str">
        <f ca="1">IFERROR(__xludf.DUMMYFUNCTION("IFERROR(GOOGLETRANSLATE(B488,""en"",""ja""),)"),"故郷に帰る前に、弟か妹にプレゼントを買ってあげようと思っています。")</f>
        <v>故郷に帰る前に、弟か妹にプレゼントを買ってあげようと思っています。</v>
      </c>
    </row>
    <row r="489" spans="1:3" ht="18">
      <c r="A489" s="3" t="s">
        <v>1267</v>
      </c>
      <c r="B489" s="4" t="str">
        <f ca="1">IFERROR(__xludf.DUMMYFUNCTION("IFERROR(GOOGLETRANSLATE(A489,""ko"",""en""),)"),"I eat a meal. And I take my medicine.")</f>
        <v>I eat a meal. And I take my medicine.</v>
      </c>
      <c r="C489" s="4" t="str">
        <f ca="1">IFERROR(__xludf.DUMMYFUNCTION("IFERROR(GOOGLETRANSLATE(B489,""en"",""ja""),)"),"私は食事をし、薬を飲みます。")</f>
        <v>私は食事をし、薬を飲みます。</v>
      </c>
    </row>
    <row r="490" spans="1:3" ht="18">
      <c r="A490" s="3" t="s">
        <v>1269</v>
      </c>
      <c r="B490" s="4" t="str">
        <f ca="1">IFERROR(__xludf.DUMMYFUNCTION("IFERROR(GOOGLETRANSLATE(A490,""ko"",""en""),)"),"I eat a meal before taking my medicine.")</f>
        <v>I eat a meal before taking my medicine.</v>
      </c>
      <c r="C490" s="4" t="str">
        <f ca="1">IFERROR(__xludf.DUMMYFUNCTION("IFERROR(GOOGLETRANSLATE(B490,""en"",""ja""),)"),"私は薬を飲む前に食事をします。")</f>
        <v>私は薬を飲む前に食事をします。</v>
      </c>
    </row>
    <row r="491" spans="1:3" ht="18">
      <c r="A491" s="3" t="s">
        <v>1273</v>
      </c>
      <c r="B491" s="4" t="str">
        <f ca="1">IFERROR(__xludf.DUMMYFUNCTION("IFERROR(GOOGLETRANSLATE(A491,""ko"",""en""),)"),"I eat breakfast. And I exercise.")</f>
        <v>I eat breakfast. And I exercise.</v>
      </c>
      <c r="C491" s="4" t="str">
        <f ca="1">IFERROR(__xludf.DUMMYFUNCTION("IFERROR(GOOGLETRANSLATE(B491,""en"",""ja""),)"),"私は朝食を食べます。そして運動もします。")</f>
        <v>私は朝食を食べます。そして運動もします。</v>
      </c>
    </row>
    <row r="492" spans="1:3" ht="18">
      <c r="A492" s="3" t="s">
        <v>1275</v>
      </c>
      <c r="B492" s="4" t="str">
        <f ca="1">IFERROR(__xludf.DUMMYFUNCTION("IFERROR(GOOGLETRANSLATE(A492,""ko"",""en""),)"),"I eat breakfast before exercising.")</f>
        <v>I eat breakfast before exercising.</v>
      </c>
      <c r="C492" s="4" t="str">
        <f ca="1">IFERROR(__xludf.DUMMYFUNCTION("IFERROR(GOOGLETRANSLATE(B492,""en"",""ja""),)"),"私は運動前に朝食を食べます。")</f>
        <v>私は運動前に朝食を食べます。</v>
      </c>
    </row>
    <row r="493" spans="1:3" ht="18">
      <c r="A493" s="3" t="s">
        <v>1278</v>
      </c>
      <c r="B493" s="4" t="str">
        <f ca="1">IFERROR(__xludf.DUMMYFUNCTION("IFERROR(GOOGLETRANSLATE(A493,""ko"",""en""),)"),"I listen to music. And I sleep.")</f>
        <v>I listen to music. And I sleep.</v>
      </c>
      <c r="C493" s="4" t="str">
        <f ca="1">IFERROR(__xludf.DUMMYFUNCTION("IFERROR(GOOGLETRANSLATE(B493,""en"",""ja""),)"),"私は音楽を聴きます。そして、眠ります。")</f>
        <v>私は音楽を聴きます。そして、眠ります。</v>
      </c>
    </row>
    <row r="494" spans="1:3" ht="18">
      <c r="A494" s="3" t="s">
        <v>1279</v>
      </c>
      <c r="B494" s="4" t="str">
        <f ca="1">IFERROR(__xludf.DUMMYFUNCTION("IFERROR(GOOGLETRANSLATE(A494,""ko"",""en""),)"),"I listen to music before going to sleep.")</f>
        <v>I listen to music before going to sleep.</v>
      </c>
      <c r="C494" s="4" t="str">
        <f ca="1">IFERROR(__xludf.DUMMYFUNCTION("IFERROR(GOOGLETRANSLATE(B494,""en"",""ja""),)"),"私は寝る前に音楽を聴きます。")</f>
        <v>私は寝る前に音楽を聴きます。</v>
      </c>
    </row>
    <row r="495" spans="1:3" ht="18">
      <c r="A495" s="3" t="s">
        <v>1281</v>
      </c>
      <c r="B495" s="4" t="str">
        <f ca="1">IFERROR(__xludf.DUMMYFUNCTION("IFERROR(GOOGLETRANSLATE(A495,""ko"",""en""),)"),"I watch a movie. And I eat dinner.")</f>
        <v>I watch a movie. And I eat dinner.</v>
      </c>
      <c r="C495" s="4" t="str">
        <f ca="1">IFERROR(__xludf.DUMMYFUNCTION("IFERROR(GOOGLETRANSLATE(B495,""en"",""ja""),)"),"私は映画を観て、夕食を食べます。")</f>
        <v>私は映画を観て、夕食を食べます。</v>
      </c>
    </row>
    <row r="496" spans="1:3" ht="18">
      <c r="A496" s="3" t="s">
        <v>1284</v>
      </c>
      <c r="B496" s="4" t="str">
        <f ca="1">IFERROR(__xludf.DUMMYFUNCTION("IFERROR(GOOGLETRANSLATE(A496,""ko"",""en""),)"),"I watch a movie before dinner.")</f>
        <v>I watch a movie before dinner.</v>
      </c>
      <c r="C496" s="4" t="str">
        <f ca="1">IFERROR(__xludf.DUMMYFUNCTION("IFERROR(GOOGLETRANSLATE(B496,""en"",""ja""),)"),"私は夕食前に映画を観ます。")</f>
        <v>私は夕食前に映画を観ます。</v>
      </c>
    </row>
    <row r="497" spans="1:3" ht="18">
      <c r="A497" s="3" t="s">
        <v>1286</v>
      </c>
      <c r="B497" s="4" t="str">
        <f ca="1">IFERROR(__xludf.DUMMYFUNCTION("IFERROR(GOOGLETRANSLATE(A497,""ko"",""en""),)"),"I do my homework. And I go to school.")</f>
        <v>I do my homework. And I go to school.</v>
      </c>
      <c r="C497" s="4" t="str">
        <f ca="1">IFERROR(__xludf.DUMMYFUNCTION("IFERROR(GOOGLETRANSLATE(B497,""en"",""ja""),)"),"私は宿題をします。そして学校に行きます。")</f>
        <v>私は宿題をします。そして学校に行きます。</v>
      </c>
    </row>
    <row r="498" spans="1:3" ht="18">
      <c r="A498" s="3" t="s">
        <v>1289</v>
      </c>
      <c r="B498" s="4" t="str">
        <f ca="1">IFERROR(__xludf.DUMMYFUNCTION("IFERROR(GOOGLETRANSLATE(A498,""ko"",""en""),)"),"I do my homework before going to school.")</f>
        <v>I do my homework before going to school.</v>
      </c>
      <c r="C498" s="4" t="str">
        <f ca="1">IFERROR(__xludf.DUMMYFUNCTION("IFERROR(GOOGLETRANSLATE(B498,""en"",""ja""),)"),"私は学校に行く前に宿題を済ませます。")</f>
        <v>私は学校に行く前に宿題を済ませます。</v>
      </c>
    </row>
    <row r="499" spans="1:3" ht="18">
      <c r="A499" s="3" t="s">
        <v>1291</v>
      </c>
      <c r="B499" s="4" t="str">
        <f ca="1">IFERROR(__xludf.DUMMYFUNCTION("IFERROR(GOOGLETRANSLATE(A499,""ko"",""en""),)"),"Close the window. And leave the house.")</f>
        <v>Close the window. And leave the house.</v>
      </c>
      <c r="C499" s="4" t="str">
        <f ca="1">IFERROR(__xludf.DUMMYFUNCTION("IFERROR(GOOGLETRANSLATE(B499,""en"",""ja""),)"),"窓を閉めて、家を出て。")</f>
        <v>窓を閉めて、家を出て。</v>
      </c>
    </row>
    <row r="500" spans="1:3" ht="18">
      <c r="A500" s="3" t="s">
        <v>1292</v>
      </c>
      <c r="B500" s="4" t="str">
        <f ca="1">IFERROR(__xludf.DUMMYFUNCTION("IFERROR(GOOGLETRANSLATE(A500,""ko"",""en""),)"),"Close the windows before leaving the house.")</f>
        <v>Close the windows before leaving the house.</v>
      </c>
      <c r="C500" s="4" t="str">
        <f ca="1">IFERROR(__xludf.DUMMYFUNCTION("IFERROR(GOOGLETRANSLATE(B500,""en"",""ja""),)"),"家を出る前に窓を閉めてください。")</f>
        <v>家を出る前に窓を閉めてください。</v>
      </c>
    </row>
    <row r="501" spans="1:3" ht="18">
      <c r="A501" s="3" t="s">
        <v>1294</v>
      </c>
      <c r="B501" s="4" t="str">
        <f ca="1">IFERROR(__xludf.DUMMYFUNCTION("IFERROR(GOOGLETRANSLATE(A501,""ko"",""en""),)"),"I do yoga. And then I go to work.")</f>
        <v>I do yoga. And then I go to work.</v>
      </c>
      <c r="C501" s="4" t="str">
        <f ca="1">IFERROR(__xludf.DUMMYFUNCTION("IFERROR(GOOGLETRANSLATE(B501,""en"",""ja""),)"),"私はヨガをします。それから仕事に行きます。")</f>
        <v>私はヨガをします。それから仕事に行きます。</v>
      </c>
    </row>
    <row r="502" spans="1:3" ht="18">
      <c r="A502" s="3" t="s">
        <v>1296</v>
      </c>
      <c r="B502" s="4" t="str">
        <f ca="1">IFERROR(__xludf.DUMMYFUNCTION("IFERROR(GOOGLETRANSLATE(A502,""ko"",""en""),)"),"I do yoga before going to work.")</f>
        <v>I do yoga before going to work.</v>
      </c>
      <c r="C502" s="4" t="str">
        <f ca="1">IFERROR(__xludf.DUMMYFUNCTION("IFERROR(GOOGLETRANSLATE(B502,""en"",""ja""),)"),"私は仕事に行く前にヨガをします。")</f>
        <v>私は仕事に行く前にヨガをします。</v>
      </c>
    </row>
    <row r="503" spans="1:3" ht="18">
      <c r="A503" s="3" t="s">
        <v>1299</v>
      </c>
      <c r="B503" s="4" t="str">
        <f ca="1">IFERROR(__xludf.DUMMYFUNCTION("IFERROR(GOOGLETRANSLATE(A503,""ko"",""en""),)"),"What are you going to do this afternoon?")</f>
        <v>What are you going to do this afternoon?</v>
      </c>
      <c r="C503" s="4" t="str">
        <f ca="1">IFERROR(__xludf.DUMMYFUNCTION("IFERROR(GOOGLETRANSLATE(B503,""en"",""ja""),)"),"今日の午後は何をする予定ですか？")</f>
        <v>今日の午後は何をする予定ですか？</v>
      </c>
    </row>
    <row r="504" spans="1:3" ht="18">
      <c r="A504" s="3" t="s">
        <v>1301</v>
      </c>
      <c r="B504" s="4" t="str">
        <f ca="1">IFERROR(__xludf.DUMMYFUNCTION("IFERROR(GOOGLETRANSLATE(A504,""ko"",""en""),)"),"I'm going to go to the park and take a walk.")</f>
        <v>I'm going to go to the park and take a walk.</v>
      </c>
      <c r="C504" s="4" t="str">
        <f ca="1">IFERROR(__xludf.DUMMYFUNCTION("IFERROR(GOOGLETRANSLATE(B504,""en"",""ja""),)"),"公園に行って散歩しようと思います。")</f>
        <v>公園に行って散歩しようと思います。</v>
      </c>
    </row>
    <row r="505" spans="1:3" ht="18">
      <c r="A505" s="3" t="s">
        <v>992</v>
      </c>
      <c r="B505" s="4" t="str">
        <f ca="1">IFERROR(__xludf.DUMMYFUNCTION("IFERROR(GOOGLETRANSLATE(A505,""ko"",""en""),)"),"What did you have for lunch?")</f>
        <v>What did you have for lunch?</v>
      </c>
      <c r="C505" s="4" t="str">
        <f ca="1">IFERROR(__xludf.DUMMYFUNCTION("IFERROR(GOOGLETRANSLATE(B505,""en"",""ja""),)"),"お昼は何を食べましたか？")</f>
        <v>お昼は何を食べましたか？</v>
      </c>
    </row>
    <row r="506" spans="1:3" ht="18">
      <c r="A506" s="3" t="s">
        <v>1307</v>
      </c>
      <c r="B506" s="4" t="str">
        <f ca="1">IFERROR(__xludf.DUMMYFUNCTION("IFERROR(GOOGLETRANSLATE(A506,""ko"",""en""),)"),"I made and ate gimbap.")</f>
        <v>I made and ate gimbap.</v>
      </c>
      <c r="C506" s="4" t="str">
        <f ca="1">IFERROR(__xludf.DUMMYFUNCTION("IFERROR(GOOGLETRANSLATE(B506,""en"",""ja""),)"),"キンパを作って食べました。")</f>
        <v>キンパを作って食べました。</v>
      </c>
    </row>
    <row r="507" spans="1:3" ht="18">
      <c r="A507" s="3" t="s">
        <v>1309</v>
      </c>
      <c r="B507" s="4" t="str">
        <f ca="1">IFERROR(__xludf.DUMMYFUNCTION("IFERROR(GOOGLETRANSLATE(A507,""ko"",""en""),)"),"I went to a department store and went shopping.")</f>
        <v>I went to a department store and went shopping.</v>
      </c>
      <c r="C507" s="4" t="str">
        <f ca="1">IFERROR(__xludf.DUMMYFUNCTION("IFERROR(GOOGLETRANSLATE(B507,""en"",""ja""),)"),"デパートに行って買い物をした。")</f>
        <v>デパートに行って買い物をした。</v>
      </c>
    </row>
    <row r="508" spans="1:3" ht="18">
      <c r="A508" s="3" t="s">
        <v>1312</v>
      </c>
      <c r="B508" s="4" t="str">
        <f ca="1">IFERROR(__xludf.DUMMYFUNCTION("IFERROR(GOOGLETRANSLATE(A508,""ko"",""en""),)"),"I went to a Korean restaurant and ate bulgogi.")</f>
        <v>I went to a Korean restaurant and ate bulgogi.</v>
      </c>
      <c r="C508" s="4" t="str">
        <f ca="1">IFERROR(__xludf.DUMMYFUNCTION("IFERROR(GOOGLETRANSLATE(B508,""en"",""ja""),)"),"韓国料理店に行ってプルコギを食べました。")</f>
        <v>韓国料理店に行ってプルコギを食べました。</v>
      </c>
    </row>
    <row r="509" spans="1:3" ht="18">
      <c r="A509" s="3" t="s">
        <v>1314</v>
      </c>
      <c r="B509" s="4" t="str">
        <f ca="1">IFERROR(__xludf.DUMMYFUNCTION("IFERROR(GOOGLETRANSLATE(A509,""ko"",""en""),)"),"Please sit and wait.")</f>
        <v>Please sit and wait.</v>
      </c>
      <c r="C509" s="4" t="str">
        <f ca="1">IFERROR(__xludf.DUMMYFUNCTION("IFERROR(GOOGLETRANSLATE(B509,""en"",""ja""),)"),"どうぞお座りになってお待ちください。")</f>
        <v>どうぞお座りになってお待ちください。</v>
      </c>
    </row>
    <row r="510" spans="1:3" ht="18">
      <c r="A510" s="3" t="s">
        <v>1317</v>
      </c>
      <c r="B510" s="4" t="str">
        <f ca="1">IFERROR(__xludf.DUMMYFUNCTION("IFERROR(GOOGLETRANSLATE(A510,""ko"",""en""),)"),"I met a friend downtown and watched a movie.")</f>
        <v>I met a friend downtown and watched a movie.</v>
      </c>
      <c r="C510" s="4" t="str">
        <f ca="1">IFERROR(__xludf.DUMMYFUNCTION("IFERROR(GOOGLETRANSLATE(B510,""en"",""ja""),)"),"私はダウンタウンで友人と会い、映画を観た。")</f>
        <v>私はダウンタウンで友人と会い、映画を観た。</v>
      </c>
    </row>
    <row r="511" spans="1:3" ht="18">
      <c r="A511" s="3" t="s">
        <v>1321</v>
      </c>
      <c r="B511" s="4" t="str">
        <f ca="1">IFERROR(__xludf.DUMMYFUNCTION("IFERROR(GOOGLETRANSLATE(A511,""ko"",""en""),)"),"I went to the seaside and swam.")</f>
        <v>I went to the seaside and swam.</v>
      </c>
      <c r="C511" s="4" t="str">
        <f ca="1">IFERROR(__xludf.DUMMYFUNCTION("IFERROR(GOOGLETRANSLATE(B511,""en"",""ja""),)"),"私は海辺に行って泳いだ。")</f>
        <v>私は海辺に行って泳いだ。</v>
      </c>
    </row>
    <row r="512" spans="1:3" ht="18">
      <c r="A512" s="3" t="s">
        <v>1323</v>
      </c>
      <c r="B512" s="4" t="s">
        <v>1325</v>
      </c>
      <c r="C512" s="4" t="str">
        <f ca="1">IFERROR(__xludf.DUMMYFUNCTION("IFERROR(GOOGLETRANSLATE(B512,""en"",""ja""),)"),"行ってそれから")</f>
        <v>行ってそれから</v>
      </c>
    </row>
    <row r="513" spans="1:3" ht="18">
      <c r="A513" s="3" t="s">
        <v>1328</v>
      </c>
      <c r="B513" s="4" t="s">
        <v>1329</v>
      </c>
      <c r="C513" s="4" t="str">
        <f ca="1">IFERROR(__xludf.DUMMYFUNCTION("IFERROR(GOOGLETRANSLATE(B513,""en"",""ja""),)"),"購入してから")</f>
        <v>購入してから</v>
      </c>
    </row>
    <row r="514" spans="1:3" ht="18">
      <c r="A514" s="3" t="s">
        <v>1330</v>
      </c>
      <c r="B514" s="4" t="s">
        <v>1331</v>
      </c>
      <c r="C514" s="4" t="str">
        <f ca="1">IFERROR(__xludf.DUMMYFUNCTION("IFERROR(GOOGLETRANSLATE(B514,""en"",""ja""),)"),"来てそれから")</f>
        <v>来てそれから</v>
      </c>
    </row>
    <row r="515" spans="1:3" ht="18">
      <c r="A515" s="3" t="s">
        <v>1335</v>
      </c>
      <c r="B515" s="4" t="s">
        <v>1337</v>
      </c>
      <c r="C515" s="4" t="str">
        <f ca="1">IFERROR(__xludf.DUMMYFUNCTION("IFERROR(GOOGLETRANSLATE(B515,""en"",""ja""),)"),"会ってそれから")</f>
        <v>会ってそれから</v>
      </c>
    </row>
    <row r="516" spans="1:3" ht="18">
      <c r="A516" s="3" t="s">
        <v>1340</v>
      </c>
      <c r="B516" s="4" t="s">
        <v>1341</v>
      </c>
      <c r="C516" s="4" t="str">
        <f ca="1">IFERROR(__xludf.DUMMYFUNCTION("IFERROR(GOOGLETRANSLATE(B516,""en"",""ja""),)"),"起きてそれから")</f>
        <v>起きてそれから</v>
      </c>
    </row>
    <row r="517" spans="1:3" ht="18">
      <c r="A517" s="3" t="s">
        <v>1343</v>
      </c>
      <c r="B517" s="4" t="s">
        <v>1344</v>
      </c>
      <c r="C517" s="4" t="str">
        <f ca="1">IFERROR(__xludf.DUMMYFUNCTION("IFERROR(GOOGLETRANSLATE(B517,""en"",""ja""),)"),"洗ってから")</f>
        <v>洗ってから</v>
      </c>
    </row>
    <row r="518" spans="1:3" ht="18">
      <c r="A518" s="3" t="s">
        <v>1345</v>
      </c>
      <c r="B518" s="4" t="s">
        <v>1347</v>
      </c>
      <c r="C518" s="4" t="str">
        <f ca="1">IFERROR(__xludf.DUMMYFUNCTION("IFERROR(GOOGLETRANSLATE(B518,""en"",""ja""),)"),"（写真を）撮って、それから")</f>
        <v>（写真を）撮って、それから</v>
      </c>
    </row>
    <row r="519" spans="1:3" ht="18">
      <c r="A519" s="3" t="s">
        <v>1348</v>
      </c>
      <c r="B519" s="4" t="s">
        <v>1350</v>
      </c>
      <c r="C519" s="4" t="str">
        <f ca="1">IFERROR(__xludf.DUMMYFUNCTION("IFERROR(GOOGLETRANSLATE(B519,""en"",""ja""),)"),"作ってから")</f>
        <v>作ってから</v>
      </c>
    </row>
    <row r="520" spans="1:3" ht="18">
      <c r="A520" s="3" t="s">
        <v>1352</v>
      </c>
      <c r="B520" s="4" t="s">
        <v>1353</v>
      </c>
      <c r="C520" s="4" t="str">
        <f ca="1">IFERROR(__xludf.DUMMYFUNCTION("IFERROR(GOOGLETRANSLATE(B520,""en"",""ja""),)"),"書き込み/使用してから")</f>
        <v>書き込み/使用してから</v>
      </c>
    </row>
    <row r="521" spans="1:3" ht="18">
      <c r="A521" s="3" t="s">
        <v>1354</v>
      </c>
      <c r="B521" s="4" t="s">
        <v>1355</v>
      </c>
      <c r="C521" s="4" t="str">
        <f ca="1">IFERROR(__xludf.DUMMYFUNCTION("IFERROR(GOOGLETRANSLATE(B521,""en"",""ja""),)"),"歩いてから")</f>
        <v>歩いてから</v>
      </c>
    </row>
    <row r="522" spans="1:3" ht="18">
      <c r="A522" s="3" t="s">
        <v>1356</v>
      </c>
      <c r="B522" s="4" t="s">
        <v>1357</v>
      </c>
      <c r="C522" s="4" t="str">
        <f ca="1">IFERROR(__xludf.DUMMYFUNCTION("IFERROR(GOOGLETRANSLATE(B522,""en"",""ja""),)"),"泳いでから")</f>
        <v>泳いでから</v>
      </c>
    </row>
    <row r="523" spans="1:3" ht="18">
      <c r="A523" s="3" t="s">
        <v>1360</v>
      </c>
      <c r="B523" s="4" t="s">
        <v>1361</v>
      </c>
      <c r="C523" s="4" t="str">
        <f ca="1">IFERROR(__xludf.DUMMYFUNCTION("IFERROR(GOOGLETRANSLATE(B523,""en"",""ja""),)"),"調理してから")</f>
        <v>調理してから</v>
      </c>
    </row>
    <row r="524" spans="1:3" ht="18">
      <c r="A524" s="3" t="s">
        <v>1364</v>
      </c>
      <c r="B524" s="4" t="s">
        <v>1365</v>
      </c>
      <c r="C524" s="4" t="str">
        <f ca="1">IFERROR(__xludf.DUMMYFUNCTION("IFERROR(GOOGLETRANSLATE(B524,""en"",""ja""),)"),"電話して、それから")</f>
        <v>電話して、それから</v>
      </c>
    </row>
    <row r="525" spans="1:3" ht="18">
      <c r="A525" s="3" t="s">
        <v>1366</v>
      </c>
      <c r="B525" s="4" t="s">
        <v>1367</v>
      </c>
      <c r="C525" s="4" t="str">
        <f ca="1">IFERROR(__xludf.DUMMYFUNCTION("IFERROR(GOOGLETRANSLATE(B525,""en"",""ja""),)"),"招待して、それから")</f>
        <v>招待して、それから</v>
      </c>
    </row>
    <row r="526" spans="1:3" ht="18">
      <c r="A526" s="3" t="s">
        <v>1371</v>
      </c>
      <c r="B526" s="4" t="s">
        <v>1372</v>
      </c>
      <c r="C526" s="4" t="str">
        <f ca="1">IFERROR(__xludf.DUMMYFUNCTION("IFERROR(GOOGLETRANSLATE(B526,""en"",""ja""),)"),"話をする／会話をして、それから")</f>
        <v>話をする／会話をして、それから</v>
      </c>
    </row>
    <row r="527" spans="1:3" ht="18">
      <c r="A527" s="5" t="s">
        <v>1374</v>
      </c>
      <c r="B527" s="4" t="str">
        <f ca="1">IFERROR(__xludf.DUMMYFUNCTION("IFERROR(GOOGLETRANSLATE(A527,""ko"",""en""),)"),"I go to the bank. I withdraw money from that bank.")</f>
        <v>I go to the bank. I withdraw money from that bank.</v>
      </c>
      <c r="C527" s="4" t="str">
        <f ca="1">IFERROR(__xludf.DUMMYFUNCTION("IFERROR(GOOGLETRANSLATE(B527,""en"",""ja""),)"),"私は銀行に行き、その銀行からお金を引き出す。")</f>
        <v>私は銀行に行き、その銀行からお金を引き出す。</v>
      </c>
    </row>
    <row r="528" spans="1:3" ht="18">
      <c r="A528" s="3" t="s">
        <v>1376</v>
      </c>
      <c r="B528" s="4" t="str">
        <f ca="1">IFERROR(__xludf.DUMMYFUNCTION("IFERROR(GOOGLETRANSLATE(A528,""ko"",""en""),)"),"Go to the bank and withdraw money.")</f>
        <v>Go to the bank and withdraw money.</v>
      </c>
      <c r="C528" s="4" t="str">
        <f ca="1">IFERROR(__xludf.DUMMYFUNCTION("IFERROR(GOOGLETRANSLATE(B528,""en"",""ja""),)"),"銀行に行って現金を引き出しなさい。")</f>
        <v>銀行に行って現金を引き出しなさい。</v>
      </c>
    </row>
    <row r="529" spans="1:3" ht="18">
      <c r="A529" s="3" t="s">
        <v>1378</v>
      </c>
      <c r="B529" s="4" t="str">
        <f ca="1">IFERROR(__xludf.DUMMYFUNCTION("IFERROR(GOOGLETRANSLATE(A529,""ko"",""en""),)"),"I meet a friend. I go shopping with that friend.")</f>
        <v>I meet a friend. I go shopping with that friend.</v>
      </c>
      <c r="C529" s="4" t="str">
        <f ca="1">IFERROR(__xludf.DUMMYFUNCTION("IFERROR(GOOGLETRANSLATE(B529,""en"",""ja""),)"),"私は友人と会った。私はその友人と買い物に行った。")</f>
        <v>私は友人と会った。私はその友人と買い物に行った。</v>
      </c>
    </row>
    <row r="530" spans="1:3" ht="18">
      <c r="A530" s="3" t="s">
        <v>1379</v>
      </c>
      <c r="B530" s="4" t="str">
        <f ca="1">IFERROR(__xludf.DUMMYFUNCTION("IFERROR(GOOGLETRANSLATE(A530,""ko"",""en""),)"),"I meet a friend and go shopping.")</f>
        <v>I meet a friend and go shopping.</v>
      </c>
      <c r="C530" s="4" t="str">
        <f ca="1">IFERROR(__xludf.DUMMYFUNCTION("IFERROR(GOOGLETRANSLATE(B530,""en"",""ja""),)"),"友達と会って買い物に行く。")</f>
        <v>友達と会って買い物に行く。</v>
      </c>
    </row>
    <row r="531" spans="1:3" ht="18">
      <c r="A531" s="3" t="s">
        <v>1381</v>
      </c>
      <c r="B531" s="4" t="str">
        <f ca="1">IFERROR(__xludf.DUMMYFUNCTION("IFERROR(GOOGLETRANSLATE(A531,""ko"",""en""),)"),"I went to the sea. I swam in that sea.")</f>
        <v>I went to the sea. I swam in that sea.</v>
      </c>
      <c r="C531" s="4" t="str">
        <f ca="1">IFERROR(__xludf.DUMMYFUNCTION("IFERROR(GOOGLETRANSLATE(B531,""en"",""ja""),)"),"私は海に行った。そしてその海で泳いだ。")</f>
        <v>私は海に行った。そしてその海で泳いだ。</v>
      </c>
    </row>
    <row r="532" spans="1:3" ht="18">
      <c r="A532" s="3" t="s">
        <v>1383</v>
      </c>
      <c r="B532" s="4" t="str">
        <f ca="1">IFERROR(__xludf.DUMMYFUNCTION("IFERROR(GOOGLETRANSLATE(A532,""ko"",""en""),)"),"I went to the sea and swam.")</f>
        <v>I went to the sea and swam.</v>
      </c>
      <c r="C532" s="4" t="str">
        <f ca="1">IFERROR(__xludf.DUMMYFUNCTION("IFERROR(GOOGLETRANSLATE(B532,""en"",""ja""),)"),"私は海に行って泳いだ。")</f>
        <v>私は海に行って泳いだ。</v>
      </c>
    </row>
    <row r="533" spans="1:3" ht="18">
      <c r="A533" s="3" t="s">
        <v>1385</v>
      </c>
      <c r="B533" s="4" t="str">
        <f ca="1">IFERROR(__xludf.DUMMYFUNCTION("IFERROR(GOOGLETRANSLATE(A533,""ko"",""en""),)"),"I made tteokbokki. I ate the tteokbokki with my younger sibling.")</f>
        <v>I made tteokbokki. I ate the tteokbokki with my younger sibling.</v>
      </c>
      <c r="C533" s="4" t="str">
        <f ca="1">IFERROR(__xludf.DUMMYFUNCTION("IFERROR(GOOGLETRANSLATE(B533,""en"",""ja""),)"),"トッポッキを作りました。弟と一緒にトッポッキを食べました。")</f>
        <v>トッポッキを作りました。弟と一緒にトッポッキを食べました。</v>
      </c>
    </row>
    <row r="534" spans="1:3" ht="18">
      <c r="A534" s="3" t="s">
        <v>1388</v>
      </c>
      <c r="B534" s="4" t="str">
        <f ca="1">IFERROR(__xludf.DUMMYFUNCTION("IFERROR(GOOGLETRANSLATE(A534,""ko"",""en""),)"),"I made tteokbokki and ate it with my younger sibling.")</f>
        <v>I made tteokbokki and ate it with my younger sibling.</v>
      </c>
      <c r="C534" s="4" t="str">
        <f ca="1">IFERROR(__xludf.DUMMYFUNCTION("IFERROR(GOOGLETRANSLATE(B534,""en"",""ja""),)"),"私はトッポッキを作って、弟と一緒に食べました。")</f>
        <v>私はトッポッキを作って、弟と一緒に食べました。</v>
      </c>
    </row>
    <row r="535" spans="1:3" ht="18">
      <c r="A535" s="3" t="s">
        <v>1390</v>
      </c>
      <c r="B535" s="4" t="str">
        <f ca="1">IFERROR(__xludf.DUMMYFUNCTION("IFERROR(GOOGLETRANSLATE(A535,""ko"",""en""),)"),"I'm going to invite my friends over to my house. I'm going to have a party with them.")</f>
        <v>I'm going to invite my friends over to my house. I'm going to have a party with them.</v>
      </c>
      <c r="C535" s="4" t="str">
        <f ca="1">IFERROR(__xludf.DUMMYFUNCTION("IFERROR(GOOGLETRANSLATE(B535,""en"",""ja""),)"),"友達を家に招待して、パーティーをするつもりです。")</f>
        <v>友達を家に招待して、パーティーをするつもりです。</v>
      </c>
    </row>
    <row r="536" spans="1:3" ht="18">
      <c r="A536" s="3" t="s">
        <v>1395</v>
      </c>
      <c r="B536" s="4" t="str">
        <f ca="1">IFERROR(__xludf.DUMMYFUNCTION("IFERROR(GOOGLETRANSLATE(A536,""ko"",""en""),)"),"I'm going to invite my friends over to my house for a party.")</f>
        <v>I'm going to invite my friends over to my house for a party.</v>
      </c>
      <c r="C536" s="4" t="str">
        <f ca="1">IFERROR(__xludf.DUMMYFUNCTION("IFERROR(GOOGLETRANSLATE(B536,""en"",""ja""),)"),"友達を家に招いてパーティーをしようと思っています。")</f>
        <v>友達を家に招いてパーティーをしようと思っています。</v>
      </c>
    </row>
    <row r="537" spans="1:3" ht="18">
      <c r="A537" s="3" t="s">
        <v>1399</v>
      </c>
      <c r="B537" s="4" t="str">
        <f ca="1">IFERROR(__xludf.DUMMYFUNCTION("IFERROR(GOOGLETRANSLATE(A537,""ko"",""en""),)"),"I go to the Sejong Institute to study Korean.")</f>
        <v>I go to the Sejong Institute to study Korean.</v>
      </c>
      <c r="C537" s="4" t="str">
        <f ca="1">IFERROR(__xludf.DUMMYFUNCTION("IFERROR(GOOGLETRANSLATE(B537,""en"",""ja""),)"),"私は韓国語を勉強するために世宗学院に通っています。")</f>
        <v>私は韓国語を勉強するために世宗学院に通っています。</v>
      </c>
    </row>
    <row r="538" spans="1:3" ht="18">
      <c r="A538" s="3" t="s">
        <v>1402</v>
      </c>
      <c r="B538" s="4" t="str">
        <f ca="1">IFERROR(__xludf.DUMMYFUNCTION("IFERROR(GOOGLETRANSLATE(A538,""ko"",""en""),)"),"I ride my bicycle to work.")</f>
        <v>I ride my bicycle to work.</v>
      </c>
      <c r="C538" s="4" t="str">
        <f ca="1">IFERROR(__xludf.DUMMYFUNCTION("IFERROR(GOOGLETRANSLATE(B538,""en"",""ja""),)"),"私は自転車で通勤しています。")</f>
        <v>私は自転車で通勤しています。</v>
      </c>
    </row>
    <row r="539" spans="1:3" ht="18">
      <c r="A539" s="3" t="s">
        <v>1406</v>
      </c>
      <c r="B539" s="4" t="str">
        <f ca="1">IFERROR(__xludf.DUMMYFUNCTION("IFERROR(GOOGLETRANSLATE(A539,""ko"",""en""),)"),"I'm going to wash the apple and eat it.")</f>
        <v>I'm going to wash the apple and eat it.</v>
      </c>
      <c r="C539" s="4" t="str">
        <f ca="1">IFERROR(__xludf.DUMMYFUNCTION("IFERROR(GOOGLETRANSLATE(B539,""en"",""ja""),)"),"リンゴを洗って食べます。")</f>
        <v>リンゴを洗って食べます。</v>
      </c>
    </row>
    <row r="540" spans="1:3" ht="18">
      <c r="A540" s="3" t="s">
        <v>1407</v>
      </c>
      <c r="B540" s="4" t="str">
        <f ca="1">IFERROR(__xludf.DUMMYFUNCTION("IFERROR(GOOGLETRANSLATE(A540,""ko"",""en""),)"),"I woke up in the morning and exercised.")</f>
        <v>I woke up in the morning and exercised.</v>
      </c>
      <c r="C540" s="4" t="str">
        <f ca="1">IFERROR(__xludf.DUMMYFUNCTION("IFERROR(GOOGLETRANSLATE(B540,""en"",""ja""),)"),"私は朝起きて運動をした。")</f>
        <v>私は朝起きて運動をした。</v>
      </c>
    </row>
    <row r="541" spans="1:3" ht="18">
      <c r="A541" s="3" t="s">
        <v>1411</v>
      </c>
      <c r="B541" s="4" t="str">
        <f ca="1">IFERROR(__xludf.DUMMYFUNCTION("IFERROR(GOOGLETRANSLATE(A541,""ko"",""en""),)"),"I bought and ate gimbap for lunch.")</f>
        <v>I bought and ate gimbap for lunch.</v>
      </c>
      <c r="C541" s="4" t="str">
        <f ca="1">IFERROR(__xludf.DUMMYFUNCTION("IFERROR(GOOGLETRANSLATE(B541,""en"",""ja""),)"),"私は昼食にキンパを買って食べました。")</f>
        <v>私は昼食にキンパを買って食べました。</v>
      </c>
    </row>
    <row r="542" spans="1:3" ht="18">
      <c r="A542" s="3" t="s">
        <v>1412</v>
      </c>
      <c r="B542" s="4" t="str">
        <f ca="1">IFERROR(__xludf.DUMMYFUNCTION("IFERROR(GOOGLETRANSLATE(A542,""ko"",""en""),)"),"I wore a suit and went to a friend's wedding.")</f>
        <v>I wore a suit and went to a friend's wedding.</v>
      </c>
      <c r="C542" s="4" t="str">
        <f ca="1">IFERROR(__xludf.DUMMYFUNCTION("IFERROR(GOOGLETRANSLATE(B542,""en"",""ja""),)"),"私はスーツを着て友人の結婚式に出席した。")</f>
        <v>私はスーツを着て友人の結婚式に出席した。</v>
      </c>
    </row>
    <row r="543" spans="1:3" ht="18">
      <c r="A543" s="3" t="s">
        <v>1414</v>
      </c>
      <c r="B543" s="4" t="str">
        <f ca="1">IFERROR(__xludf.DUMMYFUNCTION("IFERROR(GOOGLETRANSLATE(A543,""ko"",""en""),)"),"If I make a lot of money, I want to go to Korea and go shopping.")</f>
        <v>If I make a lot of money, I want to go to Korea and go shopping.</v>
      </c>
      <c r="C543" s="4" t="str">
        <f ca="1">IFERROR(__xludf.DUMMYFUNCTION("IFERROR(GOOGLETRANSLATE(B543,""en"",""ja""),)"),"もしたくさんお金が稼げたら、韓国に行って買い物に行きたい。")</f>
        <v>もしたくさんお金が稼げたら、韓国に行って買い物に行きたい。</v>
      </c>
    </row>
    <row r="544" spans="1:3" ht="18">
      <c r="A544" s="3" t="s">
        <v>1418</v>
      </c>
      <c r="B544" s="4" t="str">
        <f ca="1">IFERROR(__xludf.DUMMYFUNCTION("IFERROR(GOOGLETRANSLATE(A544,""ko"",""en""),)"),"I want to learn Korean and work at a Korean company.")</f>
        <v>I want to learn Korean and work at a Korean company.</v>
      </c>
      <c r="C544" s="4" t="str">
        <f ca="1">IFERROR(__xludf.DUMMYFUNCTION("IFERROR(GOOGLETRANSLATE(B544,""en"",""ja""),)"),"韓国語を学び、韓国の企業で働きたいです。")</f>
        <v>韓国語を学び、韓国の企業で働きたいです。</v>
      </c>
    </row>
    <row r="545" spans="1:3" ht="18">
      <c r="A545" s="3" t="s">
        <v>1421</v>
      </c>
      <c r="B545" s="4" t="str">
        <f ca="1">IFERROR(__xludf.DUMMYFUNCTION("IFERROR(GOOGLETRANSLATE(A545,""ko"",""en""),)"),"I'm going to meet a friend and have a drink after watching a movie.")</f>
        <v>I'm going to meet a friend and have a drink after watching a movie.</v>
      </c>
      <c r="C545" s="4" t="str">
        <f ca="1">IFERROR(__xludf.DUMMYFUNCTION("IFERROR(GOOGLETRANSLATE(B545,""en"",""ja""),)"),"映画を見た後、友達と会って一杯飲む予定です。")</f>
        <v>映画を見た後、友達と会って一杯飲む予定です。</v>
      </c>
    </row>
    <row r="546" spans="1:3" ht="18">
      <c r="A546" s="3" t="s">
        <v>1424</v>
      </c>
      <c r="B546" s="4" t="str">
        <f ca="1">IFERROR(__xludf.DUMMYFUNCTION("IFERROR(GOOGLETRANSLATE(A546,""ko"",""en""),)"),"I'm going to work part-time during this vacation to go on a trip.")</f>
        <v>I'm going to work part-time during this vacation to go on a trip.</v>
      </c>
      <c r="C546" s="4" t="str">
        <f ca="1">IFERROR(__xludf.DUMMYFUNCTION("IFERROR(GOOGLETRANSLATE(B546,""en"",""ja""),)"),"旅行に行くために、この休暇中はパートタイムで働くつもりです。")</f>
        <v>旅行に行くために、この休暇中はパートタイムで働くつもりです。</v>
      </c>
    </row>
    <row r="547" spans="1:3" ht="18">
      <c r="A547" s="3" t="s">
        <v>1429</v>
      </c>
      <c r="B547" s="4" t="str">
        <f ca="1">IFERROR(__xludf.DUMMYFUNCTION("IFERROR(GOOGLETRANSLATE(A547,""ko"",""en""),)"),"I woke up early this morning and exercised for 30 minutes.")</f>
        <v>I woke up early this morning and exercised for 30 minutes.</v>
      </c>
      <c r="C547" s="4" t="str">
        <f ca="1">IFERROR(__xludf.DUMMYFUNCTION("IFERROR(GOOGLETRANSLATE(B547,""en"",""ja""),)"),"今朝は早く起きて、30分間運動しました。")</f>
        <v>今朝は早く起きて、30分間運動しました。</v>
      </c>
    </row>
    <row r="548" spans="1:3" ht="18">
      <c r="A548" s="3" t="s">
        <v>1433</v>
      </c>
      <c r="B548" s="4" t="str">
        <f ca="1">IFERROR(__xludf.DUMMYFUNCTION("IFERROR(GOOGLETRANSLATE(A548,""ko"",""en""),)"),"I go to school and attend classes.")</f>
        <v>I go to school and attend classes.</v>
      </c>
      <c r="C548" s="4" t="str">
        <f ca="1">IFERROR(__xludf.DUMMYFUNCTION("IFERROR(GOOGLETRANSLATE(B548,""en"",""ja""),)"),"私は学校に通って授業に出席します。")</f>
        <v>私は学校に通って授業に出席します。</v>
      </c>
    </row>
    <row r="549" spans="1:3" ht="18">
      <c r="A549" s="3" t="s">
        <v>1436</v>
      </c>
      <c r="B549" s="4" t="str">
        <f ca="1">IFERROR(__xludf.DUMMYFUNCTION("IFERROR(GOOGLETRANSLATE(A549,""ko"",""en""),)"),"I meet a friend and watch a movie together.")</f>
        <v>I meet a friend and watch a movie together.</v>
      </c>
      <c r="C549" s="4" t="str">
        <f ca="1">IFERROR(__xludf.DUMMYFUNCTION("IFERROR(GOOGLETRANSLATE(B549,""en"",""ja""),)"),"友達と会って一緒に映画を観た。")</f>
        <v>友達と会って一緒に映画を観た。</v>
      </c>
    </row>
    <row r="550" spans="1:3" ht="18">
      <c r="A550" s="5" t="s">
        <v>1438</v>
      </c>
      <c r="B550" s="4" t="str">
        <f ca="1">IFERROR(__xludf.DUMMYFUNCTION("IFERROR(GOOGLETRANSLATE(A550,""ko"",""en""),)"),"I wake up early and go exercise.")</f>
        <v>I wake up early and go exercise.</v>
      </c>
      <c r="C550" s="4" t="str">
        <f ca="1">IFERROR(__xludf.DUMMYFUNCTION("IFERROR(GOOGLETRANSLATE(B550,""en"",""ja""),)"),"私は早起きして運動に行きます。")</f>
        <v>私は早起きして運動に行きます。</v>
      </c>
    </row>
    <row r="551" spans="1:3" ht="18">
      <c r="A551" s="3" t="s">
        <v>1442</v>
      </c>
      <c r="B551" s="4" t="str">
        <f ca="1">IFERROR(__xludf.DUMMYFUNCTION("IFERROR(GOOGLETRANSLATE(A551,""ko"",""en""),)"),"I make a salad and eat it with my friend.")</f>
        <v>I make a salad and eat it with my friend.</v>
      </c>
      <c r="C551" s="4" t="str">
        <f ca="1">IFERROR(__xludf.DUMMYFUNCTION("IFERROR(GOOGLETRANSLATE(B551,""en"",""ja""),)"),"私はサラダを作って友達と一緒に食べます。")</f>
        <v>私はサラダを作って友達と一緒に食べます。</v>
      </c>
    </row>
    <row r="552" spans="1:3" ht="18">
      <c r="A552" s="3" t="s">
        <v>1445</v>
      </c>
      <c r="B552" s="4" t="str">
        <f ca="1">IFERROR(__xludf.DUMMYFUNCTION("IFERROR(GOOGLETRANSLATE(A552,""ko"",""en""),)"),"I invite a friend over for a birthday party.")</f>
        <v>I invite a friend over for a birthday party.</v>
      </c>
      <c r="C552" s="4" t="str">
        <f ca="1">IFERROR(__xludf.DUMMYFUNCTION("IFERROR(GOOGLETRANSLATE(B552,""en"",""ja""),)"),"友人を誕生日パーティーに招待する。")</f>
        <v>友人を誕生日パーティーに招待する。</v>
      </c>
    </row>
    <row r="553" spans="1:3" ht="18">
      <c r="A553" s="5" t="s">
        <v>1448</v>
      </c>
      <c r="B553" s="4" t="str">
        <f ca="1">IFERROR(__xludf.DUMMYFUNCTION("IFERROR(GOOGLETRANSLATE(A553,""ko"",""en""),)"),"I go swimming, go to school, and eat breakfast.")</f>
        <v>I go swimming, go to school, and eat breakfast.</v>
      </c>
      <c r="C553" s="4" t="str">
        <f ca="1">IFERROR(__xludf.DUMMYFUNCTION("IFERROR(GOOGLETRANSLATE(B553,""en"",""ja""),)"),"私は泳ぎに行き、学校に行き、朝食を食べます。")</f>
        <v>私は泳ぎに行き、学校に行き、朝食を食べます。</v>
      </c>
    </row>
    <row r="554" spans="1:3" ht="18">
      <c r="A554" s="5" t="s">
        <v>1452</v>
      </c>
      <c r="B554" s="4" t="str">
        <f ca="1">IFERROR(__xludf.DUMMYFUNCTION("IFERROR(GOOGLETRANSLATE(A554,""ko"",""en""),)"),"I eat dinner at home and do yoga before going to bed.")</f>
        <v>I eat dinner at home and do yoga before going to bed.</v>
      </c>
      <c r="C554" s="4" t="str">
        <f ca="1">IFERROR(__xludf.DUMMYFUNCTION("IFERROR(GOOGLETRANSLATE(B554,""en"",""ja""),)"),"私は家で夕食を食べ、寝る前にヨガをします。")</f>
        <v>私は家で夕食を食べ、寝る前にヨガをします。</v>
      </c>
    </row>
    <row r="555" spans="1:3" ht="18">
      <c r="A555" s="3" t="s">
        <v>1455</v>
      </c>
      <c r="B555" s="4" t="str">
        <f ca="1">IFERROR(__xludf.DUMMYFUNCTION("IFERROR(GOOGLETRANSLATE(A555,""ko"",""en""),)"),"I eat before bed and do yoga.")</f>
        <v>I eat before bed and do yoga.</v>
      </c>
      <c r="C555" s="4" t="str">
        <f ca="1">IFERROR(__xludf.DUMMYFUNCTION("IFERROR(GOOGLETRANSLATE(B555,""en"",""ja""),)"),"私は寝る前に食事をして、ヨガをします。")</f>
        <v>私は寝る前に食事をして、ヨガをします。</v>
      </c>
    </row>
    <row r="556" spans="1:3" ht="18">
      <c r="A556" s="3" t="s">
        <v>1456</v>
      </c>
      <c r="B556" s="4" t="str">
        <f ca="1">IFERROR(__xludf.DUMMYFUNCTION("IFERROR(GOOGLETRANSLATE(A556,""ko"",""en""),)"),"I follow the Mediterranean diet.")</f>
        <v>I follow the Mediterranean diet.</v>
      </c>
      <c r="C556" s="4" t="str">
        <f ca="1">IFERROR(__xludf.DUMMYFUNCTION("IFERROR(GOOGLETRANSLATE(B556,""en"",""ja""),)"),"私は地中海式ダイエットを実践しています。")</f>
        <v>私は地中海式ダイエットを実践しています。</v>
      </c>
    </row>
    <row r="557" spans="1:3" ht="18">
      <c r="A557" s="3" t="s">
        <v>1459</v>
      </c>
      <c r="B557" s="4" t="str">
        <f ca="1">IFERROR(__xludf.DUMMYFUNCTION("IFERROR(GOOGLETRANSLATE(A557,""ko"",""en""),)"),"Lose weight")</f>
        <v>Lose weight</v>
      </c>
      <c r="C557" s="4" t="str">
        <f ca="1">IFERROR(__xludf.DUMMYFUNCTION("IFERROR(GOOGLETRANSLATE(B557,""en"",""ja""),)"),"体重を減らす")</f>
        <v>体重を減らす</v>
      </c>
    </row>
    <row r="558" spans="1:3" ht="18">
      <c r="A558" s="3" t="s">
        <v>1461</v>
      </c>
      <c r="B558" s="4" t="str">
        <f ca="1">IFERROR(__xludf.DUMMYFUNCTION("IFERROR(GOOGLETRANSLATE(A558,""ko"",""en""),)"),"I'm on a diet.")</f>
        <v>I'm on a diet.</v>
      </c>
      <c r="C558" s="4" t="str">
        <f ca="1">IFERROR(__xludf.DUMMYFUNCTION("IFERROR(GOOGLETRANSLATE(B558,""en"",""ja""),)"),"私はダイエット中です。")</f>
        <v>私はダイエット中です。</v>
      </c>
    </row>
    <row r="559" spans="1:3" ht="18">
      <c r="A559" s="3" t="s">
        <v>1464</v>
      </c>
      <c r="B559" s="4" t="str">
        <f ca="1">IFERROR(__xludf.DUMMYFUNCTION("IFERROR(GOOGLETRANSLATE(A559,""ko"",""en""),)"),"I follow a diet.")</f>
        <v>I follow a diet.</v>
      </c>
      <c r="C559" s="4" t="str">
        <f ca="1">IFERROR(__xludf.DUMMYFUNCTION("IFERROR(GOOGLETRANSLATE(B559,""en"",""ja""),)"),"私はダイエットをしています。")</f>
        <v>私はダイエットをしています。</v>
      </c>
    </row>
    <row r="560" spans="1:3" ht="18">
      <c r="A560" s="3" t="s">
        <v>1467</v>
      </c>
      <c r="B560" s="4" t="s">
        <v>1468</v>
      </c>
      <c r="C560" s="4" t="str">
        <f ca="1">IFERROR(__xludf.DUMMYFUNCTION("IFERROR(GOOGLETRANSLATE(B560,""en"",""ja""),)"),"魚（食用）")</f>
        <v>魚（食用）</v>
      </c>
    </row>
    <row r="561" spans="1:26" ht="18">
      <c r="A561" s="3" t="s">
        <v>1470</v>
      </c>
      <c r="B561" s="4" t="str">
        <f ca="1">IFERROR(__xludf.DUMMYFUNCTION("IFERROR(GOOGLETRANSLATE(A561,""ko"",""en""),)"),"fish")</f>
        <v>fish</v>
      </c>
      <c r="C561" s="4" t="str">
        <f ca="1">IFERROR(__xludf.DUMMYFUNCTION("IFERROR(GOOGLETRANSLATE(B561,""en"",""ja""),)"),"魚")</f>
        <v>魚</v>
      </c>
    </row>
    <row r="562" spans="1:26" ht="18">
      <c r="A562" s="3" t="s">
        <v>1473</v>
      </c>
      <c r="B562" s="4" t="str">
        <f ca="1">IFERROR(__xludf.DUMMYFUNCTION("IFERROR(GOOGLETRANSLATE(A562,""ko"",""en""),)"),"famous restaurants")</f>
        <v>famous restaurants</v>
      </c>
      <c r="C562" s="4" t="str">
        <f ca="1">IFERROR(__xludf.DUMMYFUNCTION("IFERROR(GOOGLETRANSLATE(B562,""en"",""ja""),)"),"有名なレストラン")</f>
        <v>有名なレストラン</v>
      </c>
    </row>
    <row r="563" spans="1:26" ht="18">
      <c r="A563" s="3" t="s">
        <v>1476</v>
      </c>
      <c r="B563" s="4" t="str">
        <f ca="1">IFERROR(__xludf.DUMMYFUNCTION("IFERROR(GOOGLETRANSLATE(A563,""ko"",""en""),)"),"Let's talk about travel experiences.")</f>
        <v>Let's talk about travel experiences.</v>
      </c>
      <c r="C563" s="4" t="str">
        <f ca="1">IFERROR(__xludf.DUMMYFUNCTION("IFERROR(GOOGLETRANSLATE(B563,""en"",""ja""),)"),"旅行体験について話しましょう。")</f>
        <v>旅行体験について話しましょう。</v>
      </c>
    </row>
    <row r="564" spans="1:26" ht="18">
      <c r="A564" s="3" t="s">
        <v>1479</v>
      </c>
      <c r="B564" s="4" t="str">
        <f ca="1">IFERROR(__xludf.DUMMYFUNCTION("IFERROR(GOOGLETRANSLATE(A564,""ko"",""en""),)"),"I went to Seoul. I saw a festival at the Han River.")</f>
        <v>I went to Seoul. I saw a festival at the Han River.</v>
      </c>
      <c r="C564" s="4" t="str">
        <f ca="1">IFERROR(__xludf.DUMMYFUNCTION("IFERROR(GOOGLETRANSLATE(B564,""en"",""ja""),)"),"ソウルに行きました。漢江で祭りを見ました。")</f>
        <v>ソウルに行きました。漢江で祭りを見ました。</v>
      </c>
    </row>
    <row r="565" spans="1:26" ht="18">
      <c r="A565" s="3" t="s">
        <v>1481</v>
      </c>
      <c r="B565" s="4" t="str">
        <f ca="1">IFERROR(__xludf.DUMMYFUNCTION("IFERROR(GOOGLETRANSLATE(A565,""ko"",""en""),)"),"I went to Insadong. After buying a gift, I also looked around the streets.")</f>
        <v>I went to Insadong. After buying a gift, I also looked around the streets.</v>
      </c>
      <c r="C565" s="4" t="str">
        <f ca="1">IFERROR(__xludf.DUMMYFUNCTION("IFERROR(GOOGLETRANSLATE(B565,""en"",""ja""),)"),"仁寺洞に行きました。お土産を買った後、街を散策しました。")</f>
        <v>仁寺洞に行きました。お土産を買った後、街を散策しました。</v>
      </c>
    </row>
    <row r="566" spans="1:26" ht="18">
      <c r="A566" s="2" t="s">
        <v>1484</v>
      </c>
      <c r="B566" s="11" t="str">
        <f ca="1">IFERROR(__xludf.DUMMYFUNCTION("IFERROR(GOOGLETRANSLATE(A566,""ko"",""en""),)"),"I watched a K-pop concert. I also took a lot of photos after the show ended.")</f>
        <v>I watched a K-pop concert. I also took a lot of photos after the show ended.</v>
      </c>
      <c r="C566" s="11" t="str">
        <f ca="1">IFERROR(__xludf.DUMMYFUNCTION("IFERROR(GOOGLETRANSLATE(B566,""en"",""ja""),)"),"K-POPのコンサートを観ました。終演後には写真もたくさん撮りました。")</f>
        <v>K-POPのコンサートを観ました。終演後には写真もたくさん撮りました。</v>
      </c>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8">
      <c r="A567" s="3" t="s">
        <v>1487</v>
      </c>
      <c r="B567" s="4" t="str">
        <f ca="1">IFERROR(__xludf.DUMMYFUNCTION("IFERROR(GOOGLETRANSLATE(A567,""ko"",""en""),)"),"Did you have a good trip to Seoul?")</f>
        <v>Did you have a good trip to Seoul?</v>
      </c>
      <c r="C567" s="11" t="str">
        <f ca="1">IFERROR(__xludf.DUMMYFUNCTION("IFERROR(GOOGLETRANSLATE(B567,""en"",""ja""),)"),"ソウル旅行は楽しかったですか？")</f>
        <v>ソウル旅行は楽しかったですか？</v>
      </c>
    </row>
    <row r="568" spans="1:26" ht="18">
      <c r="A568" s="3" t="s">
        <v>1489</v>
      </c>
      <c r="B568" s="4" t="str">
        <f ca="1">IFERROR(__xludf.DUMMYFUNCTION("IFERROR(GOOGLETRANSLATE(A568,""ko"",""en""),)"),"It was better than the last trip.")</f>
        <v>It was better than the last trip.</v>
      </c>
      <c r="C568" s="4" t="str">
        <f ca="1">IFERROR(__xludf.DUMMYFUNCTION("IFERROR(GOOGLETRANSLATE(B568,""en"",""ja""),)"),"前回の旅行よりも良かった。")</f>
        <v>前回の旅行よりも良かった。</v>
      </c>
    </row>
    <row r="569" spans="1:26" ht="18">
      <c r="A569" s="3" t="s">
        <v>1491</v>
      </c>
      <c r="B569" s="4" t="str">
        <f ca="1">IFERROR(__xludf.DUMMYFUNCTION("IFERROR(GOOGLETRANSLATE(A569,""ko"",""en""),)"),"My eyes hurt these days, so I can't read books for long.")</f>
        <v>My eyes hurt these days, so I can't read books for long.</v>
      </c>
      <c r="C569" s="4" t="str">
        <f ca="1">IFERROR(__xludf.DUMMYFUNCTION("IFERROR(GOOGLETRANSLATE(B569,""en"",""ja""),)"),"最近目が痛いので、長時間本を読むことができません。")</f>
        <v>最近目が痛いので、長時間本を読むことができません。</v>
      </c>
    </row>
    <row r="570" spans="1:26" ht="18">
      <c r="A570" s="16" t="s">
        <v>1494</v>
      </c>
      <c r="B570" s="4" t="str">
        <f ca="1">IFERROR(__xludf.DUMMYFUNCTION("IFERROR(GOOGLETRANSLATE(A570,""ko"",""en""),)"),"I went to the hospital yesterday because I had a fever and a cough.")</f>
        <v>I went to the hospital yesterday because I had a fever and a cough.</v>
      </c>
      <c r="C570" s="4" t="str">
        <f ca="1">IFERROR(__xludf.DUMMYFUNCTION("IFERROR(GOOGLETRANSLATE(B570,""en"",""ja""),)"),"昨日、熱と咳があったので病院に行きました。")</f>
        <v>昨日、熱と咳があったので病院に行きました。</v>
      </c>
    </row>
    <row r="571" spans="1:26" ht="18">
      <c r="A571" s="3" t="s">
        <v>1501</v>
      </c>
      <c r="B571" s="4" t="str">
        <f ca="1">IFERROR(__xludf.DUMMYFUNCTION("IFERROR(GOOGLETRANSLATE(A571,""ko"",""en""),)"),"My head hurts and my stomach hurts right now. I need to go to the hospital.")</f>
        <v>My head hurts and my stomach hurts right now. I need to go to the hospital.</v>
      </c>
      <c r="C571" s="4" t="str">
        <f ca="1">IFERROR(__xludf.DUMMYFUNCTION("IFERROR(GOOGLETRANSLATE(B571,""en"",""ja""),)"),"頭もお腹も痛いです。病院に行かなければなりません。")</f>
        <v>頭もお腹も痛いです。病院に行かなければなりません。</v>
      </c>
    </row>
    <row r="572" spans="1:26" ht="18">
      <c r="A572" s="3" t="s">
        <v>1502</v>
      </c>
      <c r="B572" s="4" t="str">
        <f ca="1">IFERROR(__xludf.DUMMYFUNCTION("IFERROR(GOOGLETRANSLATE(A572,""ko"",""en""),)"),"My legs hurt and my back hurts a lot after hiking on Saturday.")</f>
        <v>My legs hurt and my back hurts a lot after hiking on Saturday.</v>
      </c>
      <c r="C572" s="4" t="str">
        <f ca="1">IFERROR(__xludf.DUMMYFUNCTION("IFERROR(GOOGLETRANSLATE(B572,""en"",""ja""),)"),"土曜日にハイキングをした後、足が痛くて、背中もひどく痛みます。")</f>
        <v>土曜日にハイキングをした後、足が痛くて、背中もひどく痛みます。</v>
      </c>
    </row>
    <row r="573" spans="1:26" ht="18">
      <c r="A573" s="3" t="s">
        <v>1505</v>
      </c>
      <c r="B573" s="4" t="str">
        <f ca="1">IFERROR(__xludf.DUMMYFUNCTION("IFERROR(GOOGLETRANSLATE(A573,""ko"",""en""),)"),"So I can't walk well and I can't even sit in a chair.")</f>
        <v>So I can't walk well and I can't even sit in a chair.</v>
      </c>
      <c r="C573" s="4" t="str">
        <f ca="1">IFERROR(__xludf.DUMMYFUNCTION("IFERROR(GOOGLETRANSLATE(B573,""en"",""ja""),)"),"だから、うまく歩くこともできないし、椅子に座ることさえできないんです。")</f>
        <v>だから、うまく歩くこともできないし、椅子に座ることさえできないんです。</v>
      </c>
    </row>
    <row r="574" spans="1:26" ht="24" customHeight="1">
      <c r="A574" s="3" t="s">
        <v>1507</v>
      </c>
      <c r="B574" s="4" t="str">
        <f ca="1">IFERROR(__xludf.DUMMYFUNCTION("IFERROR(GOOGLETRANSLATE(A574,""ko"",""en""),)"),"Did you go to the hospital? I went yesterday, but I have to go again today.")</f>
        <v>Did you go to the hospital? I went yesterday, but I have to go again today.</v>
      </c>
      <c r="C574" s="4" t="str">
        <f ca="1">IFERROR(__xludf.DUMMYFUNCTION("IFERROR(GOOGLETRANSLATE(B574,""en"",""ja""),)"),"病院に行ったの？昨日行ったけど、今日もまた行かなきゃいけないんだ。")</f>
        <v>病院に行ったの？昨日行ったけど、今日もまた行かなきゃいけないんだ。</v>
      </c>
    </row>
    <row r="575" spans="1:26" ht="18">
      <c r="A575" s="3" t="s">
        <v>1508</v>
      </c>
      <c r="B575" s="4" t="str">
        <f ca="1">IFERROR(__xludf.DUMMYFUNCTION("IFERROR(GOOGLETRANSLATE(A575,""ko"",""en""),)"),"Good habits")</f>
        <v>Good habits</v>
      </c>
      <c r="C575" s="4" t="str">
        <f ca="1">IFERROR(__xludf.DUMMYFUNCTION("IFERROR(GOOGLETRANSLATE(B575,""en"",""ja""),)"),"良い習慣")</f>
        <v>良い習慣</v>
      </c>
    </row>
    <row r="576" spans="1:26" ht="18">
      <c r="A576" s="3" t="s">
        <v>1510</v>
      </c>
      <c r="B576" s="4" t="str">
        <f ca="1">IFERROR(__xludf.DUMMYFUNCTION("IFERROR(GOOGLETRANSLATE(A576,""ko"",""en""),)"),"I usually go to the gym to work out.")</f>
        <v>I usually go to the gym to work out.</v>
      </c>
      <c r="C576" s="4" t="str">
        <f ca="1">IFERROR(__xludf.DUMMYFUNCTION("IFERROR(GOOGLETRANSLATE(B576,""en"",""ja""),)"),"私は普段、ジムに行ってトレーニングをします。")</f>
        <v>私は普段、ジムに行ってトレーニングをします。</v>
      </c>
    </row>
    <row r="577" spans="1:3" ht="18">
      <c r="A577" s="3" t="s">
        <v>1511</v>
      </c>
      <c r="B577" s="4" t="str">
        <f ca="1">IFERROR(__xludf.DUMMYFUNCTION("IFERROR(GOOGLETRANSLATE(A577,""ko"",""en""),)"),"school cafeteria")</f>
        <v>school cafeteria</v>
      </c>
      <c r="C577" s="4" t="str">
        <f ca="1">IFERROR(__xludf.DUMMYFUNCTION("IFERROR(GOOGLETRANSLATE(B577,""en"",""ja""),)"),"学校のカフェテリア")</f>
        <v>学校のカフェテリア</v>
      </c>
    </row>
    <row r="578" spans="1:3" ht="18">
      <c r="A578" s="3" t="s">
        <v>1514</v>
      </c>
      <c r="B578" s="4" t="str">
        <f ca="1">IFERROR(__xludf.DUMMYFUNCTION("IFERROR(GOOGLETRANSLATE(A578,""ko"",""en""),)"),"Can you make Korean food?")</f>
        <v>Can you make Korean food?</v>
      </c>
      <c r="C578" s="4" t="str">
        <f ca="1">IFERROR(__xludf.DUMMYFUNCTION("IFERROR(GOOGLETRANSLATE(B578,""en"",""ja""),)"),"韓国料理を作れますか？")</f>
        <v>韓国料理を作れますか？</v>
      </c>
    </row>
    <row r="579" spans="1:3" ht="18">
      <c r="A579" s="5" t="s">
        <v>1516</v>
      </c>
      <c r="B579" s="4" t="str">
        <f ca="1">IFERROR(__xludf.DUMMYFUNCTION("IFERROR(GOOGLETRANSLATE(A579,""ko"",""en""),)"),"Set a time.")</f>
        <v>Set a time.</v>
      </c>
      <c r="C579" s="4" t="str">
        <f ca="1">IFERROR(__xludf.DUMMYFUNCTION("IFERROR(GOOGLETRANSLATE(B579,""en"",""ja""),)"),"時間を設定する。")</f>
        <v>時間を設定する。</v>
      </c>
    </row>
    <row r="580" spans="1:3" ht="18">
      <c r="A580" s="5" t="s">
        <v>1518</v>
      </c>
      <c r="B580" s="4" t="str">
        <f ca="1">IFERROR(__xludf.DUMMYFUNCTION("IFERROR(GOOGLETRANSLATE(A580,""ko"",""en""),)"),"Let's set a date.")</f>
        <v>Let's set a date.</v>
      </c>
      <c r="C580" s="4" t="str">
        <f ca="1">IFERROR(__xludf.DUMMYFUNCTION("IFERROR(GOOGLETRANSLATE(B580,""en"",""ja""),)"),"日程を決めましょう。")</f>
        <v>日程を決めましょう。</v>
      </c>
    </row>
    <row r="581" spans="1:3" ht="18">
      <c r="A581" s="5" t="s">
        <v>1520</v>
      </c>
      <c r="B581" s="4" t="str">
        <f ca="1">IFERROR(__xludf.DUMMYFUNCTION("IFERROR(GOOGLETRANSLATE(A581,""ko"",""en""),)"),"Let's decide on a location.")</f>
        <v>Let's decide on a location.</v>
      </c>
      <c r="C581" s="4" t="str">
        <f ca="1">IFERROR(__xludf.DUMMYFUNCTION("IFERROR(GOOGLETRANSLATE(B581,""en"",""ja""),)"),"場所を決めましょう。")</f>
        <v>場所を決めましょう。</v>
      </c>
    </row>
    <row r="582" spans="1:3" ht="18">
      <c r="A582" s="3" t="s">
        <v>1522</v>
      </c>
      <c r="B582" s="4" t="str">
        <f ca="1">IFERROR(__xludf.DUMMYFUNCTION("IFERROR(GOOGLETRANSLATE(A582,""ko"",""en""),)"),"I'm booking a place.")</f>
        <v>I'm booking a place.</v>
      </c>
      <c r="C582" s="4" t="str">
        <f ca="1">IFERROR(__xludf.DUMMYFUNCTION("IFERROR(GOOGLETRANSLATE(B582,""en"",""ja""),)"),"場所を予約します。")</f>
        <v>場所を予約します。</v>
      </c>
    </row>
    <row r="583" spans="1:3" ht="18">
      <c r="A583" s="3" t="s">
        <v>1524</v>
      </c>
      <c r="B583" s="4" t="str">
        <f ca="1">IFERROR(__xludf.DUMMYFUNCTION("IFERROR(GOOGLETRANSLATE(A583,""ko"",""en""),)"),"Invite people")</f>
        <v>Invite people</v>
      </c>
      <c r="C583" s="4" t="str">
        <f ca="1">IFERROR(__xludf.DUMMYFUNCTION("IFERROR(GOOGLETRANSLATE(B583,""en"",""ja""),)"),"人々を招待する")</f>
        <v>人々を招待する</v>
      </c>
    </row>
    <row r="584" spans="1:3" ht="18">
      <c r="A584" s="5" t="s">
        <v>1527</v>
      </c>
      <c r="B584" s="4" t="str">
        <f ca="1">IFERROR(__xludf.DUMMYFUNCTION("IFERROR(GOOGLETRANSLATE(A584,""ko"",""en""),)"),"Let's keep in touch.")</f>
        <v>Let's keep in touch.</v>
      </c>
      <c r="C584" s="4" t="str">
        <f ca="1">IFERROR(__xludf.DUMMYFUNCTION("IFERROR(GOOGLETRANSLATE(B584,""en"",""ja""),)"),"連絡を取り合いましょう。")</f>
        <v>連絡を取り合いましょう。</v>
      </c>
    </row>
    <row r="585" spans="1:3" ht="18">
      <c r="A585" s="3" t="s">
        <v>1528</v>
      </c>
      <c r="B585" s="4" t="str">
        <f ca="1">IFERROR(__xludf.DUMMYFUNCTION("IFERROR(GOOGLETRANSLATE(A585,""ko"",""en""),)"),"Prepare food")</f>
        <v>Prepare food</v>
      </c>
      <c r="C585" s="4" t="str">
        <f ca="1">IFERROR(__xludf.DUMMYFUNCTION("IFERROR(GOOGLETRANSLATE(B585,""en"",""ja""),)"),"食材を準備する")</f>
        <v>食材を準備する</v>
      </c>
    </row>
    <row r="586" spans="1:3" ht="18">
      <c r="A586" s="3" t="s">
        <v>80</v>
      </c>
      <c r="B586" s="4" t="str">
        <f ca="1">IFERROR(__xludf.DUMMYFUNCTION("IFERROR(GOOGLETRANSLATE(A586,""ko"",""en""),)"),"I'm buying a gift")</f>
        <v>I'm buying a gift</v>
      </c>
      <c r="C586" s="4" t="str">
        <f ca="1">IFERROR(__xludf.DUMMYFUNCTION("IFERROR(GOOGLETRANSLATE(B586,""en"",""ja""),)"),"プレゼントを買います")</f>
        <v>プレゼントを買います</v>
      </c>
    </row>
    <row r="587" spans="1:3" ht="18">
      <c r="A587" s="3" t="s">
        <v>1531</v>
      </c>
      <c r="B587" s="4" t="str">
        <f ca="1">IFERROR(__xludf.DUMMYFUNCTION("IFERROR(GOOGLETRANSLATE(A587,""ko"",""en""),)"),"What are you going to do, Juno?")</f>
        <v>What are you going to do, Juno?</v>
      </c>
      <c r="C587" s="4" t="str">
        <f ca="1">IFERROR(__xludf.DUMMYFUNCTION("IFERROR(GOOGLETRANSLATE(B587,""en"",""ja""),)"),"ジュノ、どうするつもりなの？")</f>
        <v>ジュノ、どうするつもりなの？</v>
      </c>
    </row>
    <row r="588" spans="1:3" ht="18">
      <c r="A588" s="3" t="s">
        <v>1534</v>
      </c>
      <c r="B588" s="4" t="str">
        <f ca="1">IFERROR(__xludf.DUMMYFUNCTION("IFERROR(GOOGLETRANSLATE(A588,""ko"",""en""),)"),"I'm going to prepare a cake.")</f>
        <v>I'm going to prepare a cake.</v>
      </c>
      <c r="C588" s="4" t="str">
        <f ca="1">IFERROR(__xludf.DUMMYFUNCTION("IFERROR(GOOGLETRANSLATE(B588,""en"",""ja""),)"),"ケーキを作ろうと思います。")</f>
        <v>ケーキを作ろうと思います。</v>
      </c>
    </row>
    <row r="589" spans="1:3" ht="18">
      <c r="A589" s="3" t="s">
        <v>1536</v>
      </c>
      <c r="B589" s="4" t="str">
        <f ca="1">IFERROR(__xludf.DUMMYFUNCTION("IFERROR(GOOGLETRANSLATE(A589,""ko"",""en""),)"),"I'm making a birthday cake.")</f>
        <v>I'm making a birthday cake.</v>
      </c>
      <c r="C589" s="4" t="str">
        <f ca="1">IFERROR(__xludf.DUMMYFUNCTION("IFERROR(GOOGLETRANSLATE(B589,""en"",""ja""),)"),"誕生日ケーキを作っています。")</f>
        <v>誕生日ケーキを作っています。</v>
      </c>
    </row>
    <row r="590" spans="1:3" ht="18">
      <c r="A590" s="5" t="s">
        <v>1538</v>
      </c>
      <c r="B590" s="4" t="str">
        <f ca="1">IFERROR(__xludf.DUMMYFUNCTION("IFERROR(GOOGLETRANSLATE(A590,""ko"",""en""),)"),"Buy decorative items")</f>
        <v>Buy decorative items</v>
      </c>
      <c r="C590" s="4" t="str">
        <f ca="1">IFERROR(__xludf.DUMMYFUNCTION("IFERROR(GOOGLETRANSLATE(B590,""en"",""ja""),)"),"装飾品を購入する")</f>
        <v>装飾品を購入する</v>
      </c>
    </row>
    <row r="591" spans="1:3" ht="18">
      <c r="A591" s="3" t="s">
        <v>1540</v>
      </c>
      <c r="B591" s="4" t="str">
        <f ca="1">IFERROR(__xludf.DUMMYFUNCTION("IFERROR(GOOGLETRANSLATE(A591,""ko"",""en""),)"),"Let's get ready for carpooling.")</f>
        <v>Let's get ready for carpooling.</v>
      </c>
      <c r="C591" s="4" t="str">
        <f ca="1">IFERROR(__xludf.DUMMYFUNCTION("IFERROR(GOOGLETRANSLATE(B591,""en"",""ja""),)"),"相乗りの準備をしましょう。")</f>
        <v>相乗りの準備をしましょう。</v>
      </c>
    </row>
    <row r="592" spans="1:3" ht="18">
      <c r="A592" s="3" t="s">
        <v>1541</v>
      </c>
      <c r="B592" s="4" t="str">
        <f ca="1">IFERROR(__xludf.DUMMYFUNCTION("IFERROR(GOOGLETRANSLATE(A592,""ko"",""en""),)"),"I clean the house.")</f>
        <v>I clean the house.</v>
      </c>
      <c r="C592" s="4" t="str">
        <f ca="1">IFERROR(__xludf.DUMMYFUNCTION("IFERROR(GOOGLETRANSLATE(B592,""en"",""ja""),)"),"私は家を掃除します。")</f>
        <v>私は家を掃除します。</v>
      </c>
    </row>
    <row r="593" spans="1:3" ht="18">
      <c r="A593" s="3" t="s">
        <v>1543</v>
      </c>
      <c r="B593" s="4" t="str">
        <f ca="1">IFERROR(__xludf.DUMMYFUNCTION("IFERROR(GOOGLETRANSLATE(A593,""ko"",""en""),)"),"I'm buying drinks and snacks.")</f>
        <v>I'm buying drinks and snacks.</v>
      </c>
      <c r="C593" s="4" t="str">
        <f ca="1">IFERROR(__xludf.DUMMYFUNCTION("IFERROR(GOOGLETRANSLATE(B593,""en"",""ja""),)"),"飲み物と軽食を買います。")</f>
        <v>飲み物と軽食を買います。</v>
      </c>
    </row>
    <row r="594" spans="1:3" ht="18">
      <c r="A594" s="3" t="s">
        <v>1544</v>
      </c>
      <c r="B594" s="4" t="str">
        <f ca="1">IFERROR(__xludf.DUMMYFUNCTION("IFERROR(GOOGLETRANSLATE(A594,""ko"",""en""),)"),"What kind of gifts does Suzy often give?")</f>
        <v>What kind of gifts does Suzy often give?</v>
      </c>
      <c r="C594" s="4" t="str">
        <f ca="1">IFERROR(__xludf.DUMMYFUNCTION("IFERROR(GOOGLETRANSLATE(B594,""en"",""ja""),)"),"スージーはどんな贈り物をよく贈りますか？")</f>
        <v>スージーはどんな贈り物をよく贈りますか？</v>
      </c>
    </row>
    <row r="595" spans="1:3" ht="18">
      <c r="A595" s="3" t="s">
        <v>1548</v>
      </c>
      <c r="B595" s="14" t="str">
        <f ca="1">IFERROR(__xludf.DUMMYFUNCTION("IFERROR(GOOGLETRANSLATE(A595,""ko"",""en""),)"),"I often give flowers as gifts.")</f>
        <v>I often give flowers as gifts.</v>
      </c>
      <c r="C595" s="4" t="str">
        <f ca="1">IFERROR(__xludf.DUMMYFUNCTION("IFERROR(GOOGLETRANSLATE(B595,""en"",""ja""),)"),"私はよく贈り物として花を贈ります。")</f>
        <v>私はよく贈り物として花を贈ります。</v>
      </c>
    </row>
    <row r="596" spans="1:3" ht="18">
      <c r="A596" s="5" t="s">
        <v>1551</v>
      </c>
      <c r="B596" s="4" t="str">
        <f ca="1">IFERROR(__xludf.DUMMYFUNCTION("IFERROR(GOOGLETRANSLATE(A596,""ko"",""en""),)"),"When is the book club meeting?")</f>
        <v>When is the book club meeting?</v>
      </c>
      <c r="C596" s="4" t="str">
        <f ca="1">IFERROR(__xludf.DUMMYFUNCTION("IFERROR(GOOGLETRANSLATE(B596,""en"",""ja""),)"),"読書会はいつ開催されますか？")</f>
        <v>読書会はいつ開催されますか？</v>
      </c>
    </row>
    <row r="597" spans="1:3" ht="18">
      <c r="A597" s="3" t="s">
        <v>1553</v>
      </c>
      <c r="B597" s="4" t="str">
        <f ca="1">IFERROR(__xludf.DUMMYFUNCTION("IFERROR(GOOGLETRANSLATE(A597,""ko"",""en""),)"),"I don't know. We haven't set a time for the meeting yet.")</f>
        <v>I don't know. We haven't set a time for the meeting yet.</v>
      </c>
      <c r="C597" s="4" t="str">
        <f ca="1">IFERROR(__xludf.DUMMYFUNCTION("IFERROR(GOOGLETRANSLATE(B597,""en"",""ja""),)"),"分かりません。まだ会議の日時を決めていないんです。")</f>
        <v>分かりません。まだ会議の日時を決めていないんです。</v>
      </c>
    </row>
    <row r="598" spans="1:3" ht="18">
      <c r="A598" s="3" t="s">
        <v>1558</v>
      </c>
      <c r="B598" s="4" t="str">
        <f ca="1">IFERROR(__xludf.DUMMYFUNCTION("IFERROR(GOOGLETRANSLATE(A598,""ko"",""en""),)"),"How should we prepare the meal for the next gathering?")</f>
        <v>How should we prepare the meal for the next gathering?</v>
      </c>
      <c r="C598" s="4" t="str">
        <f ca="1">IFERROR(__xludf.DUMMYFUNCTION("IFERROR(GOOGLETRANSLATE(B598,""en"",""ja""),)"),"次の集まりのための食事はどのように準備すれば良いでしょうか？")</f>
        <v>次の集まりのための食事はどのように準備すれば良いでしょうか？</v>
      </c>
    </row>
    <row r="599" spans="1:3" ht="18">
      <c r="A599" s="3" t="s">
        <v>1564</v>
      </c>
      <c r="B599" s="4" t="str">
        <f ca="1">IFERROR(__xludf.DUMMYFUNCTION("IFERROR(GOOGLETRANSLATE(A599,""ko"",""en""),)"),"Juno and I will prepare the food.")</f>
        <v>Juno and I will prepare the food.</v>
      </c>
      <c r="C599" s="4" t="str">
        <f ca="1">IFERROR(__xludf.DUMMYFUNCTION("IFERROR(GOOGLETRANSLATE(B599,""en"",""ja""),)"),"ジュノと私が料理を準備します。")</f>
        <v>ジュノと私が料理を準備します。</v>
      </c>
    </row>
    <row r="600" spans="1:3" ht="18">
      <c r="A600" s="3" t="s">
        <v>1565</v>
      </c>
      <c r="B600" s="4" t="str">
        <f ca="1">IFERROR(__xludf.DUMMYFUNCTION("IFERROR(GOOGLETRANSLATE(A600,""ko"",""en""),)"),"Anna, did you reserve a place for the class meeting?")</f>
        <v>Anna, did you reserve a place for the class meeting?</v>
      </c>
      <c r="C600" s="4" t="str">
        <f ca="1">IFERROR(__xludf.DUMMYFUNCTION("IFERROR(GOOGLETRANSLATE(B600,""en"",""ja""),)"),"アンナ、授業の席は予約した？")</f>
        <v>アンナ、授業の席は予約した？</v>
      </c>
    </row>
    <row r="601" spans="1:3" ht="18">
      <c r="A601" s="3" t="s">
        <v>1568</v>
      </c>
      <c r="B601" s="4" t="str">
        <f ca="1">IFERROR(__xludf.DUMMYFUNCTION("IFERROR(GOOGLETRANSLATE(A601,""ko"",""en""),)"),"No. I'm going to call a Korean restaurant later.")</f>
        <v>No. I'm going to call a Korean restaurant later.</v>
      </c>
      <c r="C601" s="4" t="str">
        <f ca="1">IFERROR(__xludf.DUMMYFUNCTION("IFERROR(GOOGLETRANSLATE(B601,""en"",""ja""),)"),"いいえ。後で韓国料理店に電話します。")</f>
        <v>いいえ。後で韓国料理店に電話します。</v>
      </c>
    </row>
    <row r="602" spans="1:3" ht="18">
      <c r="A602" s="3" t="s">
        <v>1569</v>
      </c>
      <c r="B602" s="4" t="str">
        <f ca="1">IFERROR(__xludf.DUMMYFUNCTION("IFERROR(GOOGLETRANSLATE(A602,""ko"",""en""),)"),"Did you invite Jaemin to the gathering tomorrow as well?")</f>
        <v>Did you invite Jaemin to the gathering tomorrow as well?</v>
      </c>
      <c r="C602" s="4" t="str">
        <f ca="1">IFERROR(__xludf.DUMMYFUNCTION("IFERROR(GOOGLETRANSLATE(B602,""en"",""ja""),)"),"明日の集まりにもジェミンを招待しましたか？")</f>
        <v>明日の集まりにもジェミンを招待しましたか？</v>
      </c>
    </row>
    <row r="603" spans="1:3" ht="18">
      <c r="A603" s="3" t="s">
        <v>1573</v>
      </c>
      <c r="B603" s="4" t="str">
        <f ca="1">IFERROR(__xludf.DUMMYFUNCTION("IFERROR(GOOGLETRANSLATE(A603,""ko"",""en""),)"),"Yes. Jaemin will be coming to the gathering too.")</f>
        <v>Yes. Jaemin will be coming to the gathering too.</v>
      </c>
      <c r="C603" s="4" t="str">
        <f ca="1">IFERROR(__xludf.DUMMYFUNCTION("IFERROR(GOOGLETRANSLATE(B603,""en"",""ja""),)"),"はい。ジェミンも集まりに来ます。")</f>
        <v>はい。ジェミンも集まりに来ます。</v>
      </c>
    </row>
    <row r="604" spans="1:3" ht="18">
      <c r="A604" s="3" t="s">
        <v>1576</v>
      </c>
      <c r="B604" s="4" t="str">
        <f ca="1">IFERROR(__xludf.DUMMYFUNCTION("IFERROR(GOOGLETRANSLATE(A604,""ko"",""en""),)"),"Anna, can you read Korean?")</f>
        <v>Anna, can you read Korean?</v>
      </c>
      <c r="C604" s="4" t="str">
        <f ca="1">IFERROR(__xludf.DUMMYFUNCTION("IFERROR(GOOGLETRANSLATE(B604,""en"",""ja""),)"),"アンナ、韓国語は読める？")</f>
        <v>アンナ、韓国語は読める？</v>
      </c>
    </row>
    <row r="605" spans="1:3" ht="18">
      <c r="A605" s="3" t="s">
        <v>1578</v>
      </c>
      <c r="B605" s="4" t="str">
        <f ca="1">IFERROR(__xludf.DUMMYFUNCTION("IFERROR(GOOGLETRANSLATE(A605,""ko"",""en""),)"),"Yes. I can read it.")</f>
        <v>Yes. I can read it.</v>
      </c>
      <c r="C605" s="4" t="str">
        <f ca="1">IFERROR(__xludf.DUMMYFUNCTION("IFERROR(GOOGLETRANSLATE(B605,""en"",""ja""),)"),"はい。読めます。")</f>
        <v>はい。読めます。</v>
      </c>
    </row>
    <row r="606" spans="1:3" ht="18">
      <c r="A606" s="3" t="s">
        <v>1581</v>
      </c>
      <c r="B606" s="4" t="str">
        <f ca="1">IFERROR(__xludf.DUMMYFUNCTION("IFERROR(GOOGLETRANSLATE(A606,""ko"",""en""),)"),"Can you come to the gathering with me tomorrow?")</f>
        <v>Can you come to the gathering with me tomorrow?</v>
      </c>
      <c r="C606" s="4" t="str">
        <f ca="1">IFERROR(__xludf.DUMMYFUNCTION("IFERROR(GOOGLETRANSLATE(B606,""en"",""ja""),)"),"明日、私と一緒に集まりに来てくれませんか？")</f>
        <v>明日、私と一緒に集まりに来てくれませんか？</v>
      </c>
    </row>
    <row r="607" spans="1:3" ht="18">
      <c r="A607" s="3" t="s">
        <v>1584</v>
      </c>
      <c r="B607" s="4" t="str">
        <f ca="1">IFERROR(__xludf.DUMMYFUNCTION("IFERROR(GOOGLETRANSLATE(A607,""ko"",""en""),)"),"Of course. Let's go together.")</f>
        <v>Of course. Let's go together.</v>
      </c>
      <c r="C607" s="4" t="str">
        <f ca="1">IFERROR(__xludf.DUMMYFUNCTION("IFERROR(GOOGLETRANSLATE(B607,""en"",""ja""),)"),"もちろん。一緒に行きましょう。")</f>
        <v>もちろん。一緒に行きましょう。</v>
      </c>
    </row>
    <row r="608" spans="1:3" ht="18">
      <c r="A608" s="3" t="s">
        <v>1588</v>
      </c>
      <c r="B608" s="4" t="str">
        <f ca="1">IFERROR(__xludf.DUMMYFUNCTION("IFERROR(GOOGLETRANSLATE(A608,""ko"",""en""),)"),"Can you speak Chinese?")</f>
        <v>Can you speak Chinese?</v>
      </c>
      <c r="C608" s="4" t="str">
        <f ca="1">IFERROR(__xludf.DUMMYFUNCTION("IFERROR(GOOGLETRANSLATE(B608,""en"",""ja""),)"),"中国語は話せますか？")</f>
        <v>中国語は話せますか？</v>
      </c>
    </row>
    <row r="609" spans="1:3" ht="18">
      <c r="A609" s="3" t="s">
        <v>1591</v>
      </c>
      <c r="B609" s="4" t="str">
        <f ca="1">IFERROR(__xludf.DUMMYFUNCTION("IFERROR(GOOGLETRANSLATE(A609,""ko"",""en""),)"),"Yes, I can do it. I learned it in college.")</f>
        <v>Yes, I can do it. I learned it in college.</v>
      </c>
      <c r="C609" s="4" t="str">
        <f ca="1">IFERROR(__xludf.DUMMYFUNCTION("IFERROR(GOOGLETRANSLATE(B609,""en"",""ja""),)"),"はい、できます。大学で習いました。")</f>
        <v>はい、できます。大学で習いました。</v>
      </c>
    </row>
    <row r="610" spans="1:3" ht="18">
      <c r="A610" s="3" t="s">
        <v>1565</v>
      </c>
      <c r="B610" s="4" t="str">
        <f ca="1">IFERROR(__xludf.DUMMYFUNCTION("IFERROR(GOOGLETRANSLATE(A610,""ko"",""en""),)"),"Anna, did you reserve a place for the class meeting?")</f>
        <v>Anna, did you reserve a place for the class meeting?</v>
      </c>
      <c r="C610" s="4" t="str">
        <f ca="1">IFERROR(__xludf.DUMMYFUNCTION("IFERROR(GOOGLETRANSLATE(B610,""en"",""ja""),)"),"アンナ、授業の席は予約した？")</f>
        <v>アンナ、授業の席は予約した？</v>
      </c>
    </row>
    <row r="611" spans="1:3" ht="18">
      <c r="A611" s="3" t="s">
        <v>1595</v>
      </c>
      <c r="B611" s="4" t="str">
        <f ca="1">IFERROR(__xludf.DUMMYFUNCTION("IFERROR(GOOGLETRANSLATE(A611,""ko"",""en""),)"),"No, I can't read it.")</f>
        <v>No, I can't read it.</v>
      </c>
      <c r="C611" s="4" t="str">
        <f ca="1">IFERROR(__xludf.DUMMYFUNCTION("IFERROR(GOOGLETRANSLATE(B611,""en"",""ja""),)"),"いいえ、読めません。")</f>
        <v>いいえ、読めません。</v>
      </c>
    </row>
    <row r="612" spans="1:3" ht="18">
      <c r="A612" s="3" t="s">
        <v>1596</v>
      </c>
      <c r="B612" s="4" t="str">
        <f ca="1">IFERROR(__xludf.DUMMYFUNCTION("IFERROR(GOOGLETRANSLATE(A612,""ko"",""en""),)"),"I can't read it.")</f>
        <v>I can't read it.</v>
      </c>
      <c r="C612" s="4" t="str">
        <f ca="1">IFERROR(__xludf.DUMMYFUNCTION("IFERROR(GOOGLETRANSLATE(B612,""en"",""ja""),)"),"読めません。")</f>
        <v>読めません。</v>
      </c>
    </row>
    <row r="613" spans="1:3" ht="18">
      <c r="A613" s="3" t="s">
        <v>1599</v>
      </c>
      <c r="B613" s="4" t="str">
        <f ca="1">IFERROR(__xludf.DUMMYFUNCTION("IFERROR(GOOGLETRANSLATE(A613,""ko"",""en""),)"),"You can eat it")</f>
        <v>You can eat it</v>
      </c>
      <c r="C613" s="4" t="str">
        <f ca="1">IFERROR(__xludf.DUMMYFUNCTION("IFERROR(GOOGLETRANSLATE(B613,""en"",""ja""),)"),"食べられます")</f>
        <v>食べられます</v>
      </c>
    </row>
    <row r="614" spans="1:3" ht="18">
      <c r="A614" s="3" t="s">
        <v>1601</v>
      </c>
      <c r="B614" s="4" t="str">
        <f ca="1">IFERROR(__xludf.DUMMYFUNCTION("IFERROR(GOOGLETRANSLATE(A614,""ko"",""en""),)"),"You can receive it")</f>
        <v>You can receive it</v>
      </c>
      <c r="C614" s="4" t="str">
        <f ca="1">IFERROR(__xludf.DUMMYFUNCTION("IFERROR(GOOGLETRANSLATE(B614,""en"",""ja""),)"),"受け取ることができます")</f>
        <v>受け取ることができます</v>
      </c>
    </row>
    <row r="615" spans="1:3" ht="18">
      <c r="A615" s="3" t="s">
        <v>1604</v>
      </c>
      <c r="B615" s="4" t="str">
        <f ca="1">IFERROR(__xludf.DUMMYFUNCTION("IFERROR(GOOGLETRANSLATE(A615,""ko"",""en""),)"),"I can read it")</f>
        <v>I can read it</v>
      </c>
      <c r="C615" s="4" t="str">
        <f ca="1">IFERROR(__xludf.DUMMYFUNCTION("IFERROR(GOOGLETRANSLATE(B615,""en"",""ja""),)"),"読めるよ")</f>
        <v>読めるよ</v>
      </c>
    </row>
    <row r="616" spans="1:3" ht="18">
      <c r="A616" s="3" t="s">
        <v>1607</v>
      </c>
      <c r="B616" s="4" t="str">
        <f ca="1">IFERROR(__xludf.DUMMYFUNCTION("IFERROR(GOOGLETRANSLATE(A616,""ko"",""en""),)"),"I can take a picture")</f>
        <v>I can take a picture</v>
      </c>
      <c r="C616" s="4" t="str">
        <f ca="1">IFERROR(__xludf.DUMMYFUNCTION("IFERROR(GOOGLETRANSLATE(B616,""en"",""ja""),)"),"写真を撮ることができます")</f>
        <v>写真を撮ることができます</v>
      </c>
    </row>
    <row r="617" spans="1:3" ht="18">
      <c r="A617" s="3" t="s">
        <v>1609</v>
      </c>
      <c r="B617" s="4" t="str">
        <f ca="1">IFERROR(__xludf.DUMMYFUNCTION("IFERROR(GOOGLETRANSLATE(A617,""ko"",""en""),)"),"I can hear it")</f>
        <v>I can hear it</v>
      </c>
      <c r="C617" s="4" t="str">
        <f ca="1">IFERROR(__xludf.DUMMYFUNCTION("IFERROR(GOOGLETRANSLATE(B617,""en"",""ja""),)"),"聞こえるよ")</f>
        <v>聞こえるよ</v>
      </c>
    </row>
    <row r="618" spans="1:3" ht="18">
      <c r="A618" s="3" t="s">
        <v>1612</v>
      </c>
      <c r="B618" s="4" t="str">
        <f ca="1">IFERROR(__xludf.DUMMYFUNCTION("IFERROR(GOOGLETRANSLATE(A618,""ko"",""en""),)"),"I can go")</f>
        <v>I can go</v>
      </c>
      <c r="C618" s="4" t="str">
        <f ca="1">IFERROR(__xludf.DUMMYFUNCTION("IFERROR(GOOGLETRANSLATE(B618,""en"",""ja""),)"),"行けます")</f>
        <v>行けます</v>
      </c>
    </row>
    <row r="619" spans="1:3" ht="18">
      <c r="A619" s="5" t="s">
        <v>1614</v>
      </c>
      <c r="B619" s="4" t="str">
        <f ca="1">IFERROR(__xludf.DUMMYFUNCTION("IFERROR(GOOGLETRANSLATE(A619,""ko"",""en""),)"),"You can hit it")</f>
        <v>You can hit it</v>
      </c>
      <c r="C619" s="4" t="str">
        <f ca="1">IFERROR(__xludf.DUMMYFUNCTION("IFERROR(GOOGLETRANSLATE(B619,""en"",""ja""),)"),"打つことができます")</f>
        <v>打つことができます</v>
      </c>
    </row>
    <row r="620" spans="1:3" ht="18">
      <c r="A620" s="5" t="s">
        <v>1617</v>
      </c>
      <c r="B620" s="4" t="str">
        <f ca="1">IFERROR(__xludf.DUMMYFUNCTION("IFERROR(GOOGLETRANSLATE(A620,""ko"",""en""),)"),"You can ride it")</f>
        <v>You can ride it</v>
      </c>
      <c r="C620" s="4" t="str">
        <f ca="1">IFERROR(__xludf.DUMMYFUNCTION("IFERROR(GOOGLETRANSLATE(B620,""en"",""ja""),)"),"乗ることができます")</f>
        <v>乗ることができます</v>
      </c>
    </row>
    <row r="621" spans="1:3" ht="18">
      <c r="A621" s="3" t="s">
        <v>1619</v>
      </c>
      <c r="B621" s="4" t="str">
        <f ca="1">IFERROR(__xludf.DUMMYFUNCTION("IFERROR(GOOGLETRANSLATE(A621,""ko"",""en""),)"),"I can drive")</f>
        <v>I can drive</v>
      </c>
      <c r="C621" s="4" t="str">
        <f ca="1">IFERROR(__xludf.DUMMYFUNCTION("IFERROR(GOOGLETRANSLATE(B621,""en"",""ja""),)"),"私は運転できます")</f>
        <v>私は運転できます</v>
      </c>
    </row>
    <row r="622" spans="1:3" ht="18">
      <c r="A622" s="3" t="s">
        <v>1621</v>
      </c>
      <c r="B622" s="4" t="str">
        <f ca="1">IFERROR(__xludf.DUMMYFUNCTION("IFERROR(GOOGLETRANSLATE(A622,""ko"",""en""),)"),"You can make it")</f>
        <v>You can make it</v>
      </c>
      <c r="C622" s="4" t="str">
        <f ca="1">IFERROR(__xludf.DUMMYFUNCTION("IFERROR(GOOGLETRANSLATE(B622,""en"",""ja""),)"),"君ならできる")</f>
        <v>君ならできる</v>
      </c>
    </row>
    <row r="623" spans="1:3" ht="18">
      <c r="A623" s="3" t="s">
        <v>1625</v>
      </c>
      <c r="B623" s="4" t="str">
        <f ca="1">IFERROR(__xludf.DUMMYFUNCTION("IFERROR(GOOGLETRANSLATE(A623,""ko"",""en""),)"),"I can eat spicy food.")</f>
        <v>I can eat spicy food.</v>
      </c>
      <c r="C623" s="4" t="str">
        <f ca="1">IFERROR(__xludf.DUMMYFUNCTION("IFERROR(GOOGLETRANSLATE(B623,""en"",""ja""),)"),"私は辛いものを食べられます。")</f>
        <v>私は辛いものを食べられます。</v>
      </c>
    </row>
    <row r="624" spans="1:3" ht="18">
      <c r="A624" s="3" t="s">
        <v>1627</v>
      </c>
      <c r="B624" s="4" t="str">
        <f ca="1">IFERROR(__xludf.DUMMYFUNCTION("IFERROR(GOOGLETRANSLATE(A624,""ko"",""en""),)"),"You can ski in the winter.")</f>
        <v>You can ski in the winter.</v>
      </c>
      <c r="C624" s="4" t="str">
        <f ca="1">IFERROR(__xludf.DUMMYFUNCTION("IFERROR(GOOGLETRANSLATE(B624,""en"",""ja""),)"),"冬にはスキーができます。")</f>
        <v>冬にはスキーができます。</v>
      </c>
    </row>
    <row r="625" spans="1:3" ht="18">
      <c r="A625" s="3" t="s">
        <v>1630</v>
      </c>
      <c r="B625" s="4" t="str">
        <f ca="1">IFERROR(__xludf.DUMMYFUNCTION("IFERROR(GOOGLETRANSLATE(A625,""ko"",""en""),)"),"I can read Hangul well.")</f>
        <v>I can read Hangul well.</v>
      </c>
      <c r="C625" s="4" t="str">
        <f ca="1">IFERROR(__xludf.DUMMYFUNCTION("IFERROR(GOOGLETRANSLATE(B625,""en"",""ja""),)"),"私はハングルをよく読めます。")</f>
        <v>私はハングルをよく読めます。</v>
      </c>
    </row>
    <row r="626" spans="1:3" ht="18">
      <c r="A626" s="5" t="s">
        <v>1634</v>
      </c>
      <c r="B626" s="4" t="str">
        <f ca="1">IFERROR(__xludf.DUMMYFUNCTION("IFERROR(GOOGLETRANSLATE(A626,""ko"",""en""),)"),"You can make cute dolls")</f>
        <v>You can make cute dolls</v>
      </c>
      <c r="C626" s="4" t="str">
        <f ca="1">IFERROR(__xludf.DUMMYFUNCTION("IFERROR(GOOGLETRANSLATE(B626,""en"",""ja""),)"),"かわいい人形を作ることができます")</f>
        <v>かわいい人形を作ることができます</v>
      </c>
    </row>
    <row r="627" spans="1:3" ht="18">
      <c r="A627" s="3" t="s">
        <v>1635</v>
      </c>
      <c r="B627" s="4" t="str">
        <f ca="1">IFERROR(__xludf.DUMMYFUNCTION("IFERROR(GOOGLETRANSLATE(A627,""ko"",""en""),)"),"I can play the piano and the guitar.")</f>
        <v>I can play the piano and the guitar.</v>
      </c>
      <c r="C627" s="4" t="str">
        <f ca="1">IFERROR(__xludf.DUMMYFUNCTION("IFERROR(GOOGLETRANSLATE(B627,""en"",""ja""),)"),"私はピアノとギターを弾けます。")</f>
        <v>私はピアノとギターを弾けます。</v>
      </c>
    </row>
    <row r="628" spans="1:3" ht="18">
      <c r="A628" s="3" t="s">
        <v>1639</v>
      </c>
      <c r="B628" s="4" t="str">
        <f ca="1">IFERROR(__xludf.DUMMYFUNCTION("IFERROR(GOOGLETRANSLATE(A628,""ko"",""en""),)"),"Anna, shall we go shopping together this evening?")</f>
        <v>Anna, shall we go shopping together this evening?</v>
      </c>
      <c r="C628" s="4" t="str">
        <f ca="1">IFERROR(__xludf.DUMMYFUNCTION("IFERROR(GOOGLETRANSLATE(B628,""en"",""ja""),)"),"アンナ、今晩一緒に買い物に行かない？")</f>
        <v>アンナ、今晩一緒に買い物に行かない？</v>
      </c>
    </row>
    <row r="629" spans="1:3" ht="18">
      <c r="A629" s="3" t="s">
        <v>1640</v>
      </c>
      <c r="B629" s="4" t="str">
        <f ca="1">IFERROR(__xludf.DUMMYFUNCTION("IFERROR(GOOGLETRANSLATE(A629,""ko"",""en""),)"),"I can't go shopping because I have an exam tomorrow.")</f>
        <v>I can't go shopping because I have an exam tomorrow.</v>
      </c>
      <c r="C629" s="4" t="str">
        <f ca="1">IFERROR(__xludf.DUMMYFUNCTION("IFERROR(GOOGLETRANSLATE(B629,""en"",""ja""),)"),"明日試験があるので、買い物には行けません。")</f>
        <v>明日試験があるので、買い物には行けません。</v>
      </c>
    </row>
    <row r="630" spans="1:3" ht="18">
      <c r="A630" s="3" t="s">
        <v>1642</v>
      </c>
      <c r="B630" s="4" t="str">
        <f ca="1">IFERROR(__xludf.DUMMYFUNCTION("IFERROR(GOOGLETRANSLATE(A630,""ko"",""en""),)"),"Suzy, can we talk for a moment?")</f>
        <v>Suzy, can we talk for a moment?</v>
      </c>
      <c r="C630" s="4" t="str">
        <f ca="1">IFERROR(__xludf.DUMMYFUNCTION("IFERROR(GOOGLETRANSLATE(B630,""en"",""ja""),)"),"スージー、ちょっと話せる？")</f>
        <v>スージー、ちょっと話せる？</v>
      </c>
    </row>
    <row r="631" spans="1:3" ht="18">
      <c r="A631" s="3" t="s">
        <v>1645</v>
      </c>
      <c r="B631" s="4" t="str">
        <f ca="1">IFERROR(__xludf.DUMMYFUNCTION("IFERROR(GOOGLETRANSLATE(A631,""ko"",""en""),)"),"I can't speak because my throat hurts.")</f>
        <v>I can't speak because my throat hurts.</v>
      </c>
      <c r="C631" s="4" t="str">
        <f ca="1">IFERROR(__xludf.DUMMYFUNCTION("IFERROR(GOOGLETRANSLATE(B631,""en"",""ja""),)"),"喉が痛くて話せません。")</f>
        <v>喉が痛くて話せません。</v>
      </c>
    </row>
    <row r="632" spans="1:3" ht="18">
      <c r="A632" s="3" t="s">
        <v>1646</v>
      </c>
      <c r="B632" s="4" t="str">
        <f ca="1">IFERROR(__xludf.DUMMYFUNCTION("IFERROR(GOOGLETRANSLATE(A632,""ko"",""en""),)"),"I can't speak because my throat hurts.")</f>
        <v>I can't speak because my throat hurts.</v>
      </c>
      <c r="C632" s="4" t="str">
        <f ca="1">IFERROR(__xludf.DUMMYFUNCTION("IFERROR(GOOGLETRANSLATE(B632,""en"",""ja""),)"),"喉が痛くて話せません。")</f>
        <v>喉が痛くて話せません。</v>
      </c>
    </row>
    <row r="633" spans="1:3" ht="18">
      <c r="A633" s="3" t="s">
        <v>1649</v>
      </c>
      <c r="B633" s="4" t="str">
        <f ca="1">IFERROR(__xludf.DUMMYFUNCTION("IFERROR(GOOGLETRANSLATE(A633,""ko"",""en""),)"),"Juno, can you come to the class meeting?")</f>
        <v>Juno, can you come to the class meeting?</v>
      </c>
      <c r="C633" s="4" t="str">
        <f ca="1">IFERROR(__xludf.DUMMYFUNCTION("IFERROR(GOOGLETRANSLATE(B633,""en"",""ja""),)"),"ジュノ、クラスの集まりに来てくれる？")</f>
        <v>ジュノ、クラスの集まりに来てくれる？</v>
      </c>
    </row>
    <row r="634" spans="1:3" ht="18">
      <c r="A634" s="5" t="s">
        <v>1650</v>
      </c>
      <c r="B634" s="4" t="str">
        <f ca="1">IFERROR(__xludf.DUMMYFUNCTION("IFERROR(GOOGLETRANSLATE(A634,""ko"",""en""),)"),"I can't go because I have another appointment.")</f>
        <v>I can't go because I have another appointment.</v>
      </c>
      <c r="C634" s="4" t="str">
        <f ca="1">IFERROR(__xludf.DUMMYFUNCTION("IFERROR(GOOGLETRANSLATE(B634,""en"",""ja""),)"),"別の予定があるので行けません。")</f>
        <v>別の予定があるので行けません。</v>
      </c>
    </row>
    <row r="635" spans="1:3" ht="18">
      <c r="A635" s="3" t="s">
        <v>1654</v>
      </c>
      <c r="B635" s="4" t="str">
        <f ca="1">IFERROR(__xludf.DUMMYFUNCTION("IFERROR(GOOGLETRANSLATE(A635,""ko"",""en""),)"),"Yujin, shall we play soccer together this weekend?")</f>
        <v>Yujin, shall we play soccer together this weekend?</v>
      </c>
      <c r="C635" s="4" t="str">
        <f ca="1">IFERROR(__xludf.DUMMYFUNCTION("IFERROR(GOOGLETRANSLATE(B635,""en"",""ja""),)"),"ユジン、今週末一緒にサッカーしない？")</f>
        <v>ユジン、今週末一緒にサッカーしない？</v>
      </c>
    </row>
    <row r="636" spans="1:3" ht="18">
      <c r="A636" s="5" t="s">
        <v>1656</v>
      </c>
      <c r="B636" s="4" t="str">
        <f ca="1">IFERROR(__xludf.DUMMYFUNCTION("IFERROR(GOOGLETRANSLATE(A636,""ko"",""en""),)"),"I can't play soccer because I injured my leg.")</f>
        <v>I can't play soccer because I injured my leg.</v>
      </c>
      <c r="C636" s="4" t="str">
        <f ca="1">IFERROR(__xludf.DUMMYFUNCTION("IFERROR(GOOGLETRANSLATE(B636,""en"",""ja""),)"),"足を怪我したので、サッカーができません。")</f>
        <v>足を怪我したので、サッカーができません。</v>
      </c>
    </row>
    <row r="637" spans="1:3" ht="18">
      <c r="A637" s="3" t="s">
        <v>1658</v>
      </c>
      <c r="B637" s="4" t="str">
        <f ca="1">IFERROR(__xludf.DUMMYFUNCTION("IFERROR(GOOGLETRANSLATE(A637,""ko"",""en""),)"),"Jaemin, why couldn't you sleep yesterday?")</f>
        <v>Jaemin, why couldn't you sleep yesterday?</v>
      </c>
      <c r="C637" s="4" t="str">
        <f ca="1">IFERROR(__xludf.DUMMYFUNCTION("IFERROR(GOOGLETRANSLATE(B637,""en"",""ja""),)"),"ジェミン、昨日どうして眠れなかったの？")</f>
        <v>ジェミン、昨日どうして眠れなかったの？</v>
      </c>
    </row>
    <row r="638" spans="1:3" ht="18">
      <c r="A638" s="3" t="s">
        <v>1662</v>
      </c>
      <c r="B638" s="4" t="str">
        <f ca="1">IFERROR(__xludf.DUMMYFUNCTION("IFERROR(GOOGLETRANSLATE(A638,""ko"",""en""),)"),"I couldn't sleep because I drank too much coffee.")</f>
        <v>I couldn't sleep because I drank too much coffee.</v>
      </c>
      <c r="C638" s="4" t="str">
        <f ca="1">IFERROR(__xludf.DUMMYFUNCTION("IFERROR(GOOGLETRANSLATE(B638,""en"",""ja""),)"),"コーヒーを飲みすぎたせいで眠れなかった。")</f>
        <v>コーヒーを飲みすぎたせいで眠れなかった。</v>
      </c>
    </row>
    <row r="639" spans="1:3" ht="18">
      <c r="A639" s="3" t="s">
        <v>1663</v>
      </c>
      <c r="B639" s="4" t="str">
        <f ca="1">IFERROR(__xludf.DUMMYFUNCTION("IFERROR(GOOGLETRANSLATE(A639,""ko"",""en""),)"),"I couldn't sleep because I drank too much coffee.")</f>
        <v>I couldn't sleep because I drank too much coffee.</v>
      </c>
      <c r="C639" s="4" t="str">
        <f ca="1">IFERROR(__xludf.DUMMYFUNCTION("IFERROR(GOOGLETRANSLATE(B639,""en"",""ja""),)"),"コーヒーを飲みすぎたせいで眠れなかった。")</f>
        <v>コーヒーを飲みすぎたせいで眠れなかった。</v>
      </c>
    </row>
    <row r="640" spans="1:3" ht="18">
      <c r="A640" s="3" t="s">
        <v>1667</v>
      </c>
      <c r="B640" s="4" t="str">
        <f ca="1">IFERROR(__xludf.DUMMYFUNCTION("IFERROR(GOOGLETRANSLATE(A640,""ko"",""en""),)"),"Can I take photos at the museum?")</f>
        <v>Can I take photos at the museum?</v>
      </c>
      <c r="C640" s="4" t="str">
        <f ca="1">IFERROR(__xludf.DUMMYFUNCTION("IFERROR(GOOGLETRANSLATE(B640,""en"",""ja""),)"),"美術館で写真を撮ってもいいですか？")</f>
        <v>美術館で写真を撮ってもいいですか？</v>
      </c>
    </row>
    <row r="641" spans="1:3" ht="18">
      <c r="A641" s="3" t="s">
        <v>1669</v>
      </c>
      <c r="B641" s="4" t="str">
        <f ca="1">IFERROR(__xludf.DUMMYFUNCTION("IFERROR(GOOGLETRANSLATE(A641,""ko"",""en""),)"),"No, I can't take a picture.")</f>
        <v>No, I can't take a picture.</v>
      </c>
      <c r="C641" s="4" t="str">
        <f ca="1">IFERROR(__xludf.DUMMYFUNCTION("IFERROR(GOOGLETRANSLATE(B641,""en"",""ja""),)"),"いいえ、写真は撮れません。")</f>
        <v>いいえ、写真は撮れません。</v>
      </c>
    </row>
    <row r="642" spans="1:3" ht="18">
      <c r="A642" s="3" t="s">
        <v>1671</v>
      </c>
      <c r="B642" s="4" t="str">
        <f ca="1">IFERROR(__xludf.DUMMYFUNCTION("IFERROR(GOOGLETRANSLATE(A642,""ko"",""en""),)"),"Can I ride a bike in this park?")</f>
        <v>Can I ride a bike in this park?</v>
      </c>
      <c r="C642" s="4" t="str">
        <f ca="1">IFERROR(__xludf.DUMMYFUNCTION("IFERROR(GOOGLETRANSLATE(B642,""en"",""ja""),)"),"この公園で自転車に乗ってもいいですか？")</f>
        <v>この公園で自転車に乗ってもいいですか？</v>
      </c>
    </row>
    <row r="643" spans="1:3" ht="18">
      <c r="A643" s="3" t="s">
        <v>1674</v>
      </c>
      <c r="B643" s="4" t="str">
        <f ca="1">IFERROR(__xludf.DUMMYFUNCTION("IFERROR(GOOGLETRANSLATE(A643,""ko"",""en""),)"),"Yes, you can ride a bicycle in the park.")</f>
        <v>Yes, you can ride a bicycle in the park.</v>
      </c>
      <c r="C643" s="4" t="str">
        <f ca="1">IFERROR(__xludf.DUMMYFUNCTION("IFERROR(GOOGLETRANSLATE(B643,""en"",""ja""),)"),"はい、公園内では自転車に乗ることができます。")</f>
        <v>はい、公園内では自転車に乗ることができます。</v>
      </c>
    </row>
    <row r="644" spans="1:3" ht="18">
      <c r="A644" s="3" t="s">
        <v>1676</v>
      </c>
      <c r="B644" s="4" t="str">
        <f ca="1">IFERROR(__xludf.DUMMYFUNCTION("IFERROR(GOOGLETRANSLATE(A644,""ko"",""en""),)"),"Can I eat food in the classroom?")</f>
        <v>Can I eat food in the classroom?</v>
      </c>
      <c r="C644" s="4" t="str">
        <f ca="1">IFERROR(__xludf.DUMMYFUNCTION("IFERROR(GOOGLETRANSLATE(B644,""en"",""ja""),)"),"教室で食事をしてもいいですか？")</f>
        <v>教室で食事をしてもいいですか？</v>
      </c>
    </row>
    <row r="645" spans="1:3" ht="18">
      <c r="A645" s="3" t="s">
        <v>1679</v>
      </c>
      <c r="B645" s="4" t="str">
        <f ca="1">IFERROR(__xludf.DUMMYFUNCTION("IFERROR(GOOGLETRANSLATE(A645,""ko"",""en""),)"),"No, I can't eat food.")</f>
        <v>No, I can't eat food.</v>
      </c>
      <c r="C645" s="4" t="str">
        <f ca="1">IFERROR(__xludf.DUMMYFUNCTION("IFERROR(GOOGLETRANSLATE(B645,""en"",""ja""),)"),"いいえ、食べ物は食べられません。")</f>
        <v>いいえ、食べ物は食べられません。</v>
      </c>
    </row>
    <row r="646" spans="1:3" ht="18">
      <c r="A646" s="3" t="s">
        <v>1681</v>
      </c>
      <c r="B646" s="4" t="str">
        <f ca="1">IFERROR(__xludf.DUMMYFUNCTION("IFERROR(GOOGLETRANSLATE(A646,""ko"",""en""),)"),"Can I cook food in this park?")</f>
        <v>Can I cook food in this park?</v>
      </c>
      <c r="C646" s="4" t="str">
        <f ca="1">IFERROR(__xludf.DUMMYFUNCTION("IFERROR(GOOGLETRANSLATE(B646,""en"",""ja""),)"),"この公園で料理をしてもいいですか？")</f>
        <v>この公園で料理をしてもいいですか？</v>
      </c>
    </row>
    <row r="647" spans="1:3" ht="18">
      <c r="A647" s="3" t="s">
        <v>1684</v>
      </c>
      <c r="B647" s="4" t="str">
        <f ca="1">IFERROR(__xludf.DUMMYFUNCTION("IFERROR(GOOGLETRANSLATE(A647,""ko"",""en""),)"),"No, I can't cook.")</f>
        <v>No, I can't cook.</v>
      </c>
      <c r="C647" s="4" t="str">
        <f ca="1">IFERROR(__xludf.DUMMYFUNCTION("IFERROR(GOOGLETRANSLATE(B647,""en"",""ja""),)"),"いいえ、料理はできません。")</f>
        <v>いいえ、料理はできません。</v>
      </c>
    </row>
    <row r="648" spans="1:3" ht="18">
      <c r="A648" s="3" t="s">
        <v>1687</v>
      </c>
      <c r="B648" s="4" t="str">
        <f ca="1">IFERROR(__xludf.DUMMYFUNCTION("IFERROR(GOOGLETRANSLATE(A648,""ko"",""en""),)"),"Can I drink alcohol in this park?")</f>
        <v>Can I drink alcohol in this park?</v>
      </c>
      <c r="C648" s="4" t="str">
        <f ca="1">IFERROR(__xludf.DUMMYFUNCTION("IFERROR(GOOGLETRANSLATE(B648,""en"",""ja""),)"),"この公園でお酒を飲んでもいいですか？")</f>
        <v>この公園でお酒を飲んでもいいですか？</v>
      </c>
    </row>
    <row r="649" spans="1:3" ht="18">
      <c r="A649" s="3" t="s">
        <v>1688</v>
      </c>
      <c r="B649" s="4" t="str">
        <f ca="1">IFERROR(__xludf.DUMMYFUNCTION("IFERROR(GOOGLETRANSLATE(A649,""ko"",""en""),)"),"No, I can't drink alcohol.")</f>
        <v>No, I can't drink alcohol.</v>
      </c>
      <c r="C649" s="4" t="str">
        <f ca="1">IFERROR(__xludf.DUMMYFUNCTION("IFERROR(GOOGLETRANSLATE(B649,""en"",""ja""),)"),"いいえ、お酒は飲めません。")</f>
        <v>いいえ、お酒は飲めません。</v>
      </c>
    </row>
    <row r="650" spans="1:3" ht="18">
      <c r="A650" s="3" t="s">
        <v>1691</v>
      </c>
      <c r="B650" s="4" t="str">
        <f ca="1">IFERROR(__xludf.DUMMYFUNCTION("IFERROR(GOOGLETRANSLATE(A650,""ko"",""en""),)"),"Can you swim?")</f>
        <v>Can you swim?</v>
      </c>
      <c r="C650" s="4" t="str">
        <f ca="1">IFERROR(__xludf.DUMMYFUNCTION("IFERROR(GOOGLETRANSLATE(B650,""en"",""ja""),)"),"泳げますか？")</f>
        <v>泳げますか？</v>
      </c>
    </row>
    <row r="651" spans="1:3" ht="18">
      <c r="A651" s="3" t="s">
        <v>1693</v>
      </c>
      <c r="B651" s="4" t="str">
        <f ca="1">IFERROR(__xludf.DUMMYFUNCTION("IFERROR(GOOGLETRANSLATE(A651,""ko"",""en""),)"),"Yes. I can swim.")</f>
        <v>Yes. I can swim.</v>
      </c>
      <c r="C651" s="4" t="str">
        <f ca="1">IFERROR(__xludf.DUMMYFUNCTION("IFERROR(GOOGLETRANSLATE(B651,""en"",""ja""),)"),"はい。泳げます。")</f>
        <v>はい。泳げます。</v>
      </c>
    </row>
    <row r="652" spans="1:3" ht="18">
      <c r="A652" s="3" t="s">
        <v>1696</v>
      </c>
      <c r="B652" s="4" t="str">
        <f ca="1">IFERROR(__xludf.DUMMYFUNCTION("IFERROR(GOOGLETRANSLATE(A652,""ko"",""en""),)"),"Can you play the piano?")</f>
        <v>Can you play the piano?</v>
      </c>
      <c r="C652" s="4" t="str">
        <f ca="1">IFERROR(__xludf.DUMMYFUNCTION("IFERROR(GOOGLETRANSLATE(B652,""en"",""ja""),)"),"あなたはピアノを弾けますか？")</f>
        <v>あなたはピアノを弾けますか？</v>
      </c>
    </row>
    <row r="653" spans="1:3" ht="18">
      <c r="A653" s="3" t="s">
        <v>1699</v>
      </c>
      <c r="B653" s="4" t="str">
        <f ca="1">IFERROR(__xludf.DUMMYFUNCTION("IFERROR(GOOGLETRANSLATE(A653,""ko"",""en""),)"),"No. I can't play the piano.")</f>
        <v>No. I can't play the piano.</v>
      </c>
      <c r="C653" s="4" t="str">
        <f ca="1">IFERROR(__xludf.DUMMYFUNCTION("IFERROR(GOOGLETRANSLATE(B653,""en"",""ja""),)"),"いいえ、ピアノは弾けません。")</f>
        <v>いいえ、ピアノは弾けません。</v>
      </c>
    </row>
    <row r="654" spans="1:3" ht="18">
      <c r="A654" s="3" t="s">
        <v>1701</v>
      </c>
      <c r="B654" s="4" t="str">
        <f ca="1">IFERROR(__xludf.DUMMYFUNCTION("IFERROR(GOOGLETRANSLATE(A654,""ko"",""en""),)"),"Can you ski?")</f>
        <v>Can you ski?</v>
      </c>
      <c r="C654" s="4" t="str">
        <f ca="1">IFERROR(__xludf.DUMMYFUNCTION("IFERROR(GOOGLETRANSLATE(B654,""en"",""ja""),)"),"あなたはスキーができますか？")</f>
        <v>あなたはスキーができますか？</v>
      </c>
    </row>
    <row r="655" spans="1:3" ht="18">
      <c r="A655" s="3" t="s">
        <v>1705</v>
      </c>
      <c r="B655" s="4" t="str">
        <f ca="1">IFERROR(__xludf.DUMMYFUNCTION("IFERROR(GOOGLETRANSLATE(A655,""ko"",""en""),)"),"Yes. I can ski.")</f>
        <v>Yes. I can ski.</v>
      </c>
      <c r="C655" s="4" t="str">
        <f ca="1">IFERROR(__xludf.DUMMYFUNCTION("IFERROR(GOOGLETRANSLATE(B655,""en"",""ja""),)"),"はい。スキーができます。")</f>
        <v>はい。スキーができます。</v>
      </c>
    </row>
    <row r="656" spans="1:3" ht="18">
      <c r="A656" s="3" t="s">
        <v>1707</v>
      </c>
      <c r="B656" s="4" t="str">
        <f ca="1">IFERROR(__xludf.DUMMYFUNCTION("IFERROR(GOOGLETRANSLATE(A656,""ko"",""en""),)"),"Can you read this book?")</f>
        <v>Can you read this book?</v>
      </c>
      <c r="C656" s="4" t="str">
        <f ca="1">IFERROR(__xludf.DUMMYFUNCTION("IFERROR(GOOGLETRANSLATE(B656,""en"",""ja""),)"),"この本は読めますか？")</f>
        <v>この本は読めますか？</v>
      </c>
    </row>
    <row r="657" spans="1:3" ht="18">
      <c r="A657" s="3" t="s">
        <v>1710</v>
      </c>
      <c r="B657" s="4" t="str">
        <f ca="1">IFERROR(__xludf.DUMMYFUNCTION("IFERROR(GOOGLETRANSLATE(A657,""ko"",""en""),)"),"No. I can't read this book.")</f>
        <v>No. I can't read this book.</v>
      </c>
      <c r="C657" s="4" t="str">
        <f ca="1">IFERROR(__xludf.DUMMYFUNCTION("IFERROR(GOOGLETRANSLATE(B657,""en"",""ja""),)"),"いいえ。この本は読めません。")</f>
        <v>いいえ。この本は読めません。</v>
      </c>
    </row>
    <row r="658" spans="1:3" ht="18">
      <c r="A658" s="3" t="s">
        <v>1712</v>
      </c>
      <c r="B658" s="4" t="str">
        <f ca="1">IFERROR(__xludf.DUMMYFUNCTION("IFERROR(GOOGLETRANSLATE(A658,""ko"",""en""),)"),"What is Suzy doing right now?")</f>
        <v>What is Suzy doing right now?</v>
      </c>
      <c r="C658" s="4" t="str">
        <f ca="1">IFERROR(__xludf.DUMMYFUNCTION("IFERROR(GOOGLETRANSLATE(B658,""en"",""ja""),)"),"スージーは今何をしているの？")</f>
        <v>スージーは今何をしているの？</v>
      </c>
    </row>
    <row r="659" spans="1:3" ht="18">
      <c r="A659" s="3" t="s">
        <v>1716</v>
      </c>
      <c r="B659" s="4" t="str">
        <f ca="1">IFERROR(__xludf.DUMMYFUNCTION("IFERROR(GOOGLETRANSLATE(A659,""ko"",""en""),)"),"I'm listening to K-pop.")</f>
        <v>I'm listening to K-pop.</v>
      </c>
      <c r="C659" s="4" t="str">
        <f ca="1">IFERROR(__xludf.DUMMYFUNCTION("IFERROR(GOOGLETRANSLATE(B659,""en"",""ja""),)"),"K-POPを聴いています。")</f>
        <v>K-POPを聴いています。</v>
      </c>
    </row>
    <row r="660" spans="1:3" ht="18">
      <c r="A660" s="3" t="s">
        <v>1719</v>
      </c>
      <c r="B660" s="4" t="str">
        <f ca="1">IFERROR(__xludf.DUMMYFUNCTION("IFERROR(GOOGLETRANSLATE(A660,""ko"",""en""),)"),"Have you finished preparing the food for the gathering?")</f>
        <v>Have you finished preparing the food for the gathering?</v>
      </c>
      <c r="C660" s="4" t="str">
        <f ca="1">IFERROR(__xludf.DUMMYFUNCTION("IFERROR(GOOGLETRANSLATE(B660,""en"",""ja""),)"),"集まりのための食事の準備は終わりましたか？")</f>
        <v>集まりのための食事の準備は終わりましたか？</v>
      </c>
    </row>
    <row r="661" spans="1:3" ht="18">
      <c r="A661" s="3" t="s">
        <v>1721</v>
      </c>
      <c r="B661" s="4" t="str">
        <f ca="1">IFERROR(__xludf.DUMMYFUNCTION("IFERROR(GOOGLETRANSLATE(A661,""ko"",""en""),)"),"No. I am still making food.")</f>
        <v>No. I am still making food.</v>
      </c>
      <c r="C661" s="4" t="str">
        <f ca="1">IFERROR(__xludf.DUMMYFUNCTION("IFERROR(GOOGLETRANSLATE(B661,""en"",""ja""),)"),"いいえ。私はまだ料理を作っています。")</f>
        <v>いいえ。私はまだ料理を作っています。</v>
      </c>
    </row>
    <row r="662" spans="1:3" ht="18">
      <c r="A662" s="3" t="s">
        <v>1725</v>
      </c>
      <c r="B662" s="4" t="str">
        <f ca="1">IFERROR(__xludf.DUMMYFUNCTION("IFERROR(GOOGLETRANSLATE(A662,""ko"",""en""),)"),"I am studying Korean at the library.")</f>
        <v>I am studying Korean at the library.</v>
      </c>
      <c r="C662" s="4" t="str">
        <f ca="1">IFERROR(__xludf.DUMMYFUNCTION("IFERROR(GOOGLETRANSLATE(B662,""en"",""ja""),)"),"私は図書館で韓国語を勉強しています。")</f>
        <v>私は図書館で韓国語を勉強しています。</v>
      </c>
    </row>
    <row r="663" spans="1:3" ht="18">
      <c r="A663" s="3" t="s">
        <v>1727</v>
      </c>
      <c r="B663" s="4" t="str">
        <f ca="1">IFERROR(__xludf.DUMMYFUNCTION("IFERROR(GOOGLETRANSLATE(A663,""ko"",""en""),)"),"I am listening to music at home.")</f>
        <v>I am listening to music at home.</v>
      </c>
      <c r="C663" s="4" t="str">
        <f ca="1">IFERROR(__xludf.DUMMYFUNCTION("IFERROR(GOOGLETRANSLATE(B663,""en"",""ja""),)"),"私は家で音楽を聴いています。")</f>
        <v>私は家で音楽を聴いています。</v>
      </c>
    </row>
    <row r="664" spans="1:3" ht="18">
      <c r="A664" s="3" t="s">
        <v>1730</v>
      </c>
      <c r="B664" s="4" t="str">
        <f ca="1">IFERROR(__xludf.DUMMYFUNCTION("IFERROR(GOOGLETRANSLATE(A664,""ko"",""en""),)"),"I am having lunch at a restaurant.")</f>
        <v>I am having lunch at a restaurant.</v>
      </c>
      <c r="C664" s="4" t="str">
        <f ca="1">IFERROR(__xludf.DUMMYFUNCTION("IFERROR(GOOGLETRANSLATE(B664,""en"",""ja""),)"),"私はレストランで昼食をとっています。")</f>
        <v>私はレストランで昼食をとっています。</v>
      </c>
    </row>
    <row r="665" spans="1:3" ht="18">
      <c r="A665" s="3" t="s">
        <v>1733</v>
      </c>
      <c r="B665" s="4" t="str">
        <f ca="1">IFERROR(__xludf.DUMMYFUNCTION("IFERROR(GOOGLETRANSLATE(A665,""ko"",""en""),)"),"I am riding a bicycle in the park.")</f>
        <v>I am riding a bicycle in the park.</v>
      </c>
      <c r="C665" s="4" t="str">
        <f ca="1">IFERROR(__xludf.DUMMYFUNCTION("IFERROR(GOOGLETRANSLATE(B665,""en"",""ja""),)"),"私は公園で自転車に乗っています。")</f>
        <v>私は公園で自転車に乗っています。</v>
      </c>
    </row>
    <row r="666" spans="1:3" ht="18">
      <c r="A666" s="3" t="s">
        <v>1735</v>
      </c>
      <c r="B666" s="4" t="str">
        <f ca="1">IFERROR(__xludf.DUMMYFUNCTION("IFERROR(GOOGLETRANSLATE(A666,""ko"",""en""),)"),"I am watching a movie at the movie theater.")</f>
        <v>I am watching a movie at the movie theater.</v>
      </c>
      <c r="C666" s="4" t="str">
        <f ca="1">IFERROR(__xludf.DUMMYFUNCTION("IFERROR(GOOGLETRANSLATE(B666,""en"",""ja""),)"),"私は映画館で映画を観ています。")</f>
        <v>私は映画館で映画を観ています。</v>
      </c>
    </row>
    <row r="667" spans="1:3" ht="18">
      <c r="A667" s="3" t="s">
        <v>1737</v>
      </c>
      <c r="B667" s="4" t="str">
        <f ca="1">IFERROR(__xludf.DUMMYFUNCTION("IFERROR(GOOGLETRANSLATE(A667,""ko"",""en""),)"),"I am meeting a friend at a cafe.")</f>
        <v>I am meeting a friend at a cafe.</v>
      </c>
      <c r="C667" s="4" t="str">
        <f ca="1">IFERROR(__xludf.DUMMYFUNCTION("IFERROR(GOOGLETRANSLATE(B667,""en"",""ja""),)"),"カフェで友達と待ち合わせをしています。")</f>
        <v>カフェで友達と待ち合わせをしています。</v>
      </c>
    </row>
    <row r="668" spans="1:3" ht="18">
      <c r="A668" s="3" t="s">
        <v>1740</v>
      </c>
      <c r="B668" s="4" t="str">
        <f ca="1">IFERROR(__xludf.DUMMYFUNCTION("IFERROR(GOOGLETRANSLATE(A668,""ko"",""en""),)"),"I am buying shoes at a department store.")</f>
        <v>I am buying shoes at a department store.</v>
      </c>
      <c r="C668" s="4" t="str">
        <f ca="1">IFERROR(__xludf.DUMMYFUNCTION("IFERROR(GOOGLETRANSLATE(B668,""en"",""ja""),)"),"私はデパートで靴を買っています。")</f>
        <v>私はデパートで靴を買っています。</v>
      </c>
    </row>
    <row r="669" spans="1:3" ht="18">
      <c r="A669" s="3" t="s">
        <v>1744</v>
      </c>
      <c r="B669" s="4" t="str">
        <f ca="1">IFERROR(__xludf.DUMMYFUNCTION("IFERROR(GOOGLETRANSLATE(A669,""ko"",""en""),)"),"What are you doing right now?")</f>
        <v>What are you doing right now?</v>
      </c>
      <c r="C669" s="4" t="str">
        <f ca="1">IFERROR(__xludf.DUMMYFUNCTION("IFERROR(GOOGLETRANSLATE(B669,""en"",""ja""),)"),"あなたは今何をしていますか？")</f>
        <v>あなたは今何をしていますか？</v>
      </c>
    </row>
    <row r="670" spans="1:3" ht="18">
      <c r="A670" s="3" t="s">
        <v>1745</v>
      </c>
      <c r="B670" s="4" t="str">
        <f ca="1">IFERROR(__xludf.DUMMYFUNCTION("IFERROR(GOOGLETRANSLATE(A670,""ko"",""en""),)"),"I'm cooking.")</f>
        <v>I'm cooking.</v>
      </c>
      <c r="C670" s="4" t="str">
        <f ca="1">IFERROR(__xludf.DUMMYFUNCTION("IFERROR(GOOGLETRANSLATE(B670,""en"",""ja""),)"),"料理をしています。")</f>
        <v>料理をしています。</v>
      </c>
    </row>
    <row r="671" spans="1:3" ht="18">
      <c r="A671" s="3" t="s">
        <v>1744</v>
      </c>
      <c r="B671" s="4" t="str">
        <f ca="1">IFERROR(__xludf.DUMMYFUNCTION("IFERROR(GOOGLETRANSLATE(A671,""ko"",""en""),)"),"What are you doing right now?")</f>
        <v>What are you doing right now?</v>
      </c>
      <c r="C671" s="4" t="str">
        <f ca="1">IFERROR(__xludf.DUMMYFUNCTION("IFERROR(GOOGLETRANSLATE(B671,""en"",""ja""),)"),"あなたは今何をしていますか？")</f>
        <v>あなたは今何をしていますか？</v>
      </c>
    </row>
    <row r="672" spans="1:3" ht="18">
      <c r="A672" s="3" t="s">
        <v>1748</v>
      </c>
      <c r="B672" s="4" t="str">
        <f ca="1">IFERROR(__xludf.DUMMYFUNCTION("IFERROR(GOOGLETRANSLATE(A672,""ko"",""en""),)"),"I am cleaning.")</f>
        <v>I am cleaning.</v>
      </c>
      <c r="C672" s="4" t="str">
        <f ca="1">IFERROR(__xludf.DUMMYFUNCTION("IFERROR(GOOGLETRANSLATE(B672,""en"",""ja""),)"),"私は掃除をしています。")</f>
        <v>私は掃除をしています。</v>
      </c>
    </row>
    <row r="673" spans="1:3" ht="18">
      <c r="A673" s="3" t="s">
        <v>1744</v>
      </c>
      <c r="B673" s="4" t="str">
        <f ca="1">IFERROR(__xludf.DUMMYFUNCTION("IFERROR(GOOGLETRANSLATE(A673,""ko"",""en""),)"),"What are you doing right now?")</f>
        <v>What are you doing right now?</v>
      </c>
      <c r="C673" s="4" t="str">
        <f ca="1">IFERROR(__xludf.DUMMYFUNCTION("IFERROR(GOOGLETRANSLATE(B673,""en"",""ja""),)"),"あなたは今何をしていますか？")</f>
        <v>あなたは今何をしていますか？</v>
      </c>
    </row>
    <row r="674" spans="1:3" ht="18">
      <c r="A674" s="3" t="s">
        <v>1754</v>
      </c>
      <c r="B674" s="4" t="str">
        <f ca="1">IFERROR(__xludf.DUMMYFUNCTION("IFERROR(GOOGLETRANSLATE(A674,""ko"",""en""),)"),"I am playing tennis.")</f>
        <v>I am playing tennis.</v>
      </c>
      <c r="C674" s="4" t="str">
        <f ca="1">IFERROR(__xludf.DUMMYFUNCTION("IFERROR(GOOGLETRANSLATE(B674,""en"",""ja""),)"),"私はテニスをしています。")</f>
        <v>私はテニスをしています。</v>
      </c>
    </row>
    <row r="675" spans="1:3" ht="18">
      <c r="A675" s="3" t="s">
        <v>1757</v>
      </c>
      <c r="B675" s="4" t="str">
        <f ca="1">IFERROR(__xludf.DUMMYFUNCTION("IFERROR(GOOGLETRANSLATE(A675,""ko"",""en""),)"),"What is Anna doing right now?")</f>
        <v>What is Anna doing right now?</v>
      </c>
      <c r="C675" s="4" t="str">
        <f ca="1">IFERROR(__xludf.DUMMYFUNCTION("IFERROR(GOOGLETRANSLATE(B675,""en"",""ja""),)"),"アンナは今何をしているの？")</f>
        <v>アンナは今何をしているの？</v>
      </c>
    </row>
    <row r="676" spans="1:3" ht="18">
      <c r="A676" s="3" t="s">
        <v>1760</v>
      </c>
      <c r="B676" s="4" t="str">
        <f ca="1">IFERROR(__xludf.DUMMYFUNCTION("IFERROR(GOOGLETRANSLATE(A676,""ko"",""en""),)"),"I am eating ramen.")</f>
        <v>I am eating ramen.</v>
      </c>
      <c r="C676" s="4" t="str">
        <f ca="1">IFERROR(__xludf.DUMMYFUNCTION("IFERROR(GOOGLETRANSLATE(B676,""en"",""ja""),)"),"私はラーメンを食べています。")</f>
        <v>私はラーメンを食べています。</v>
      </c>
    </row>
    <row r="677" spans="1:3" ht="18">
      <c r="A677" s="3" t="s">
        <v>1763</v>
      </c>
      <c r="B677" s="4" t="str">
        <f ca="1">IFERROR(__xludf.DUMMYFUNCTION("IFERROR(GOOGLETRANSLATE(A677,""ko"",""en""),)"),"What are you doing right now, Jaemin?")</f>
        <v>What are you doing right now, Jaemin?</v>
      </c>
      <c r="C677" s="4" t="str">
        <f ca="1">IFERROR(__xludf.DUMMYFUNCTION("IFERROR(GOOGLETRANSLATE(B677,""en"",""ja""),)"),"ジェミン、今何してるの？")</f>
        <v>ジェミン、今何してるの？</v>
      </c>
    </row>
    <row r="678" spans="1:3" ht="18">
      <c r="A678" s="3" t="s">
        <v>1765</v>
      </c>
      <c r="B678" s="4" t="str">
        <f ca="1">IFERROR(__xludf.DUMMYFUNCTION("IFERROR(GOOGLETRANSLATE(A678,""ko"",""en""),)"),"I am riding a bicycle.")</f>
        <v>I am riding a bicycle.</v>
      </c>
      <c r="C678" s="4" t="str">
        <f ca="1">IFERROR(__xludf.DUMMYFUNCTION("IFERROR(GOOGLETRANSLATE(B678,""en"",""ja""),)"),"私は自転車に乗っています。")</f>
        <v>私は自転車に乗っています。</v>
      </c>
    </row>
    <row r="679" spans="1:3" ht="18">
      <c r="A679" s="3" t="s">
        <v>1769</v>
      </c>
      <c r="B679" s="4" t="str">
        <f ca="1">IFERROR(__xludf.DUMMYFUNCTION("IFERROR(GOOGLETRANSLATE(A679,""ko"",""en""),)"),"I was riding a bicycle.")</f>
        <v>I was riding a bicycle.</v>
      </c>
      <c r="C679" s="4" t="str">
        <f ca="1">IFERROR(__xludf.DUMMYFUNCTION("IFERROR(GOOGLETRANSLATE(B679,""en"",""ja""),)"),"私は自転車に乗っていました。")</f>
        <v>私は自転車に乗っていました。</v>
      </c>
    </row>
    <row r="680" spans="1:3" ht="18">
      <c r="A680" s="3" t="s">
        <v>1771</v>
      </c>
      <c r="B680" s="4" t="str">
        <f ca="1">IFERROR(__xludf.DUMMYFUNCTION("IFERROR(GOOGLETRANSLATE(A680,""ko"",""en""),)"),"Who is making the food?")</f>
        <v>Who is making the food?</v>
      </c>
      <c r="C680" s="4" t="str">
        <f ca="1">IFERROR(__xludf.DUMMYFUNCTION("IFERROR(GOOGLETRANSLATE(B680,""en"",""ja""),)"),"誰が料理を作っているのですか？")</f>
        <v>誰が料理を作っているのですか？</v>
      </c>
    </row>
    <row r="681" spans="1:3" ht="18">
      <c r="A681" s="3" t="s">
        <v>1776</v>
      </c>
      <c r="B681" s="4" t="str">
        <f ca="1">IFERROR(__xludf.DUMMYFUNCTION("IFERROR(GOOGLETRANSLATE(A681,""ko"",""en""),)"),"Anna and Juno are making food.")</f>
        <v>Anna and Juno are making food.</v>
      </c>
      <c r="C681" s="4" t="str">
        <f ca="1">IFERROR(__xludf.DUMMYFUNCTION("IFERROR(GOOGLETRANSLATE(B681,""en"",""ja""),)"),"アンナとジュノは料理を作っている。")</f>
        <v>アンナとジュノは料理を作っている。</v>
      </c>
    </row>
    <row r="682" spans="1:3" ht="18">
      <c r="A682" s="3" t="s">
        <v>1777</v>
      </c>
      <c r="B682" s="4" t="str">
        <f ca="1">IFERROR(__xludf.DUMMYFUNCTION("IFERROR(GOOGLETRANSLATE(A682,""ko"",""en""),)"),"Who is sending the message?")</f>
        <v>Who is sending the message?</v>
      </c>
      <c r="C682" s="4" t="str">
        <f ca="1">IFERROR(__xludf.DUMMYFUNCTION("IFERROR(GOOGLETRANSLATE(B682,""en"",""ja""),)"),"誰がメッセージを送っているのですか？")</f>
        <v>誰がメッセージを送っているのですか？</v>
      </c>
    </row>
    <row r="683" spans="1:3" ht="18">
      <c r="A683" s="3" t="s">
        <v>1781</v>
      </c>
      <c r="B683" s="4" t="str">
        <f ca="1">IFERROR(__xludf.DUMMYFUNCTION("IFERROR(GOOGLETRANSLATE(A683,""ko"",""en""),)"),"Marie is sending a message.")</f>
        <v>Marie is sending a message.</v>
      </c>
      <c r="C683" s="4" t="str">
        <f ca="1">IFERROR(__xludf.DUMMYFUNCTION("IFERROR(GOOGLETRANSLATE(B683,""en"",""ja""),)"),"マリーがメッセージを送っています。")</f>
        <v>マリーがメッセージを送っています。</v>
      </c>
    </row>
    <row r="684" spans="1:3" ht="18">
      <c r="A684" s="3" t="s">
        <v>1763</v>
      </c>
      <c r="B684" s="4" t="str">
        <f ca="1">IFERROR(__xludf.DUMMYFUNCTION("IFERROR(GOOGLETRANSLATE(A684,""ko"",""en""),)"),"What are you doing right now, Jaemin?")</f>
        <v>What are you doing right now, Jaemin?</v>
      </c>
      <c r="C684" s="4" t="str">
        <f ca="1">IFERROR(__xludf.DUMMYFUNCTION("IFERROR(GOOGLETRANSLATE(B684,""en"",""ja""),)"),"ジェミン、今何してるの？")</f>
        <v>ジェミン、今何してるの？</v>
      </c>
    </row>
    <row r="685" spans="1:3" ht="18">
      <c r="A685" s="3" t="s">
        <v>1785</v>
      </c>
      <c r="B685" s="4" t="str">
        <f ca="1">IFERROR(__xludf.DUMMYFUNCTION("IFERROR(GOOGLETRANSLATE(A685,""ko"",""en""),)"),"I am drinking water.")</f>
        <v>I am drinking water.</v>
      </c>
      <c r="C685" s="4" t="str">
        <f ca="1">IFERROR(__xludf.DUMMYFUNCTION("IFERROR(GOOGLETRANSLATE(B685,""en"",""ja""),)"),"私は水を飲んでいます。")</f>
        <v>私は水を飲んでいます。</v>
      </c>
    </row>
    <row r="686" spans="1:3" ht="18">
      <c r="A686" s="3" t="s">
        <v>1787</v>
      </c>
      <c r="B686" s="4" t="str">
        <f ca="1">IFERROR(__xludf.DUMMYFUNCTION("IFERROR(GOOGLETRANSLATE(A686,""ko"",""en""),)"),"What are you doing right now, Suzy?")</f>
        <v>What are you doing right now, Suzy?</v>
      </c>
      <c r="C686" s="4" t="str">
        <f ca="1">IFERROR(__xludf.DUMMYFUNCTION("IFERROR(GOOGLETRANSLATE(B686,""en"",""ja""),)"),"スージー、今何してるの？")</f>
        <v>スージー、今何してるの？</v>
      </c>
    </row>
    <row r="687" spans="1:3" ht="18">
      <c r="A687" s="3" t="s">
        <v>1790</v>
      </c>
      <c r="B687" s="4" t="str">
        <f ca="1">IFERROR(__xludf.DUMMYFUNCTION("IFERROR(GOOGLETRANSLATE(A687,""ko"",""en""),)"),"I am talking to Yujin.")</f>
        <v>I am talking to Yujin.</v>
      </c>
      <c r="C687" s="4" t="str">
        <f ca="1">IFERROR(__xludf.DUMMYFUNCTION("IFERROR(GOOGLETRANSLATE(B687,""en"",""ja""),)"),"私はユジンと話しています。")</f>
        <v>私はユジンと話しています。</v>
      </c>
    </row>
    <row r="688" spans="1:3" ht="18">
      <c r="A688" s="3" t="s">
        <v>1792</v>
      </c>
      <c r="B688" s="4" t="str">
        <f ca="1">IFERROR(__xludf.DUMMYFUNCTION("IFERROR(GOOGLETRANSLATE(A688,""ko"",""en""),)"),"What are you doing, Suzy?")</f>
        <v>What are you doing, Suzy?</v>
      </c>
      <c r="C688" s="4" t="str">
        <f ca="1">IFERROR(__xludf.DUMMYFUNCTION("IFERROR(GOOGLETRANSLATE(B688,""en"",""ja""),)"),"スージー、何してるの？")</f>
        <v>スージー、何してるの？</v>
      </c>
    </row>
    <row r="689" spans="1:3" ht="18">
      <c r="A689" s="3" t="s">
        <v>1793</v>
      </c>
      <c r="B689" s="4" t="str">
        <f ca="1">IFERROR(__xludf.DUMMYFUNCTION("IFERROR(GOOGLETRANSLATE(A689,""ko"",""en""),)"),"I am eating a hamburger.")</f>
        <v>I am eating a hamburger.</v>
      </c>
      <c r="C689" s="4" t="str">
        <f ca="1">IFERROR(__xludf.DUMMYFUNCTION("IFERROR(GOOGLETRANSLATE(B689,""en"",""ja""),)"),"私はハンバーガーを食べています。")</f>
        <v>私はハンバーガーを食べています。</v>
      </c>
    </row>
    <row r="690" spans="1:3" ht="18">
      <c r="A690" s="3" t="s">
        <v>1090</v>
      </c>
      <c r="B690" s="4" t="str">
        <f ca="1">IFERROR(__xludf.DUMMYFUNCTION("IFERROR(GOOGLETRANSLATE(A690,""ko"",""en""),)"),"activity")</f>
        <v>activity</v>
      </c>
      <c r="C690" s="4" t="str">
        <f ca="1">IFERROR(__xludf.DUMMYFUNCTION("IFERROR(GOOGLETRANSLATE(B690,""en"",""ja""),)"),"活動")</f>
        <v>活動</v>
      </c>
    </row>
    <row r="691" spans="1:3" ht="18">
      <c r="A691" s="3" t="s">
        <v>1796</v>
      </c>
      <c r="B691" s="4" t="str">
        <f ca="1">IFERROR(__xludf.DUMMYFUNCTION("IFERROR(GOOGLETRANSLATE(A691,""ko"",""en""),)"),"Let's gather")</f>
        <v>Let's gather</v>
      </c>
      <c r="C691" s="4" t="str">
        <f ca="1">IFERROR(__xludf.DUMMYFUNCTION("IFERROR(GOOGLETRANSLATE(B691,""en"",""ja""),)"),"集まろう")</f>
        <v>集まろう</v>
      </c>
    </row>
    <row r="692" spans="1:3" ht="18">
      <c r="A692" s="3" t="s">
        <v>1798</v>
      </c>
      <c r="B692" s="4" t="str">
        <f ca="1">IFERROR(__xludf.DUMMYFUNCTION("IFERROR(GOOGLETRANSLATE(A692,""ko"",""en""),)"),"Let's meet at home.")</f>
        <v>Let's meet at home.</v>
      </c>
      <c r="C692" s="4" t="str">
        <f ca="1">IFERROR(__xludf.DUMMYFUNCTION("IFERROR(GOOGLETRANSLATE(B692,""en"",""ja""),)"),"自宅で会いましょう。")</f>
        <v>自宅で会いましょう。</v>
      </c>
    </row>
    <row r="693" spans="1:3" ht="18">
      <c r="A693" s="3" t="s">
        <v>1801</v>
      </c>
      <c r="B693" s="4" t="str">
        <f ca="1">IFERROR(__xludf.DUMMYFUNCTION("IFERROR(GOOGLETRANSLATE(A693,""ko"",""en""),)"),"Where is our class meeting place?")</f>
        <v>Where is our class meeting place?</v>
      </c>
      <c r="C693" s="4" t="str">
        <f ca="1">IFERROR(__xludf.DUMMYFUNCTION("IFERROR(GOOGLETRANSLATE(B693,""en"",""ja""),)"),"授業の集合場所はどこですか？")</f>
        <v>授業の集合場所はどこですか？</v>
      </c>
    </row>
    <row r="694" spans="1:3" ht="18">
      <c r="A694" s="3" t="s">
        <v>1805</v>
      </c>
      <c r="B694" s="4" t="str">
        <f ca="1">IFERROR(__xludf.DUMMYFUNCTION("IFERROR(GOOGLETRANSLATE(A694,""ko"",""en""),)"),"Our class meeting place is Juno's house.")</f>
        <v>Our class meeting place is Juno's house.</v>
      </c>
      <c r="C694" s="4" t="str">
        <f ca="1">IFERROR(__xludf.DUMMYFUNCTION("IFERROR(GOOGLETRANSLATE(B694,""en"",""ja""),)"),"私たちの授業の集合場所はジュノの家です。")</f>
        <v>私たちの授業の集合場所はジュノの家です。</v>
      </c>
    </row>
    <row r="695" spans="1:3" ht="18">
      <c r="A695" s="3" t="s">
        <v>1806</v>
      </c>
      <c r="B695" s="4" t="str">
        <f ca="1">IFERROR(__xludf.DUMMYFUNCTION("IFERROR(GOOGLETRANSLATE(A695,""ko"",""en""),)"),"What are you learning these days, Juno?")</f>
        <v>What are you learning these days, Juno?</v>
      </c>
      <c r="C695" s="4" t="str">
        <f ca="1">IFERROR(__xludf.DUMMYFUNCTION("IFERROR(GOOGLETRANSLATE(B695,""en"",""ja""),)"),"ジュノ、最近は何を学んでいるの？")</f>
        <v>ジュノ、最近は何を学んでいるの？</v>
      </c>
    </row>
    <row r="696" spans="1:3" ht="18">
      <c r="A696" s="3" t="s">
        <v>1810</v>
      </c>
      <c r="B696" s="4" t="str">
        <f ca="1">IFERROR(__xludf.DUMMYFUNCTION("IFERROR(GOOGLETRANSLATE(A696,""ko"",""en""),)"),"I am learning Korean cooking.")</f>
        <v>I am learning Korean cooking.</v>
      </c>
      <c r="C696" s="4" t="str">
        <f ca="1">IFERROR(__xludf.DUMMYFUNCTION("IFERROR(GOOGLETRANSLATE(B696,""en"",""ja""),)"),"私は韓国料理を習っています。")</f>
        <v>私は韓国料理を習っています。</v>
      </c>
    </row>
    <row r="697" spans="1:3" ht="18">
      <c r="A697" s="5" t="s">
        <v>1811</v>
      </c>
      <c r="B697" s="4" t="str">
        <f ca="1">IFERROR(__xludf.DUMMYFUNCTION("IFERROR(GOOGLETRANSLATE(A697,""ko"",""en""),)"),"small auditorium")</f>
        <v>small auditorium</v>
      </c>
      <c r="C697" s="4" t="str">
        <f ca="1">IFERROR(__xludf.DUMMYFUNCTION("IFERROR(GOOGLETRANSLATE(B697,""en"",""ja""),)"),"小講堂")</f>
        <v>小講堂</v>
      </c>
    </row>
    <row r="698" spans="1:3" ht="18">
      <c r="A698" s="5" t="s">
        <v>1815</v>
      </c>
      <c r="B698" s="4" t="str">
        <f ca="1">IFERROR(__xludf.DUMMYFUNCTION("IFERROR(GOOGLETRANSLATE(A698,""ko"",""en""),)"),"inquiry")</f>
        <v>inquiry</v>
      </c>
      <c r="C698" s="4" t="str">
        <f ca="1">IFERROR(__xludf.DUMMYFUNCTION("IFERROR(GOOGLETRANSLATE(B698,""en"",""ja""),)"),"問い合わせ")</f>
        <v>問い合わせ</v>
      </c>
    </row>
    <row r="699" spans="1:3" ht="18">
      <c r="A699" s="5" t="s">
        <v>1817</v>
      </c>
      <c r="B699" s="4" t="str">
        <f ca="1">IFERROR(__xludf.DUMMYFUNCTION("IFERROR(GOOGLETRANSLATE(A699,""ko"",""en""),)"),"I call")</f>
        <v>I call</v>
      </c>
      <c r="C699" s="4" t="str">
        <f ca="1">IFERROR(__xludf.DUMMYFUNCTION("IFERROR(GOOGLETRANSLATE(B699,""en"",""ja""),)"),"電話する")</f>
        <v>電話する</v>
      </c>
    </row>
    <row r="700" spans="1:3" ht="18">
      <c r="A700" s="3" t="s">
        <v>1820</v>
      </c>
      <c r="B700" s="4" t="str">
        <f ca="1">IFERROR(__xludf.DUMMYFUNCTION("IFERROR(GOOGLETRANSLATE(A700,""ko"",""en""),)"),"I sing a song.")</f>
        <v>I sing a song.</v>
      </c>
      <c r="C700" s="4" t="str">
        <f ca="1">IFERROR(__xludf.DUMMYFUNCTION("IFERROR(GOOGLETRANSLATE(B700,""en"",""ja""),)"),"私は歌を歌います。")</f>
        <v>私は歌を歌います。</v>
      </c>
    </row>
    <row r="701" spans="1:3" ht="18">
      <c r="A701" s="3" t="s">
        <v>1822</v>
      </c>
      <c r="B701" s="4" t="str">
        <f ca="1">IFERROR(__xludf.DUMMYFUNCTION("IFERROR(GOOGLETRANSLATE(A701,""ko"",""en""),)"),"Every Tuesday")</f>
        <v>Every Tuesday</v>
      </c>
      <c r="C701" s="4" t="str">
        <f ca="1">IFERROR(__xludf.DUMMYFUNCTION("IFERROR(GOOGLETRANSLATE(B701,""en"",""ja""),)"),"毎週火曜日")</f>
        <v>毎週火曜日</v>
      </c>
    </row>
    <row r="702" spans="1:3" ht="18">
      <c r="A702" s="3" t="s">
        <v>1825</v>
      </c>
      <c r="B702" s="4" t="str">
        <f ca="1">IFERROR(__xludf.DUMMYFUNCTION("IFERROR(GOOGLETRANSLATE(A702,""ko"",""en""),)"),"Who is Anna inviting to this gathering?")</f>
        <v>Who is Anna inviting to this gathering?</v>
      </c>
      <c r="C702" s="4" t="str">
        <f ca="1">IFERROR(__xludf.DUMMYFUNCTION("IFERROR(GOOGLETRANSLATE(B702,""en"",""ja""),)"),"アンナはこの集まりに誰を招待しているのですか？")</f>
        <v>アンナはこの集まりに誰を招待しているのですか？</v>
      </c>
    </row>
    <row r="703" spans="1:3" ht="18">
      <c r="A703" s="3" t="s">
        <v>1828</v>
      </c>
      <c r="B703" s="4" t="str">
        <f ca="1">IFERROR(__xludf.DUMMYFUNCTION("IFERROR(GOOGLETRANSLATE(A703,""ko"",""en""),)"),"Anna invites people who like K-pop to this gathering.")</f>
        <v>Anna invites people who like K-pop to this gathering.</v>
      </c>
      <c r="C703" s="4" t="str">
        <f ca="1">IFERROR(__xludf.DUMMYFUNCTION("IFERROR(GOOGLETRANSLATE(B703,""en"",""ja""),)"),"アンナはこの集まりにK-POP好きの人たちを招待している。")</f>
        <v>アンナはこの集まりにK-POP好きの人たちを招待している。</v>
      </c>
    </row>
    <row r="704" spans="1:3" ht="18">
      <c r="A704" s="3" t="s">
        <v>1830</v>
      </c>
      <c r="B704" s="4" t="str">
        <f ca="1">IFERROR(__xludf.DUMMYFUNCTION("IFERROR(GOOGLETRANSLATE(A704,""ko"",""en""),)"),"What will people do at this gathering?")</f>
        <v>What will people do at this gathering?</v>
      </c>
      <c r="C704" s="4" t="str">
        <f ca="1">IFERROR(__xludf.DUMMYFUNCTION("IFERROR(GOOGLETRANSLATE(B704,""en"",""ja""),)"),"この集まりで人々は何をするのだろうか？")</f>
        <v>この集まりで人々は何をするのだろうか？</v>
      </c>
    </row>
    <row r="705" spans="1:3" ht="18">
      <c r="A705" s="3" t="s">
        <v>1832</v>
      </c>
      <c r="B705" s="4" t="str">
        <f ca="1">IFERROR(__xludf.DUMMYFUNCTION("IFERROR(GOOGLETRANSLATE(A705,""ko"",""en""),)"),"I'm going to give Genie a pen as a gift.")</f>
        <v>I'm going to give Genie a pen as a gift.</v>
      </c>
      <c r="C705" s="4" t="str">
        <f ca="1">IFERROR(__xludf.DUMMYFUNCTION("IFERROR(GOOGLETRANSLATE(B705,""en"",""ja""),)"),"ジーニーにペンをプレゼントするつもりです。")</f>
        <v>ジーニーにペンをプレゼントするつもりです。</v>
      </c>
    </row>
    <row r="706" spans="1:3" ht="18">
      <c r="A706" s="3" t="s">
        <v>1836</v>
      </c>
      <c r="B706" s="4" t="str">
        <f ca="1">IFERROR(__xludf.DUMMYFUNCTION("IFERROR(GOOGLETRANSLATE(A706,""ko"",""en""),)"),"birthday")</f>
        <v>birthday</v>
      </c>
      <c r="C706" s="4" t="str">
        <f ca="1">IFERROR(__xludf.DUMMYFUNCTION("IFERROR(GOOGLETRANSLATE(B706,""en"",""ja""),)"),"誕生日")</f>
        <v>誕生日</v>
      </c>
    </row>
    <row r="707" spans="1:3" ht="18">
      <c r="A707" s="3" t="s">
        <v>1839</v>
      </c>
      <c r="B707" s="4" t="str">
        <f ca="1">IFERROR(__xludf.DUMMYFUNCTION("IFERROR(GOOGLETRANSLATE(A707,""ko"",""en""),)"),"wedding ceremony")</f>
        <v>wedding ceremony</v>
      </c>
      <c r="C707" s="4" t="str">
        <f ca="1">IFERROR(__xludf.DUMMYFUNCTION("IFERROR(GOOGLETRANSLATE(B707,""en"",""ja""),)"),"結婚式")</f>
        <v>結婚式</v>
      </c>
    </row>
    <row r="708" spans="1:3" ht="18">
      <c r="A708" s="3" t="s">
        <v>1840</v>
      </c>
      <c r="B708" s="4" t="str">
        <f ca="1">IFERROR(__xludf.DUMMYFUNCTION("IFERROR(GOOGLETRANSLATE(A708,""ko"",""en""),)"),"graduation ceremony")</f>
        <v>graduation ceremony</v>
      </c>
      <c r="C708" s="4" t="str">
        <f ca="1">IFERROR(__xludf.DUMMYFUNCTION("IFERROR(GOOGLETRANSLATE(B708,""en"",""ja""),)"),"卒業式")</f>
        <v>卒業式</v>
      </c>
    </row>
    <row r="709" spans="1:3" ht="18">
      <c r="A709" s="3" t="s">
        <v>1843</v>
      </c>
      <c r="B709" s="4" t="str">
        <f ca="1">IFERROR(__xludf.DUMMYFUNCTION("IFERROR(GOOGLETRANSLATE(A709,""ko"",""en""),)"),"Parents' Day")</f>
        <v>Parents' Day</v>
      </c>
      <c r="C709" s="4" t="str">
        <f ca="1">IFERROR(__xludf.DUMMYFUNCTION("IFERROR(GOOGLETRANSLATE(B709,""en"",""ja""),)"),"両親の日")</f>
        <v>両親の日</v>
      </c>
    </row>
    <row r="710" spans="1:3" ht="18">
      <c r="A710" s="3" t="s">
        <v>1845</v>
      </c>
      <c r="B710" s="4" t="str">
        <f ca="1">IFERROR(__xludf.DUMMYFUNCTION("IFERROR(GOOGLETRANSLATE(A710,""ko"",""en""),)"),"May 8th")</f>
        <v>May 8th</v>
      </c>
      <c r="C710" s="4" t="str">
        <f ca="1">IFERROR(__xludf.DUMMYFUNCTION("IFERROR(GOOGLETRANSLATE(B710,""en"",""ja""),)"),"5月8日")</f>
        <v>5月8日</v>
      </c>
    </row>
    <row r="711" spans="1:3" ht="18">
      <c r="A711" s="3" t="s">
        <v>1848</v>
      </c>
      <c r="B711" s="4" t="str">
        <f ca="1">IFERROR(__xludf.DUMMYFUNCTION("IFERROR(GOOGLETRANSLATE(A711,""ko"",""en""),)"),"Children's Day")</f>
        <v>Children's Day</v>
      </c>
      <c r="C711" s="4" t="str">
        <f ca="1">IFERROR(__xludf.DUMMYFUNCTION("IFERROR(GOOGLETRANSLATE(B711,""en"",""ja""),)"),"こどもの日")</f>
        <v>こどもの日</v>
      </c>
    </row>
    <row r="712" spans="1:3" ht="18">
      <c r="A712" s="3" t="s">
        <v>1850</v>
      </c>
      <c r="B712" s="4" t="str">
        <f ca="1">IFERROR(__xludf.DUMMYFUNCTION("IFERROR(GOOGLETRANSLATE(A712,""ko"",""en""),)"),"May 5th")</f>
        <v>May 5th</v>
      </c>
      <c r="C712" s="4" t="str">
        <f ca="1">IFERROR(__xludf.DUMMYFUNCTION("IFERROR(GOOGLETRANSLATE(B712,""en"",""ja""),)"),"5月5日")</f>
        <v>5月5日</v>
      </c>
    </row>
    <row r="713" spans="1:3" ht="18">
      <c r="A713" s="3" t="s">
        <v>1853</v>
      </c>
      <c r="B713" s="4" t="s">
        <v>1854</v>
      </c>
      <c r="C713" s="4" t="str">
        <f ca="1">IFERROR(__xludf.DUMMYFUNCTION("IFERROR(GOOGLETRANSLATE(B713,""en"",""ja""),)"),"伝統的な祝日")</f>
        <v>伝統的な祝日</v>
      </c>
    </row>
    <row r="714" spans="1:3" ht="18">
      <c r="A714" s="3" t="s">
        <v>1856</v>
      </c>
      <c r="B714" s="4" t="str">
        <f ca="1">IFERROR(__xludf.DUMMYFUNCTION("IFERROR(GOOGLETRANSLATE(A714,""ko"",""en""),)"),"Chuseok")</f>
        <v>Chuseok</v>
      </c>
      <c r="C714" s="4" t="str">
        <f ca="1">IFERROR(__xludf.DUMMYFUNCTION("IFERROR(GOOGLETRANSLATE(B714,""en"",""ja""),)"),"秋夕（チュソク）")</f>
        <v>秋夕（チュソク）</v>
      </c>
    </row>
    <row r="715" spans="1:3" ht="18">
      <c r="A715" s="3" t="s">
        <v>1859</v>
      </c>
      <c r="B715" s="4" t="str">
        <f ca="1">IFERROR(__xludf.DUMMYFUNCTION("IFERROR(GOOGLETRANSLATE(A715,""ko"",""en""),)"),"August 15th")</f>
        <v>August 15th</v>
      </c>
      <c r="C715" s="4" t="str">
        <f ca="1">IFERROR(__xludf.DUMMYFUNCTION("IFERROR(GOOGLETRANSLATE(B715,""en"",""ja""),)"),"8月15日")</f>
        <v>8月15日</v>
      </c>
    </row>
    <row r="716" spans="1:3" ht="18">
      <c r="A716" s="3" t="s">
        <v>1158</v>
      </c>
      <c r="B716" s="4" t="str">
        <f ca="1">IFERROR(__xludf.DUMMYFUNCTION("IFERROR(GOOGLETRANSLATE(A716,""ko"",""en""),)"),"new year")</f>
        <v>new year</v>
      </c>
      <c r="C716" s="4" t="str">
        <f ca="1">IFERROR(__xludf.DUMMYFUNCTION("IFERROR(GOOGLETRANSLATE(B716,""en"",""ja""),)"),"新年")</f>
        <v>新年</v>
      </c>
    </row>
    <row r="717" spans="1:3" ht="18">
      <c r="A717" s="3" t="s">
        <v>1863</v>
      </c>
      <c r="B717" s="4" t="str">
        <f ca="1">IFERROR(__xludf.DUMMYFUNCTION("IFERROR(GOOGLETRANSLATE(A717,""ko"",""en""),)"),"January 1st")</f>
        <v>January 1st</v>
      </c>
      <c r="C717" s="4" t="str">
        <f ca="1">IFERROR(__xludf.DUMMYFUNCTION("IFERROR(GOOGLETRANSLATE(B717,""en"",""ja""),)"),"1月1日")</f>
        <v>1月1日</v>
      </c>
    </row>
    <row r="718" spans="1:3" ht="18">
      <c r="A718" s="3" t="s">
        <v>1866</v>
      </c>
      <c r="B718" s="4" t="str">
        <f ca="1">IFERROR(__xludf.DUMMYFUNCTION("IFERROR(GOOGLETRANSLATE(A718,""ko"",""en""),)"),"Teachers' Day")</f>
        <v>Teachers' Day</v>
      </c>
      <c r="C718" s="4" t="str">
        <f ca="1">IFERROR(__xludf.DUMMYFUNCTION("IFERROR(GOOGLETRANSLATE(B718,""en"",""ja""),)"),"教師の日")</f>
        <v>教師の日</v>
      </c>
    </row>
    <row r="719" spans="1:3" ht="18">
      <c r="A719" s="3" t="s">
        <v>1867</v>
      </c>
      <c r="B719" s="4" t="str">
        <f ca="1">IFERROR(__xludf.DUMMYFUNCTION("IFERROR(GOOGLETRANSLATE(A719,""ko"",""en""),)"),"May 15th")</f>
        <v>May 15th</v>
      </c>
      <c r="C719" s="4" t="str">
        <f ca="1">IFERROR(__xludf.DUMMYFUNCTION("IFERROR(GOOGLETRANSLATE(B719,""en"",""ja""),)"),"5月15日")</f>
        <v>5月15日</v>
      </c>
    </row>
    <row r="720" spans="1:3" ht="18">
      <c r="A720" s="3" t="s">
        <v>1871</v>
      </c>
      <c r="B720" s="4" t="str">
        <f ca="1">IFERROR(__xludf.DUMMYFUNCTION("IFERROR(GOOGLETRANSLATE(A720,""ko"",""en""),)"),"Hangeul Day")</f>
        <v>Hangeul Day</v>
      </c>
      <c r="C720" s="4" t="str">
        <f ca="1">IFERROR(__xludf.DUMMYFUNCTION("IFERROR(GOOGLETRANSLATE(B720,""en"",""ja""),)"),"ハングルの日")</f>
        <v>ハングルの日</v>
      </c>
    </row>
    <row r="721" spans="1:3" ht="18">
      <c r="A721" s="3" t="s">
        <v>1873</v>
      </c>
      <c r="B721" s="4" t="str">
        <f ca="1">IFERROR(__xludf.DUMMYFUNCTION("IFERROR(GOOGLETRANSLATE(A721,""ko"",""en""),)"),"October 9th")</f>
        <v>October 9th</v>
      </c>
      <c r="C721" s="4" t="str">
        <f ca="1">IFERROR(__xludf.DUMMYFUNCTION("IFERROR(GOOGLETRANSLATE(B721,""en"",""ja""),)"),"10月9日")</f>
        <v>10月9日</v>
      </c>
    </row>
    <row r="722" spans="1:3" ht="18">
      <c r="A722" s="3" t="s">
        <v>1876</v>
      </c>
      <c r="B722" s="4" t="str">
        <f ca="1">IFERROR(__xludf.DUMMYFUNCTION("IFERROR(GOOGLETRANSLATE(A722,""ko"",""en""),)"),"christmas")</f>
        <v>christmas</v>
      </c>
      <c r="C722" s="4" t="str">
        <f ca="1">IFERROR(__xludf.DUMMYFUNCTION("IFERROR(GOOGLETRANSLATE(B722,""en"",""ja""),)"),"クリスマス")</f>
        <v>クリスマス</v>
      </c>
    </row>
    <row r="723" spans="1:3" ht="18">
      <c r="A723" s="3" t="s">
        <v>1878</v>
      </c>
      <c r="B723" s="4" t="str">
        <f ca="1">IFERROR(__xludf.DUMMYFUNCTION("IFERROR(GOOGLETRANSLATE(A723,""ko"",""en""),)"),"housewarming")</f>
        <v>housewarming</v>
      </c>
      <c r="C723" s="4" t="str">
        <f ca="1">IFERROR(__xludf.DUMMYFUNCTION("IFERROR(GOOGLETRANSLATE(B723,""en"",""ja""),)"),"新築祝い")</f>
        <v>新築祝い</v>
      </c>
    </row>
    <row r="724" spans="1:3" ht="18">
      <c r="A724" s="3" t="s">
        <v>1880</v>
      </c>
      <c r="B724" s="4" t="str">
        <f ca="1">IFERROR(__xludf.DUMMYFUNCTION("IFERROR(GOOGLETRANSLATE(A724,""ko"",""en""),)"),"baby shower")</f>
        <v>baby shower</v>
      </c>
      <c r="C724" s="4" t="str">
        <f ca="1">IFERROR(__xludf.DUMMYFUNCTION("IFERROR(GOOGLETRANSLATE(B724,""en"",""ja""),)"),"ベビーシャワー")</f>
        <v>ベビーシャワー</v>
      </c>
    </row>
    <row r="725" spans="1:3" ht="18">
      <c r="A725" s="3" t="s">
        <v>1883</v>
      </c>
      <c r="B725" s="4" t="str">
        <f ca="1">IFERROR(__xludf.DUMMYFUNCTION("IFERROR(GOOGLETRANSLATE(A725,""ko"",""en""),)"),"100 days")</f>
        <v>100 days</v>
      </c>
      <c r="C725" s="4" t="str">
        <f ca="1">IFERROR(__xludf.DUMMYFUNCTION("IFERROR(GOOGLETRANSLATE(B725,""en"",""ja""),)"),"100日間")</f>
        <v>100日間</v>
      </c>
    </row>
    <row r="726" spans="1:3" ht="18">
      <c r="A726" s="3" t="s">
        <v>1886</v>
      </c>
      <c r="B726" s="4" t="s">
        <v>1887</v>
      </c>
      <c r="C726" s="4" t="str">
        <f ca="1">IFERROR(__xludf.DUMMYFUNCTION("IFERROR(GOOGLETRANSLATE(B726,""en"",""ja""),)"),"1歳の誕生日のお祝い")</f>
        <v>1歳の誕生日のお祝い</v>
      </c>
    </row>
    <row r="727" spans="1:3" ht="18">
      <c r="A727" s="3" t="s">
        <v>1890</v>
      </c>
      <c r="B727" s="4" t="str">
        <f ca="1">IFERROR(__xludf.DUMMYFUNCTION("IFERROR(GOOGLETRANSLATE(A727,""ko"",""en""),)"),"Easter")</f>
        <v>Easter</v>
      </c>
      <c r="C727" s="4" t="str">
        <f ca="1">IFERROR(__xludf.DUMMYFUNCTION("IFERROR(GOOGLETRANSLATE(B727,""en"",""ja""),)"),"イースター")</f>
        <v>イースター</v>
      </c>
    </row>
    <row r="728" spans="1:3" ht="18">
      <c r="A728" s="3" t="s">
        <v>1894</v>
      </c>
      <c r="B728" s="4" t="str">
        <f ca="1">IFERROR(__xludf.DUMMYFUNCTION("IFERROR(GOOGLETRANSLATE(A728,""ko"",""en""),)"),"Easter")</f>
        <v>Easter</v>
      </c>
      <c r="C728" s="4" t="str">
        <f ca="1">IFERROR(__xludf.DUMMYFUNCTION("IFERROR(GOOGLETRANSLATE(B728,""en"",""ja""),)"),"イースター")</f>
        <v>イースター</v>
      </c>
    </row>
    <row r="729" spans="1:3" ht="18">
      <c r="A729" s="3" t="s">
        <v>263</v>
      </c>
      <c r="B729" s="4" t="str">
        <f ca="1">IFERROR(__xludf.DUMMYFUNCTION("IFERROR(GOOGLETRANSLATE(A729,""ko"",""en""),)"),"cake")</f>
        <v>cake</v>
      </c>
      <c r="C729" s="4" t="str">
        <f ca="1">IFERROR(__xludf.DUMMYFUNCTION("IFERROR(GOOGLETRANSLATE(B729,""en"",""ja""),)"),"ケーキ")</f>
        <v>ケーキ</v>
      </c>
    </row>
    <row r="730" spans="1:3" ht="18">
      <c r="A730" s="3" t="s">
        <v>1898</v>
      </c>
      <c r="B730" s="4" t="str">
        <f ca="1">IFERROR(__xludf.DUMMYFUNCTION("IFERROR(GOOGLETRANSLATE(A730,""ko"",""en""),)"),"flower")</f>
        <v>flower</v>
      </c>
      <c r="C730" s="4" t="str">
        <f ca="1">IFERROR(__xludf.DUMMYFUNCTION("IFERROR(GOOGLETRANSLATE(B730,""en"",""ja""),)"),"花")</f>
        <v>花</v>
      </c>
    </row>
    <row r="731" spans="1:3" ht="18">
      <c r="A731" s="3" t="s">
        <v>1901</v>
      </c>
      <c r="B731" s="4" t="str">
        <f ca="1">IFERROR(__xludf.DUMMYFUNCTION("IFERROR(GOOGLETRANSLATE(A731,""ko"",""en""),)"),"wallet")</f>
        <v>wallet</v>
      </c>
      <c r="C731" s="4" t="str">
        <f ca="1">IFERROR(__xludf.DUMMYFUNCTION("IFERROR(GOOGLETRANSLATE(B731,""en"",""ja""),)"),"財布")</f>
        <v>財布</v>
      </c>
    </row>
    <row r="732" spans="1:3" ht="18">
      <c r="A732" s="3" t="s">
        <v>1789</v>
      </c>
      <c r="B732" s="4" t="str">
        <f ca="1">IFERROR(__xludf.DUMMYFUNCTION("IFERROR(GOOGLETRANSLATE(A732,""ko"",""en""),)"),"shoes")</f>
        <v>shoes</v>
      </c>
      <c r="C732" s="4" t="str">
        <f ca="1">IFERROR(__xludf.DUMMYFUNCTION("IFERROR(GOOGLETRANSLATE(B732,""en"",""ja""),)"),"靴")</f>
        <v>靴</v>
      </c>
    </row>
    <row r="733" spans="1:3" ht="18">
      <c r="A733" s="3" t="s">
        <v>55</v>
      </c>
      <c r="B733" s="4" t="str">
        <f ca="1">IFERROR(__xludf.DUMMYFUNCTION("IFERROR(GOOGLETRANSLATE(A733,""ko"",""en""),)"),"cosmetics")</f>
        <v>cosmetics</v>
      </c>
      <c r="C733" s="4" t="str">
        <f ca="1">IFERROR(__xludf.DUMMYFUNCTION("IFERROR(GOOGLETRANSLATE(B733,""en"",""ja""),)"),"化粧品")</f>
        <v>化粧品</v>
      </c>
    </row>
    <row r="734" spans="1:3" ht="18">
      <c r="A734" s="3" t="s">
        <v>1909</v>
      </c>
      <c r="B734" s="4" t="str">
        <f ca="1">IFERROR(__xludf.DUMMYFUNCTION("IFERROR(GOOGLETRANSLATE(A734,""ko"",""en""),)"),"cell phone")</f>
        <v>cell phone</v>
      </c>
      <c r="C734" s="4" t="str">
        <f ca="1">IFERROR(__xludf.DUMMYFUNCTION("IFERROR(GOOGLETRANSLATE(B734,""en"",""ja""),)"),"携帯電話")</f>
        <v>携帯電話</v>
      </c>
    </row>
    <row r="735" spans="1:3" ht="18">
      <c r="A735" s="3" t="s">
        <v>1911</v>
      </c>
      <c r="B735" s="4" t="str">
        <f ca="1">IFERROR(__xludf.DUMMYFUNCTION("IFERROR(GOOGLETRANSLATE(A735,""ko"",""en""),)"),"game console")</f>
        <v>game console</v>
      </c>
      <c r="C735" s="4" t="str">
        <f ca="1">IFERROR(__xludf.DUMMYFUNCTION("IFERROR(GOOGLETRANSLATE(B735,""en"",""ja""),)"),"ゲーム機")</f>
        <v>ゲーム機</v>
      </c>
    </row>
    <row r="736" spans="1:3" ht="18">
      <c r="A736" s="3" t="s">
        <v>1913</v>
      </c>
      <c r="B736" s="4" t="str">
        <f ca="1">IFERROR(__xludf.DUMMYFUNCTION("IFERROR(GOOGLETRANSLATE(A736,""ko"",""en""),)"),"diffuser (air freshener)")</f>
        <v>diffuser (air freshener)</v>
      </c>
      <c r="C736" s="4" t="str">
        <f ca="1">IFERROR(__xludf.DUMMYFUNCTION("IFERROR(GOOGLETRANSLATE(B736,""en"",""ja""),)"),"ディフューザー（芳香剤）")</f>
        <v>ディフューザー（芳香剤）</v>
      </c>
    </row>
    <row r="737" spans="1:3" ht="18">
      <c r="A737" s="3" t="s">
        <v>1917</v>
      </c>
      <c r="B737" s="4" t="str">
        <f ca="1">IFERROR(__xludf.DUMMYFUNCTION("IFERROR(GOOGLETRANSLATE(A737,""ko"",""en""),)"),"Gift Card/Voucher")</f>
        <v>Gift Card/Voucher</v>
      </c>
      <c r="C737" s="4" t="str">
        <f ca="1">IFERROR(__xludf.DUMMYFUNCTION("IFERROR(GOOGLETRANSLATE(B737,""en"",""ja""),)"),"ギフトカード／バウチャー")</f>
        <v>ギフトカード／バウチャー</v>
      </c>
    </row>
    <row r="738" spans="1:3" ht="18">
      <c r="A738" s="3" t="s">
        <v>1920</v>
      </c>
      <c r="B738" s="4" t="str">
        <f ca="1">IFERROR(__xludf.DUMMYFUNCTION("IFERROR(GOOGLETRANSLATE(A738,""ko"",""en""),)"),"candle")</f>
        <v>candle</v>
      </c>
      <c r="C738" s="4" t="str">
        <f ca="1">IFERROR(__xludf.DUMMYFUNCTION("IFERROR(GOOGLETRANSLATE(B738,""en"",""ja""),)"),"キャンドル")</f>
        <v>キャンドル</v>
      </c>
    </row>
    <row r="739" spans="1:3" ht="18">
      <c r="A739" s="3" t="s">
        <v>1922</v>
      </c>
      <c r="B739" s="4" t="str">
        <f ca="1">IFERROR(__xludf.DUMMYFUNCTION("IFERROR(GOOGLETRANSLATE(A739,""ko"",""en""),)"),"scented candle")</f>
        <v>scented candle</v>
      </c>
      <c r="C739" s="4" t="str">
        <f ca="1">IFERROR(__xludf.DUMMYFUNCTION("IFERROR(GOOGLETRANSLATE(B739,""en"",""ja""),)"),"香り付きキャンドル")</f>
        <v>香り付きキャンドル</v>
      </c>
    </row>
    <row r="740" spans="1:3" ht="18">
      <c r="A740" s="3" t="s">
        <v>1925</v>
      </c>
      <c r="B740" s="4" t="str">
        <f ca="1">IFERROR(__xludf.DUMMYFUNCTION("IFERROR(GOOGLETRANSLATE(A740,""ko"",""en""),)"),"meal")</f>
        <v>meal</v>
      </c>
      <c r="C740" s="4" t="str">
        <f ca="1">IFERROR(__xludf.DUMMYFUNCTION("IFERROR(GOOGLETRANSLATE(B740,""en"",""ja""),)"),"食事")</f>
        <v>食事</v>
      </c>
    </row>
    <row r="741" spans="1:3" ht="18">
      <c r="A741" s="3" t="s">
        <v>1929</v>
      </c>
      <c r="B741" s="4" t="str">
        <f ca="1">IFERROR(__xludf.DUMMYFUNCTION("IFERROR(GOOGLETRANSLATE(A741,""ko"",""en""),)"),"Yujin, what gift did you get for your birthday?")</f>
        <v>Yujin, what gift did you get for your birthday?</v>
      </c>
      <c r="C741" s="4" t="str">
        <f ca="1">IFERROR(__xludf.DUMMYFUNCTION("IFERROR(GOOGLETRANSLATE(B741,""en"",""ja""),)"),"ユジン、誕生日プレゼントは何だったの？")</f>
        <v>ユジン、誕生日プレゼントは何だったの？</v>
      </c>
    </row>
    <row r="742" spans="1:3" ht="18">
      <c r="A742" s="3" t="s">
        <v>1930</v>
      </c>
      <c r="B742" s="4" t="s">
        <v>1931</v>
      </c>
      <c r="C742" s="4" t="str">
        <f ca="1">IFERROR(__xludf.DUMMYFUNCTION("IFERROR(GOOGLETRANSLATE(B742,""en"",""ja""),)"),"ゲーム機を受け取りました。")</f>
        <v>ゲーム機を受け取りました。</v>
      </c>
    </row>
    <row r="743" spans="1:3" ht="18">
      <c r="A743" s="3" t="s">
        <v>1934</v>
      </c>
      <c r="B743" s="4" t="str">
        <f ca="1">IFERROR(__xludf.DUMMYFUNCTION("IFERROR(GOOGLETRANSLATE(A743,""ko"",""en""),)"),"What gift are you going to give Genie at her graduation ceremony?")</f>
        <v>What gift are you going to give Genie at her graduation ceremony?</v>
      </c>
      <c r="C743" s="4" t="str">
        <f ca="1">IFERROR(__xludf.DUMMYFUNCTION("IFERROR(GOOGLETRANSLATE(B743,""en"",""ja""),)"),"ジーニーの卒業式で、あなたは彼女にどんなプレゼントを贈る予定ですか？")</f>
        <v>ジーニーの卒業式で、あなたは彼女にどんなプレゼントを贈る予定ですか？</v>
      </c>
    </row>
    <row r="744" spans="1:3" ht="18">
      <c r="A744" s="3" t="s">
        <v>1936</v>
      </c>
      <c r="B744" s="4" t="str">
        <f ca="1">IFERROR(__xludf.DUMMYFUNCTION("IFERROR(GOOGLETRANSLATE(A744,""ko"",""en""),)"),"I want to give you my wallet.")</f>
        <v>I want to give you my wallet.</v>
      </c>
      <c r="C744" s="4" t="str">
        <f ca="1">IFERROR(__xludf.DUMMYFUNCTION("IFERROR(GOOGLETRANSLATE(B744,""en"",""ja""),)"),"財布をあげたいんです。")</f>
        <v>財布をあげたいんです。</v>
      </c>
    </row>
    <row r="745" spans="1:3" ht="18">
      <c r="A745" s="3" t="s">
        <v>1939</v>
      </c>
      <c r="B745" s="4" t="str">
        <f ca="1">IFERROR(__xludf.DUMMYFUNCTION("IFERROR(GOOGLETRANSLATE(A745,""ko"",""en""),)"),"Have you prepared a Mother's Day gift?")</f>
        <v>Have you prepared a Mother's Day gift?</v>
      </c>
      <c r="C745" s="4" t="str">
        <f ca="1">IFERROR(__xludf.DUMMYFUNCTION("IFERROR(GOOGLETRANSLATE(B745,""en"",""ja""),)"),"母の日のプレゼントはもう用意しましたか？")</f>
        <v>母の日のプレゼントはもう用意しましたか？</v>
      </c>
    </row>
    <row r="746" spans="1:3" ht="18">
      <c r="A746" s="5" t="s">
        <v>1942</v>
      </c>
      <c r="B746" s="4" t="str">
        <f ca="1">IFERROR(__xludf.DUMMYFUNCTION("IFERROR(GOOGLETRANSLATE(A746,""ko"",""en""),)"),"Yes. I prepared a letter and flowers.")</f>
        <v>Yes. I prepared a letter and flowers.</v>
      </c>
      <c r="C746" s="4" t="str">
        <f ca="1">IFERROR(__xludf.DUMMYFUNCTION("IFERROR(GOOGLETRANSLATE(B746,""en"",""ja""),)"),"はい。手紙と花を用意しました。")</f>
        <v>はい。手紙と花を用意しました。</v>
      </c>
    </row>
    <row r="747" spans="1:3" ht="18">
      <c r="A747" s="3" t="s">
        <v>1944</v>
      </c>
      <c r="B747" s="4" t="str">
        <f ca="1">IFERROR(__xludf.DUMMYFUNCTION("IFERROR(GOOGLETRANSLATE(A747,""ko"",""en""),)"),"What gift are you going to give your younger sibling for their entrance ceremony?")</f>
        <v>What gift are you going to give your younger sibling for their entrance ceremony?</v>
      </c>
      <c r="C747" s="4" t="str">
        <f ca="1">IFERROR(__xludf.DUMMYFUNCTION("IFERROR(GOOGLETRANSLATE(B747,""en"",""ja""),)"),"弟や妹の入学式に、どんなプレゼントを贈る予定ですか？")</f>
        <v>弟や妹の入学式に、どんなプレゼントを贈る予定ですか？</v>
      </c>
    </row>
    <row r="748" spans="1:3" ht="18">
      <c r="A748" s="3" t="s">
        <v>1948</v>
      </c>
      <c r="B748" s="4" t="str">
        <f ca="1">IFERROR(__xludf.DUMMYFUNCTION("IFERROR(GOOGLETRANSLATE(A748,""ko"",""en""),)"),"I'm going to give you new shoes.")</f>
        <v>I'm going to give you new shoes.</v>
      </c>
      <c r="C748" s="4" t="str">
        <f ca="1">IFERROR(__xludf.DUMMYFUNCTION("IFERROR(GOOGLETRANSLATE(B748,""en"",""ja""),)"),"新しい靴をあげるよ。")</f>
        <v>新しい靴をあげるよ。</v>
      </c>
    </row>
    <row r="749" spans="1:3" ht="18">
      <c r="A749" s="3" t="s">
        <v>1950</v>
      </c>
      <c r="B749" s="4" t="str">
        <f ca="1">IFERROR(__xludf.DUMMYFUNCTION("IFERROR(GOOGLETRANSLATE(A749,""ko"",""en""),)"),"What did you eat for your birthday yesterday?")</f>
        <v>What did you eat for your birthday yesterday?</v>
      </c>
      <c r="C749" s="4" t="str">
        <f ca="1">IFERROR(__xludf.DUMMYFUNCTION("IFERROR(GOOGLETRANSLATE(B749,""en"",""ja""),)"),"昨日の誕生日には何を食べたの？")</f>
        <v>昨日の誕生日には何を食べたの？</v>
      </c>
    </row>
    <row r="750" spans="1:3" ht="18">
      <c r="A750" s="3" t="s">
        <v>1953</v>
      </c>
      <c r="B750" s="4" t="str">
        <f ca="1">IFERROR(__xludf.DUMMYFUNCTION("IFERROR(GOOGLETRANSLATE(A750,""ko"",""en""),)"),"I ate pizza and cake. It was really delicious.")</f>
        <v>I ate pizza and cake. It was really delicious.</v>
      </c>
      <c r="C750" s="4" t="str">
        <f ca="1">IFERROR(__xludf.DUMMYFUNCTION("IFERROR(GOOGLETRANSLATE(B750,""en"",""ja""),)"),"ピザとケーキを食べました。とても美味しかったです。")</f>
        <v>ピザとケーキを食べました。とても美味しかったです。</v>
      </c>
    </row>
    <row r="751" spans="1:3" ht="18">
      <c r="A751" s="3" t="s">
        <v>1955</v>
      </c>
      <c r="B751" s="4" t="str">
        <f ca="1">IFERROR(__xludf.DUMMYFUNCTION("IFERROR(GOOGLETRANSLATE(A751,""ko"",""en""),)"),"to")</f>
        <v>to</v>
      </c>
      <c r="C751" s="4" t="str">
        <f ca="1">IFERROR(__xludf.DUMMYFUNCTION("IFERROR(GOOGLETRANSLATE(B751,""en"",""ja""),)"),"に")</f>
        <v>に</v>
      </c>
    </row>
    <row r="752" spans="1:3" ht="18">
      <c r="A752" s="3" t="s">
        <v>1957</v>
      </c>
      <c r="B752" s="4" t="str">
        <f ca="1">IFERROR(__xludf.DUMMYFUNCTION("IFERROR(GOOGLETRANSLATE(A752,""ko"",""en""),)"),"to")</f>
        <v>to</v>
      </c>
      <c r="C752" s="4" t="str">
        <f ca="1">IFERROR(__xludf.DUMMYFUNCTION("IFERROR(GOOGLETRANSLATE(B752,""en"",""ja""),)"),"に")</f>
        <v>に</v>
      </c>
    </row>
    <row r="753" spans="1:3" ht="18">
      <c r="A753" s="3" t="s">
        <v>1959</v>
      </c>
      <c r="B753" s="4" t="str">
        <f ca="1">IFERROR(__xludf.DUMMYFUNCTION("IFERROR(GOOGLETRANSLATE(A753,""ko"",""en""),)"),"What gift are you going to give Anna?")</f>
        <v>What gift are you going to give Anna?</v>
      </c>
      <c r="C753" s="4" t="str">
        <f ca="1">IFERROR(__xludf.DUMMYFUNCTION("IFERROR(GOOGLETRANSLATE(B753,""en"",""ja""),)"),"アンナにはどんなプレゼントを贈る予定ですか？")</f>
        <v>アンナにはどんなプレゼントを贈る予定ですか？</v>
      </c>
    </row>
    <row r="754" spans="1:3" ht="18">
      <c r="A754" s="3" t="s">
        <v>1962</v>
      </c>
      <c r="B754" s="4" t="str">
        <f ca="1">IFERROR(__xludf.DUMMYFUNCTION("IFERROR(GOOGLETRANSLATE(A754,""ko"",""en""),)"),"I will give you my wallet.")</f>
        <v>I will give you my wallet.</v>
      </c>
      <c r="C754" s="4" t="str">
        <f ca="1">IFERROR(__xludf.DUMMYFUNCTION("IFERROR(GOOGLETRANSLATE(B754,""en"",""ja""),)"),"私の財布をあげます。")</f>
        <v>私の財布をあげます。</v>
      </c>
    </row>
    <row r="755" spans="1:3" ht="18">
      <c r="A755" s="3" t="s">
        <v>1965</v>
      </c>
      <c r="B755" s="4" t="str">
        <f ca="1">IFERROR(__xludf.DUMMYFUNCTION("IFERROR(GOOGLETRANSLATE(A755,""ko"",""en""),)"),"Yujin, what are you doing right now?")</f>
        <v>Yujin, what are you doing right now?</v>
      </c>
      <c r="C755" s="4" t="str">
        <f ca="1">IFERROR(__xludf.DUMMYFUNCTION("IFERROR(GOOGLETRANSLATE(B755,""en"",""ja""),)"),"ユジン、今何してるの？")</f>
        <v>ユジン、今何してるの？</v>
      </c>
    </row>
    <row r="756" spans="1:3" ht="18">
      <c r="A756" s="3" t="s">
        <v>1967</v>
      </c>
      <c r="B756" s="4" t="str">
        <f ca="1">IFERROR(__xludf.DUMMYFUNCTION("IFERROR(GOOGLETRANSLATE(A756,""ko"",""en""),)"),"I'm sending a photo to my brother.")</f>
        <v>I'm sending a photo to my brother.</v>
      </c>
      <c r="C756" s="4" t="str">
        <f ca="1">IFERROR(__xludf.DUMMYFUNCTION("IFERROR(GOOGLETRANSLATE(B756,""en"",""ja""),)"),"兄に写真を送ります。")</f>
        <v>兄に写真を送ります。</v>
      </c>
    </row>
    <row r="757" spans="1:3" ht="18">
      <c r="A757" s="3" t="s">
        <v>1971</v>
      </c>
      <c r="B757" s="4" t="s">
        <v>1972</v>
      </c>
      <c r="C757" s="4" t="str">
        <f ca="1">IFERROR(__xludf.DUMMYFUNCTION("IFERROR(GOOGLETRANSLATE(B757,""en"",""ja""),)"),"送信")</f>
        <v>送信</v>
      </c>
    </row>
    <row r="758" spans="1:3" ht="18">
      <c r="A758" s="3" t="s">
        <v>1974</v>
      </c>
      <c r="B758" s="4" t="str">
        <f ca="1">IFERROR(__xludf.DUMMYFUNCTION("IFERROR(GOOGLETRANSLATE(A758,""ko"",""en""),)"),"I gave a Christmas card to my friend.")</f>
        <v>I gave a Christmas card to my friend.</v>
      </c>
      <c r="C758" s="4" t="str">
        <f ca="1">IFERROR(__xludf.DUMMYFUNCTION("IFERROR(GOOGLETRANSLATE(B758,""en"",""ja""),)"),"私は友人にクリスマスカードを渡しました。")</f>
        <v>私は友人にクリスマスカードを渡しました。</v>
      </c>
    </row>
    <row r="759" spans="1:3" ht="18">
      <c r="A759" s="3" t="s">
        <v>1977</v>
      </c>
      <c r="B759" s="4" t="str">
        <f ca="1">IFERROR(__xludf.DUMMYFUNCTION("IFERROR(GOOGLETRANSLATE(A759,""ko"",""en""),)"),"I gave my boyfriend a birthday present.")</f>
        <v>I gave my boyfriend a birthday present.</v>
      </c>
      <c r="C759" s="4" t="str">
        <f ca="1">IFERROR(__xludf.DUMMYFUNCTION("IFERROR(GOOGLETRANSLATE(B759,""en"",""ja""),)"),"私は彼氏に誕生日プレゼントをあげました。")</f>
        <v>私は彼氏に誕生日プレゼントをあげました。</v>
      </c>
    </row>
    <row r="760" spans="1:3" ht="18">
      <c r="A760" s="3" t="s">
        <v>1980</v>
      </c>
      <c r="B760" s="4" t="str">
        <f ca="1">IFERROR(__xludf.DUMMYFUNCTION("IFERROR(GOOGLETRANSLATE(A760,""ko"",""en""),)"),"I gave a gift to my parents.")</f>
        <v>I gave a gift to my parents.</v>
      </c>
      <c r="C760" s="4" t="str">
        <f ca="1">IFERROR(__xludf.DUMMYFUNCTION("IFERROR(GOOGLETRANSLATE(B760,""en"",""ja""),)"),"私は両親に贈り物をしました。")</f>
        <v>私は両親に贈り物をしました。</v>
      </c>
    </row>
    <row r="761" spans="1:3" ht="18">
      <c r="A761" s="3" t="s">
        <v>1983</v>
      </c>
      <c r="B761" s="4" t="str">
        <f ca="1">IFERROR(__xludf.DUMMYFUNCTION("IFERROR(GOOGLETRANSLATE(A761,""ko"",""en""),)"),"I gave my teacher a Christmas card.")</f>
        <v>I gave my teacher a Christmas card.</v>
      </c>
      <c r="C761" s="4" t="str">
        <f ca="1">IFERROR(__xludf.DUMMYFUNCTION("IFERROR(GOOGLETRANSLATE(B761,""en"",""ja""),)"),"私は先生にクリスマスカードを渡しました。")</f>
        <v>私は先生にクリスマスカードを渡しました。</v>
      </c>
    </row>
    <row r="762" spans="1:3" ht="18">
      <c r="A762" s="3" t="s">
        <v>1984</v>
      </c>
      <c r="B762" s="4" t="str">
        <f ca="1">IFERROR(__xludf.DUMMYFUNCTION("IFERROR(GOOGLETRANSLATE(A762,""ko"",""en""),)"),"I gave my friend coffee.")</f>
        <v>I gave my friend coffee.</v>
      </c>
      <c r="C762" s="4" t="str">
        <f ca="1">IFERROR(__xludf.DUMMYFUNCTION("IFERROR(GOOGLETRANSLATE(B762,""en"",""ja""),)"),"私は友人にコーヒーをあげた。")</f>
        <v>私は友人にコーヒーをあげた。</v>
      </c>
    </row>
    <row r="763" spans="1:3" ht="18">
      <c r="A763" s="3" t="s">
        <v>1987</v>
      </c>
      <c r="B763" s="4" t="str">
        <f ca="1">IFERROR(__xludf.DUMMYFUNCTION("IFERROR(GOOGLETRANSLATE(A763,""ko"",""en""),)"),"I gave it.")</f>
        <v>I gave it.</v>
      </c>
      <c r="C763" s="4" t="str">
        <f ca="1">IFERROR(__xludf.DUMMYFUNCTION("IFERROR(GOOGLETRANSLATE(B763,""en"",""ja""),)"),"あげました。")</f>
        <v>あげました。</v>
      </c>
    </row>
    <row r="764" spans="1:3" ht="18">
      <c r="A764" s="3" t="s">
        <v>1990</v>
      </c>
      <c r="B764" s="4" t="str">
        <f ca="1">IFERROR(__xludf.DUMMYFUNCTION("IFERROR(GOOGLETRANSLATE(A764,""ko"",""en""),)"),"I gave my friend coffee.")</f>
        <v>I gave my friend coffee.</v>
      </c>
      <c r="C764" s="4" t="str">
        <f ca="1">IFERROR(__xludf.DUMMYFUNCTION("IFERROR(GOOGLETRANSLATE(B764,""en"",""ja""),)"),"私は友人にコーヒーをあげた。")</f>
        <v>私は友人にコーヒーをあげた。</v>
      </c>
    </row>
    <row r="765" spans="1:3" ht="18">
      <c r="A765" s="3" t="s">
        <v>1994</v>
      </c>
      <c r="B765" s="4" t="str">
        <f ca="1">IFERROR(__xludf.DUMMYFUNCTION("IFERROR(GOOGLETRANSLATE(A765,""ko"",""en""),)"),"I gave a cake to my grandmother.")</f>
        <v>I gave a cake to my grandmother.</v>
      </c>
      <c r="C765" s="4" t="str">
        <f ca="1">IFERROR(__xludf.DUMMYFUNCTION("IFERROR(GOOGLETRANSLATE(B765,""en"",""ja""),)"),"私は祖母にケーキをあげました。")</f>
        <v>私は祖母にケーキをあげました。</v>
      </c>
    </row>
    <row r="766" spans="1:3" ht="18">
      <c r="A766" s="5" t="s">
        <v>1996</v>
      </c>
      <c r="B766" s="4" t="str">
        <f ca="1">IFERROR(__xludf.DUMMYFUNCTION("IFERROR(GOOGLETRANSLATE(A766,""ko"",""en""),)"),"package")</f>
        <v>package</v>
      </c>
      <c r="C766" s="4" t="str">
        <f ca="1">IFERROR(__xludf.DUMMYFUNCTION("IFERROR(GOOGLETRANSLATE(B766,""en"",""ja""),)"),"パッケージ")</f>
        <v>パッケージ</v>
      </c>
    </row>
    <row r="767" spans="1:3" ht="18">
      <c r="A767" s="3" t="s">
        <v>1999</v>
      </c>
      <c r="B767" s="4" t="str">
        <f ca="1">IFERROR(__xludf.DUMMYFUNCTION("IFERROR(GOOGLETRANSLATE(A767,""ko"",""en""),)"),"I call my parents once a week.")</f>
        <v>I call my parents once a week.</v>
      </c>
      <c r="C767" s="4" t="str">
        <f ca="1">IFERROR(__xludf.DUMMYFUNCTION("IFERROR(GOOGLETRANSLATE(B767,""en"",""ja""),)"),"私は週に一度、両親に電話します。")</f>
        <v>私は週に一度、両親に電話します。</v>
      </c>
    </row>
    <row r="768" spans="1:3" ht="18">
      <c r="A768" s="3" t="s">
        <v>2001</v>
      </c>
      <c r="B768" s="4" t="str">
        <f ca="1">IFERROR(__xludf.DUMMYFUNCTION("IFERROR(GOOGLETRANSLATE(A768,""ko"",""en""),)"),"I'm going to write a letter to my grandmother today.")</f>
        <v>I'm going to write a letter to my grandmother today.</v>
      </c>
      <c r="C768" s="4" t="str">
        <f ca="1">IFERROR(__xludf.DUMMYFUNCTION("IFERROR(GOOGLETRANSLATE(B768,""en"",""ja""),)"),"今日は祖母に手紙を書くつもりです。")</f>
        <v>今日は祖母に手紙を書くつもりです。</v>
      </c>
    </row>
    <row r="769" spans="1:3" ht="18">
      <c r="A769" s="3" t="s">
        <v>2005</v>
      </c>
      <c r="B769" s="4" t="str">
        <f ca="1">IFERROR(__xludf.DUMMYFUNCTION("IFERROR(GOOGLETRANSLATE(A769,""ko"",""en""),)"),"I asked the teacher a question.")</f>
        <v>I asked the teacher a question.</v>
      </c>
      <c r="C769" s="4" t="str">
        <f ca="1">IFERROR(__xludf.DUMMYFUNCTION("IFERROR(GOOGLETRANSLATE(B769,""en"",""ja""),)"),"私は先生に質問をした。")</f>
        <v>私は先生に質問をした。</v>
      </c>
    </row>
    <row r="770" spans="1:3" ht="18">
      <c r="A770" s="3" t="s">
        <v>2006</v>
      </c>
      <c r="B770" s="4" t="str">
        <f ca="1">IFERROR(__xludf.DUMMYFUNCTION("IFERROR(GOOGLETRANSLATE(A770,""ko"",""en""),)"),"To my younger sibling")</f>
        <v>To my younger sibling</v>
      </c>
      <c r="C770" s="4" t="str">
        <f ca="1">IFERROR(__xludf.DUMMYFUNCTION("IFERROR(GOOGLETRANSLATE(B770,""en"",""ja""),)"),"弟へ")</f>
        <v>弟へ</v>
      </c>
    </row>
    <row r="771" spans="1:3" ht="18">
      <c r="A771" s="3" t="s">
        <v>2009</v>
      </c>
      <c r="B771" s="4" t="str">
        <f ca="1">IFERROR(__xludf.DUMMYFUNCTION("IFERROR(GOOGLETRANSLATE(A771,""ko"",""en""),)"),"To Anna")</f>
        <v>To Anna</v>
      </c>
      <c r="C771" s="4" t="str">
        <f ca="1">IFERROR(__xludf.DUMMYFUNCTION("IFERROR(GOOGLETRANSLATE(B771,""en"",""ja""),)"),"アンナへ")</f>
        <v>アンナへ</v>
      </c>
    </row>
    <row r="772" spans="1:3" ht="18">
      <c r="A772" s="3" t="s">
        <v>2010</v>
      </c>
      <c r="B772" s="4" t="str">
        <f ca="1">IFERROR(__xludf.DUMMYFUNCTION("IFERROR(GOOGLETRANSLATE(A772,""ko"",""en""),)"),"To my brother")</f>
        <v>To my brother</v>
      </c>
      <c r="C772" s="4" t="str">
        <f ca="1">IFERROR(__xludf.DUMMYFUNCTION("IFERROR(GOOGLETRANSLATE(B772,""en"",""ja""),)"),"兄へ")</f>
        <v>兄へ</v>
      </c>
    </row>
    <row r="773" spans="1:3" ht="18">
      <c r="A773" s="3" t="s">
        <v>2013</v>
      </c>
      <c r="B773" s="4" t="str">
        <f ca="1">IFERROR(__xludf.DUMMYFUNCTION("IFERROR(GOOGLETRANSLATE(A773,""ko"",""en""),)"),"To a friend")</f>
        <v>To a friend</v>
      </c>
      <c r="C773" s="4" t="str">
        <f ca="1">IFERROR(__xludf.DUMMYFUNCTION("IFERROR(GOOGLETRANSLATE(B773,""en"",""ja""),)"),"友人へ")</f>
        <v>友人へ</v>
      </c>
    </row>
    <row r="774" spans="1:3" ht="18">
      <c r="A774" s="3" t="s">
        <v>2015</v>
      </c>
      <c r="B774" s="4" t="str">
        <f ca="1">IFERROR(__xludf.DUMMYFUNCTION("IFERROR(GOOGLETRANSLATE(A774,""ko"",""en""),)"),"Anna gave Eugene a gift.")</f>
        <v>Anna gave Eugene a gift.</v>
      </c>
      <c r="C774" s="4" t="str">
        <f ca="1">IFERROR(__xludf.DUMMYFUNCTION("IFERROR(GOOGLETRANSLATE(B774,""en"",""ja""),)"),"アンナはユージーンに贈り物をした。")</f>
        <v>アンナはユージーンに贈り物をした。</v>
      </c>
    </row>
    <row r="775" spans="1:3" ht="18">
      <c r="A775" s="3" t="s">
        <v>2017</v>
      </c>
      <c r="B775" s="4" t="str">
        <f ca="1">IFERROR(__xludf.DUMMYFUNCTION("IFERROR(GOOGLETRANSLATE(A775,""ko"",""en""),)"),"Father gave Juno an apple.")</f>
        <v>Father gave Juno an apple.</v>
      </c>
      <c r="C775" s="4" t="str">
        <f ca="1">IFERROR(__xludf.DUMMYFUNCTION("IFERROR(GOOGLETRANSLATE(B775,""en"",""ja""),)"),"父はジュノにリンゴをあげた。")</f>
        <v>父はジュノにリンゴをあげた。</v>
      </c>
    </row>
    <row r="776" spans="1:3" ht="18">
      <c r="A776" s="3" t="s">
        <v>2020</v>
      </c>
      <c r="B776" s="4" t="str">
        <f ca="1">IFERROR(__xludf.DUMMYFUNCTION("IFERROR(GOOGLETRANSLATE(A776,""ko"",""en""),)"),"Jaemin is going to send a letter to his older sister.")</f>
        <v>Jaemin is going to send a letter to his older sister.</v>
      </c>
      <c r="C776" s="4" t="str">
        <f ca="1">IFERROR(__xludf.DUMMYFUNCTION("IFERROR(GOOGLETRANSLATE(B776,""en"",""ja""),)"),"ジェミンは姉に手紙を送るつもりだ。")</f>
        <v>ジェミンは姉に手紙を送るつもりだ。</v>
      </c>
    </row>
    <row r="777" spans="1:3" ht="18">
      <c r="A777" s="3" t="s">
        <v>2022</v>
      </c>
      <c r="B777" s="4" t="str">
        <f ca="1">IFERROR(__xludf.DUMMYFUNCTION("IFERROR(GOOGLETRANSLATE(A777,""ko"",""en""),)"),"Suzy is calling her younger sibling.")</f>
        <v>Suzy is calling her younger sibling.</v>
      </c>
      <c r="C777" s="4" t="str">
        <f ca="1">IFERROR(__xludf.DUMMYFUNCTION("IFERROR(GOOGLETRANSLATE(B777,""en"",""ja""),)"),"スージーは妹に電話をかけている。")</f>
        <v>スージーは妹に電話をかけている。</v>
      </c>
    </row>
    <row r="778" spans="1:3" ht="18">
      <c r="A778" s="3" t="s">
        <v>2024</v>
      </c>
      <c r="B778" s="4" t="str">
        <f ca="1">IFERROR(__xludf.DUMMYFUNCTION("IFERROR(GOOGLETRANSLATE(A778,""ko"",""en""),)"),"Marie wrote a congratulatory card to Lisa.")</f>
        <v>Marie wrote a congratulatory card to Lisa.</v>
      </c>
      <c r="C778" s="4" t="str">
        <f ca="1">IFERROR(__xludf.DUMMYFUNCTION("IFERROR(GOOGLETRANSLATE(B778,""en"",""ja""),)"),"マリーはリサに祝賀カードを書いた。")</f>
        <v>マリーはリサに祝賀カードを書いた。</v>
      </c>
    </row>
    <row r="779" spans="1:3" ht="18">
      <c r="A779" s="3" t="s">
        <v>2026</v>
      </c>
      <c r="B779" s="4" t="str">
        <f ca="1">IFERROR(__xludf.DUMMYFUNCTION("IFERROR(GOOGLETRANSLATE(A779,""ko"",""en""),)"),"Yujin gave Anna bread.")</f>
        <v>Yujin gave Anna bread.</v>
      </c>
      <c r="C779" s="4" t="str">
        <f ca="1">IFERROR(__xludf.DUMMYFUNCTION("IFERROR(GOOGLETRANSLATE(B779,""en"",""ja""),)"),"ユジンはアンナにパンをあげた。")</f>
        <v>ユジンはアンナにパンをあげた。</v>
      </c>
    </row>
    <row r="780" spans="1:3" ht="18">
      <c r="A780" s="3" t="s">
        <v>2029</v>
      </c>
      <c r="B780" s="4" t="str">
        <f ca="1">IFERROR(__xludf.DUMMYFUNCTION("IFERROR(GOOGLETRANSLATE(A780,""ko"",""en""),)"),"I wrote a letter to my friend.")</f>
        <v>I wrote a letter to my friend.</v>
      </c>
      <c r="C780" s="4" t="str">
        <f ca="1">IFERROR(__xludf.DUMMYFUNCTION("IFERROR(GOOGLETRANSLATE(B780,""en"",""ja""),)"),"私は友人に手紙を書きました。")</f>
        <v>私は友人に手紙を書きました。</v>
      </c>
    </row>
    <row r="781" spans="1:3" ht="18">
      <c r="A781" s="3" t="s">
        <v>2032</v>
      </c>
      <c r="B781" s="4" t="str">
        <f ca="1">IFERROR(__xludf.DUMMYFUNCTION("IFERROR(GOOGLETRANSLATE(A781,""ko"",""en""),)"),"My brother gave the cat water.")</f>
        <v>My brother gave the cat water.</v>
      </c>
      <c r="C781" s="4" t="str">
        <f ca="1">IFERROR(__xludf.DUMMYFUNCTION("IFERROR(GOOGLETRANSLATE(B781,""en"",""ja""),)"),"兄は猫に水をあげた。")</f>
        <v>兄は猫に水をあげた。</v>
      </c>
    </row>
    <row r="782" spans="1:3" ht="18">
      <c r="A782" s="3" t="s">
        <v>2036</v>
      </c>
      <c r="B782" s="4" t="str">
        <f ca="1">IFERROR(__xludf.DUMMYFUNCTION("IFERROR(GOOGLETRANSLATE(A782,""ko"",""en""),)"),"Juno sent a gift to his brother.")</f>
        <v>Juno sent a gift to his brother.</v>
      </c>
      <c r="C782" s="4" t="str">
        <f ca="1">IFERROR(__xludf.DUMMYFUNCTION("IFERROR(GOOGLETRANSLATE(B782,""en"",""ja""),)"),"ジュノーは弟に贈り物を送った。")</f>
        <v>ジュノーは弟に贈り物を送った。</v>
      </c>
    </row>
    <row r="783" spans="1:3" ht="18">
      <c r="A783" s="3" t="s">
        <v>2038</v>
      </c>
      <c r="B783" s="4" t="str">
        <f ca="1">IFERROR(__xludf.DUMMYFUNCTION("IFERROR(GOOGLETRANSLATE(A783,""ko"",""en""),)"),"Jaemin gave cosmetics to his older sister as a gift.")</f>
        <v>Jaemin gave cosmetics to his older sister as a gift.</v>
      </c>
      <c r="C783" s="4" t="str">
        <f ca="1">IFERROR(__xludf.DUMMYFUNCTION("IFERROR(GOOGLETRANSLATE(B783,""en"",""ja""),)"),"ジェミンは姉に化粧品をプレゼントした。")</f>
        <v>ジェミンは姉に化粧品をプレゼントした。</v>
      </c>
    </row>
    <row r="784" spans="1:3" ht="18">
      <c r="A784" s="3" t="s">
        <v>2040</v>
      </c>
      <c r="B784" s="4" t="str">
        <f ca="1">IFERROR(__xludf.DUMMYFUNCTION("IFERROR(GOOGLETRANSLATE(A784,""ko"",""en""),)"),"Suzy told her friend about her travel plans.")</f>
        <v>Suzy told her friend about her travel plans.</v>
      </c>
      <c r="C784" s="4" t="str">
        <f ca="1">IFERROR(__xludf.DUMMYFUNCTION("IFERROR(GOOGLETRANSLATE(B784,""en"",""ja""),)"),"スージーは友人に旅行の計画を話した。")</f>
        <v>スージーは友人に旅行の計画を話した。</v>
      </c>
    </row>
    <row r="785" spans="1:3" ht="18">
      <c r="A785" s="3" t="s">
        <v>2043</v>
      </c>
      <c r="B785" s="4" t="str">
        <f ca="1">IFERROR(__xludf.DUMMYFUNCTION("IFERROR(GOOGLETRANSLATE(A785,""ko"",""en""),)"),"Marie asked Anna for her phone number.")</f>
        <v>Marie asked Anna for her phone number.</v>
      </c>
      <c r="C785" s="4" t="str">
        <f ca="1">IFERROR(__xludf.DUMMYFUNCTION("IFERROR(GOOGLETRANSLATE(B785,""en"",""ja""),)"),"マリーはアンナに電話番号を尋ねた。")</f>
        <v>マリーはアンナに電話番号を尋ねた。</v>
      </c>
    </row>
    <row r="786" spans="1:3" ht="18">
      <c r="A786" s="3" t="s">
        <v>2047</v>
      </c>
      <c r="B786" s="4" t="str">
        <f ca="1">IFERROR(__xludf.DUMMYFUNCTION("IFERROR(GOOGLETRANSLATE(A786,""ko"",""en""),)"),"friend's son")</f>
        <v>friend's son</v>
      </c>
      <c r="C786" s="4" t="str">
        <f ca="1">IFERROR(__xludf.DUMMYFUNCTION("IFERROR(GOOGLETRANSLATE(B786,""en"",""ja""),)"),"友人の息子")</f>
        <v>友人の息子</v>
      </c>
    </row>
    <row r="787" spans="1:3" ht="18">
      <c r="A787" s="3" t="s">
        <v>2048</v>
      </c>
      <c r="B787" s="4" t="str">
        <f ca="1">IFERROR(__xludf.DUMMYFUNCTION("IFERROR(GOOGLETRANSLATE(A787,""ko"",""en""),)"),"Are you going to give this ring to your girlfriend?")</f>
        <v>Are you going to give this ring to your girlfriend?</v>
      </c>
      <c r="C787" s="4" t="str">
        <f ca="1">IFERROR(__xludf.DUMMYFUNCTION("IFERROR(GOOGLETRANSLATE(B787,""en"",""ja""),)"),"この指輪は彼女にあげるつもりですか？")</f>
        <v>この指輪は彼女にあげるつもりですか？</v>
      </c>
    </row>
    <row r="788" spans="1:3" ht="18">
      <c r="A788" s="3" t="s">
        <v>2051</v>
      </c>
      <c r="B788" s="4" t="str">
        <f ca="1">IFERROR(__xludf.DUMMYFUNCTION("IFERROR(GOOGLETRANSLATE(A788,""ko"",""en""),)"),"No, I'm going to give this ring to my friend's son.")</f>
        <v>No, I'm going to give this ring to my friend's son.</v>
      </c>
      <c r="C788" s="4" t="str">
        <f ca="1">IFERROR(__xludf.DUMMYFUNCTION("IFERROR(GOOGLETRANSLATE(B788,""en"",""ja""),)"),"いいえ、この指輪は友人の息子にあげるつもりです。")</f>
        <v>いいえ、この指輪は友人の息子にあげるつもりです。</v>
      </c>
    </row>
    <row r="789" spans="1:3" ht="18">
      <c r="A789" s="3" t="s">
        <v>2054</v>
      </c>
      <c r="B789" s="4" t="str">
        <f ca="1">IFERROR(__xludf.DUMMYFUNCTION("IFERROR(GOOGLETRANSLATE(A789,""ko"",""en""),)"),"Your friend's son?")</f>
        <v>Your friend's son?</v>
      </c>
      <c r="C789" s="4" t="str">
        <f ca="1">IFERROR(__xludf.DUMMYFUNCTION("IFERROR(GOOGLETRANSLATE(B789,""en"",""ja""),)"),"あなたの友人の息子さんですか？")</f>
        <v>あなたの友人の息子さんですか？</v>
      </c>
    </row>
    <row r="790" spans="1:3" ht="18">
      <c r="A790" s="5" t="s">
        <v>2057</v>
      </c>
      <c r="B790" s="4" t="str">
        <f ca="1">IFERROR(__xludf.DUMMYFUNCTION("IFERROR(GOOGLETRANSLATE(A790,""ko"",""en""),)"),"Yes, in Korea, we give a gold ring to the baby on their first birthday.")</f>
        <v>Yes, in Korea, we give a gold ring to the baby on their first birthday.</v>
      </c>
      <c r="C790" s="4" t="str">
        <f ca="1">IFERROR(__xludf.DUMMYFUNCTION("IFERROR(GOOGLETRANSLATE(B790,""en"",""ja""),)"),"はい、韓国では、赤ちゃんの1歳の誕生日に金の指輪を贈ります。")</f>
        <v>はい、韓国では、赤ちゃんの1歳の誕生日に金の指輪を贈ります。</v>
      </c>
    </row>
    <row r="791" spans="1:3" ht="18">
      <c r="A791" s="3" t="s">
        <v>1886</v>
      </c>
      <c r="B791" s="4" t="s">
        <v>2061</v>
      </c>
      <c r="C791" s="4" t="str">
        <f ca="1">IFERROR(__xludf.DUMMYFUNCTION("IFERROR(GOOGLETRANSLATE(B791,""en"",""ja""),)"),"1歳の誕生日")</f>
        <v>1歳の誕生日</v>
      </c>
    </row>
    <row r="792" spans="1:3" ht="18">
      <c r="A792" s="3" t="s">
        <v>2064</v>
      </c>
      <c r="B792" s="4" t="str">
        <f ca="1">IFERROR(__xludf.DUMMYFUNCTION("IFERROR(GOOGLETRANSLATE(A792,""ko"",""en""),)"),"Oh, really? Then, who are you going to give this bag to?")</f>
        <v>Oh, really? Then, who are you going to give this bag to?</v>
      </c>
      <c r="C792" s="4" t="str">
        <f ca="1">IFERROR(__xludf.DUMMYFUNCTION("IFERROR(GOOGLETRANSLATE(B792,""en"",""ja""),)"),"え、そうなの？じゃあ、このバッグは誰にあげるの？")</f>
        <v>え、そうなの？じゃあ、このバッグは誰にあげるの？</v>
      </c>
    </row>
    <row r="793" spans="1:3" ht="18">
      <c r="A793" s="5" t="s">
        <v>2068</v>
      </c>
      <c r="B793" s="4" t="str">
        <f ca="1">IFERROR(__xludf.DUMMYFUNCTION("IFERROR(GOOGLETRANSLATE(A793,""ko"",""en""),)"),"I'm going to give it to my mother.")</f>
        <v>I'm going to give it to my mother.</v>
      </c>
      <c r="C793" s="4" t="str">
        <f ca="1">IFERROR(__xludf.DUMMYFUNCTION("IFERROR(GOOGLETRANSLATE(B793,""en"",""ja""),)"),"母にあげるつもりです。")</f>
        <v>母にあげるつもりです。</v>
      </c>
    </row>
    <row r="794" spans="1:3" ht="18">
      <c r="A794" s="3" t="s">
        <v>2069</v>
      </c>
      <c r="B794" s="4" t="str">
        <f ca="1">IFERROR(__xludf.DUMMYFUNCTION("IFERROR(GOOGLETRANSLATE(A794,""ko"",""en""),)"),"The bag is really pretty. I think your mother will like it.")</f>
        <v>The bag is really pretty. I think your mother will like it.</v>
      </c>
      <c r="C794" s="4" t="str">
        <f ca="1">IFERROR(__xludf.DUMMYFUNCTION("IFERROR(GOOGLETRANSLATE(B794,""en"",""ja""),)"),"そのバッグ、すごく可愛いですね。お母様もきっと気に入ると思いますよ。")</f>
        <v>そのバッグ、すごく可愛いですね。お母様もきっと気に入ると思いますよ。</v>
      </c>
    </row>
    <row r="795" spans="1:3" ht="18">
      <c r="A795" s="3" t="s">
        <v>2073</v>
      </c>
      <c r="B795" s="4" t="str">
        <f ca="1">IFERROR(__xludf.DUMMYFUNCTION("IFERROR(GOOGLETRANSLATE(A795,""ko"",""en""),)"),"Juno, shall we meet this evening?")</f>
        <v>Juno, shall we meet this evening?</v>
      </c>
      <c r="C795" s="4" t="str">
        <f ca="1">IFERROR(__xludf.DUMMYFUNCTION("IFERROR(GOOGLETRANSLATE(B795,""en"",""ja""),)"),"ジュノー、今晩会いませんか？")</f>
        <v>ジュノー、今晩会いませんか？</v>
      </c>
    </row>
    <row r="796" spans="1:3" ht="18">
      <c r="A796" s="3" t="s">
        <v>2076</v>
      </c>
      <c r="B796" s="4" t="str">
        <f ca="1">IFERROR(__xludf.DUMMYFUNCTION("IFERROR(GOOGLETRANSLATE(A796,""ko"",""en""),)"),"I have Korean class today, so let's meet tomorrow.")</f>
        <v>I have Korean class today, so let's meet tomorrow.</v>
      </c>
      <c r="C796" s="4" t="str">
        <f ca="1">IFERROR(__xludf.DUMMYFUNCTION("IFERROR(GOOGLETRANSLATE(B796,""en"",""ja""),)"),"今日は韓国語の授業があるので、明日会いましょう。")</f>
        <v>今日は韓国語の授業があるので、明日会いましょう。</v>
      </c>
    </row>
    <row r="797" spans="1:3" ht="18">
      <c r="A797" s="3" t="s">
        <v>2078</v>
      </c>
      <c r="B797" s="4" t="str">
        <f ca="1">IFERROR(__xludf.DUMMYFUNCTION("IFERROR(GOOGLETRANSLATE(A797,""ko"",""en""),)"),"What gift should I give Suzy?")</f>
        <v>What gift should I give Suzy?</v>
      </c>
      <c r="C797" s="4" t="str">
        <f ca="1">IFERROR(__xludf.DUMMYFUNCTION("IFERROR(GOOGLETRANSLATE(B797,""en"",""ja""),)"),"スージーにはどんなプレゼントを贈ればいいでしょうか？")</f>
        <v>スージーにはどんなプレゼントを贈ればいいでしょうか？</v>
      </c>
    </row>
    <row r="798" spans="1:3" ht="18">
      <c r="A798" s="3" t="s">
        <v>2082</v>
      </c>
      <c r="B798" s="4" t="str">
        <f ca="1">IFERROR(__xludf.DUMMYFUNCTION("IFERROR(GOOGLETRANSLATE(A798,""ko"",""en""),)"),"Since Suzy likes dolls, how about a doll?")</f>
        <v>Since Suzy likes dolls, how about a doll?</v>
      </c>
      <c r="C798" s="4" t="str">
        <f ca="1">IFERROR(__xludf.DUMMYFUNCTION("IFERROR(GOOGLETRANSLATE(B798,""en"",""ja""),)"),"スージーは人形が好きなので、人形はどうでしょう？")</f>
        <v>スージーは人形が好きなので、人形はどうでしょう？</v>
      </c>
    </row>
    <row r="799" spans="1:3" ht="18">
      <c r="A799" s="3" t="s">
        <v>2083</v>
      </c>
      <c r="B799" s="4" t="str">
        <f ca="1">IFERROR(__xludf.DUMMYFUNCTION("IFERROR(GOOGLETRANSLATE(A799,""ko"",""en""),)"),"I didn't have time to meet my friend.")</f>
        <v>I didn't have time to meet my friend.</v>
      </c>
      <c r="C799" s="4" t="str">
        <f ca="1">IFERROR(__xludf.DUMMYFUNCTION("IFERROR(GOOGLETRANSLATE(B799,""en"",""ja""),)"),"友達に会う時間がなかった。")</f>
        <v>友達に会う時間がなかった。</v>
      </c>
    </row>
    <row r="800" spans="1:3" ht="18">
      <c r="A800" s="3" t="s">
        <v>2085</v>
      </c>
      <c r="B800" s="4" t="str">
        <f ca="1">IFERROR(__xludf.DUMMYFUNCTION("IFERROR(GOOGLETRANSLATE(A800,""ko"",""en""),)"),"I'm busy today, so let's meet tomorrow.")</f>
        <v>I'm busy today, so let's meet tomorrow.</v>
      </c>
      <c r="C800" s="4" t="str">
        <f ca="1">IFERROR(__xludf.DUMMYFUNCTION("IFERROR(GOOGLETRANSLATE(B800,""en"",""ja""),)"),"今日は忙しいので、明日会いましょう。")</f>
        <v>今日は忙しいので、明日会いましょう。</v>
      </c>
    </row>
    <row r="801" spans="1:3" ht="18">
      <c r="A801" s="3" t="s">
        <v>2088</v>
      </c>
      <c r="B801" s="4" t="str">
        <f ca="1">IFERROR(__xludf.DUMMYFUNCTION("IFERROR(GOOGLETRANSLATE(A801,""ko"",""en""),)"),"It's cold, so please close the window.")</f>
        <v>It's cold, so please close the window.</v>
      </c>
      <c r="C801" s="4" t="str">
        <f ca="1">IFERROR(__xludf.DUMMYFUNCTION("IFERROR(GOOGLETRANSLATE(B801,""en"",""ja""),)"),"寒いので、窓を閉めてください。")</f>
        <v>寒いので、窓を閉めてください。</v>
      </c>
    </row>
    <row r="802" spans="1:3" ht="18">
      <c r="A802" s="3" t="s">
        <v>2092</v>
      </c>
      <c r="B802" s="4" t="str">
        <f ca="1">IFERROR(__xludf.DUMMYFUNCTION("IFERROR(GOOGLETRANSLATE(A802,""ko"",""en""),)"),"I studied a lot yesterday, so I want to rest a bit today.")</f>
        <v>I studied a lot yesterday, so I want to rest a bit today.</v>
      </c>
      <c r="C802" s="4" t="str">
        <f ca="1">IFERROR(__xludf.DUMMYFUNCTION("IFERROR(GOOGLETRANSLATE(B802,""en"",""ja""),)"),"昨日はたくさん勉強したので、今日は少し休みたい。")</f>
        <v>昨日はたくさん勉強したので、今日は少し休みたい。</v>
      </c>
    </row>
    <row r="803" spans="1:3" ht="18">
      <c r="A803" s="3" t="s">
        <v>2094</v>
      </c>
      <c r="B803" s="4" t="str">
        <f ca="1">IFERROR(__xludf.DUMMYFUNCTION("IFERROR(GOOGLETRANSLATE(A803,""ko"",""en""),)"),"Because I eat")</f>
        <v>Because I eat</v>
      </c>
      <c r="C803" s="4" t="str">
        <f ca="1">IFERROR(__xludf.DUMMYFUNCTION("IFERROR(GOOGLETRANSLATE(B803,""en"",""ja""),)"),"なぜなら私は食べるから")</f>
        <v>なぜなら私は食べるから</v>
      </c>
    </row>
    <row r="804" spans="1:3" ht="18">
      <c r="A804" s="3" t="s">
        <v>2098</v>
      </c>
      <c r="B804" s="4" t="str">
        <f ca="1">IFERROR(__xludf.DUMMYFUNCTION("IFERROR(GOOGLETRANSLATE(A804,""ko"",""en""),)"),"Because there are many")</f>
        <v>Because there are many</v>
      </c>
      <c r="C804" s="4" t="str">
        <f ca="1">IFERROR(__xludf.DUMMYFUNCTION("IFERROR(GOOGLETRANSLATE(B804,""en"",""ja""),)"),"なぜなら、たくさんあるから")</f>
        <v>なぜなら、たくさんあるから</v>
      </c>
    </row>
    <row r="805" spans="1:3" ht="18">
      <c r="A805" s="3" t="s">
        <v>2101</v>
      </c>
      <c r="B805" s="4" t="str">
        <f ca="1">IFERROR(__xludf.DUMMYFUNCTION("IFERROR(GOOGLETRANSLATE(A805,""ko"",""en""),)"),"Since it's there")</f>
        <v>Since it's there</v>
      </c>
      <c r="C805" s="4" t="str">
        <f ca="1">IFERROR(__xludf.DUMMYFUNCTION("IFERROR(GOOGLETRANSLATE(B805,""en"",""ja""),)"),"そこにあるから")</f>
        <v>そこにあるから</v>
      </c>
    </row>
    <row r="806" spans="1:3" ht="18">
      <c r="A806" s="3" t="s">
        <v>2103</v>
      </c>
      <c r="B806" s="4" t="str">
        <f ca="1">IFERROR(__xludf.DUMMYFUNCTION("IFERROR(GOOGLETRANSLATE(A806,""ko"",""en""),)"),"Because it's good")</f>
        <v>Because it's good</v>
      </c>
      <c r="C806" s="4" t="str">
        <f ca="1">IFERROR(__xludf.DUMMYFUNCTION("IFERROR(GOOGLETRANSLATE(B806,""en"",""ja""),)"),"良いから")</f>
        <v>良いから</v>
      </c>
    </row>
    <row r="807" spans="1:3" ht="18">
      <c r="A807" s="3" t="s">
        <v>2106</v>
      </c>
      <c r="B807" s="4" t="str">
        <f ca="1">IFERROR(__xludf.DUMMYFUNCTION("IFERROR(GOOGLETRANSLATE(A807,""ko"",""en""),)"),"Because it's hot")</f>
        <v>Because it's hot</v>
      </c>
      <c r="C807" s="4" t="str">
        <f ca="1">IFERROR(__xludf.DUMMYFUNCTION("IFERROR(GOOGLETRANSLATE(B807,""en"",""ja""),)"),"暑いから")</f>
        <v>暑いから</v>
      </c>
    </row>
    <row r="808" spans="1:3" ht="18">
      <c r="A808" s="3" t="s">
        <v>2109</v>
      </c>
      <c r="B808" s="4" t="str">
        <f ca="1">IFERROR(__xludf.DUMMYFUNCTION("IFERROR(GOOGLETRANSLATE(A808,""ko"",""en""),)"),"Since I'm going")</f>
        <v>Since I'm going</v>
      </c>
      <c r="C808" s="4" t="str">
        <f ca="1">IFERROR(__xludf.DUMMYFUNCTION("IFERROR(GOOGLETRANSLATE(B808,""en"",""ja""),)"),"私が行くので")</f>
        <v>私が行くので</v>
      </c>
    </row>
    <row r="809" spans="1:3" ht="18">
      <c r="A809" s="3" t="s">
        <v>2110</v>
      </c>
      <c r="B809" s="4" t="str">
        <f ca="1">IFERROR(__xludf.DUMMYFUNCTION("IFERROR(GOOGLETRANSLATE(A809,""ko"",""en""),)"),"Since")</f>
        <v>Since</v>
      </c>
      <c r="C809" s="4" t="str">
        <f ca="1">IFERROR(__xludf.DUMMYFUNCTION("IFERROR(GOOGLETRANSLATE(B809,""en"",""ja""),)"),"以来")</f>
        <v>以来</v>
      </c>
    </row>
    <row r="810" spans="1:3" ht="18">
      <c r="A810" s="3" t="s">
        <v>2113</v>
      </c>
      <c r="B810" s="4" t="str">
        <f ca="1">IFERROR(__xludf.DUMMYFUNCTION("IFERROR(GOOGLETRANSLATE(A810,""ko"",""en""),)"),"Because I'm busy")</f>
        <v>Because I'm busy</v>
      </c>
      <c r="C810" s="4" t="str">
        <f ca="1">IFERROR(__xludf.DUMMYFUNCTION("IFERROR(GOOGLETRANSLATE(B810,""en"",""ja""),)"),"忙しいから")</f>
        <v>忙しいから</v>
      </c>
    </row>
    <row r="811" spans="1:3" ht="18">
      <c r="A811" s="3" t="s">
        <v>2114</v>
      </c>
      <c r="B811" s="4" t="str">
        <f ca="1">IFERROR(__xludf.DUMMYFUNCTION("IFERROR(GOOGLETRANSLATE(A811,""ko"",""en""),)"),"Because it's expensive")</f>
        <v>Because it's expensive</v>
      </c>
      <c r="C811" s="4" t="str">
        <f ca="1">IFERROR(__xludf.DUMMYFUNCTION("IFERROR(GOOGLETRANSLATE(B811,""en"",""ja""),)"),"高価だから")</f>
        <v>高価だから</v>
      </c>
    </row>
    <row r="812" spans="1:3" ht="18">
      <c r="A812" s="3" t="s">
        <v>2118</v>
      </c>
      <c r="B812" s="4" t="str">
        <f ca="1">IFERROR(__xludf.DUMMYFUNCTION("IFERROR(GOOGLETRANSLATE(A812,""ko"",""en""),)"),"Because it's far away")</f>
        <v>Because it's far away</v>
      </c>
      <c r="C812" s="4" t="str">
        <f ca="1">IFERROR(__xludf.DUMMYFUNCTION("IFERROR(GOOGLETRANSLATE(B812,""en"",""ja""),)"),"遠いから")</f>
        <v>遠いから</v>
      </c>
    </row>
    <row r="813" spans="1:3" ht="18">
      <c r="A813" s="3" t="s">
        <v>2123</v>
      </c>
      <c r="B813" s="4" t="str">
        <f ca="1">IFERROR(__xludf.DUMMYFUNCTION("IFERROR(GOOGLETRANSLATE(A813,""ko"",""en""),)"),"I have a lot of homework today, so let's meet tomorrow.")</f>
        <v>I have a lot of homework today, so let's meet tomorrow.</v>
      </c>
      <c r="C813" s="4" t="str">
        <f ca="1">IFERROR(__xludf.DUMMYFUNCTION("IFERROR(GOOGLETRANSLATE(B813,""en"",""ja""),)"),"今日は宿題がたくさんあるので、明日会いましょう。")</f>
        <v>今日は宿題がたくさんあるので、明日会いましょう。</v>
      </c>
    </row>
    <row r="814" spans="1:3" ht="18">
      <c r="A814" s="3" t="s">
        <v>2127</v>
      </c>
      <c r="B814" s="4" t="str">
        <f ca="1">IFERROR(__xludf.DUMMYFUNCTION("IFERROR(GOOGLETRANSLATE(A814,""ko"",""en""),)"),"I'm eating ice cream because the weather is hot.")</f>
        <v>I'm eating ice cream because the weather is hot.</v>
      </c>
      <c r="C814" s="4" t="str">
        <f ca="1">IFERROR(__xludf.DUMMYFUNCTION("IFERROR(GOOGLETRANSLATE(B814,""en"",""ja""),)"),"暑いのでアイスクリームを食べています。")</f>
        <v>暑いのでアイスクリームを食べています。</v>
      </c>
    </row>
    <row r="815" spans="1:3" ht="18">
      <c r="A815" s="5" t="s">
        <v>2129</v>
      </c>
      <c r="B815" s="4" t="str">
        <f ca="1">IFERROR(__xludf.DUMMYFUNCTION("IFERROR(GOOGLETRANSLATE(A815,""ko"",""en""),)"),"Since school vacation starts next week, shall we go visit Busan?")</f>
        <v>Since school vacation starts next week, shall we go visit Busan?</v>
      </c>
      <c r="C815" s="4" t="str">
        <f ca="1">IFERROR(__xludf.DUMMYFUNCTION("IFERROR(GOOGLETRANSLATE(B815,""en"",""ja""),)"),"来週から学校の休暇が始まるので、釜山へ旅行に行きませんか？")</f>
        <v>来週から学校の休暇が始まるので、釜山へ旅行に行きませんか？</v>
      </c>
    </row>
    <row r="816" spans="1:3" ht="18">
      <c r="A816" s="3" t="s">
        <v>2132</v>
      </c>
      <c r="B816" s="4" t="str">
        <f ca="1">IFERROR(__xludf.DUMMYFUNCTION("IFERROR(GOOGLETRANSLATE(A816,""ko"",""en""),)"),"It's a bit far to the department store, so please take the bus.")</f>
        <v>It's a bit far to the department store, so please take the bus.</v>
      </c>
      <c r="C816" s="4" t="str">
        <f ca="1">IFERROR(__xludf.DUMMYFUNCTION("IFERROR(GOOGLETRANSLATE(B816,""en"",""ja""),)"),"デパートまでは少し遠いので、バスをご利用ください。")</f>
        <v>デパートまでは少し遠いので、バスをご利用ください。</v>
      </c>
    </row>
    <row r="817" spans="1:3" ht="18">
      <c r="A817" s="3" t="s">
        <v>2134</v>
      </c>
      <c r="B817" s="4" t="str">
        <f ca="1">IFERROR(__xludf.DUMMYFUNCTION("IFERROR(GOOGLETRANSLATE(A817,""ko"",""en""),)"),"Since Yujin likes exercising, how about a pair of sneakers as a gift?")</f>
        <v>Since Yujin likes exercising, how about a pair of sneakers as a gift?</v>
      </c>
      <c r="C817" s="4" t="str">
        <f ca="1">IFERROR(__xludf.DUMMYFUNCTION("IFERROR(GOOGLETRANSLATE(B817,""en"",""ja""),)"),"ユジンは運動が好きなので、スニーカーをプレゼントするのはどうでしょう？")</f>
        <v>ユジンは運動が好きなので、スニーカーをプレゼントするのはどうでしょう？</v>
      </c>
    </row>
    <row r="818" spans="1:3" ht="18">
      <c r="A818" s="3" t="s">
        <v>2137</v>
      </c>
      <c r="B818" s="4" t="str">
        <f ca="1">IFERROR(__xludf.DUMMYFUNCTION("IFERROR(GOOGLETRANSLATE(A818,""ko"",""en""),)"),"I'm busy right now, so let's talk later.")</f>
        <v>I'm busy right now, so let's talk later.</v>
      </c>
      <c r="C818" s="4" t="str">
        <f ca="1">IFERROR(__xludf.DUMMYFUNCTION("IFERROR(GOOGLETRANSLATE(B818,""en"",""ja""),)"),"今は忙しいので、後で話しましょう。")</f>
        <v>今は忙しいので、後で話しましょう。</v>
      </c>
    </row>
    <row r="819" spans="1:3" ht="18">
      <c r="A819" s="5" t="s">
        <v>2139</v>
      </c>
      <c r="B819" s="4" t="str">
        <f ca="1">IFERROR(__xludf.DUMMYFUNCTION("IFERROR(GOOGLETRANSLATE(A819,""ko"",""en""),)"),"The library is quiet, so study there.")</f>
        <v>The library is quiet, so study there.</v>
      </c>
      <c r="C819" s="4" t="str">
        <f ca="1">IFERROR(__xludf.DUMMYFUNCTION("IFERROR(GOOGLETRANSLATE(B819,""en"",""ja""),)"),"図書館は静かなので、そこで勉強してください。")</f>
        <v>図書館は静かなので、そこで勉強してください。</v>
      </c>
    </row>
    <row r="820" spans="1:3" ht="18">
      <c r="A820" s="3" t="s">
        <v>2141</v>
      </c>
      <c r="B820" s="4" t="str">
        <f ca="1">IFERROR(__xludf.DUMMYFUNCTION("IFERROR(GOOGLETRANSLATE(A820,""ko"",""en""),)"),"The post office is close, so I'll walk there.")</f>
        <v>The post office is close, so I'll walk there.</v>
      </c>
      <c r="C820" s="4" t="str">
        <f ca="1">IFERROR(__xludf.DUMMYFUNCTION("IFERROR(GOOGLETRANSLATE(B820,""en"",""ja""),)"),"郵便局は近いので、歩いて行きます。")</f>
        <v>郵便局は近いので、歩いて行きます。</v>
      </c>
    </row>
    <row r="821" spans="1:3" ht="18">
      <c r="A821" s="3" t="s">
        <v>2145</v>
      </c>
      <c r="B821" s="4" t="str">
        <f ca="1">IFERROR(__xludf.DUMMYFUNCTION("IFERROR(GOOGLETRANSLATE(A821,""ko"",""en""),)"),"Tomorrow is Jaemin's birthday, so let's buy a present together.")</f>
        <v>Tomorrow is Jaemin's birthday, so let's buy a present together.</v>
      </c>
      <c r="C821" s="4" t="str">
        <f ca="1">IFERROR(__xludf.DUMMYFUNCTION("IFERROR(GOOGLETRANSLATE(B821,""en"",""ja""),)"),"明日はジェミンの誕生日だから、一緒にプレゼントを買いに行こう。")</f>
        <v>明日はジェミンの誕生日だから、一緒にプレゼントを買いに行こう。</v>
      </c>
    </row>
    <row r="822" spans="1:3" ht="18">
      <c r="A822" s="3" t="s">
        <v>2147</v>
      </c>
      <c r="B822" s="4" t="str">
        <f ca="1">IFERROR(__xludf.DUMMYFUNCTION("IFERROR(GOOGLETRANSLATE(A822,""ko"",""en""),)"),"I didn't have breakfast, so I ate lunch early.")</f>
        <v>I didn't have breakfast, so I ate lunch early.</v>
      </c>
      <c r="C822" s="4" t="str">
        <f ca="1">IFERROR(__xludf.DUMMYFUNCTION("IFERROR(GOOGLETRANSLATE(B822,""en"",""ja""),)"),"朝食を抜いていたので、昼食を早めに食べた。")</f>
        <v>朝食を抜いていたので、昼食を早めに食べた。</v>
      </c>
    </row>
    <row r="823" spans="1:3" ht="18">
      <c r="A823" s="3" t="s">
        <v>2149</v>
      </c>
      <c r="B823" s="4" t="str">
        <f ca="1">IFERROR(__xludf.DUMMYFUNCTION("IFERROR(GOOGLETRANSLATE(A823,""ko"",""en""),)"),"What should we do together this weekend?")</f>
        <v>What should we do together this weekend?</v>
      </c>
      <c r="C823" s="4" t="str">
        <f ca="1">IFERROR(__xludf.DUMMYFUNCTION("IFERROR(GOOGLETRANSLATE(B823,""en"",""ja""),)"),"今週末は一緒に何をしましょうか？")</f>
        <v>今週末は一緒に何をしましょうか？</v>
      </c>
    </row>
    <row r="824" spans="1:3" ht="18">
      <c r="A824" s="3" t="s">
        <v>2152</v>
      </c>
      <c r="B824" s="4" t="str">
        <f ca="1">IFERROR(__xludf.DUMMYFUNCTION("IFERROR(GOOGLETRANSLATE(A824,""ko"",""en""),)"),"The weather is nice these days, so I go for a walk.")</f>
        <v>The weather is nice these days, so I go for a walk.</v>
      </c>
      <c r="C824" s="4" t="str">
        <f ca="1">IFERROR(__xludf.DUMMYFUNCTION("IFERROR(GOOGLETRANSLATE(B824,""en"",""ja""),)"),"最近は天気が良いので、散歩に出かけます。")</f>
        <v>最近は天気が良いので、散歩に出かけます。</v>
      </c>
    </row>
    <row r="825" spans="1:3" ht="18">
      <c r="A825" s="3" t="s">
        <v>2156</v>
      </c>
      <c r="B825" s="4" t="str">
        <f ca="1">IFERROR(__xludf.DUMMYFUNCTION("IFERROR(GOOGLETRANSLATE(A825,""ko"",""en""),)"),"Shall I give Juno a watch as a gift?")</f>
        <v>Shall I give Juno a watch as a gift?</v>
      </c>
      <c r="C825" s="4" t="str">
        <f ca="1">IFERROR(__xludf.DUMMYFUNCTION("IFERROR(GOOGLETRANSLATE(B825,""en"",""ja""),)"),"ジュノに腕時計をプレゼントしようか？")</f>
        <v>ジュノに腕時計をプレゼントしようか？</v>
      </c>
    </row>
    <row r="826" spans="1:3" ht="18">
      <c r="A826" s="3" t="s">
        <v>2158</v>
      </c>
      <c r="B826" s="4" t="str">
        <f ca="1">IFERROR(__xludf.DUMMYFUNCTION("IFERROR(GOOGLETRANSLATE(A826,""ko"",""en""),)"),"Watches are expensive, so buy a cake.")</f>
        <v>Watches are expensive, so buy a cake.</v>
      </c>
      <c r="C826" s="4" t="str">
        <f ca="1">IFERROR(__xludf.DUMMYFUNCTION("IFERROR(GOOGLETRANSLATE(B826,""en"",""ja""),)"),"時計は高いから、ケーキを買ってあげよう。")</f>
        <v>時計は高いから、ケーキを買ってあげよう。</v>
      </c>
    </row>
    <row r="827" spans="1:3" ht="18">
      <c r="A827" s="3" t="s">
        <v>2159</v>
      </c>
      <c r="B827" s="4" t="str">
        <f ca="1">IFERROR(__xludf.DUMMYFUNCTION("IFERROR(GOOGLETRANSLATE(A827,""ko"",""en""),)"),"Can we meet on Friday?")</f>
        <v>Can we meet on Friday?</v>
      </c>
      <c r="C827" s="4" t="str">
        <f ca="1">IFERROR(__xludf.DUMMYFUNCTION("IFERROR(GOOGLETRANSLATE(B827,""en"",""ja""),)"),"金曜日に会えますか？")</f>
        <v>金曜日に会えますか？</v>
      </c>
    </row>
    <row r="828" spans="1:3" ht="18">
      <c r="A828" s="3" t="s">
        <v>2163</v>
      </c>
      <c r="B828" s="4" t="str">
        <f ca="1">IFERROR(__xludf.DUMMYFUNCTION("IFERROR(GOOGLETRANSLATE(A828,""ko"",""en""),)"),"I'm busy on Friday, so let's meet on Saturday.")</f>
        <v>I'm busy on Friday, so let's meet on Saturday.</v>
      </c>
      <c r="C828" s="4" t="str">
        <f ca="1">IFERROR(__xludf.DUMMYFUNCTION("IFERROR(GOOGLETRANSLATE(B828,""en"",""ja""),)"),"金曜日は忙しいので、土曜日に会いましょう。")</f>
        <v>金曜日は忙しいので、土曜日に会いましょう。</v>
      </c>
    </row>
    <row r="829" spans="1:3" ht="18">
      <c r="A829" s="3" t="s">
        <v>2165</v>
      </c>
      <c r="B829" s="4" t="str">
        <f ca="1">IFERROR(__xludf.DUMMYFUNCTION("IFERROR(GOOGLETRANSLATE(A829,""ko"",""en""),)"),"Which restaurant should we go to?")</f>
        <v>Which restaurant should we go to?</v>
      </c>
      <c r="C829" s="4" t="str">
        <f ca="1">IFERROR(__xludf.DUMMYFUNCTION("IFERROR(GOOGLETRANSLATE(B829,""en"",""ja""),)"),"どのレストランに行けばいいですか？")</f>
        <v>どのレストランに行けばいいですか？</v>
      </c>
    </row>
    <row r="830" spans="1:3" ht="18">
      <c r="A830" s="3" t="s">
        <v>2167</v>
      </c>
      <c r="B830" s="4" t="str">
        <f ca="1">IFERROR(__xludf.DUMMYFUNCTION("IFERROR(GOOGLETRANSLATE(A830,""ko"",""en""),)"),"Let's go to Sejong Restaurant because it's cheap and delicious.")</f>
        <v>Let's go to Sejong Restaurant because it's cheap and delicious.</v>
      </c>
      <c r="C830" s="4" t="str">
        <f ca="1">IFERROR(__xludf.DUMMYFUNCTION("IFERROR(GOOGLETRANSLATE(B830,""en"",""ja""),)"),"世宗レストランに行こう。安くて美味しいから。")</f>
        <v>世宗レストランに行こう。安くて美味しいから。</v>
      </c>
    </row>
    <row r="831" spans="1:3" ht="18">
      <c r="A831" s="3" t="s">
        <v>2171</v>
      </c>
      <c r="B831" s="4" t="str">
        <f ca="1">IFERROR(__xludf.DUMMYFUNCTION("IFERROR(GOOGLETRANSLATE(A831,""ko"",""en""),)"),"Mari, shall we go eat tteokbokki?")</f>
        <v>Mari, shall we go eat tteokbokki?</v>
      </c>
      <c r="C831" s="4" t="str">
        <f ca="1">IFERROR(__xludf.DUMMYFUNCTION("IFERROR(GOOGLETRANSLATE(B831,""en"",""ja""),)"),"マリ、トッポッキを食べに行こうか？")</f>
        <v>マリ、トッポッキを食べに行こうか？</v>
      </c>
    </row>
    <row r="832" spans="1:3" ht="18">
      <c r="A832" s="3" t="s">
        <v>2173</v>
      </c>
      <c r="B832" s="4" t="str">
        <f ca="1">IFERROR(__xludf.DUMMYFUNCTION("IFERROR(GOOGLETRANSLATE(A832,""ko"",""en""),)"),"No. Tteokbokki is spicy, so I'll eat cold noodles instead.")</f>
        <v>No. Tteokbokki is spicy, so I'll eat cold noodles instead.</v>
      </c>
      <c r="C832" s="4" t="str">
        <f ca="1">IFERROR(__xludf.DUMMYFUNCTION("IFERROR(GOOGLETRANSLATE(B832,""en"",""ja""),)"),"いいえ。トッポッキは辛いので、代わりに冷たい麺を食べます。")</f>
        <v>いいえ。トッポッキは辛いので、代わりに冷たい麺を食べます。</v>
      </c>
    </row>
    <row r="833" spans="1:3" ht="18">
      <c r="A833" s="3" t="s">
        <v>2176</v>
      </c>
      <c r="B833" s="4" t="str">
        <f ca="1">IFERROR(__xludf.DUMMYFUNCTION("IFERROR(GOOGLETRANSLATE(A833,""ko"",""en""),)"),"Anna, have you prepared a graduation gift for Genie?")</f>
        <v>Anna, have you prepared a graduation gift for Genie?</v>
      </c>
      <c r="C833" s="4" t="str">
        <f ca="1">IFERROR(__xludf.DUMMYFUNCTION("IFERROR(GOOGLETRANSLATE(B833,""en"",""ja""),)"),"アンナ、ジーニーへの卒業祝いのプレゼントは用意した？")</f>
        <v>アンナ、ジーニーへの卒業祝いのプレゼントは用意した？</v>
      </c>
    </row>
    <row r="834" spans="1:3" ht="18">
      <c r="A834" s="3" t="s">
        <v>2178</v>
      </c>
      <c r="B834" s="4" t="str">
        <f ca="1">IFERROR(__xludf.DUMMYFUNCTION("IFERROR(GOOGLETRANSLATE(A834,""ko"",""en""),)"),"Yes. I'm going to give Genie a pen as a gift.")</f>
        <v>Yes. I'm going to give Genie a pen as a gift.</v>
      </c>
      <c r="C834" s="4" t="str">
        <f ca="1">IFERROR(__xludf.DUMMYFUNCTION("IFERROR(GOOGLETRANSLATE(B834,""en"",""ja""),)"),"はい。ジーニーにペンをプレゼントするつもりです。")</f>
        <v>はい。ジーニーにペンをプレゼントするつもりです。</v>
      </c>
    </row>
    <row r="835" spans="1:3" ht="18">
      <c r="A835" s="3" t="s">
        <v>2180</v>
      </c>
      <c r="B835" s="4" t="str">
        <f ca="1">IFERROR(__xludf.DUMMYFUNCTION("IFERROR(GOOGLETRANSLATE(A835,""ko"",""en""),)"),"Really? I haven't been able to prepare yet.")</f>
        <v>Really? I haven't been able to prepare yet.</v>
      </c>
      <c r="C835" s="4" t="str">
        <f ca="1">IFERROR(__xludf.DUMMYFUNCTION("IFERROR(GOOGLETRANSLATE(B835,""en"",""ja""),)"),"本当ですか？まだ準備できていません。")</f>
        <v>本当ですか？まだ準備できていません。</v>
      </c>
    </row>
    <row r="836" spans="1:3" ht="18">
      <c r="A836" s="3" t="s">
        <v>2182</v>
      </c>
      <c r="B836" s="4" t="str">
        <f ca="1">IFERROR(__xludf.DUMMYFUNCTION("IFERROR(GOOGLETRANSLATE(A836,""ko"",""en""),)"),"Since it's a graduation gift, how about flowers?")</f>
        <v>Since it's a graduation gift, how about flowers?</v>
      </c>
      <c r="C836" s="4" t="str">
        <f ca="1">IFERROR(__xludf.DUMMYFUNCTION("IFERROR(GOOGLETRANSLATE(B836,""en"",""ja""),)"),"卒業祝いの贈り物なので、お花はいかがですか？")</f>
        <v>卒業祝いの贈り物なので、お花はいかがですか？</v>
      </c>
    </row>
    <row r="837" spans="1:3" ht="18">
      <c r="A837" s="3" t="s">
        <v>2184</v>
      </c>
      <c r="B837" s="4" t="str">
        <f ca="1">IFERROR(__xludf.DUMMYFUNCTION("IFERROR(GOOGLETRANSLATE(A837,""ko"",""en""),)"),"Yes. That's a good idea. Thank you.")</f>
        <v>Yes. That's a good idea. Thank you.</v>
      </c>
      <c r="C837" s="4" t="str">
        <f ca="1">IFERROR(__xludf.DUMMYFUNCTION("IFERROR(GOOGLETRANSLATE(B837,""en"",""ja""),)"),"はい。それは良い考えですね。ありがとうございます。")</f>
        <v>はい。それは良い考えですね。ありがとうございます。</v>
      </c>
    </row>
    <row r="838" spans="1:3" ht="18">
      <c r="A838" s="3" t="s">
        <v>2187</v>
      </c>
      <c r="B838" s="4" t="str">
        <f ca="1">IFERROR(__xludf.DUMMYFUNCTION("IFERROR(GOOGLETRANSLATE(A838,""ko"",""en""),)"),"This is a birthday card Anna wrote to Jaemin. What did Anna write to Jaemin?")</f>
        <v>This is a birthday card Anna wrote to Jaemin. What did Anna write to Jaemin?</v>
      </c>
      <c r="C838" s="4" t="str">
        <f ca="1">IFERROR(__xludf.DUMMYFUNCTION("IFERROR(GOOGLETRANSLATE(B838,""en"",""ja""),)"),"これはアンナがジェミンに書いた誕生日カードです。アンナはジェミンに何と書いたのでしょうか？")</f>
        <v>これはアンナがジェミンに書いた誕生日カードです。アンナはジェミンに何と書いたのでしょうか？</v>
      </c>
    </row>
    <row r="839" spans="1:3" ht="18">
      <c r="A839" s="3" t="s">
        <v>2188</v>
      </c>
      <c r="B839" s="4" t="str">
        <f ca="1">IFERROR(__xludf.DUMMYFUNCTION("IFERROR(GOOGLETRANSLATE(A839,""ko"",""en""),)"),"I have something else to do today, so I can't go to Jaemin's birthday party.")</f>
        <v>I have something else to do today, so I can't go to Jaemin's birthday party.</v>
      </c>
      <c r="C839" s="4" t="str">
        <f ca="1">IFERROR(__xludf.DUMMYFUNCTION("IFERROR(GOOGLETRANSLATE(B839,""en"",""ja""),)"),"今日は別の用事があるので、ジェミンの誕生日パーティーには行けません。")</f>
        <v>今日は別の用事があるので、ジェミンの誕生日パーティーには行けません。</v>
      </c>
    </row>
    <row r="840" spans="1:3" ht="18">
      <c r="A840" s="3" t="s">
        <v>2191</v>
      </c>
      <c r="B840" s="4" t="str">
        <f ca="1">IFERROR(__xludf.DUMMYFUNCTION("IFERROR(GOOGLETRANSLATE(A840,""ko"",""en""),)"),"Happy birthday once again.")</f>
        <v>Happy birthday once again.</v>
      </c>
      <c r="C840" s="4" t="str">
        <f ca="1">IFERROR(__xludf.DUMMYFUNCTION("IFERROR(GOOGLETRANSLATE(B840,""en"",""ja""),)"),"改めて、お誕生日おめでとうございます。")</f>
        <v>改めて、お誕生日おめでとうございます。</v>
      </c>
    </row>
    <row r="841" spans="1:3" ht="18">
      <c r="A841" s="3" t="s">
        <v>2192</v>
      </c>
      <c r="B841" s="4" t="str">
        <f ca="1">IFERROR(__xludf.DUMMYFUNCTION("IFERROR(GOOGLETRANSLATE(A841,""ko"",""en""),)"),"therefore")</f>
        <v>therefore</v>
      </c>
      <c r="C841" s="4" t="str">
        <f ca="1">IFERROR(__xludf.DUMMYFUNCTION("IFERROR(GOOGLETRANSLATE(B841,""en"",""ja""),)"),"したがって")</f>
        <v>したがって</v>
      </c>
    </row>
    <row r="842" spans="1:3" ht="18">
      <c r="A842" s="3" t="s">
        <v>2196</v>
      </c>
      <c r="B842" s="4" t="str">
        <f ca="1">IFERROR(__xludf.DUMMYFUNCTION("IFERROR(GOOGLETRANSLATE(A842,""ko"",""en""),)"),"is it so")</f>
        <v>is it so</v>
      </c>
      <c r="C842" s="4" t="str">
        <f ca="1">IFERROR(__xludf.DUMMYFUNCTION("IFERROR(GOOGLETRANSLATE(B842,""en"",""ja""),)"),"そうなのですか？")</f>
        <v>そうなのですか？</v>
      </c>
    </row>
    <row r="843" spans="1:3" ht="18">
      <c r="A843" s="3"/>
      <c r="B843" s="4" t="str">
        <f ca="1">IFERROR(__xludf.DUMMYFUNCTION("IFERROR(GOOGLETRANSLATE(A843,""ko"",""en""),)"),"")</f>
        <v/>
      </c>
      <c r="C843" s="4" t="str">
        <f ca="1">IFERROR(__xludf.DUMMYFUNCTION("IFERROR(GOOGLETRANSLATE(B843,""en"",""ja""),)"),"")</f>
        <v/>
      </c>
    </row>
    <row r="844" spans="1:3" ht="18">
      <c r="A844" s="3"/>
      <c r="B844" s="4" t="str">
        <f ca="1">IFERROR(__xludf.DUMMYFUNCTION("IFERROR(GOOGLETRANSLATE(A844,""ko"",""en""),)"),"")</f>
        <v/>
      </c>
      <c r="C844" s="4" t="str">
        <f ca="1">IFERROR(__xludf.DUMMYFUNCTION("IFERROR(GOOGLETRANSLATE(B844,""en"",""ja""),)"),"")</f>
        <v/>
      </c>
    </row>
    <row r="845" spans="1:3" ht="18">
      <c r="A845" s="3"/>
      <c r="B845" s="4" t="str">
        <f ca="1">IFERROR(__xludf.DUMMYFUNCTION("IFERROR(GOOGLETRANSLATE(A845,""ko"",""en""),)"),"")</f>
        <v/>
      </c>
      <c r="C845" s="4" t="str">
        <f ca="1">IFERROR(__xludf.DUMMYFUNCTION("IFERROR(GOOGLETRANSLATE(B845,""en"",""ja""),)"),"")</f>
        <v/>
      </c>
    </row>
    <row r="846" spans="1:3" ht="18">
      <c r="A846" s="3"/>
      <c r="B846" s="4" t="str">
        <f ca="1">IFERROR(__xludf.DUMMYFUNCTION("IFERROR(GOOGLETRANSLATE(A846,""ko"",""en""),)"),"")</f>
        <v/>
      </c>
      <c r="C846" s="4" t="str">
        <f ca="1">IFERROR(__xludf.DUMMYFUNCTION("IFERROR(GOOGLETRANSLATE(B846,""en"",""ja""),)"),"")</f>
        <v/>
      </c>
    </row>
    <row r="847" spans="1:3" ht="18">
      <c r="A847" s="3"/>
      <c r="B847" s="4" t="str">
        <f ca="1">IFERROR(__xludf.DUMMYFUNCTION("IFERROR(GOOGLETRANSLATE(A847,""ko"",""en""),)"),"")</f>
        <v/>
      </c>
      <c r="C847" s="4" t="str">
        <f ca="1">IFERROR(__xludf.DUMMYFUNCTION("IFERROR(GOOGLETRANSLATE(B847,""en"",""ja""),)"),"")</f>
        <v/>
      </c>
    </row>
    <row r="848" spans="1:3" ht="18">
      <c r="A848" s="3"/>
      <c r="B848" s="4" t="str">
        <f ca="1">IFERROR(__xludf.DUMMYFUNCTION("IFERROR(GOOGLETRANSLATE(A848,""ko"",""en""),)"),"")</f>
        <v/>
      </c>
      <c r="C848" s="4" t="str">
        <f ca="1">IFERROR(__xludf.DUMMYFUNCTION("IFERROR(GOOGLETRANSLATE(B848,""en"",""ja""),)"),"")</f>
        <v/>
      </c>
    </row>
    <row r="849" spans="1:3" ht="18">
      <c r="A849" s="3"/>
      <c r="B849" s="4" t="str">
        <f ca="1">IFERROR(__xludf.DUMMYFUNCTION("IFERROR(GOOGLETRANSLATE(A849,""ko"",""en""),)"),"")</f>
        <v/>
      </c>
      <c r="C849" s="4" t="str">
        <f ca="1">IFERROR(__xludf.DUMMYFUNCTION("IFERROR(GOOGLETRANSLATE(B849,""en"",""ja""),)"),"")</f>
        <v/>
      </c>
    </row>
    <row r="850" spans="1:3" ht="18">
      <c r="A850" s="3"/>
      <c r="B850" s="4" t="str">
        <f ca="1">IFERROR(__xludf.DUMMYFUNCTION("IFERROR(GOOGLETRANSLATE(A850,""ko"",""en""),)"),"")</f>
        <v/>
      </c>
      <c r="C850" s="4" t="str">
        <f ca="1">IFERROR(__xludf.DUMMYFUNCTION("IFERROR(GOOGLETRANSLATE(B850,""en"",""ja""),)"),"")</f>
        <v/>
      </c>
    </row>
    <row r="851" spans="1:3" ht="18">
      <c r="A851" s="3"/>
      <c r="B851" s="4" t="str">
        <f ca="1">IFERROR(__xludf.DUMMYFUNCTION("IFERROR(GOOGLETRANSLATE(A851,""ko"",""en""),)"),"")</f>
        <v/>
      </c>
      <c r="C851" s="4" t="str">
        <f ca="1">IFERROR(__xludf.DUMMYFUNCTION("IFERROR(GOOGLETRANSLATE(B851,""en"",""ja""),)"),"")</f>
        <v/>
      </c>
    </row>
    <row r="852" spans="1:3" ht="18">
      <c r="A852" s="3"/>
      <c r="B852" s="4" t="str">
        <f ca="1">IFERROR(__xludf.DUMMYFUNCTION("IFERROR(GOOGLETRANSLATE(A852,""ko"",""en""),)"),"")</f>
        <v/>
      </c>
      <c r="C852" s="4" t="str">
        <f ca="1">IFERROR(__xludf.DUMMYFUNCTION("IFERROR(GOOGLETRANSLATE(B852,""en"",""ja""),)"),"")</f>
        <v/>
      </c>
    </row>
    <row r="853" spans="1:3" ht="18">
      <c r="A853" s="3"/>
      <c r="B853" s="4" t="str">
        <f ca="1">IFERROR(__xludf.DUMMYFUNCTION("IFERROR(GOOGLETRANSLATE(A853,""ko"",""en""),)"),"")</f>
        <v/>
      </c>
      <c r="C853" s="4" t="str">
        <f ca="1">IFERROR(__xludf.DUMMYFUNCTION("IFERROR(GOOGLETRANSLATE(B853,""en"",""ja""),)"),"")</f>
        <v/>
      </c>
    </row>
    <row r="854" spans="1:3" ht="18">
      <c r="A854" s="3"/>
      <c r="B854" s="4" t="str">
        <f ca="1">IFERROR(__xludf.DUMMYFUNCTION("IFERROR(GOOGLETRANSLATE(A854,""ko"",""en""),)"),"")</f>
        <v/>
      </c>
      <c r="C854" s="4" t="str">
        <f ca="1">IFERROR(__xludf.DUMMYFUNCTION("IFERROR(GOOGLETRANSLATE(B854,""en"",""ja""),)"),"")</f>
        <v/>
      </c>
    </row>
    <row r="855" spans="1:3" ht="18">
      <c r="A855" s="3"/>
      <c r="B855" s="4" t="str">
        <f ca="1">IFERROR(__xludf.DUMMYFUNCTION("IFERROR(GOOGLETRANSLATE(A855,""ko"",""en""),)"),"")</f>
        <v/>
      </c>
      <c r="C855" s="4" t="str">
        <f ca="1">IFERROR(__xludf.DUMMYFUNCTION("IFERROR(GOOGLETRANSLATE(B855,""en"",""ja""),)"),"")</f>
        <v/>
      </c>
    </row>
    <row r="856" spans="1:3" ht="18">
      <c r="A856" s="3"/>
      <c r="B856" s="4" t="str">
        <f ca="1">IFERROR(__xludf.DUMMYFUNCTION("IFERROR(GOOGLETRANSLATE(A856,""ko"",""en""),)"),"")</f>
        <v/>
      </c>
      <c r="C856" s="4" t="str">
        <f ca="1">IFERROR(__xludf.DUMMYFUNCTION("IFERROR(GOOGLETRANSLATE(B856,""en"",""ja""),)"),"")</f>
        <v/>
      </c>
    </row>
    <row r="857" spans="1:3" ht="18">
      <c r="A857" s="3"/>
      <c r="B857" s="4" t="str">
        <f ca="1">IFERROR(__xludf.DUMMYFUNCTION("IFERROR(GOOGLETRANSLATE(A857,""ko"",""en""),)"),"")</f>
        <v/>
      </c>
      <c r="C857" s="4" t="str">
        <f ca="1">IFERROR(__xludf.DUMMYFUNCTION("IFERROR(GOOGLETRANSLATE(B857,""en"",""ja""),)"),"")</f>
        <v/>
      </c>
    </row>
    <row r="858" spans="1:3" ht="18">
      <c r="A858" s="3"/>
      <c r="B858" s="4" t="str">
        <f ca="1">IFERROR(__xludf.DUMMYFUNCTION("IFERROR(GOOGLETRANSLATE(A858,""ko"",""en""),)"),"")</f>
        <v/>
      </c>
      <c r="C858" s="4" t="str">
        <f ca="1">IFERROR(__xludf.DUMMYFUNCTION("IFERROR(GOOGLETRANSLATE(B858,""en"",""ja""),)"),"")</f>
        <v/>
      </c>
    </row>
    <row r="859" spans="1:3" ht="18">
      <c r="A859" s="3"/>
      <c r="B859" s="4" t="str">
        <f ca="1">IFERROR(__xludf.DUMMYFUNCTION("IFERROR(GOOGLETRANSLATE(A859,""ko"",""en""),)"),"")</f>
        <v/>
      </c>
      <c r="C859" s="4" t="str">
        <f ca="1">IFERROR(__xludf.DUMMYFUNCTION("IFERROR(GOOGLETRANSLATE(B859,""en"",""ja""),)"),"")</f>
        <v/>
      </c>
    </row>
    <row r="860" spans="1:3" ht="18">
      <c r="A860" s="3"/>
      <c r="B860" s="4" t="str">
        <f ca="1">IFERROR(__xludf.DUMMYFUNCTION("IFERROR(GOOGLETRANSLATE(A860,""ko"",""en""),)"),"")</f>
        <v/>
      </c>
      <c r="C860" s="4" t="str">
        <f ca="1">IFERROR(__xludf.DUMMYFUNCTION("IFERROR(GOOGLETRANSLATE(B860,""en"",""ja""),)"),"")</f>
        <v/>
      </c>
    </row>
    <row r="861" spans="1:3" ht="18">
      <c r="A861" s="3"/>
      <c r="B861" s="4" t="str">
        <f ca="1">IFERROR(__xludf.DUMMYFUNCTION("IFERROR(GOOGLETRANSLATE(A861,""ko"",""en""),)"),"")</f>
        <v/>
      </c>
      <c r="C861" s="4" t="str">
        <f ca="1">IFERROR(__xludf.DUMMYFUNCTION("IFERROR(GOOGLETRANSLATE(B861,""en"",""ja""),)"),"")</f>
        <v/>
      </c>
    </row>
    <row r="862" spans="1:3" ht="18">
      <c r="A862" s="3"/>
      <c r="B862" s="4" t="str">
        <f ca="1">IFERROR(__xludf.DUMMYFUNCTION("IFERROR(GOOGLETRANSLATE(A862,""ko"",""en""),)"),"")</f>
        <v/>
      </c>
      <c r="C862" s="4" t="str">
        <f ca="1">IFERROR(__xludf.DUMMYFUNCTION("IFERROR(GOOGLETRANSLATE(B862,""en"",""ja""),)"),"")</f>
        <v/>
      </c>
    </row>
    <row r="863" spans="1:3" ht="18">
      <c r="A863" s="3"/>
      <c r="B863" s="4" t="str">
        <f ca="1">IFERROR(__xludf.DUMMYFUNCTION("IFERROR(GOOGLETRANSLATE(A863,""ko"",""en""),)"),"")</f>
        <v/>
      </c>
      <c r="C863" s="4" t="str">
        <f ca="1">IFERROR(__xludf.DUMMYFUNCTION("IFERROR(GOOGLETRANSLATE(B863,""en"",""ja""),)"),"")</f>
        <v/>
      </c>
    </row>
    <row r="864" spans="1:3" ht="18">
      <c r="A864" s="3"/>
      <c r="B864" s="4" t="str">
        <f ca="1">IFERROR(__xludf.DUMMYFUNCTION("IFERROR(GOOGLETRANSLATE(A864,""ko"",""en""),)"),"")</f>
        <v/>
      </c>
      <c r="C864" s="4" t="str">
        <f ca="1">IFERROR(__xludf.DUMMYFUNCTION("IFERROR(GOOGLETRANSLATE(B864,""en"",""ja""),)"),"")</f>
        <v/>
      </c>
    </row>
    <row r="865" spans="1:3" ht="18">
      <c r="A865" s="3"/>
      <c r="B865" s="4" t="str">
        <f ca="1">IFERROR(__xludf.DUMMYFUNCTION("IFERROR(GOOGLETRANSLATE(A865,""ko"",""en""),)"),"")</f>
        <v/>
      </c>
      <c r="C865" s="4" t="str">
        <f ca="1">IFERROR(__xludf.DUMMYFUNCTION("IFERROR(GOOGLETRANSLATE(B865,""en"",""ja""),)"),"")</f>
        <v/>
      </c>
    </row>
    <row r="866" spans="1:3" ht="18">
      <c r="A866" s="3"/>
      <c r="B866" s="4" t="str">
        <f ca="1">IFERROR(__xludf.DUMMYFUNCTION("IFERROR(GOOGLETRANSLATE(A866,""ko"",""en""),)"),"")</f>
        <v/>
      </c>
      <c r="C866" s="4" t="str">
        <f ca="1">IFERROR(__xludf.DUMMYFUNCTION("IFERROR(GOOGLETRANSLATE(B866,""en"",""ja""),)"),"")</f>
        <v/>
      </c>
    </row>
    <row r="867" spans="1:3" ht="18">
      <c r="A867" s="3"/>
      <c r="B867" s="4" t="str">
        <f ca="1">IFERROR(__xludf.DUMMYFUNCTION("IFERROR(GOOGLETRANSLATE(A867,""ko"",""en""),)"),"")</f>
        <v/>
      </c>
      <c r="C867" s="4" t="str">
        <f ca="1">IFERROR(__xludf.DUMMYFUNCTION("IFERROR(GOOGLETRANSLATE(B867,""en"",""ja""),)"),"")</f>
        <v/>
      </c>
    </row>
    <row r="868" spans="1:3" ht="18">
      <c r="A868" s="3"/>
      <c r="B868" s="4" t="str">
        <f ca="1">IFERROR(__xludf.DUMMYFUNCTION("IFERROR(GOOGLETRANSLATE(A868,""ko"",""en""),)"),"")</f>
        <v/>
      </c>
      <c r="C868" s="4" t="str">
        <f ca="1">IFERROR(__xludf.DUMMYFUNCTION("IFERROR(GOOGLETRANSLATE(B868,""en"",""ja""),)"),"")</f>
        <v/>
      </c>
    </row>
    <row r="869" spans="1:3" ht="18">
      <c r="A869" s="3"/>
      <c r="B869" s="4" t="str">
        <f ca="1">IFERROR(__xludf.DUMMYFUNCTION("IFERROR(GOOGLETRANSLATE(A869,""ko"",""en""),)"),"")</f>
        <v/>
      </c>
      <c r="C869" s="4" t="str">
        <f ca="1">IFERROR(__xludf.DUMMYFUNCTION("IFERROR(GOOGLETRANSLATE(B869,""en"",""ja""),)"),"")</f>
        <v/>
      </c>
    </row>
    <row r="870" spans="1:3" ht="18">
      <c r="A870" s="3"/>
      <c r="B870" s="4" t="str">
        <f ca="1">IFERROR(__xludf.DUMMYFUNCTION("IFERROR(GOOGLETRANSLATE(A870,""ko"",""en""),)"),"")</f>
        <v/>
      </c>
      <c r="C870" s="4" t="str">
        <f ca="1">IFERROR(__xludf.DUMMYFUNCTION("IFERROR(GOOGLETRANSLATE(B870,""en"",""ja""),)"),"")</f>
        <v/>
      </c>
    </row>
    <row r="871" spans="1:3" ht="18">
      <c r="A871" s="3"/>
      <c r="B871" s="4" t="str">
        <f ca="1">IFERROR(__xludf.DUMMYFUNCTION("IFERROR(GOOGLETRANSLATE(A871,""ko"",""en""),)"),"")</f>
        <v/>
      </c>
      <c r="C871" s="4" t="str">
        <f ca="1">IFERROR(__xludf.DUMMYFUNCTION("IFERROR(GOOGLETRANSLATE(B871,""en"",""ja""),)"),"")</f>
        <v/>
      </c>
    </row>
    <row r="872" spans="1:3" ht="18">
      <c r="A872" s="3"/>
      <c r="B872" s="4" t="str">
        <f ca="1">IFERROR(__xludf.DUMMYFUNCTION("IFERROR(GOOGLETRANSLATE(A872,""ko"",""en""),)"),"")</f>
        <v/>
      </c>
      <c r="C872" s="4" t="str">
        <f ca="1">IFERROR(__xludf.DUMMYFUNCTION("IFERROR(GOOGLETRANSLATE(B872,""en"",""ja""),)"),"")</f>
        <v/>
      </c>
    </row>
    <row r="873" spans="1:3" ht="18">
      <c r="A873" s="3"/>
      <c r="B873" s="4" t="str">
        <f ca="1">IFERROR(__xludf.DUMMYFUNCTION("IFERROR(GOOGLETRANSLATE(A873,""ko"",""en""),)"),"")</f>
        <v/>
      </c>
      <c r="C873" s="4" t="str">
        <f ca="1">IFERROR(__xludf.DUMMYFUNCTION("IFERROR(GOOGLETRANSLATE(B873,""en"",""ja""),)"),"")</f>
        <v/>
      </c>
    </row>
    <row r="874" spans="1:3" ht="18">
      <c r="A874" s="3"/>
      <c r="B874" s="4" t="str">
        <f ca="1">IFERROR(__xludf.DUMMYFUNCTION("IFERROR(GOOGLETRANSLATE(A874,""ko"",""en""),)"),"")</f>
        <v/>
      </c>
      <c r="C874" s="4" t="str">
        <f ca="1">IFERROR(__xludf.DUMMYFUNCTION("IFERROR(GOOGLETRANSLATE(B874,""en"",""ja""),)"),"")</f>
        <v/>
      </c>
    </row>
    <row r="875" spans="1:3" ht="18">
      <c r="A875" s="3"/>
      <c r="B875" s="4" t="str">
        <f ca="1">IFERROR(__xludf.DUMMYFUNCTION("IFERROR(GOOGLETRANSLATE(A875,""ko"",""en""),)"),"")</f>
        <v/>
      </c>
      <c r="C875" s="4" t="str">
        <f ca="1">IFERROR(__xludf.DUMMYFUNCTION("IFERROR(GOOGLETRANSLATE(B875,""en"",""ja""),)"),"")</f>
        <v/>
      </c>
    </row>
    <row r="876" spans="1:3" ht="18">
      <c r="A876" s="3"/>
      <c r="B876" s="4" t="str">
        <f ca="1">IFERROR(__xludf.DUMMYFUNCTION("IFERROR(GOOGLETRANSLATE(A876,""ko"",""en""),)"),"")</f>
        <v/>
      </c>
      <c r="C876" s="4" t="str">
        <f ca="1">IFERROR(__xludf.DUMMYFUNCTION("IFERROR(GOOGLETRANSLATE(B876,""en"",""ja""),)"),"")</f>
        <v/>
      </c>
    </row>
    <row r="877" spans="1:3" ht="18">
      <c r="A877" s="3"/>
      <c r="B877" s="4" t="str">
        <f ca="1">IFERROR(__xludf.DUMMYFUNCTION("IFERROR(GOOGLETRANSLATE(A877,""ko"",""en""),)"),"")</f>
        <v/>
      </c>
      <c r="C877" s="4" t="str">
        <f ca="1">IFERROR(__xludf.DUMMYFUNCTION("IFERROR(GOOGLETRANSLATE(B877,""en"",""ja""),)"),"")</f>
        <v/>
      </c>
    </row>
    <row r="878" spans="1:3" ht="18">
      <c r="A878" s="3"/>
      <c r="B878" s="4" t="str">
        <f ca="1">IFERROR(__xludf.DUMMYFUNCTION("IFERROR(GOOGLETRANSLATE(A878,""ko"",""en""),)"),"")</f>
        <v/>
      </c>
      <c r="C878" s="4" t="str">
        <f ca="1">IFERROR(__xludf.DUMMYFUNCTION("IFERROR(GOOGLETRANSLATE(B878,""en"",""ja""),)"),"")</f>
        <v/>
      </c>
    </row>
    <row r="879" spans="1:3" ht="18">
      <c r="A879" s="3"/>
      <c r="B879" s="4" t="str">
        <f ca="1">IFERROR(__xludf.DUMMYFUNCTION("IFERROR(GOOGLETRANSLATE(A879,""ko"",""en""),)"),"")</f>
        <v/>
      </c>
      <c r="C879" s="4" t="str">
        <f ca="1">IFERROR(__xludf.DUMMYFUNCTION("IFERROR(GOOGLETRANSLATE(B879,""en"",""ja""),)"),"")</f>
        <v/>
      </c>
    </row>
    <row r="880" spans="1:3" ht="18">
      <c r="A880" s="3"/>
      <c r="B880" s="4" t="str">
        <f ca="1">IFERROR(__xludf.DUMMYFUNCTION("IFERROR(GOOGLETRANSLATE(A880,""ko"",""en""),)"),"")</f>
        <v/>
      </c>
      <c r="C880" s="4" t="str">
        <f ca="1">IFERROR(__xludf.DUMMYFUNCTION("IFERROR(GOOGLETRANSLATE(B880,""en"",""ja""),)"),"")</f>
        <v/>
      </c>
    </row>
    <row r="881" spans="1:3" ht="18">
      <c r="A881" s="3"/>
      <c r="B881" s="4" t="str">
        <f ca="1">IFERROR(__xludf.DUMMYFUNCTION("IFERROR(GOOGLETRANSLATE(A881,""ko"",""en""),)"),"")</f>
        <v/>
      </c>
      <c r="C881" s="4" t="str">
        <f ca="1">IFERROR(__xludf.DUMMYFUNCTION("IFERROR(GOOGLETRANSLATE(B881,""en"",""ja""),)"),"")</f>
        <v/>
      </c>
    </row>
    <row r="882" spans="1:3" ht="18">
      <c r="A882" s="3"/>
      <c r="B882" s="4" t="str">
        <f ca="1">IFERROR(__xludf.DUMMYFUNCTION("IFERROR(GOOGLETRANSLATE(A882,""ko"",""en""),)"),"")</f>
        <v/>
      </c>
      <c r="C882" s="4" t="str">
        <f ca="1">IFERROR(__xludf.DUMMYFUNCTION("IFERROR(GOOGLETRANSLATE(B882,""en"",""ja""),)"),"")</f>
        <v/>
      </c>
    </row>
    <row r="883" spans="1:3" ht="18">
      <c r="A883" s="3"/>
      <c r="B883" s="4" t="str">
        <f ca="1">IFERROR(__xludf.DUMMYFUNCTION("IFERROR(GOOGLETRANSLATE(A883,""ko"",""en""),)"),"")</f>
        <v/>
      </c>
      <c r="C883" s="4" t="str">
        <f ca="1">IFERROR(__xludf.DUMMYFUNCTION("IFERROR(GOOGLETRANSLATE(B883,""en"",""ja""),)"),"")</f>
        <v/>
      </c>
    </row>
    <row r="884" spans="1:3" ht="18">
      <c r="A884" s="3"/>
      <c r="B884" s="4" t="str">
        <f ca="1">IFERROR(__xludf.DUMMYFUNCTION("IFERROR(GOOGLETRANSLATE(A884,""ko"",""en""),)"),"")</f>
        <v/>
      </c>
      <c r="C884" s="4" t="str">
        <f ca="1">IFERROR(__xludf.DUMMYFUNCTION("IFERROR(GOOGLETRANSLATE(B884,""en"",""ja""),)"),"")</f>
        <v/>
      </c>
    </row>
    <row r="885" spans="1:3" ht="18">
      <c r="A885" s="3"/>
      <c r="B885" s="4" t="str">
        <f ca="1">IFERROR(__xludf.DUMMYFUNCTION("IFERROR(GOOGLETRANSLATE(A885,""ko"",""en""),)"),"")</f>
        <v/>
      </c>
      <c r="C885" s="4" t="str">
        <f ca="1">IFERROR(__xludf.DUMMYFUNCTION("IFERROR(GOOGLETRANSLATE(B885,""en"",""ja""),)"),"")</f>
        <v/>
      </c>
    </row>
    <row r="886" spans="1:3" ht="18">
      <c r="A886" s="3"/>
      <c r="B886" s="4" t="str">
        <f ca="1">IFERROR(__xludf.DUMMYFUNCTION("IFERROR(GOOGLETRANSLATE(A886,""ko"",""en""),)"),"")</f>
        <v/>
      </c>
      <c r="C886" s="4" t="str">
        <f ca="1">IFERROR(__xludf.DUMMYFUNCTION("IFERROR(GOOGLETRANSLATE(B886,""en"",""ja""),)"),"")</f>
        <v/>
      </c>
    </row>
    <row r="887" spans="1:3" ht="18">
      <c r="A887" s="3"/>
      <c r="B887" s="4" t="str">
        <f ca="1">IFERROR(__xludf.DUMMYFUNCTION("IFERROR(GOOGLETRANSLATE(A887,""ko"",""en""),)"),"")</f>
        <v/>
      </c>
      <c r="C887" s="4" t="str">
        <f ca="1">IFERROR(__xludf.DUMMYFUNCTION("IFERROR(GOOGLETRANSLATE(B887,""en"",""ja""),)"),"")</f>
        <v/>
      </c>
    </row>
    <row r="888" spans="1:3" ht="18">
      <c r="A888" s="3"/>
      <c r="B888" s="4" t="str">
        <f ca="1">IFERROR(__xludf.DUMMYFUNCTION("IFERROR(GOOGLETRANSLATE(A888,""ko"",""en""),)"),"")</f>
        <v/>
      </c>
      <c r="C888" s="4" t="str">
        <f ca="1">IFERROR(__xludf.DUMMYFUNCTION("IFERROR(GOOGLETRANSLATE(B888,""en"",""ja""),)"),"")</f>
        <v/>
      </c>
    </row>
    <row r="889" spans="1:3" ht="18">
      <c r="A889" s="3"/>
      <c r="B889" s="4" t="str">
        <f ca="1">IFERROR(__xludf.DUMMYFUNCTION("IFERROR(GOOGLETRANSLATE(A889,""ko"",""en""),)"),"")</f>
        <v/>
      </c>
      <c r="C889" s="4" t="str">
        <f ca="1">IFERROR(__xludf.DUMMYFUNCTION("IFERROR(GOOGLETRANSLATE(B889,""en"",""ja""),)"),"")</f>
        <v/>
      </c>
    </row>
    <row r="890" spans="1:3" ht="18">
      <c r="A890" s="3"/>
      <c r="B890" s="4" t="str">
        <f ca="1">IFERROR(__xludf.DUMMYFUNCTION("IFERROR(GOOGLETRANSLATE(A890,""ko"",""en""),)"),"")</f>
        <v/>
      </c>
      <c r="C890" s="4" t="str">
        <f ca="1">IFERROR(__xludf.DUMMYFUNCTION("IFERROR(GOOGLETRANSLATE(B890,""en"",""ja""),)"),"")</f>
        <v/>
      </c>
    </row>
    <row r="891" spans="1:3" ht="18">
      <c r="A891" s="3"/>
      <c r="B891" s="4" t="str">
        <f ca="1">IFERROR(__xludf.DUMMYFUNCTION("IFERROR(GOOGLETRANSLATE(A891,""ko"",""en""),)"),"")</f>
        <v/>
      </c>
      <c r="C891" s="4" t="str">
        <f ca="1">IFERROR(__xludf.DUMMYFUNCTION("IFERROR(GOOGLETRANSLATE(B891,""en"",""ja""),)"),"")</f>
        <v/>
      </c>
    </row>
    <row r="892" spans="1:3" ht="18">
      <c r="A892" s="3"/>
      <c r="B892" s="4" t="str">
        <f ca="1">IFERROR(__xludf.DUMMYFUNCTION("IFERROR(GOOGLETRANSLATE(A892,""ko"",""en""),)"),"")</f>
        <v/>
      </c>
      <c r="C892" s="4" t="str">
        <f ca="1">IFERROR(__xludf.DUMMYFUNCTION("IFERROR(GOOGLETRANSLATE(B892,""en"",""ja""),)"),"")</f>
        <v/>
      </c>
    </row>
    <row r="893" spans="1:3" ht="18">
      <c r="A893" s="3"/>
      <c r="B893" s="4" t="str">
        <f ca="1">IFERROR(__xludf.DUMMYFUNCTION("IFERROR(GOOGLETRANSLATE(A893,""ko"",""en""),)"),"")</f>
        <v/>
      </c>
      <c r="C893" s="4" t="str">
        <f ca="1">IFERROR(__xludf.DUMMYFUNCTION("IFERROR(GOOGLETRANSLATE(B893,""en"",""ja""),)"),"")</f>
        <v/>
      </c>
    </row>
    <row r="894" spans="1:3" ht="18">
      <c r="A894" s="3"/>
      <c r="B894" s="4" t="str">
        <f ca="1">IFERROR(__xludf.DUMMYFUNCTION("IFERROR(GOOGLETRANSLATE(A894,""ko"",""en""),)"),"")</f>
        <v/>
      </c>
      <c r="C894" s="4" t="str">
        <f ca="1">IFERROR(__xludf.DUMMYFUNCTION("IFERROR(GOOGLETRANSLATE(B894,""en"",""ja""),)"),"")</f>
        <v/>
      </c>
    </row>
    <row r="895" spans="1:3" ht="18">
      <c r="A895" s="3"/>
      <c r="B895" s="4" t="str">
        <f ca="1">IFERROR(__xludf.DUMMYFUNCTION("IFERROR(GOOGLETRANSLATE(A895,""ko"",""en""),)"),"")</f>
        <v/>
      </c>
      <c r="C895" s="4" t="str">
        <f ca="1">IFERROR(__xludf.DUMMYFUNCTION("IFERROR(GOOGLETRANSLATE(B895,""en"",""ja""),)"),"")</f>
        <v/>
      </c>
    </row>
    <row r="896" spans="1:3" ht="18">
      <c r="A896" s="3"/>
      <c r="B896" s="4" t="str">
        <f ca="1">IFERROR(__xludf.DUMMYFUNCTION("IFERROR(GOOGLETRANSLATE(A896,""ko"",""en""),)"),"")</f>
        <v/>
      </c>
      <c r="C896" s="4" t="str">
        <f ca="1">IFERROR(__xludf.DUMMYFUNCTION("IFERROR(GOOGLETRANSLATE(B896,""en"",""ja""),)"),"")</f>
        <v/>
      </c>
    </row>
    <row r="897" spans="1:3" ht="18">
      <c r="A897" s="3"/>
      <c r="B897" s="4" t="str">
        <f ca="1">IFERROR(__xludf.DUMMYFUNCTION("IFERROR(GOOGLETRANSLATE(A897,""ko"",""en""),)"),"")</f>
        <v/>
      </c>
      <c r="C897" s="4" t="str">
        <f ca="1">IFERROR(__xludf.DUMMYFUNCTION("IFERROR(GOOGLETRANSLATE(B897,""en"",""ja""),)"),"")</f>
        <v/>
      </c>
    </row>
    <row r="898" spans="1:3" ht="18">
      <c r="A898" s="3"/>
      <c r="B898" s="4" t="str">
        <f ca="1">IFERROR(__xludf.DUMMYFUNCTION("IFERROR(GOOGLETRANSLATE(A898,""ko"",""en""),)"),"")</f>
        <v/>
      </c>
      <c r="C898" s="4" t="str">
        <f ca="1">IFERROR(__xludf.DUMMYFUNCTION("IFERROR(GOOGLETRANSLATE(B898,""en"",""ja""),)"),"")</f>
        <v/>
      </c>
    </row>
    <row r="899" spans="1:3" ht="18">
      <c r="A899" s="3"/>
      <c r="B899" s="4" t="str">
        <f ca="1">IFERROR(__xludf.DUMMYFUNCTION("IFERROR(GOOGLETRANSLATE(A899,""ko"",""en""),)"),"")</f>
        <v/>
      </c>
      <c r="C899" s="4" t="str">
        <f ca="1">IFERROR(__xludf.DUMMYFUNCTION("IFERROR(GOOGLETRANSLATE(B899,""en"",""ja""),)"),"")</f>
        <v/>
      </c>
    </row>
    <row r="900" spans="1:3" ht="18">
      <c r="A900" s="3"/>
      <c r="B900" s="4" t="str">
        <f ca="1">IFERROR(__xludf.DUMMYFUNCTION("IFERROR(GOOGLETRANSLATE(A900,""ko"",""en""),)"),"")</f>
        <v/>
      </c>
      <c r="C900" s="4" t="str">
        <f ca="1">IFERROR(__xludf.DUMMYFUNCTION("IFERROR(GOOGLETRANSLATE(B900,""en"",""ja""),)"),"")</f>
        <v/>
      </c>
    </row>
    <row r="901" spans="1:3" ht="18">
      <c r="A901" s="3"/>
      <c r="B901" s="4" t="str">
        <f ca="1">IFERROR(__xludf.DUMMYFUNCTION("IFERROR(GOOGLETRANSLATE(A901,""ko"",""en""),)"),"")</f>
        <v/>
      </c>
      <c r="C901" s="4" t="str">
        <f ca="1">IFERROR(__xludf.DUMMYFUNCTION("IFERROR(GOOGLETRANSLATE(B901,""en"",""ja""),)"),"")</f>
        <v/>
      </c>
    </row>
    <row r="902" spans="1:3" ht="18">
      <c r="A902" s="3"/>
      <c r="B902" s="4" t="str">
        <f ca="1">IFERROR(__xludf.DUMMYFUNCTION("IFERROR(GOOGLETRANSLATE(A902,""ko"",""en""),)"),"")</f>
        <v/>
      </c>
      <c r="C902" s="4" t="str">
        <f ca="1">IFERROR(__xludf.DUMMYFUNCTION("IFERROR(GOOGLETRANSLATE(B902,""en"",""ja""),)"),"")</f>
        <v/>
      </c>
    </row>
    <row r="903" spans="1:3" ht="18">
      <c r="A903" s="3"/>
      <c r="B903" s="4" t="str">
        <f ca="1">IFERROR(__xludf.DUMMYFUNCTION("IFERROR(GOOGLETRANSLATE(A903,""ko"",""en""),)"),"")</f>
        <v/>
      </c>
      <c r="C903" s="4" t="str">
        <f ca="1">IFERROR(__xludf.DUMMYFUNCTION("IFERROR(GOOGLETRANSLATE(B903,""en"",""ja""),)"),"")</f>
        <v/>
      </c>
    </row>
    <row r="904" spans="1:3" ht="18">
      <c r="A904" s="3"/>
      <c r="B904" s="4" t="str">
        <f ca="1">IFERROR(__xludf.DUMMYFUNCTION("IFERROR(GOOGLETRANSLATE(A904,""ko"",""en""),)"),"")</f>
        <v/>
      </c>
      <c r="C904" s="4" t="str">
        <f ca="1">IFERROR(__xludf.DUMMYFUNCTION("IFERROR(GOOGLETRANSLATE(B904,""en"",""ja""),)"),"")</f>
        <v/>
      </c>
    </row>
    <row r="905" spans="1:3" ht="18">
      <c r="A905" s="3"/>
      <c r="B905" s="4" t="str">
        <f ca="1">IFERROR(__xludf.DUMMYFUNCTION("IFERROR(GOOGLETRANSLATE(A905,""ko"",""en""),)"),"")</f>
        <v/>
      </c>
      <c r="C905" s="4" t="str">
        <f ca="1">IFERROR(__xludf.DUMMYFUNCTION("IFERROR(GOOGLETRANSLATE(B905,""en"",""ja""),)"),"")</f>
        <v/>
      </c>
    </row>
    <row r="906" spans="1:3" ht="18">
      <c r="A906" s="3"/>
      <c r="B906" s="4" t="str">
        <f ca="1">IFERROR(__xludf.DUMMYFUNCTION("IFERROR(GOOGLETRANSLATE(A906,""ko"",""en""),)"),"")</f>
        <v/>
      </c>
      <c r="C906" s="4" t="str">
        <f ca="1">IFERROR(__xludf.DUMMYFUNCTION("IFERROR(GOOGLETRANSLATE(B906,""en"",""ja""),)"),"")</f>
        <v/>
      </c>
    </row>
    <row r="907" spans="1:3" ht="18">
      <c r="A907" s="3"/>
      <c r="B907" s="4" t="str">
        <f ca="1">IFERROR(__xludf.DUMMYFUNCTION("IFERROR(GOOGLETRANSLATE(A907,""ko"",""en""),)"),"")</f>
        <v/>
      </c>
      <c r="C907" s="4" t="str">
        <f ca="1">IFERROR(__xludf.DUMMYFUNCTION("IFERROR(GOOGLETRANSLATE(B907,""en"",""ja""),)"),"")</f>
        <v/>
      </c>
    </row>
    <row r="908" spans="1:3" ht="18">
      <c r="A908" s="3"/>
      <c r="B908" s="4" t="str">
        <f ca="1">IFERROR(__xludf.DUMMYFUNCTION("IFERROR(GOOGLETRANSLATE(A908,""ko"",""en""),)"),"")</f>
        <v/>
      </c>
      <c r="C908" s="4" t="str">
        <f ca="1">IFERROR(__xludf.DUMMYFUNCTION("IFERROR(GOOGLETRANSLATE(B908,""en"",""ja""),)"),"")</f>
        <v/>
      </c>
    </row>
    <row r="909" spans="1:3" ht="18">
      <c r="A909" s="3"/>
      <c r="B909" s="4" t="str">
        <f ca="1">IFERROR(__xludf.DUMMYFUNCTION("IFERROR(GOOGLETRANSLATE(A909,""ko"",""en""),)"),"")</f>
        <v/>
      </c>
      <c r="C909" s="4" t="str">
        <f ca="1">IFERROR(__xludf.DUMMYFUNCTION("IFERROR(GOOGLETRANSLATE(B909,""en"",""ja""),)"),"")</f>
        <v/>
      </c>
    </row>
    <row r="910" spans="1:3" ht="18">
      <c r="A910" s="3"/>
      <c r="B910" s="4" t="str">
        <f ca="1">IFERROR(__xludf.DUMMYFUNCTION("IFERROR(GOOGLETRANSLATE(A910,""ko"",""en""),)"),"")</f>
        <v/>
      </c>
      <c r="C910" s="4" t="str">
        <f ca="1">IFERROR(__xludf.DUMMYFUNCTION("IFERROR(GOOGLETRANSLATE(B910,""en"",""ja""),)"),"")</f>
        <v/>
      </c>
    </row>
    <row r="911" spans="1:3" ht="18">
      <c r="A911" s="3"/>
      <c r="B911" s="4" t="str">
        <f ca="1">IFERROR(__xludf.DUMMYFUNCTION("IFERROR(GOOGLETRANSLATE(A911,""ko"",""en""),)"),"")</f>
        <v/>
      </c>
      <c r="C911" s="4" t="str">
        <f ca="1">IFERROR(__xludf.DUMMYFUNCTION("IFERROR(GOOGLETRANSLATE(B911,""en"",""ja""),)"),"")</f>
        <v/>
      </c>
    </row>
    <row r="912" spans="1:3" ht="18">
      <c r="A912" s="3"/>
      <c r="B912" s="4" t="str">
        <f ca="1">IFERROR(__xludf.DUMMYFUNCTION("IFERROR(GOOGLETRANSLATE(A912,""ko"",""en""),)"),"")</f>
        <v/>
      </c>
      <c r="C912" s="4" t="str">
        <f ca="1">IFERROR(__xludf.DUMMYFUNCTION("IFERROR(GOOGLETRANSLATE(B912,""en"",""ja""),)"),"")</f>
        <v/>
      </c>
    </row>
    <row r="913" spans="1:3" ht="18">
      <c r="A913" s="3"/>
      <c r="B913" s="4" t="str">
        <f ca="1">IFERROR(__xludf.DUMMYFUNCTION("IFERROR(GOOGLETRANSLATE(A913,""ko"",""en""),)"),"")</f>
        <v/>
      </c>
      <c r="C913" s="4" t="str">
        <f ca="1">IFERROR(__xludf.DUMMYFUNCTION("IFERROR(GOOGLETRANSLATE(B913,""en"",""ja""),)"),"")</f>
        <v/>
      </c>
    </row>
    <row r="914" spans="1:3" ht="18">
      <c r="A914" s="3"/>
      <c r="B914" s="4" t="str">
        <f ca="1">IFERROR(__xludf.DUMMYFUNCTION("IFERROR(GOOGLETRANSLATE(A914,""ko"",""en""),)"),"")</f>
        <v/>
      </c>
      <c r="C914" s="4" t="str">
        <f ca="1">IFERROR(__xludf.DUMMYFUNCTION("IFERROR(GOOGLETRANSLATE(B914,""en"",""ja""),)"),"")</f>
        <v/>
      </c>
    </row>
    <row r="915" spans="1:3" ht="18">
      <c r="A915" s="3"/>
      <c r="B915" s="4" t="str">
        <f ca="1">IFERROR(__xludf.DUMMYFUNCTION("IFERROR(GOOGLETRANSLATE(A915,""ko"",""en""),)"),"")</f>
        <v/>
      </c>
      <c r="C915" s="4" t="str">
        <f ca="1">IFERROR(__xludf.DUMMYFUNCTION("IFERROR(GOOGLETRANSLATE(B915,""en"",""ja""),)"),"")</f>
        <v/>
      </c>
    </row>
    <row r="916" spans="1:3" ht="18">
      <c r="A916" s="3"/>
      <c r="B916" s="4" t="str">
        <f ca="1">IFERROR(__xludf.DUMMYFUNCTION("IFERROR(GOOGLETRANSLATE(A916,""ko"",""en""),)"),"")</f>
        <v/>
      </c>
      <c r="C916" s="4" t="str">
        <f ca="1">IFERROR(__xludf.DUMMYFUNCTION("IFERROR(GOOGLETRANSLATE(B916,""en"",""ja""),)"),"")</f>
        <v/>
      </c>
    </row>
    <row r="917" spans="1:3" ht="18">
      <c r="A917" s="3"/>
      <c r="B917" s="4" t="str">
        <f ca="1">IFERROR(__xludf.DUMMYFUNCTION("IFERROR(GOOGLETRANSLATE(A917,""ko"",""en""),)"),"")</f>
        <v/>
      </c>
      <c r="C917" s="4" t="str">
        <f ca="1">IFERROR(__xludf.DUMMYFUNCTION("IFERROR(GOOGLETRANSLATE(B917,""en"",""ja""),)"),"")</f>
        <v/>
      </c>
    </row>
    <row r="918" spans="1:3" ht="18">
      <c r="A918" s="3"/>
      <c r="B918" s="4" t="str">
        <f ca="1">IFERROR(__xludf.DUMMYFUNCTION("IFERROR(GOOGLETRANSLATE(A918,""ko"",""en""),)"),"")</f>
        <v/>
      </c>
      <c r="C918" s="4" t="str">
        <f ca="1">IFERROR(__xludf.DUMMYFUNCTION("IFERROR(GOOGLETRANSLATE(B918,""en"",""ja""),)"),"")</f>
        <v/>
      </c>
    </row>
    <row r="919" spans="1:3" ht="18">
      <c r="A919" s="3"/>
      <c r="B919" s="4" t="str">
        <f ca="1">IFERROR(__xludf.DUMMYFUNCTION("IFERROR(GOOGLETRANSLATE(A919,""ko"",""en""),)"),"")</f>
        <v/>
      </c>
      <c r="C919" s="4" t="str">
        <f ca="1">IFERROR(__xludf.DUMMYFUNCTION("IFERROR(GOOGLETRANSLATE(B919,""en"",""ja""),)"),"")</f>
        <v/>
      </c>
    </row>
    <row r="920" spans="1:3" ht="18">
      <c r="A920" s="3"/>
      <c r="B920" s="4" t="str">
        <f ca="1">IFERROR(__xludf.DUMMYFUNCTION("IFERROR(GOOGLETRANSLATE(A920,""ko"",""en""),)"),"")</f>
        <v/>
      </c>
      <c r="C920" s="4" t="str">
        <f ca="1">IFERROR(__xludf.DUMMYFUNCTION("IFERROR(GOOGLETRANSLATE(B920,""en"",""ja""),)"),"")</f>
        <v/>
      </c>
    </row>
    <row r="921" spans="1:3" ht="18">
      <c r="A921" s="3"/>
      <c r="B921" s="4" t="str">
        <f ca="1">IFERROR(__xludf.DUMMYFUNCTION("IFERROR(GOOGLETRANSLATE(A921,""ko"",""en""),)"),"")</f>
        <v/>
      </c>
      <c r="C921" s="4" t="str">
        <f ca="1">IFERROR(__xludf.DUMMYFUNCTION("IFERROR(GOOGLETRANSLATE(B921,""en"",""ja""),)"),"")</f>
        <v/>
      </c>
    </row>
    <row r="922" spans="1:3" ht="18">
      <c r="A922" s="3"/>
      <c r="B922" s="4" t="str">
        <f ca="1">IFERROR(__xludf.DUMMYFUNCTION("IFERROR(GOOGLETRANSLATE(A922,""ko"",""en""),)"),"")</f>
        <v/>
      </c>
      <c r="C922" s="4" t="str">
        <f ca="1">IFERROR(__xludf.DUMMYFUNCTION("IFERROR(GOOGLETRANSLATE(B922,""en"",""ja""),)"),"")</f>
        <v/>
      </c>
    </row>
    <row r="923" spans="1:3" ht="18">
      <c r="A923" s="3"/>
      <c r="B923" s="4" t="str">
        <f ca="1">IFERROR(__xludf.DUMMYFUNCTION("IFERROR(GOOGLETRANSLATE(A923,""ko"",""en""),)"),"")</f>
        <v/>
      </c>
      <c r="C923" s="4" t="str">
        <f ca="1">IFERROR(__xludf.DUMMYFUNCTION("IFERROR(GOOGLETRANSLATE(B923,""en"",""ja""),)"),"")</f>
        <v/>
      </c>
    </row>
    <row r="924" spans="1:3" ht="18">
      <c r="A924" s="3"/>
      <c r="B924" s="4" t="str">
        <f ca="1">IFERROR(__xludf.DUMMYFUNCTION("IFERROR(GOOGLETRANSLATE(A924,""ko"",""en""),)"),"")</f>
        <v/>
      </c>
      <c r="C924" s="4" t="str">
        <f ca="1">IFERROR(__xludf.DUMMYFUNCTION("IFERROR(GOOGLETRANSLATE(B924,""en"",""ja""),)"),"")</f>
        <v/>
      </c>
    </row>
    <row r="925" spans="1:3" ht="18">
      <c r="A925" s="3"/>
      <c r="B925" s="4" t="str">
        <f ca="1">IFERROR(__xludf.DUMMYFUNCTION("IFERROR(GOOGLETRANSLATE(A925,""ko"",""en""),)"),"")</f>
        <v/>
      </c>
      <c r="C925" s="4" t="str">
        <f ca="1">IFERROR(__xludf.DUMMYFUNCTION("IFERROR(GOOGLETRANSLATE(B925,""en"",""ja""),)"),"")</f>
        <v/>
      </c>
    </row>
    <row r="926" spans="1:3" ht="18">
      <c r="A926" s="3"/>
      <c r="B926" s="4" t="str">
        <f ca="1">IFERROR(__xludf.DUMMYFUNCTION("IFERROR(GOOGLETRANSLATE(A926,""ko"",""en""),)"),"")</f>
        <v/>
      </c>
      <c r="C926" s="4" t="str">
        <f ca="1">IFERROR(__xludf.DUMMYFUNCTION("IFERROR(GOOGLETRANSLATE(B926,""en"",""ja""),)"),"")</f>
        <v/>
      </c>
    </row>
    <row r="927" spans="1:3" ht="18">
      <c r="A927" s="3"/>
      <c r="B927" s="4" t="str">
        <f ca="1">IFERROR(__xludf.DUMMYFUNCTION("IFERROR(GOOGLETRANSLATE(A927,""ko"",""en""),)"),"")</f>
        <v/>
      </c>
      <c r="C927" s="4" t="str">
        <f ca="1">IFERROR(__xludf.DUMMYFUNCTION("IFERROR(GOOGLETRANSLATE(B927,""en"",""ja""),)"),"")</f>
        <v/>
      </c>
    </row>
    <row r="928" spans="1:3" ht="18">
      <c r="A928" s="3"/>
      <c r="B928" s="4" t="str">
        <f ca="1">IFERROR(__xludf.DUMMYFUNCTION("IFERROR(GOOGLETRANSLATE(A928,""ko"",""en""),)"),"")</f>
        <v/>
      </c>
      <c r="C928" s="4" t="str">
        <f ca="1">IFERROR(__xludf.DUMMYFUNCTION("IFERROR(GOOGLETRANSLATE(B928,""en"",""ja""),)"),"")</f>
        <v/>
      </c>
    </row>
    <row r="929" spans="1:3" ht="18">
      <c r="A929" s="3"/>
      <c r="B929" s="4" t="str">
        <f ca="1">IFERROR(__xludf.DUMMYFUNCTION("IFERROR(GOOGLETRANSLATE(A929,""ko"",""en""),)"),"")</f>
        <v/>
      </c>
      <c r="C929" s="4" t="str">
        <f ca="1">IFERROR(__xludf.DUMMYFUNCTION("IFERROR(GOOGLETRANSLATE(B929,""en"",""ja""),)"),"")</f>
        <v/>
      </c>
    </row>
    <row r="930" spans="1:3" ht="18">
      <c r="A930" s="3"/>
      <c r="B930" s="4" t="str">
        <f ca="1">IFERROR(__xludf.DUMMYFUNCTION("IFERROR(GOOGLETRANSLATE(A930,""ko"",""en""),)"),"")</f>
        <v/>
      </c>
      <c r="C930" s="4" t="str">
        <f ca="1">IFERROR(__xludf.DUMMYFUNCTION("IFERROR(GOOGLETRANSLATE(B930,""en"",""ja""),)"),"")</f>
        <v/>
      </c>
    </row>
    <row r="931" spans="1:3" ht="18">
      <c r="A931" s="3"/>
      <c r="B931" s="4" t="str">
        <f ca="1">IFERROR(__xludf.DUMMYFUNCTION("IFERROR(GOOGLETRANSLATE(A931,""ko"",""en""),)"),"")</f>
        <v/>
      </c>
      <c r="C931" s="4" t="str">
        <f ca="1">IFERROR(__xludf.DUMMYFUNCTION("IFERROR(GOOGLETRANSLATE(B931,""en"",""ja""),)"),"")</f>
        <v/>
      </c>
    </row>
    <row r="932" spans="1:3" ht="18">
      <c r="A932" s="3"/>
      <c r="B932" s="4" t="str">
        <f ca="1">IFERROR(__xludf.DUMMYFUNCTION("IFERROR(GOOGLETRANSLATE(A932,""ko"",""en""),)"),"")</f>
        <v/>
      </c>
      <c r="C932" s="4" t="str">
        <f ca="1">IFERROR(__xludf.DUMMYFUNCTION("IFERROR(GOOGLETRANSLATE(B932,""en"",""ja""),)"),"")</f>
        <v/>
      </c>
    </row>
    <row r="933" spans="1:3" ht="18">
      <c r="A933" s="3"/>
      <c r="B933" s="4" t="str">
        <f ca="1">IFERROR(__xludf.DUMMYFUNCTION("IFERROR(GOOGLETRANSLATE(A933,""ko"",""en""),)"),"")</f>
        <v/>
      </c>
      <c r="C933" s="4" t="str">
        <f ca="1">IFERROR(__xludf.DUMMYFUNCTION("IFERROR(GOOGLETRANSLATE(B933,""en"",""ja""),)"),"")</f>
        <v/>
      </c>
    </row>
    <row r="934" spans="1:3" ht="18">
      <c r="A934" s="3"/>
      <c r="B934" s="4" t="str">
        <f ca="1">IFERROR(__xludf.DUMMYFUNCTION("IFERROR(GOOGLETRANSLATE(A934,""ko"",""en""),)"),"")</f>
        <v/>
      </c>
      <c r="C934" s="4" t="str">
        <f ca="1">IFERROR(__xludf.DUMMYFUNCTION("IFERROR(GOOGLETRANSLATE(B934,""en"",""ja""),)"),"")</f>
        <v/>
      </c>
    </row>
    <row r="935" spans="1:3" ht="18">
      <c r="A935" s="3"/>
      <c r="B935" s="4" t="str">
        <f ca="1">IFERROR(__xludf.DUMMYFUNCTION("IFERROR(GOOGLETRANSLATE(A935,""ko"",""en""),)"),"")</f>
        <v/>
      </c>
      <c r="C935" s="4" t="str">
        <f ca="1">IFERROR(__xludf.DUMMYFUNCTION("IFERROR(GOOGLETRANSLATE(B935,""en"",""ja""),)"),"")</f>
        <v/>
      </c>
    </row>
    <row r="936" spans="1:3" ht="18">
      <c r="A936" s="3"/>
      <c r="B936" s="4" t="str">
        <f ca="1">IFERROR(__xludf.DUMMYFUNCTION("IFERROR(GOOGLETRANSLATE(A936,""ko"",""en""),)"),"")</f>
        <v/>
      </c>
      <c r="C936" s="4" t="str">
        <f ca="1">IFERROR(__xludf.DUMMYFUNCTION("IFERROR(GOOGLETRANSLATE(B936,""en"",""ja""),)"),"")</f>
        <v/>
      </c>
    </row>
    <row r="937" spans="1:3" ht="18">
      <c r="A937" s="3"/>
      <c r="B937" s="4" t="str">
        <f ca="1">IFERROR(__xludf.DUMMYFUNCTION("IFERROR(GOOGLETRANSLATE(A937,""ko"",""en""),)"),"")</f>
        <v/>
      </c>
      <c r="C937" s="4" t="str">
        <f ca="1">IFERROR(__xludf.DUMMYFUNCTION("IFERROR(GOOGLETRANSLATE(B937,""en"",""ja""),)"),"")</f>
        <v/>
      </c>
    </row>
    <row r="938" spans="1:3" ht="18">
      <c r="A938" s="3"/>
      <c r="B938" s="4" t="str">
        <f ca="1">IFERROR(__xludf.DUMMYFUNCTION("IFERROR(GOOGLETRANSLATE(A938,""ko"",""en""),)"),"")</f>
        <v/>
      </c>
      <c r="C938" s="4" t="str">
        <f ca="1">IFERROR(__xludf.DUMMYFUNCTION("IFERROR(GOOGLETRANSLATE(B938,""en"",""ja""),)"),"")</f>
        <v/>
      </c>
    </row>
    <row r="939" spans="1:3" ht="18">
      <c r="A939" s="3"/>
      <c r="B939" s="4" t="str">
        <f ca="1">IFERROR(__xludf.DUMMYFUNCTION("IFERROR(GOOGLETRANSLATE(A939,""ko"",""en""),)"),"")</f>
        <v/>
      </c>
      <c r="C939" s="4" t="str">
        <f ca="1">IFERROR(__xludf.DUMMYFUNCTION("IFERROR(GOOGLETRANSLATE(B939,""en"",""ja""),)"),"")</f>
        <v/>
      </c>
    </row>
    <row r="940" spans="1:3" ht="18">
      <c r="A940" s="3"/>
      <c r="B940" s="4" t="str">
        <f ca="1">IFERROR(__xludf.DUMMYFUNCTION("IFERROR(GOOGLETRANSLATE(A940,""ko"",""en""),)"),"")</f>
        <v/>
      </c>
      <c r="C940" s="4" t="str">
        <f ca="1">IFERROR(__xludf.DUMMYFUNCTION("IFERROR(GOOGLETRANSLATE(B940,""en"",""ja""),)"),"")</f>
        <v/>
      </c>
    </row>
    <row r="941" spans="1:3" ht="18">
      <c r="A941" s="3"/>
      <c r="B941" s="4" t="str">
        <f ca="1">IFERROR(__xludf.DUMMYFUNCTION("IFERROR(GOOGLETRANSLATE(A941,""ko"",""en""),)"),"")</f>
        <v/>
      </c>
      <c r="C941" s="4" t="str">
        <f ca="1">IFERROR(__xludf.DUMMYFUNCTION("IFERROR(GOOGLETRANSLATE(B941,""en"",""ja""),)"),"")</f>
        <v/>
      </c>
    </row>
    <row r="942" spans="1:3" ht="18">
      <c r="A942" s="3"/>
      <c r="B942" s="4" t="str">
        <f ca="1">IFERROR(__xludf.DUMMYFUNCTION("IFERROR(GOOGLETRANSLATE(A942,""ko"",""en""),)"),"")</f>
        <v/>
      </c>
      <c r="C942" s="4" t="str">
        <f ca="1">IFERROR(__xludf.DUMMYFUNCTION("IFERROR(GOOGLETRANSLATE(B942,""en"",""ja""),)"),"")</f>
        <v/>
      </c>
    </row>
    <row r="943" spans="1:3" ht="18">
      <c r="A943" s="3"/>
      <c r="B943" s="4" t="str">
        <f ca="1">IFERROR(__xludf.DUMMYFUNCTION("IFERROR(GOOGLETRANSLATE(A943,""ko"",""en""),)"),"")</f>
        <v/>
      </c>
      <c r="C943" s="4" t="str">
        <f ca="1">IFERROR(__xludf.DUMMYFUNCTION("IFERROR(GOOGLETRANSLATE(B943,""en"",""ja""),)"),"")</f>
        <v/>
      </c>
    </row>
    <row r="944" spans="1:3" ht="18">
      <c r="A944" s="3"/>
      <c r="B944" s="4" t="str">
        <f ca="1">IFERROR(__xludf.DUMMYFUNCTION("IFERROR(GOOGLETRANSLATE(A944,""ko"",""en""),)"),"")</f>
        <v/>
      </c>
      <c r="C944" s="4" t="str">
        <f ca="1">IFERROR(__xludf.DUMMYFUNCTION("IFERROR(GOOGLETRANSLATE(B944,""en"",""ja""),)"),"")</f>
        <v/>
      </c>
    </row>
    <row r="945" spans="1:3" ht="18">
      <c r="A945" s="3"/>
      <c r="B945" s="4" t="str">
        <f ca="1">IFERROR(__xludf.DUMMYFUNCTION("IFERROR(GOOGLETRANSLATE(A945,""ko"",""en""),)"),"")</f>
        <v/>
      </c>
      <c r="C945" s="4" t="str">
        <f ca="1">IFERROR(__xludf.DUMMYFUNCTION("IFERROR(GOOGLETRANSLATE(B945,""en"",""ja""),)"),"")</f>
        <v/>
      </c>
    </row>
    <row r="946" spans="1:3" ht="18">
      <c r="A946" s="3"/>
      <c r="B946" s="4" t="str">
        <f ca="1">IFERROR(__xludf.DUMMYFUNCTION("IFERROR(GOOGLETRANSLATE(A946,""ko"",""en""),)"),"")</f>
        <v/>
      </c>
      <c r="C946" s="4" t="str">
        <f ca="1">IFERROR(__xludf.DUMMYFUNCTION("IFERROR(GOOGLETRANSLATE(B946,""en"",""ja""),)"),"")</f>
        <v/>
      </c>
    </row>
    <row r="947" spans="1:3" ht="18">
      <c r="A947" s="3"/>
      <c r="B947" s="4" t="str">
        <f ca="1">IFERROR(__xludf.DUMMYFUNCTION("IFERROR(GOOGLETRANSLATE(A947,""ko"",""en""),)"),"")</f>
        <v/>
      </c>
      <c r="C947" s="4" t="str">
        <f ca="1">IFERROR(__xludf.DUMMYFUNCTION("IFERROR(GOOGLETRANSLATE(B947,""en"",""ja""),)"),"")</f>
        <v/>
      </c>
    </row>
    <row r="948" spans="1:3" ht="18">
      <c r="A948" s="3"/>
      <c r="B948" s="4" t="str">
        <f ca="1">IFERROR(__xludf.DUMMYFUNCTION("IFERROR(GOOGLETRANSLATE(A948,""ko"",""en""),)"),"")</f>
        <v/>
      </c>
      <c r="C948" s="4" t="str">
        <f ca="1">IFERROR(__xludf.DUMMYFUNCTION("IFERROR(GOOGLETRANSLATE(B948,""en"",""ja""),)"),"")</f>
        <v/>
      </c>
    </row>
    <row r="949" spans="1:3" ht="18">
      <c r="A949" s="3"/>
      <c r="B949" s="4" t="str">
        <f ca="1">IFERROR(__xludf.DUMMYFUNCTION("IFERROR(GOOGLETRANSLATE(A949,""ko"",""en""),)"),"")</f>
        <v/>
      </c>
      <c r="C949" s="4" t="str">
        <f ca="1">IFERROR(__xludf.DUMMYFUNCTION("IFERROR(GOOGLETRANSLATE(B949,""en"",""ja""),)"),"")</f>
        <v/>
      </c>
    </row>
    <row r="950" spans="1:3" ht="18">
      <c r="A950" s="3"/>
      <c r="B950" s="4" t="str">
        <f ca="1">IFERROR(__xludf.DUMMYFUNCTION("IFERROR(GOOGLETRANSLATE(A950,""ko"",""en""),)"),"")</f>
        <v/>
      </c>
      <c r="C950" s="4" t="str">
        <f ca="1">IFERROR(__xludf.DUMMYFUNCTION("IFERROR(GOOGLETRANSLATE(B950,""en"",""ja""),)"),"")</f>
        <v/>
      </c>
    </row>
    <row r="951" spans="1:3" ht="18">
      <c r="A951" s="3"/>
      <c r="B951" s="4" t="str">
        <f ca="1">IFERROR(__xludf.DUMMYFUNCTION("IFERROR(GOOGLETRANSLATE(A951,""ko"",""en""),)"),"")</f>
        <v/>
      </c>
      <c r="C951" s="4" t="str">
        <f ca="1">IFERROR(__xludf.DUMMYFUNCTION("IFERROR(GOOGLETRANSLATE(B951,""en"",""ja""),)"),"")</f>
        <v/>
      </c>
    </row>
    <row r="952" spans="1:3" ht="18">
      <c r="A952" s="3"/>
      <c r="B952" s="4" t="str">
        <f ca="1">IFERROR(__xludf.DUMMYFUNCTION("IFERROR(GOOGLETRANSLATE(A952,""ko"",""en""),)"),"")</f>
        <v/>
      </c>
      <c r="C952" s="4" t="str">
        <f ca="1">IFERROR(__xludf.DUMMYFUNCTION("IFERROR(GOOGLETRANSLATE(B952,""en"",""ja""),)"),"")</f>
        <v/>
      </c>
    </row>
    <row r="953" spans="1:3" ht="18">
      <c r="A953" s="3"/>
      <c r="B953" s="4" t="str">
        <f ca="1">IFERROR(__xludf.DUMMYFUNCTION("IFERROR(GOOGLETRANSLATE(A953,""ko"",""en""),)"),"")</f>
        <v/>
      </c>
      <c r="C953" s="4" t="str">
        <f ca="1">IFERROR(__xludf.DUMMYFUNCTION("IFERROR(GOOGLETRANSLATE(B953,""en"",""ja""),)"),"")</f>
        <v/>
      </c>
    </row>
    <row r="954" spans="1:3" ht="18">
      <c r="A954" s="3"/>
      <c r="B954" s="4" t="str">
        <f ca="1">IFERROR(__xludf.DUMMYFUNCTION("IFERROR(GOOGLETRANSLATE(A954,""ko"",""en""),)"),"")</f>
        <v/>
      </c>
      <c r="C954" s="4" t="str">
        <f ca="1">IFERROR(__xludf.DUMMYFUNCTION("IFERROR(GOOGLETRANSLATE(B954,""en"",""ja""),)"),"")</f>
        <v/>
      </c>
    </row>
    <row r="955" spans="1:3" ht="18">
      <c r="A955" s="3"/>
      <c r="B955" s="4" t="str">
        <f ca="1">IFERROR(__xludf.DUMMYFUNCTION("IFERROR(GOOGLETRANSLATE(A955,""ko"",""en""),)"),"")</f>
        <v/>
      </c>
      <c r="C955" s="4" t="str">
        <f ca="1">IFERROR(__xludf.DUMMYFUNCTION("IFERROR(GOOGLETRANSLATE(B955,""en"",""ja""),)"),"")</f>
        <v/>
      </c>
    </row>
    <row r="956" spans="1:3" ht="18">
      <c r="A956" s="3"/>
      <c r="B956" s="4" t="str">
        <f ca="1">IFERROR(__xludf.DUMMYFUNCTION("IFERROR(GOOGLETRANSLATE(A956,""ko"",""en""),)"),"")</f>
        <v/>
      </c>
      <c r="C956" s="4" t="str">
        <f ca="1">IFERROR(__xludf.DUMMYFUNCTION("IFERROR(GOOGLETRANSLATE(B956,""en"",""ja""),)"),"")</f>
        <v/>
      </c>
    </row>
    <row r="957" spans="1:3" ht="18">
      <c r="A957" s="3"/>
      <c r="B957" s="4" t="str">
        <f ca="1">IFERROR(__xludf.DUMMYFUNCTION("IFERROR(GOOGLETRANSLATE(A957,""ko"",""en""),)"),"")</f>
        <v/>
      </c>
      <c r="C957" s="4" t="str">
        <f ca="1">IFERROR(__xludf.DUMMYFUNCTION("IFERROR(GOOGLETRANSLATE(B957,""en"",""ja""),)"),"")</f>
        <v/>
      </c>
    </row>
    <row r="958" spans="1:3" ht="18">
      <c r="A958" s="3"/>
      <c r="B958" s="4" t="str">
        <f ca="1">IFERROR(__xludf.DUMMYFUNCTION("IFERROR(GOOGLETRANSLATE(A958,""ko"",""en""),)"),"")</f>
        <v/>
      </c>
      <c r="C958" s="4" t="str">
        <f ca="1">IFERROR(__xludf.DUMMYFUNCTION("IFERROR(GOOGLETRANSLATE(B958,""en"",""ja""),)"),"")</f>
        <v/>
      </c>
    </row>
    <row r="959" spans="1:3" ht="18">
      <c r="A959" s="3"/>
      <c r="B959" s="4" t="str">
        <f ca="1">IFERROR(__xludf.DUMMYFUNCTION("IFERROR(GOOGLETRANSLATE(A959,""ko"",""en""),)"),"")</f>
        <v/>
      </c>
      <c r="C959" s="4" t="str">
        <f ca="1">IFERROR(__xludf.DUMMYFUNCTION("IFERROR(GOOGLETRANSLATE(B959,""en"",""ja""),)"),"")</f>
        <v/>
      </c>
    </row>
    <row r="960" spans="1:3" ht="18">
      <c r="A960" s="3"/>
      <c r="B960" s="4" t="str">
        <f ca="1">IFERROR(__xludf.DUMMYFUNCTION("IFERROR(GOOGLETRANSLATE(A960,""ko"",""en""),)"),"")</f>
        <v/>
      </c>
      <c r="C960" s="4" t="str">
        <f ca="1">IFERROR(__xludf.DUMMYFUNCTION("IFERROR(GOOGLETRANSLATE(B960,""en"",""ja""),)"),"")</f>
        <v/>
      </c>
    </row>
    <row r="961" spans="1:3" ht="18">
      <c r="A961" s="3"/>
      <c r="B961" s="4" t="str">
        <f ca="1">IFERROR(__xludf.DUMMYFUNCTION("IFERROR(GOOGLETRANSLATE(A961,""ko"",""en""),)"),"")</f>
        <v/>
      </c>
      <c r="C961" s="4" t="str">
        <f ca="1">IFERROR(__xludf.DUMMYFUNCTION("IFERROR(GOOGLETRANSLATE(B961,""en"",""ja""),)"),"")</f>
        <v/>
      </c>
    </row>
    <row r="962" spans="1:3" ht="18">
      <c r="A962" s="3"/>
      <c r="B962" s="4" t="str">
        <f ca="1">IFERROR(__xludf.DUMMYFUNCTION("IFERROR(GOOGLETRANSLATE(A962,""ko"",""en""),)"),"")</f>
        <v/>
      </c>
      <c r="C962" s="4" t="str">
        <f ca="1">IFERROR(__xludf.DUMMYFUNCTION("IFERROR(GOOGLETRANSLATE(B962,""en"",""ja""),)"),"")</f>
        <v/>
      </c>
    </row>
    <row r="963" spans="1:3" ht="18">
      <c r="A963" s="3"/>
      <c r="B963" s="4" t="str">
        <f ca="1">IFERROR(__xludf.DUMMYFUNCTION("IFERROR(GOOGLETRANSLATE(A963,""ko"",""en""),)"),"")</f>
        <v/>
      </c>
      <c r="C963" s="4" t="str">
        <f ca="1">IFERROR(__xludf.DUMMYFUNCTION("IFERROR(GOOGLETRANSLATE(B963,""en"",""ja""),)"),"")</f>
        <v/>
      </c>
    </row>
    <row r="964" spans="1:3" ht="18">
      <c r="A964" s="3"/>
      <c r="B964" s="4" t="str">
        <f ca="1">IFERROR(__xludf.DUMMYFUNCTION("IFERROR(GOOGLETRANSLATE(A964,""ko"",""en""),)"),"")</f>
        <v/>
      </c>
      <c r="C964" s="4" t="str">
        <f ca="1">IFERROR(__xludf.DUMMYFUNCTION("IFERROR(GOOGLETRANSLATE(B964,""en"",""ja""),)"),"")</f>
        <v/>
      </c>
    </row>
    <row r="965" spans="1:3" ht="18">
      <c r="A965" s="3"/>
      <c r="B965" s="4" t="str">
        <f ca="1">IFERROR(__xludf.DUMMYFUNCTION("IFERROR(GOOGLETRANSLATE(A965,""ko"",""en""),)"),"")</f>
        <v/>
      </c>
      <c r="C965" s="4" t="str">
        <f ca="1">IFERROR(__xludf.DUMMYFUNCTION("IFERROR(GOOGLETRANSLATE(B965,""en"",""ja""),)"),"")</f>
        <v/>
      </c>
    </row>
    <row r="966" spans="1:3" ht="18">
      <c r="A966" s="3"/>
      <c r="B966" s="4" t="str">
        <f ca="1">IFERROR(__xludf.DUMMYFUNCTION("IFERROR(GOOGLETRANSLATE(A966,""ko"",""en""),)"),"")</f>
        <v/>
      </c>
      <c r="C966" s="4" t="str">
        <f ca="1">IFERROR(__xludf.DUMMYFUNCTION("IFERROR(GOOGLETRANSLATE(B966,""en"",""ja""),)"),"")</f>
        <v/>
      </c>
    </row>
    <row r="967" spans="1:3" ht="18">
      <c r="A967" s="3"/>
      <c r="B967" s="4" t="str">
        <f ca="1">IFERROR(__xludf.DUMMYFUNCTION("IFERROR(GOOGLETRANSLATE(A967,""ko"",""en""),)"),"")</f>
        <v/>
      </c>
      <c r="C967" s="4" t="str">
        <f ca="1">IFERROR(__xludf.DUMMYFUNCTION("IFERROR(GOOGLETRANSLATE(B967,""en"",""ja""),)"),"")</f>
        <v/>
      </c>
    </row>
    <row r="968" spans="1:3" ht="18">
      <c r="A968" s="3"/>
      <c r="B968" s="4" t="str">
        <f ca="1">IFERROR(__xludf.DUMMYFUNCTION("IFERROR(GOOGLETRANSLATE(A968,""ko"",""en""),)"),"")</f>
        <v/>
      </c>
      <c r="C968" s="4" t="str">
        <f ca="1">IFERROR(__xludf.DUMMYFUNCTION("IFERROR(GOOGLETRANSLATE(B968,""en"",""ja""),)"),"")</f>
        <v/>
      </c>
    </row>
    <row r="969" spans="1:3" ht="18">
      <c r="A969" s="3"/>
      <c r="B969" s="4" t="str">
        <f ca="1">IFERROR(__xludf.DUMMYFUNCTION("IFERROR(GOOGLETRANSLATE(A969,""ko"",""en""),)"),"")</f>
        <v/>
      </c>
      <c r="C969" s="4" t="str">
        <f ca="1">IFERROR(__xludf.DUMMYFUNCTION("IFERROR(GOOGLETRANSLATE(B969,""en"",""ja""),)"),"")</f>
        <v/>
      </c>
    </row>
    <row r="970" spans="1:3" ht="18">
      <c r="A970" s="3"/>
      <c r="B970" s="4" t="str">
        <f ca="1">IFERROR(__xludf.DUMMYFUNCTION("IFERROR(GOOGLETRANSLATE(A970,""ko"",""en""),)"),"")</f>
        <v/>
      </c>
      <c r="C970" s="4" t="str">
        <f ca="1">IFERROR(__xludf.DUMMYFUNCTION("IFERROR(GOOGLETRANSLATE(B970,""en"",""ja""),)"),"")</f>
        <v/>
      </c>
    </row>
    <row r="971" spans="1:3" ht="18">
      <c r="A971" s="3"/>
      <c r="B971" s="4" t="str">
        <f ca="1">IFERROR(__xludf.DUMMYFUNCTION("IFERROR(GOOGLETRANSLATE(A971,""ko"",""en""),)"),"")</f>
        <v/>
      </c>
      <c r="C971" s="4" t="str">
        <f ca="1">IFERROR(__xludf.DUMMYFUNCTION("IFERROR(GOOGLETRANSLATE(B971,""en"",""ja""),)"),"")</f>
        <v/>
      </c>
    </row>
    <row r="972" spans="1:3" ht="18">
      <c r="A972" s="3"/>
      <c r="B972" s="4" t="str">
        <f ca="1">IFERROR(__xludf.DUMMYFUNCTION("IFERROR(GOOGLETRANSLATE(A972,""ko"",""en""),)"),"")</f>
        <v/>
      </c>
      <c r="C972" s="4" t="str">
        <f ca="1">IFERROR(__xludf.DUMMYFUNCTION("IFERROR(GOOGLETRANSLATE(B972,""en"",""ja""),)"),"")</f>
        <v/>
      </c>
    </row>
    <row r="973" spans="1:3" ht="18">
      <c r="A973" s="3"/>
      <c r="B973" s="4" t="str">
        <f ca="1">IFERROR(__xludf.DUMMYFUNCTION("IFERROR(GOOGLETRANSLATE(A973,""ko"",""en""),)"),"")</f>
        <v/>
      </c>
      <c r="C973" s="4" t="str">
        <f ca="1">IFERROR(__xludf.DUMMYFUNCTION("IFERROR(GOOGLETRANSLATE(B973,""en"",""ja""),)"),"")</f>
        <v/>
      </c>
    </row>
    <row r="974" spans="1:3" ht="18">
      <c r="A974" s="3"/>
      <c r="B974" s="4" t="str">
        <f ca="1">IFERROR(__xludf.DUMMYFUNCTION("IFERROR(GOOGLETRANSLATE(A974,""ko"",""en""),)"),"")</f>
        <v/>
      </c>
      <c r="C974" s="4" t="str">
        <f ca="1">IFERROR(__xludf.DUMMYFUNCTION("IFERROR(GOOGLETRANSLATE(B974,""en"",""ja""),)"),"")</f>
        <v/>
      </c>
    </row>
    <row r="975" spans="1:3" ht="18">
      <c r="A975" s="3"/>
      <c r="B975" s="4" t="str">
        <f ca="1">IFERROR(__xludf.DUMMYFUNCTION("IFERROR(GOOGLETRANSLATE(A975,""ko"",""en""),)"),"")</f>
        <v/>
      </c>
      <c r="C975" s="4" t="str">
        <f ca="1">IFERROR(__xludf.DUMMYFUNCTION("IFERROR(GOOGLETRANSLATE(B975,""en"",""ja""),)"),"")</f>
        <v/>
      </c>
    </row>
    <row r="976" spans="1:3" ht="18">
      <c r="A976" s="3"/>
      <c r="B976" s="4" t="str">
        <f ca="1">IFERROR(__xludf.DUMMYFUNCTION("IFERROR(GOOGLETRANSLATE(A976,""ko"",""en""),)"),"")</f>
        <v/>
      </c>
      <c r="C976" s="4" t="str">
        <f ca="1">IFERROR(__xludf.DUMMYFUNCTION("IFERROR(GOOGLETRANSLATE(B976,""en"",""ja""),)"),"")</f>
        <v/>
      </c>
    </row>
    <row r="977" spans="1:3" ht="18">
      <c r="A977" s="3"/>
      <c r="B977" s="4" t="str">
        <f ca="1">IFERROR(__xludf.DUMMYFUNCTION("IFERROR(GOOGLETRANSLATE(A977,""ko"",""en""),)"),"")</f>
        <v/>
      </c>
      <c r="C977" s="4" t="str">
        <f ca="1">IFERROR(__xludf.DUMMYFUNCTION("IFERROR(GOOGLETRANSLATE(B977,""en"",""ja""),)"),"")</f>
        <v/>
      </c>
    </row>
    <row r="978" spans="1:3" ht="18">
      <c r="A978" s="3"/>
      <c r="B978" s="4" t="str">
        <f ca="1">IFERROR(__xludf.DUMMYFUNCTION("IFERROR(GOOGLETRANSLATE(A978,""ko"",""en""),)"),"")</f>
        <v/>
      </c>
      <c r="C978" s="4" t="str">
        <f ca="1">IFERROR(__xludf.DUMMYFUNCTION("IFERROR(GOOGLETRANSLATE(B978,""en"",""ja""),)"),"")</f>
        <v/>
      </c>
    </row>
    <row r="979" spans="1:3" ht="18">
      <c r="A979" s="3"/>
      <c r="B979" s="4" t="str">
        <f ca="1">IFERROR(__xludf.DUMMYFUNCTION("IFERROR(GOOGLETRANSLATE(A979,""ko"",""en""),)"),"")</f>
        <v/>
      </c>
      <c r="C979" s="4" t="str">
        <f ca="1">IFERROR(__xludf.DUMMYFUNCTION("IFERROR(GOOGLETRANSLATE(B979,""en"",""ja""),)"),"")</f>
        <v/>
      </c>
    </row>
    <row r="980" spans="1:3" ht="18">
      <c r="A980" s="3"/>
      <c r="B980" s="4" t="str">
        <f ca="1">IFERROR(__xludf.DUMMYFUNCTION("IFERROR(GOOGLETRANSLATE(A980,""ko"",""en""),)"),"")</f>
        <v/>
      </c>
      <c r="C980" s="4" t="str">
        <f ca="1">IFERROR(__xludf.DUMMYFUNCTION("IFERROR(GOOGLETRANSLATE(B980,""en"",""ja""),)"),"")</f>
        <v/>
      </c>
    </row>
    <row r="981" spans="1:3" ht="18">
      <c r="A981" s="3"/>
      <c r="B981" s="4" t="str">
        <f ca="1">IFERROR(__xludf.DUMMYFUNCTION("IFERROR(GOOGLETRANSLATE(A981,""ko"",""en""),)"),"")</f>
        <v/>
      </c>
      <c r="C981" s="4" t="str">
        <f ca="1">IFERROR(__xludf.DUMMYFUNCTION("IFERROR(GOOGLETRANSLATE(B981,""en"",""ja""),)"),"")</f>
        <v/>
      </c>
    </row>
    <row r="982" spans="1:3" ht="18">
      <c r="A982" s="3"/>
      <c r="B982" s="4" t="str">
        <f ca="1">IFERROR(__xludf.DUMMYFUNCTION("IFERROR(GOOGLETRANSLATE(A982,""ko"",""en""),)"),"")</f>
        <v/>
      </c>
      <c r="C982" s="4" t="str">
        <f ca="1">IFERROR(__xludf.DUMMYFUNCTION("IFERROR(GOOGLETRANSLATE(B982,""en"",""ja""),)"),"")</f>
        <v/>
      </c>
    </row>
    <row r="983" spans="1:3" ht="18">
      <c r="A983" s="3"/>
      <c r="B983" s="4" t="str">
        <f ca="1">IFERROR(__xludf.DUMMYFUNCTION("IFERROR(GOOGLETRANSLATE(A983,""ko"",""en""),)"),"")</f>
        <v/>
      </c>
      <c r="C983" s="4" t="str">
        <f ca="1">IFERROR(__xludf.DUMMYFUNCTION("IFERROR(GOOGLETRANSLATE(B983,""en"",""ja""),)"),"")</f>
        <v/>
      </c>
    </row>
    <row r="984" spans="1:3" ht="18">
      <c r="A984" s="3"/>
      <c r="B984" s="4" t="str">
        <f ca="1">IFERROR(__xludf.DUMMYFUNCTION("IFERROR(GOOGLETRANSLATE(A984,""ko"",""en""),)"),"")</f>
        <v/>
      </c>
      <c r="C984" s="4" t="str">
        <f ca="1">IFERROR(__xludf.DUMMYFUNCTION("IFERROR(GOOGLETRANSLATE(B984,""en"",""ja""),)"),"")</f>
        <v/>
      </c>
    </row>
    <row r="985" spans="1:3" ht="18">
      <c r="A985" s="3"/>
      <c r="B985" s="4" t="str">
        <f ca="1">IFERROR(__xludf.DUMMYFUNCTION("IFERROR(GOOGLETRANSLATE(A985,""ko"",""en""),)"),"")</f>
        <v/>
      </c>
      <c r="C985" s="4" t="str">
        <f ca="1">IFERROR(__xludf.DUMMYFUNCTION("IFERROR(GOOGLETRANSLATE(B985,""en"",""ja""),)"),"")</f>
        <v/>
      </c>
    </row>
    <row r="986" spans="1:3" ht="18">
      <c r="A986" s="3"/>
      <c r="B986" s="4" t="str">
        <f ca="1">IFERROR(__xludf.DUMMYFUNCTION("IFERROR(GOOGLETRANSLATE(A986,""ko"",""en""),)"),"")</f>
        <v/>
      </c>
      <c r="C986" s="4" t="str">
        <f ca="1">IFERROR(__xludf.DUMMYFUNCTION("IFERROR(GOOGLETRANSLATE(B986,""en"",""ja""),)"),"")</f>
        <v/>
      </c>
    </row>
    <row r="987" spans="1:3" ht="18">
      <c r="A987" s="3"/>
      <c r="B987" s="4" t="str">
        <f ca="1">IFERROR(__xludf.DUMMYFUNCTION("IFERROR(GOOGLETRANSLATE(A987,""ko"",""en""),)"),"")</f>
        <v/>
      </c>
      <c r="C987" s="4" t="str">
        <f ca="1">IFERROR(__xludf.DUMMYFUNCTION("IFERROR(GOOGLETRANSLATE(B987,""en"",""ja""),)"),"")</f>
        <v/>
      </c>
    </row>
    <row r="988" spans="1:3" ht="18">
      <c r="A988" s="3"/>
      <c r="B988" s="4" t="str">
        <f ca="1">IFERROR(__xludf.DUMMYFUNCTION("IFERROR(GOOGLETRANSLATE(A988,""ko"",""en""),)"),"")</f>
        <v/>
      </c>
      <c r="C988" s="4" t="str">
        <f ca="1">IFERROR(__xludf.DUMMYFUNCTION("IFERROR(GOOGLETRANSLATE(B988,""en"",""ja""),)"),"")</f>
        <v/>
      </c>
    </row>
    <row r="989" spans="1:3" ht="18">
      <c r="A989" s="3"/>
      <c r="B989" s="4" t="str">
        <f ca="1">IFERROR(__xludf.DUMMYFUNCTION("IFERROR(GOOGLETRANSLATE(A989,""ko"",""en""),)"),"")</f>
        <v/>
      </c>
      <c r="C989" s="4" t="str">
        <f ca="1">IFERROR(__xludf.DUMMYFUNCTION("IFERROR(GOOGLETRANSLATE(B989,""en"",""ja""),)"),"")</f>
        <v/>
      </c>
    </row>
    <row r="990" spans="1:3" ht="18">
      <c r="A990" s="3"/>
      <c r="B990" s="4" t="str">
        <f ca="1">IFERROR(__xludf.DUMMYFUNCTION("IFERROR(GOOGLETRANSLATE(A990,""ko"",""en""),)"),"")</f>
        <v/>
      </c>
      <c r="C990" s="4" t="str">
        <f ca="1">IFERROR(__xludf.DUMMYFUNCTION("IFERROR(GOOGLETRANSLATE(B990,""en"",""ja""),)"),"")</f>
        <v/>
      </c>
    </row>
    <row r="991" spans="1:3" ht="18">
      <c r="A991" s="3"/>
      <c r="B991" s="4" t="str">
        <f ca="1">IFERROR(__xludf.DUMMYFUNCTION("IFERROR(GOOGLETRANSLATE(A991,""ko"",""en""),)"),"")</f>
        <v/>
      </c>
      <c r="C991" s="4" t="str">
        <f ca="1">IFERROR(__xludf.DUMMYFUNCTION("IFERROR(GOOGLETRANSLATE(B991,""en"",""ja""),)"),"")</f>
        <v/>
      </c>
    </row>
    <row r="992" spans="1:3" ht="18">
      <c r="A992" s="3"/>
      <c r="B992" s="4" t="str">
        <f ca="1">IFERROR(__xludf.DUMMYFUNCTION("IFERROR(GOOGLETRANSLATE(A992,""ko"",""en""),)"),"")</f>
        <v/>
      </c>
      <c r="C992" s="4" t="str">
        <f ca="1">IFERROR(__xludf.DUMMYFUNCTION("IFERROR(GOOGLETRANSLATE(B992,""en"",""ja""),)"),"")</f>
        <v/>
      </c>
    </row>
    <row r="993" spans="1:3" ht="18">
      <c r="A993" s="3"/>
      <c r="B993" s="4" t="str">
        <f ca="1">IFERROR(__xludf.DUMMYFUNCTION("IFERROR(GOOGLETRANSLATE(A993,""ko"",""en""),)"),"")</f>
        <v/>
      </c>
      <c r="C993" s="4" t="str">
        <f ca="1">IFERROR(__xludf.DUMMYFUNCTION("IFERROR(GOOGLETRANSLATE(B993,""en"",""ja""),)"),"")</f>
        <v/>
      </c>
    </row>
    <row r="994" spans="1:3" ht="18">
      <c r="A994" s="3"/>
      <c r="B994" s="4" t="str">
        <f ca="1">IFERROR(__xludf.DUMMYFUNCTION("IFERROR(GOOGLETRANSLATE(A994,""ko"",""en""),)"),"")</f>
        <v/>
      </c>
      <c r="C994" s="4" t="str">
        <f ca="1">IFERROR(__xludf.DUMMYFUNCTION("IFERROR(GOOGLETRANSLATE(B994,""en"",""ja""),)"),"")</f>
        <v/>
      </c>
    </row>
    <row r="995" spans="1:3" ht="18">
      <c r="A995" s="3"/>
      <c r="B995" s="4" t="str">
        <f ca="1">IFERROR(__xludf.DUMMYFUNCTION("IFERROR(GOOGLETRANSLATE(A995,""ko"",""en""),)"),"")</f>
        <v/>
      </c>
      <c r="C995" s="4" t="str">
        <f ca="1">IFERROR(__xludf.DUMMYFUNCTION("IFERROR(GOOGLETRANSLATE(B995,""en"",""ja""),)"),"")</f>
        <v/>
      </c>
    </row>
    <row r="996" spans="1:3" ht="18">
      <c r="A996" s="3"/>
      <c r="B996" s="4" t="str">
        <f ca="1">IFERROR(__xludf.DUMMYFUNCTION("IFERROR(GOOGLETRANSLATE(A996,""ko"",""en""),)"),"")</f>
        <v/>
      </c>
      <c r="C996" s="4" t="str">
        <f ca="1">IFERROR(__xludf.DUMMYFUNCTION("IFERROR(GOOGLETRANSLATE(B996,""en"",""ja""),)"),"")</f>
        <v/>
      </c>
    </row>
    <row r="997" spans="1:3" ht="18">
      <c r="A997" s="3"/>
      <c r="B997" s="4" t="str">
        <f ca="1">IFERROR(__xludf.DUMMYFUNCTION("IFERROR(GOOGLETRANSLATE(A997,""ko"",""en""),)"),"")</f>
        <v/>
      </c>
      <c r="C997" s="4" t="str">
        <f ca="1">IFERROR(__xludf.DUMMYFUNCTION("IFERROR(GOOGLETRANSLATE(B997,""en"",""ja""),)"),"")</f>
        <v/>
      </c>
    </row>
    <row r="998" spans="1:3" ht="18">
      <c r="A998" s="3"/>
      <c r="B998" s="4" t="str">
        <f ca="1">IFERROR(__xludf.DUMMYFUNCTION("IFERROR(GOOGLETRANSLATE(A998,""ko"",""en""),)"),"")</f>
        <v/>
      </c>
      <c r="C998" s="4" t="str">
        <f ca="1">IFERROR(__xludf.DUMMYFUNCTION("IFERROR(GOOGLETRANSLATE(B998,""en"",""ja""),)"),"")</f>
        <v/>
      </c>
    </row>
    <row r="999" spans="1:3" ht="18">
      <c r="A999" s="3"/>
      <c r="B999" s="4" t="str">
        <f ca="1">IFERROR(__xludf.DUMMYFUNCTION("IFERROR(GOOGLETRANSLATE(A999,""ko"",""en""),)"),"")</f>
        <v/>
      </c>
      <c r="C999" s="4" t="str">
        <f ca="1">IFERROR(__xludf.DUMMYFUNCTION("IFERROR(GOOGLETRANSLATE(B999,""en"",""ja""),)"),"")</f>
        <v/>
      </c>
    </row>
    <row r="1000" spans="1:3" ht="18">
      <c r="A1000" s="3"/>
      <c r="B1000" s="4" t="str">
        <f ca="1">IFERROR(__xludf.DUMMYFUNCTION("IFERROR(GOOGLETRANSLATE(A1000,""ko"",""en""),)"),"")</f>
        <v/>
      </c>
      <c r="C1000" s="4" t="str">
        <f ca="1">IFERROR(__xludf.DUMMYFUNCTION("IFERROR(GOOGLETRANSLATE(B1000,""en"",""ja""),)"),"")</f>
        <v/>
      </c>
    </row>
    <row r="1001" spans="1:3" ht="18">
      <c r="A1001" s="3"/>
      <c r="B1001" s="4" t="str">
        <f ca="1">IFERROR(__xludf.DUMMYFUNCTION("IFERROR(GOOGLETRANSLATE(A1001,""ko"",""en""),)"),"")</f>
        <v/>
      </c>
      <c r="C1001" s="4" t="str">
        <f ca="1">IFERROR(__xludf.DUMMYFUNCTION("IFERROR(GOOGLETRANSLATE(B1001,""en"",""ja""),)"),"")</f>
        <v/>
      </c>
    </row>
    <row r="1002" spans="1:3" ht="18">
      <c r="A1002" s="3"/>
      <c r="B1002" s="4" t="str">
        <f ca="1">IFERROR(__xludf.DUMMYFUNCTION("IFERROR(GOOGLETRANSLATE(A1002,""ko"",""en""),)"),"")</f>
        <v/>
      </c>
      <c r="C1002" s="4" t="str">
        <f ca="1">IFERROR(__xludf.DUMMYFUNCTION("IFERROR(GOOGLETRANSLATE(B1002,""en"",""ja""),)"),"")</f>
        <v/>
      </c>
    </row>
    <row r="1003" spans="1:3" ht="18">
      <c r="A1003" s="3"/>
      <c r="B1003" s="4" t="str">
        <f ca="1">IFERROR(__xludf.DUMMYFUNCTION("IFERROR(GOOGLETRANSLATE(A1003,""ko"",""en""),)"),"")</f>
        <v/>
      </c>
      <c r="C1003" s="4" t="str">
        <f ca="1">IFERROR(__xludf.DUMMYFUNCTION("IFERROR(GOOGLETRANSLATE(B1003,""en"",""ja""),)"),"")</f>
        <v/>
      </c>
    </row>
    <row r="1004" spans="1:3" ht="18">
      <c r="A1004" s="3"/>
      <c r="B1004" s="4" t="str">
        <f ca="1">IFERROR(__xludf.DUMMYFUNCTION("IFERROR(GOOGLETRANSLATE(A1004,""ko"",""en""),)"),"")</f>
        <v/>
      </c>
      <c r="C1004" s="4" t="str">
        <f ca="1">IFERROR(__xludf.DUMMYFUNCTION("IFERROR(GOOGLETRANSLATE(B1004,""en"",""ja""),)"),"")</f>
        <v/>
      </c>
    </row>
    <row r="1005" spans="1:3" ht="18">
      <c r="A1005" s="3"/>
      <c r="B1005" s="4" t="str">
        <f ca="1">IFERROR(__xludf.DUMMYFUNCTION("IFERROR(GOOGLETRANSLATE(A1005,""ko"",""en""),)"),"")</f>
        <v/>
      </c>
      <c r="C1005" s="4" t="str">
        <f ca="1">IFERROR(__xludf.DUMMYFUNCTION("IFERROR(GOOGLETRANSLATE(B1005,""en"",""ja""),)"),"")</f>
        <v/>
      </c>
    </row>
    <row r="1006" spans="1:3" ht="18">
      <c r="A1006" s="3"/>
      <c r="B1006" s="4" t="str">
        <f ca="1">IFERROR(__xludf.DUMMYFUNCTION("IFERROR(GOOGLETRANSLATE(A1006,""ko"",""en""),)"),"")</f>
        <v/>
      </c>
      <c r="C1006" s="4" t="str">
        <f ca="1">IFERROR(__xludf.DUMMYFUNCTION("IFERROR(GOOGLETRANSLATE(B1006,""en"",""ja""),)"),"")</f>
        <v/>
      </c>
    </row>
    <row r="1007" spans="1:3" ht="18">
      <c r="A1007" s="3"/>
      <c r="B1007" s="4" t="str">
        <f ca="1">IFERROR(__xludf.DUMMYFUNCTION("IFERROR(GOOGLETRANSLATE(A1007,""ko"",""en""),)"),"")</f>
        <v/>
      </c>
      <c r="C1007" s="4" t="str">
        <f ca="1">IFERROR(__xludf.DUMMYFUNCTION("IFERROR(GOOGLETRANSLATE(B1007,""en"",""ja""),)"),"")</f>
        <v/>
      </c>
    </row>
    <row r="1008" spans="1:3" ht="18">
      <c r="A1008" s="3"/>
      <c r="B1008" s="4" t="str">
        <f ca="1">IFERROR(__xludf.DUMMYFUNCTION("IFERROR(GOOGLETRANSLATE(A1008,""ko"",""en""),)"),"")</f>
        <v/>
      </c>
      <c r="C1008" s="4" t="str">
        <f ca="1">IFERROR(__xludf.DUMMYFUNCTION("IFERROR(GOOGLETRANSLATE(B1008,""en"",""ja""),)"),"")</f>
        <v/>
      </c>
    </row>
    <row r="1009" spans="1:3" ht="18">
      <c r="A1009" s="3"/>
      <c r="B1009" s="4" t="str">
        <f ca="1">IFERROR(__xludf.DUMMYFUNCTION("IFERROR(GOOGLETRANSLATE(A1009,""ko"",""en""),)"),"")</f>
        <v/>
      </c>
      <c r="C1009" s="4" t="str">
        <f ca="1">IFERROR(__xludf.DUMMYFUNCTION("IFERROR(GOOGLETRANSLATE(B1009,""en"",""ja""),)"),"")</f>
        <v/>
      </c>
    </row>
    <row r="1010" spans="1:3" ht="18">
      <c r="A1010" s="3"/>
      <c r="B1010" s="4" t="str">
        <f ca="1">IFERROR(__xludf.DUMMYFUNCTION("IFERROR(GOOGLETRANSLATE(A1010,""ko"",""en""),)"),"")</f>
        <v/>
      </c>
      <c r="C1010" s="4" t="str">
        <f ca="1">IFERROR(__xludf.DUMMYFUNCTION("IFERROR(GOOGLETRANSLATE(B1010,""en"",""ja""),)"),"")</f>
        <v/>
      </c>
    </row>
    <row r="1011" spans="1:3" ht="18">
      <c r="A1011" s="3"/>
      <c r="B1011" s="4" t="str">
        <f ca="1">IFERROR(__xludf.DUMMYFUNCTION("IFERROR(GOOGLETRANSLATE(A1011,""ko"",""en""),)"),"")</f>
        <v/>
      </c>
      <c r="C1011" s="4" t="str">
        <f ca="1">IFERROR(__xludf.DUMMYFUNCTION("IFERROR(GOOGLETRANSLATE(B1011,""en"",""ja""),)"),"")</f>
        <v/>
      </c>
    </row>
    <row r="1012" spans="1:3" ht="18">
      <c r="A1012" s="3"/>
      <c r="B1012" s="4" t="str">
        <f ca="1">IFERROR(__xludf.DUMMYFUNCTION("IFERROR(GOOGLETRANSLATE(A1012,""ko"",""en""),)"),"")</f>
        <v/>
      </c>
      <c r="C1012" s="4" t="str">
        <f ca="1">IFERROR(__xludf.DUMMYFUNCTION("IFERROR(GOOGLETRANSLATE(B1012,""en"",""ja""),)"),"")</f>
        <v/>
      </c>
    </row>
    <row r="1013" spans="1:3" ht="18">
      <c r="A1013" s="3"/>
      <c r="B1013" s="4" t="str">
        <f ca="1">IFERROR(__xludf.DUMMYFUNCTION("IFERROR(GOOGLETRANSLATE(A1013,""ko"",""en""),)"),"")</f>
        <v/>
      </c>
      <c r="C1013" s="4" t="str">
        <f ca="1">IFERROR(__xludf.DUMMYFUNCTION("IFERROR(GOOGLETRANSLATE(B1013,""en"",""ja""),)"),"")</f>
        <v/>
      </c>
    </row>
    <row r="1014" spans="1:3" ht="18">
      <c r="A1014" s="3"/>
      <c r="B1014" s="4" t="str">
        <f ca="1">IFERROR(__xludf.DUMMYFUNCTION("IFERROR(GOOGLETRANSLATE(A1014,""ko"",""en""),)"),"")</f>
        <v/>
      </c>
      <c r="C1014" s="4" t="str">
        <f ca="1">IFERROR(__xludf.DUMMYFUNCTION("IFERROR(GOOGLETRANSLATE(B1014,""en"",""ja""),)"),"")</f>
        <v/>
      </c>
    </row>
    <row r="1015" spans="1:3" ht="18">
      <c r="A1015" s="3"/>
      <c r="B1015" s="4" t="str">
        <f ca="1">IFERROR(__xludf.DUMMYFUNCTION("IFERROR(GOOGLETRANSLATE(A1015,""ko"",""en""),)"),"")</f>
        <v/>
      </c>
      <c r="C1015" s="4" t="str">
        <f ca="1">IFERROR(__xludf.DUMMYFUNCTION("IFERROR(GOOGLETRANSLATE(B1015,""en"",""ja""),)"),"")</f>
        <v/>
      </c>
    </row>
    <row r="1016" spans="1:3" ht="18">
      <c r="A1016" s="3"/>
      <c r="B1016" s="4" t="str">
        <f ca="1">IFERROR(__xludf.DUMMYFUNCTION("IFERROR(GOOGLETRANSLATE(A1016,""ko"",""en""),)"),"")</f>
        <v/>
      </c>
      <c r="C1016" s="4" t="str">
        <f ca="1">IFERROR(__xludf.DUMMYFUNCTION("IFERROR(GOOGLETRANSLATE(B1016,""en"",""ja""),)"),"")</f>
        <v/>
      </c>
    </row>
    <row r="1017" spans="1:3" ht="18">
      <c r="A1017" s="3"/>
      <c r="B1017" s="4" t="str">
        <f ca="1">IFERROR(__xludf.DUMMYFUNCTION("IFERROR(GOOGLETRANSLATE(A1017,""ko"",""en""),)"),"")</f>
        <v/>
      </c>
      <c r="C1017" s="4" t="str">
        <f ca="1">IFERROR(__xludf.DUMMYFUNCTION("IFERROR(GOOGLETRANSLATE(B1017,""en"",""ja""),)"),"")</f>
        <v/>
      </c>
    </row>
    <row r="1018" spans="1:3" ht="18">
      <c r="A1018" s="3"/>
      <c r="B1018" s="4" t="str">
        <f ca="1">IFERROR(__xludf.DUMMYFUNCTION("IFERROR(GOOGLETRANSLATE(A1018,""ko"",""en""),)"),"")</f>
        <v/>
      </c>
      <c r="C1018" s="4" t="str">
        <f ca="1">IFERROR(__xludf.DUMMYFUNCTION("IFERROR(GOOGLETRANSLATE(B1018,""en"",""ja""),)"),"")</f>
        <v/>
      </c>
    </row>
    <row r="1019" spans="1:3" ht="18">
      <c r="A1019" s="3"/>
      <c r="B1019" s="4" t="str">
        <f ca="1">IFERROR(__xludf.DUMMYFUNCTION("IFERROR(GOOGLETRANSLATE(A1019,""ko"",""en""),)"),"")</f>
        <v/>
      </c>
      <c r="C1019" s="4" t="str">
        <f ca="1">IFERROR(__xludf.DUMMYFUNCTION("IFERROR(GOOGLETRANSLATE(B1019,""en"",""ja""),)"),"")</f>
        <v/>
      </c>
    </row>
    <row r="1020" spans="1:3" ht="18">
      <c r="A1020" s="3"/>
      <c r="B1020" s="4" t="str">
        <f ca="1">IFERROR(__xludf.DUMMYFUNCTION("IFERROR(GOOGLETRANSLATE(A1020,""ko"",""en""),)"),"")</f>
        <v/>
      </c>
      <c r="C1020" s="4" t="str">
        <f ca="1">IFERROR(__xludf.DUMMYFUNCTION("IFERROR(GOOGLETRANSLATE(B1020,""en"",""ja""),)"),"")</f>
        <v/>
      </c>
    </row>
    <row r="1021" spans="1:3" ht="18">
      <c r="A1021" s="3"/>
      <c r="B1021" s="4" t="str">
        <f ca="1">IFERROR(__xludf.DUMMYFUNCTION("IFERROR(GOOGLETRANSLATE(A1021,""ko"",""en""),)"),"")</f>
        <v/>
      </c>
      <c r="C1021" s="4" t="str">
        <f ca="1">IFERROR(__xludf.DUMMYFUNCTION("IFERROR(GOOGLETRANSLATE(B1021,""en"",""ja""),)"),"")</f>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2018"/>
  <sheetViews>
    <sheetView workbookViewId="0"/>
  </sheetViews>
  <sheetFormatPr baseColWidth="10" defaultColWidth="12.6640625" defaultRowHeight="15.75" customHeight="1"/>
  <cols>
    <col min="1" max="1" width="61.33203125" customWidth="1"/>
    <col min="2" max="2" width="27" customWidth="1"/>
  </cols>
  <sheetData>
    <row r="1" spans="1:2" ht="16">
      <c r="A1" s="1" t="s">
        <v>0</v>
      </c>
      <c r="B1" s="1" t="s">
        <v>1</v>
      </c>
    </row>
    <row r="2" spans="1:2" ht="57">
      <c r="A2" s="17" t="s">
        <v>2510</v>
      </c>
      <c r="B2" s="4" t="s">
        <v>7</v>
      </c>
    </row>
    <row r="3" spans="1:2" ht="18">
      <c r="A3" s="5" t="s">
        <v>2514</v>
      </c>
      <c r="B3" s="4" t="str">
        <f ca="1">IFERROR(__xludf.DUMMYFUNCTION("IFERROR(GOOGLETRANSLATE(A3,""ko"",""en""),)"),"Can you believe it?")</f>
        <v>Can you believe it?</v>
      </c>
    </row>
    <row r="4" spans="1:2" ht="18">
      <c r="A4" s="3" t="s">
        <v>2517</v>
      </c>
      <c r="B4" s="4" t="str">
        <f ca="1">IFERROR(__xludf.DUMMYFUNCTION("IFERROR(GOOGLETRANSLATE(A4,""ko"",""en""),)"),"Time is passing so fast.")</f>
        <v>Time is passing so fast.</v>
      </c>
    </row>
    <row r="5" spans="1:2" ht="18">
      <c r="A5" s="3" t="s">
        <v>2519</v>
      </c>
      <c r="B5" s="4" t="str">
        <f ca="1">IFERROR(__xludf.DUMMYFUNCTION("IFERROR(GOOGLETRANSLATE(A5,""ko"",""en""),)"),"happy new year")</f>
        <v>happy new year</v>
      </c>
    </row>
    <row r="6" spans="1:2" ht="18">
      <c r="A6" s="3" t="s">
        <v>1158</v>
      </c>
      <c r="B6" s="4" t="str">
        <f ca="1">IFERROR(__xludf.DUMMYFUNCTION("IFERROR(GOOGLETRANSLATE(A6,""ko"",""en""),)"),"new year")</f>
        <v>new year</v>
      </c>
    </row>
    <row r="7" spans="1:2" ht="18">
      <c r="A7" s="5" t="s">
        <v>2522</v>
      </c>
      <c r="B7" s="4" t="str">
        <f ca="1">IFERROR(__xludf.DUMMYFUNCTION("IFERROR(GOOGLETRANSLATE(A7,""ko"",""en""),)"),"title")</f>
        <v>title</v>
      </c>
    </row>
    <row r="8" spans="1:2" ht="18">
      <c r="A8" s="3" t="s">
        <v>2525</v>
      </c>
      <c r="B8" s="4" t="str">
        <f ca="1">IFERROR(__xludf.DUMMYFUNCTION("IFERROR(GOOGLETRANSLATE(A8,""ko"",""en""),)"),"I want to watch Korean dramas without subtitles.")</f>
        <v>I want to watch Korean dramas without subtitles.</v>
      </c>
    </row>
    <row r="9" spans="1:2" ht="18">
      <c r="A9" s="5" t="s">
        <v>2526</v>
      </c>
      <c r="B9" s="4" t="str">
        <f ca="1">IFERROR(__xludf.DUMMYFUNCTION("IFERROR(GOOGLETRANSLATE(A9,""ko"",""en""),)"),"I'll give it a try.")</f>
        <v>I'll give it a try.</v>
      </c>
    </row>
    <row r="10" spans="1:2" ht="18">
      <c r="A10" s="3" t="s">
        <v>2527</v>
      </c>
      <c r="B10" s="4" t="str">
        <f ca="1">IFERROR(__xludf.DUMMYFUNCTION("IFERROR(GOOGLETRANSLATE(A10,""ko"",""en""),)"),"I want to make Korean friends.")</f>
        <v>I want to make Korean friends.</v>
      </c>
    </row>
    <row r="11" spans="1:2" ht="18">
      <c r="A11" s="3" t="s">
        <v>2530</v>
      </c>
      <c r="B11" s="4" t="str">
        <f ca="1">IFERROR(__xludf.DUMMYFUNCTION("IFERROR(GOOGLETRANSLATE(A11,""ko"",""en""),)"),"I didn't know.")</f>
        <v>I didn't know.</v>
      </c>
    </row>
    <row r="12" spans="1:2" ht="18">
      <c r="A12" s="3" t="s">
        <v>2531</v>
      </c>
      <c r="B12" s="4" t="str">
        <f ca="1">IFERROR(__xludf.DUMMYFUNCTION("IFERROR(GOOGLETRANSLATE(A12,""ko"",""en""),)"),"It is very popular.")</f>
        <v>It is very popular.</v>
      </c>
    </row>
    <row r="13" spans="1:2" ht="18">
      <c r="A13" s="3" t="s">
        <v>2532</v>
      </c>
      <c r="B13" s="4" t="str">
        <f ca="1">IFERROR(__xludf.DUMMYFUNCTION("IFERROR(GOOGLETRANSLATE(A13,""ko"",""en""),)"),"I took a break from studying Korean for a year.")</f>
        <v>I took a break from studying Korean for a year.</v>
      </c>
    </row>
    <row r="14" spans="1:2" ht="18">
      <c r="A14" s="3" t="s">
        <v>2535</v>
      </c>
      <c r="B14" s="4" t="str">
        <f ca="1">IFERROR(__xludf.DUMMYFUNCTION("IFERROR(GOOGLETRANSLATE(A14,""ko"",""en""),)"),"oh my.")</f>
        <v>oh my.</v>
      </c>
    </row>
    <row r="15" spans="1:2" ht="18">
      <c r="A15" s="3" t="s">
        <v>2536</v>
      </c>
      <c r="B15" s="4" t="str">
        <f ca="1">IFERROR(__xludf.DUMMYFUNCTION("IFERROR(GOOGLETRANSLATE(A15,""ko"",""en""),)"),"end!")</f>
        <v>end!</v>
      </c>
    </row>
    <row r="16" spans="1:2" ht="18">
      <c r="A16" s="3" t="s">
        <v>2537</v>
      </c>
      <c r="B16" s="4" t="str">
        <f ca="1">IFERROR(__xludf.DUMMYFUNCTION("IFERROR(GOOGLETRANSLATE(A16,""ko"",""en""),)"),"I can read, but speaking is still difficult.")</f>
        <v>I can read, but speaking is still difficult.</v>
      </c>
    </row>
    <row r="17" spans="1:2" ht="18">
      <c r="A17" s="3" t="s">
        <v>2538</v>
      </c>
      <c r="B17" s="4" t="str">
        <f ca="1">IFERROR(__xludf.DUMMYFUNCTION("IFERROR(GOOGLETRANSLATE(A17,""ko"",""en""),)"),"Learning Korean is fun.")</f>
        <v>Learning Korean is fun.</v>
      </c>
    </row>
    <row r="18" spans="1:2" ht="18">
      <c r="A18" s="3" t="s">
        <v>2539</v>
      </c>
      <c r="B18" s="4" t="str">
        <f ca="1">IFERROR(__xludf.DUMMYFUNCTION("IFERROR(GOOGLETRANSLATE(A18,""ko"",""en""),)"),"thing = thing")</f>
        <v>thing = thing</v>
      </c>
    </row>
    <row r="19" spans="1:2" ht="18">
      <c r="A19" s="3" t="s">
        <v>2541</v>
      </c>
      <c r="B19" s="4" t="str">
        <f ca="1">IFERROR(__xludf.DUMMYFUNCTION("IFERROR(GOOGLETRANSLATE(A19,""ko"",""en""),)"),"I studied by myself.")</f>
        <v>I studied by myself.</v>
      </c>
    </row>
    <row r="20" spans="1:2" ht="18">
      <c r="A20" s="3" t="s">
        <v>2542</v>
      </c>
      <c r="B20" s="4" t="str">
        <f ca="1">IFERROR(__xludf.DUMMYFUNCTION("IFERROR(GOOGLETRANSLATE(A20,""ko"",""en""),)"),"Kyobo Bookstore")</f>
        <v>Kyobo Bookstore</v>
      </c>
    </row>
    <row r="21" spans="1:2" ht="18">
      <c r="A21" s="3"/>
      <c r="B21" s="4" t="str">
        <f ca="1">IFERROR(__xludf.DUMMYFUNCTION("IFERROR(GOOGLETRANSLATE(A21,""ko"",""en""),)"),"")</f>
        <v/>
      </c>
    </row>
    <row r="22" spans="1:2" ht="18">
      <c r="A22" s="3" t="s">
        <v>2545</v>
      </c>
      <c r="B22" s="4" t="str">
        <f ca="1">IFERROR(__xludf.DUMMYFUNCTION("IFERROR(GOOGLETRANSLATE(A22,""ko"",""en""),)"),"I work on making programs.")</f>
        <v>I work on making programs.</v>
      </c>
    </row>
    <row r="23" spans="1:2" ht="18">
      <c r="A23" s="3" t="s">
        <v>520</v>
      </c>
      <c r="B23" s="4" t="str">
        <f ca="1">IFERROR(__xludf.DUMMYFUNCTION("IFERROR(GOOGLETRANSLATE(A23,""ko"",""en""),)"),"expression")</f>
        <v>expression</v>
      </c>
    </row>
    <row r="24" spans="1:2" ht="18">
      <c r="A24" s="3" t="s">
        <v>2548</v>
      </c>
      <c r="B24" s="4" t="str">
        <f ca="1">IFERROR(__xludf.DUMMYFUNCTION("IFERROR(GOOGLETRANSLATE(A24,""ko"",""en""),)"),"I asked Korean high school students.")</f>
        <v>I asked Korean high school students.</v>
      </c>
    </row>
    <row r="25" spans="1:2" ht="18">
      <c r="A25" s="3" t="s">
        <v>110</v>
      </c>
      <c r="B25" s="4" t="str">
        <f ca="1">IFERROR(__xludf.DUMMYFUNCTION("IFERROR(GOOGLETRANSLATE(A25,""ko"",""en""),)"),"elementary school")</f>
        <v>elementary school</v>
      </c>
    </row>
    <row r="26" spans="1:2" ht="18">
      <c r="A26" s="3" t="s">
        <v>2550</v>
      </c>
      <c r="B26" s="4" t="str">
        <f ca="1">IFERROR(__xludf.DUMMYFUNCTION("IFERROR(GOOGLETRANSLATE(A26,""ko"",""en""),)"),"elementary school students")</f>
        <v>elementary school students</v>
      </c>
    </row>
    <row r="27" spans="1:2" ht="18">
      <c r="A27" s="3" t="s">
        <v>101</v>
      </c>
      <c r="B27" s="4" t="str">
        <f ca="1">IFERROR(__xludf.DUMMYFUNCTION("IFERROR(GOOGLETRANSLATE(A27,""ko"",""en""),)"),"middle school")</f>
        <v>middle school</v>
      </c>
    </row>
    <row r="28" spans="1:2" ht="18">
      <c r="A28" s="3" t="s">
        <v>2552</v>
      </c>
      <c r="B28" s="4" t="str">
        <f ca="1">IFERROR(__xludf.DUMMYFUNCTION("IFERROR(GOOGLETRANSLATE(A28,""ko"",""en""),)"),"middle school student")</f>
        <v>middle school student</v>
      </c>
    </row>
    <row r="29" spans="1:2" ht="18">
      <c r="A29" s="3" t="s">
        <v>97</v>
      </c>
      <c r="B29" s="4" t="str">
        <f ca="1">IFERROR(__xludf.DUMMYFUNCTION("IFERROR(GOOGLETRANSLATE(A29,""ko"",""en""),)"),"high school")</f>
        <v>high school</v>
      </c>
    </row>
    <row r="30" spans="1:2" ht="18">
      <c r="A30" s="3" t="s">
        <v>2555</v>
      </c>
      <c r="B30" s="4" t="str">
        <f ca="1">IFERROR(__xludf.DUMMYFUNCTION("IFERROR(GOOGLETRANSLATE(A30,""ko"",""en""),)"),"high school student")</f>
        <v>high school student</v>
      </c>
    </row>
    <row r="31" spans="1:2" ht="18">
      <c r="A31" s="3" t="s">
        <v>2557</v>
      </c>
      <c r="B31" s="4" t="str">
        <f ca="1">IFERROR(__xludf.DUMMYFUNCTION("IFERROR(GOOGLETRANSLATE(A31,""ko"",""en""),)"),"university")</f>
        <v>university</v>
      </c>
    </row>
    <row r="32" spans="1:2" ht="18">
      <c r="A32" s="3" t="s">
        <v>614</v>
      </c>
      <c r="B32" s="4" t="str">
        <f ca="1">IFERROR(__xludf.DUMMYFUNCTION("IFERROR(GOOGLETRANSLATE(A32,""ko"",""en""),)"),"academic")</f>
        <v>academic</v>
      </c>
    </row>
    <row r="33" spans="1:2" ht="18">
      <c r="A33" s="3" t="s">
        <v>2558</v>
      </c>
      <c r="B33" s="4" t="str">
        <f ca="1">IFERROR(__xludf.DUMMYFUNCTION("IFERROR(GOOGLETRANSLATE(A33,""ko"",""en""),)"),"graduate school")</f>
        <v>graduate school</v>
      </c>
    </row>
    <row r="34" spans="1:2" ht="18">
      <c r="A34" s="3" t="s">
        <v>115</v>
      </c>
      <c r="B34" s="4" t="str">
        <f ca="1">IFERROR(__xludf.DUMMYFUNCTION("IFERROR(GOOGLETRANSLATE(A34,""ko"",""en""),)"),"postgraduate student")</f>
        <v>postgraduate student</v>
      </c>
    </row>
    <row r="35" spans="1:2" ht="18">
      <c r="A35" s="3" t="s">
        <v>2562</v>
      </c>
      <c r="B35" s="4" t="str">
        <f ca="1">IFERROR(__xludf.DUMMYFUNCTION("IFERROR(GOOGLETRANSLATE(A35,""ko"",""en""),)"),"ask")</f>
        <v>ask</v>
      </c>
    </row>
    <row r="36" spans="1:2" ht="18">
      <c r="A36" s="3" t="s">
        <v>2563</v>
      </c>
      <c r="B36" s="4" t="str">
        <f ca="1">IFERROR(__xludf.DUMMYFUNCTION("IFERROR(GOOGLETRANSLATE(A36,""ko"",""en""),)"),"I ask")</f>
        <v>I ask</v>
      </c>
    </row>
    <row r="37" spans="1:2" ht="18">
      <c r="A37" s="3" t="s">
        <v>2564</v>
      </c>
      <c r="B37" s="4" t="str">
        <f ca="1">IFERROR(__xludf.DUMMYFUNCTION("IFERROR(GOOGLETRANSLATE(A37,""ko"",""en""),)"),"What do you want to do in the future?")</f>
        <v>What do you want to do in the future?</v>
      </c>
    </row>
    <row r="38" spans="1:2" ht="18">
      <c r="A38" s="3" t="s">
        <v>2566</v>
      </c>
      <c r="B38" s="4" t="str">
        <f ca="1">IFERROR(__xludf.DUMMYFUNCTION("IFERROR(GOOGLETRANSLATE(A38,""ko"",""en""),)"),"schoolmaster")</f>
        <v>schoolmaster</v>
      </c>
    </row>
    <row r="39" spans="1:2" ht="18">
      <c r="A39" s="3" t="s">
        <v>77</v>
      </c>
      <c r="B39" s="4" t="str">
        <f ca="1">IFERROR(__xludf.DUMMYFUNCTION("IFERROR(GOOGLETRANSLATE(A39,""ko"",""en""),)"),"nurse")</f>
        <v>nurse</v>
      </c>
    </row>
    <row r="40" spans="1:2" ht="18">
      <c r="A40" s="3" t="s">
        <v>2568</v>
      </c>
      <c r="B40" s="4" t="str">
        <f ca="1">IFERROR(__xludf.DUMMYFUNCTION("IFERROR(GOOGLETRANSLATE(A40,""ko"",""en""),)"),"soldier")</f>
        <v>soldier</v>
      </c>
    </row>
    <row r="41" spans="1:2" ht="18">
      <c r="A41" s="3" t="s">
        <v>2570</v>
      </c>
      <c r="B41" s="4" t="str">
        <f ca="1">IFERROR(__xludf.DUMMYFUNCTION("IFERROR(GOOGLETRANSLATE(A41,""ko"",""en""),)"),"researcher")</f>
        <v>researcher</v>
      </c>
    </row>
    <row r="42" spans="1:2" ht="18">
      <c r="A42" s="5" t="s">
        <v>2573</v>
      </c>
      <c r="B42" s="4" t="str">
        <f ca="1">IFERROR(__xludf.DUMMYFUNCTION("IFERROR(GOOGLETRANSLATE(A42,""ko"",""en""),)"),"computer developer")</f>
        <v>computer developer</v>
      </c>
    </row>
    <row r="43" spans="1:2" ht="18">
      <c r="A43" s="3" t="s">
        <v>2574</v>
      </c>
      <c r="B43" s="4" t="str">
        <f ca="1">IFERROR(__xludf.DUMMYFUNCTION("IFERROR(GOOGLETRANSLATE(A43,""ko"",""en""),)"),"police officer")</f>
        <v>police officer</v>
      </c>
    </row>
    <row r="44" spans="1:2" ht="18">
      <c r="A44" s="3" t="s">
        <v>2577</v>
      </c>
      <c r="B44" s="4" t="s">
        <v>2578</v>
      </c>
    </row>
    <row r="45" spans="1:2" ht="18">
      <c r="A45" s="3" t="s">
        <v>2579</v>
      </c>
      <c r="B45" s="4" t="str">
        <f ca="1">IFERROR(__xludf.DUMMYFUNCTION("IFERROR(GOOGLETRANSLATE(A45,""ko"",""en""),)"),"I want to retire.")</f>
        <v>I want to retire.</v>
      </c>
    </row>
    <row r="46" spans="1:2" ht="18">
      <c r="A46" s="3" t="s">
        <v>2581</v>
      </c>
      <c r="B46" s="4" t="str">
        <f ca="1">IFERROR(__xludf.DUMMYFUNCTION("IFERROR(GOOGLETRANSLATE(A46,""ko"",""en""),)"),"barbershop")</f>
        <v>barbershop</v>
      </c>
    </row>
    <row r="47" spans="1:2" ht="18">
      <c r="A47" s="3" t="s">
        <v>2583</v>
      </c>
      <c r="B47" s="4" t="str">
        <f ca="1">IFERROR(__xludf.DUMMYFUNCTION("IFERROR(GOOGLETRANSLATE(A47,""ko"",""en""),)"),"Hair designer")</f>
        <v>Hair designer</v>
      </c>
    </row>
    <row r="48" spans="1:2" ht="18">
      <c r="A48" s="3" t="s">
        <v>2584</v>
      </c>
      <c r="B48" s="4" t="str">
        <f ca="1">IFERROR(__xludf.DUMMYFUNCTION("IFERROR(GOOGLETRANSLATE(A48,""ko"",""en""),)"),"beautician")</f>
        <v>beautician</v>
      </c>
    </row>
    <row r="49" spans="1:2" ht="18">
      <c r="A49" s="3" t="s">
        <v>2586</v>
      </c>
      <c r="B49" s="4" t="str">
        <f ca="1">IFERROR(__xludf.DUMMYFUNCTION("IFERROR(GOOGLETRANSLATE(A49,""ko"",""en""),)"),"teach")</f>
        <v>teach</v>
      </c>
    </row>
    <row r="50" spans="1:2" ht="18">
      <c r="A50" s="3" t="s">
        <v>2589</v>
      </c>
      <c r="B50" s="4" t="str">
        <f ca="1">IFERROR(__xludf.DUMMYFUNCTION("IFERROR(GOOGLETRANSLATE(A50,""ko"",""en""),)"),"programmer")</f>
        <v>programmer</v>
      </c>
    </row>
    <row r="51" spans="1:2" ht="18">
      <c r="A51" s="3" t="s">
        <v>2590</v>
      </c>
      <c r="B51" s="4" t="str">
        <f ca="1">IFERROR(__xludf.DUMMYFUNCTION("IFERROR(GOOGLETRANSLATE(A51,""ko"",""en""),)"),"baker")</f>
        <v>baker</v>
      </c>
    </row>
    <row r="52" spans="1:2" ht="18">
      <c r="A52" s="3" t="s">
        <v>2591</v>
      </c>
      <c r="B52" s="4" t="str">
        <f ca="1">IFERROR(__xludf.DUMMYFUNCTION("IFERROR(GOOGLETRANSLATE(A52,""ko"",""en""),)"),"Baker/Pastry Chef")</f>
        <v>Baker/Pastry Chef</v>
      </c>
    </row>
    <row r="53" spans="1:2" ht="18">
      <c r="A53" s="3" t="s">
        <v>2593</v>
      </c>
      <c r="B53" s="4" t="str">
        <f ca="1">IFERROR(__xludf.DUMMYFUNCTION("IFERROR(GOOGLETRANSLATE(A53,""ko"",""en""),)"),"What do you do for a living?")</f>
        <v>What do you do for a living?</v>
      </c>
    </row>
    <row r="54" spans="1:2" ht="18">
      <c r="A54" s="3" t="s">
        <v>590</v>
      </c>
      <c r="B54" s="4" t="str">
        <f ca="1">IFERROR(__xludf.DUMMYFUNCTION("IFERROR(GOOGLETRANSLATE(A54,""ko"",""en""),)"),"What is your job?")</f>
        <v>What is your job?</v>
      </c>
    </row>
    <row r="55" spans="1:2" ht="18">
      <c r="A55" s="3" t="s">
        <v>2595</v>
      </c>
      <c r="B55" s="4" t="str">
        <f ca="1">IFERROR(__xludf.DUMMYFUNCTION("IFERROR(GOOGLETRANSLATE(A55,""ko"",""en""),)"),"I make programs. I am a programmer.")</f>
        <v>I make programs. I am a programmer.</v>
      </c>
    </row>
    <row r="56" spans="1:2" ht="18">
      <c r="A56" s="3" t="s">
        <v>2597</v>
      </c>
      <c r="B56" s="4" t="str">
        <f ca="1">IFERROR(__xludf.DUMMYFUNCTION("IFERROR(GOOGLETRANSLATE(A56,""ko"",""en""),)"),"I teach Korean. I am a teacher.")</f>
        <v>I teach Korean. I am a teacher.</v>
      </c>
    </row>
    <row r="57" spans="1:2" ht="18">
      <c r="A57" s="5" t="s">
        <v>2598</v>
      </c>
      <c r="B57" s="4" t="str">
        <f ca="1">IFERROR(__xludf.DUMMYFUNCTION("IFERROR(GOOGLETRANSLATE(A57,""ko"",""en""),)"),"I bake bread. I am a baker.")</f>
        <v>I bake bread. I am a baker.</v>
      </c>
    </row>
    <row r="58" spans="1:2" ht="18">
      <c r="A58" s="5" t="s">
        <v>2600</v>
      </c>
      <c r="B58" s="4" t="str">
        <f ca="1">IFERROR(__xludf.DUMMYFUNCTION("IFERROR(GOOGLETRANSLATE(A58,""ko"",""en""),)"),"I work at a company.")</f>
        <v>I work at a company.</v>
      </c>
    </row>
    <row r="59" spans="1:2" ht="18">
      <c r="A59" s="3" t="s">
        <v>2601</v>
      </c>
      <c r="B59" s="4" t="str">
        <f ca="1">IFERROR(__xludf.DUMMYFUNCTION("IFERROR(GOOGLETRANSLATE(A59,""ko"",""en""),)"),"I work as an accountant.")</f>
        <v>I work as an accountant.</v>
      </c>
    </row>
    <row r="60" spans="1:2" ht="18">
      <c r="A60" s="3" t="s">
        <v>2603</v>
      </c>
      <c r="B60" s="4" t="str">
        <f ca="1">IFERROR(__xludf.DUMMYFUNCTION("IFERROR(GOOGLETRANSLATE(A60,""ko"",""en""),)"),"I want to create a program at a Korean company.")</f>
        <v>I want to create a program at a Korean company.</v>
      </c>
    </row>
    <row r="61" spans="1:2" ht="18">
      <c r="A61" s="3" t="s">
        <v>2605</v>
      </c>
      <c r="B61" s="4" t="str">
        <f ca="1">IFERROR(__xludf.DUMMYFUNCTION("IFERROR(GOOGLETRANSLATE(A61,""ko"",""en""),)"),"I want to become an athlete.")</f>
        <v>I want to become an athlete.</v>
      </c>
    </row>
    <row r="62" spans="1:2" ht="18">
      <c r="A62" s="3" t="s">
        <v>2607</v>
      </c>
      <c r="B62" s="4" t="str">
        <f ca="1">IFERROR(__xludf.DUMMYFUNCTION("IFERROR(GOOGLETRANSLATE(A62,""ko"",""en""),)"),"I want to work as an athlete.")</f>
        <v>I want to work as an athlete.</v>
      </c>
    </row>
    <row r="63" spans="1:2" ht="18">
      <c r="A63" s="3" t="s">
        <v>2609</v>
      </c>
      <c r="B63" s="4" t="str">
        <f ca="1">IFERROR(__xludf.DUMMYFUNCTION("IFERROR(GOOGLETRANSLATE(A63,""ko"",""en""),)"),"I want to become an artist.")</f>
        <v>I want to become an artist.</v>
      </c>
    </row>
    <row r="64" spans="1:2" ht="18">
      <c r="A64" s="5" t="s">
        <v>2610</v>
      </c>
      <c r="B64" s="4" t="str">
        <f ca="1">IFERROR(__xludf.DUMMYFUNCTION("IFERROR(GOOGLETRANSLATE(A64,""ko"",""en""),)"),"artist")</f>
        <v>artist</v>
      </c>
    </row>
    <row r="65" spans="1:2" ht="18">
      <c r="A65" s="3" t="s">
        <v>2612</v>
      </c>
      <c r="B65" s="4" t="str">
        <f ca="1">IFERROR(__xludf.DUMMYFUNCTION("IFERROR(GOOGLETRANSLATE(A65,""ko"",""en""),)"),"building owner")</f>
        <v>building owner</v>
      </c>
    </row>
    <row r="66" spans="1:2" ht="18">
      <c r="A66" s="5" t="s">
        <v>2614</v>
      </c>
      <c r="B66" s="4" t="str">
        <f ca="1">IFERROR(__xludf.DUMMYFUNCTION("IFERROR(GOOGLETRANSLATE(A66,""ko"",""en""),)"),"I want to be rich.")</f>
        <v>I want to be rich.</v>
      </c>
    </row>
    <row r="67" spans="1:2" ht="18">
      <c r="A67" s="5" t="s">
        <v>2615</v>
      </c>
      <c r="B67" s="4" t="str">
        <f ca="1">IFERROR(__xludf.DUMMYFUNCTION("IFERROR(GOOGLETRANSLATE(A67,""ko"",""en""),)"),"I want to become an interpreter.")</f>
        <v>I want to become an interpreter.</v>
      </c>
    </row>
    <row r="68" spans="1:2" ht="18">
      <c r="A68" s="5" t="s">
        <v>2617</v>
      </c>
      <c r="B68" s="4" t="str">
        <f ca="1">IFERROR(__xludf.DUMMYFUNCTION("IFERROR(GOOGLETRANSLATE(A68,""ko"",""en""),)"),"translator")</f>
        <v>translator</v>
      </c>
    </row>
    <row r="69" spans="1:2" ht="18">
      <c r="A69" s="5" t="s">
        <v>2619</v>
      </c>
      <c r="B69" s="4" t="str">
        <f ca="1">IFERROR(__xludf.DUMMYFUNCTION("IFERROR(GOOGLETRANSLATE(A69,""ko"",""en""),)"),"author")</f>
        <v>author</v>
      </c>
    </row>
    <row r="70" spans="1:2" ht="18">
      <c r="A70" s="3" t="s">
        <v>2620</v>
      </c>
      <c r="B70" s="4" t="str">
        <f ca="1">IFERROR(__xludf.DUMMYFUNCTION("IFERROR(GOOGLETRANSLATE(A70,""ko"",""en""),)"),"poet")</f>
        <v>poet</v>
      </c>
    </row>
    <row r="71" spans="1:2" ht="18">
      <c r="A71" s="5" t="s">
        <v>2622</v>
      </c>
      <c r="B71" s="4" t="str">
        <f ca="1">IFERROR(__xludf.DUMMYFUNCTION("IFERROR(GOOGLETRANSLATE(A71,""ko"",""en""),)"),"Store manager")</f>
        <v>Store manager</v>
      </c>
    </row>
    <row r="72" spans="1:2" ht="18">
      <c r="A72" s="5" t="s">
        <v>2625</v>
      </c>
      <c r="B72" s="4" t="str">
        <f ca="1">IFERROR(__xludf.DUMMYFUNCTION("IFERROR(GOOGLETRANSLATE(A72,""ko"",""en""),)"),"film director")</f>
        <v>film director</v>
      </c>
    </row>
    <row r="73" spans="1:2" ht="18">
      <c r="A73" s="3" t="s">
        <v>2627</v>
      </c>
      <c r="B73" s="4" t="str">
        <f ca="1">IFERROR(__xludf.DUMMYFUNCTION("IFERROR(GOOGLETRANSLATE(A73,""ko"",""en""),)"),"Child psychologist")</f>
        <v>Child psychologist</v>
      </c>
    </row>
    <row r="74" spans="1:2" ht="18">
      <c r="A74" s="3" t="s">
        <v>2628</v>
      </c>
      <c r="B74" s="4" t="str">
        <f ca="1">IFERROR(__xludf.DUMMYFUNCTION("IFERROR(GOOGLETRANSLATE(A74,""ko"",""en""),)"),"unemployed")</f>
        <v>unemployed</v>
      </c>
    </row>
    <row r="75" spans="1:2" ht="18">
      <c r="A75" s="3" t="s">
        <v>2630</v>
      </c>
      <c r="B75" s="4" t="str">
        <f ca="1">IFERROR(__xludf.DUMMYFUNCTION("IFERROR(GOOGLETRANSLATE(A75,""ko"",""en""),)"),"reporter")</f>
        <v>reporter</v>
      </c>
    </row>
    <row r="76" spans="1:2" ht="18">
      <c r="A76" s="5" t="s">
        <v>2633</v>
      </c>
      <c r="B76" s="4" t="str">
        <f ca="1">IFERROR(__xludf.DUMMYFUNCTION("IFERROR(GOOGLETRANSLATE(A76,""ko"",""en""),)"),"librarian")</f>
        <v>librarian</v>
      </c>
    </row>
    <row r="77" spans="1:2" ht="18">
      <c r="A77" s="3" t="s">
        <v>2635</v>
      </c>
      <c r="B77" s="4" t="str">
        <f ca="1">IFERROR(__xludf.DUMMYFUNCTION("IFERROR(GOOGLETRANSLATE(A77,""ko"",""en""),)"),"famous swimmer")</f>
        <v>famous swimmer</v>
      </c>
    </row>
    <row r="78" spans="1:2" ht="18">
      <c r="A78" s="3" t="s">
        <v>2637</v>
      </c>
      <c r="B78" s="4" t="str">
        <f ca="1">IFERROR(__xludf.DUMMYFUNCTION("IFERROR(GOOGLETRANSLATE(A78,""ko"",""en""),)"),"Travel writer")</f>
        <v>Travel writer</v>
      </c>
    </row>
    <row r="79" spans="1:2" ht="18">
      <c r="A79" s="5" t="s">
        <v>2638</v>
      </c>
      <c r="B79" s="4" t="str">
        <f ca="1">IFERROR(__xludf.DUMMYFUNCTION("IFERROR(GOOGLETRANSLATE(A79,""ko"",""en""),)"),"public official")</f>
        <v>public official</v>
      </c>
    </row>
    <row r="80" spans="1:2" ht="18">
      <c r="A80" s="3" t="s">
        <v>2642</v>
      </c>
      <c r="B80" s="4" t="str">
        <f ca="1">IFERROR(__xludf.DUMMYFUNCTION("IFERROR(GOOGLETRANSLATE(A80,""ko"",""en""),)"),"stock trader")</f>
        <v>stock trader</v>
      </c>
    </row>
    <row r="81" spans="1:2" ht="18">
      <c r="A81" s="3" t="s">
        <v>2643</v>
      </c>
      <c r="B81" s="4" t="str">
        <f ca="1">IFERROR(__xludf.DUMMYFUNCTION("IFERROR(GOOGLETRANSLATE(A81,""ko"",""en""),)"),"I attend university.")</f>
        <v>I attend university.</v>
      </c>
    </row>
    <row r="82" spans="1:2" ht="18">
      <c r="A82" s="3" t="s">
        <v>2644</v>
      </c>
      <c r="B82" s="4" t="str">
        <f ca="1">IFERROR(__xludf.DUMMYFUNCTION("IFERROR(GOOGLETRANSLATE(A82,""ko"",""en""),)"),"I teach Korean.")</f>
        <v>I teach Korean.</v>
      </c>
    </row>
    <row r="83" spans="1:2" ht="18">
      <c r="A83" s="3" t="s">
        <v>2646</v>
      </c>
      <c r="B83" s="4" t="str">
        <f ca="1">IFERROR(__xludf.DUMMYFUNCTION("IFERROR(GOOGLETRANSLATE(A83,""ko"",""en""),)"),"I bake bread.")</f>
        <v>I bake bread.</v>
      </c>
    </row>
    <row r="84" spans="1:2" ht="18">
      <c r="A84" s="3" t="s">
        <v>2648</v>
      </c>
      <c r="B84" s="4" t="str">
        <f ca="1">IFERROR(__xludf.DUMMYFUNCTION("IFERROR(GOOGLETRANSLATE(A84,""ko"",""en""),)"),"I work at a hair salon.")</f>
        <v>I work at a hair salon.</v>
      </c>
    </row>
    <row r="85" spans="1:2" ht="18">
      <c r="A85" s="3" t="s">
        <v>2649</v>
      </c>
      <c r="B85" s="4" t="str">
        <f ca="1">IFERROR(__xludf.DUMMYFUNCTION("IFERROR(GOOGLETRANSLATE(A85,""ko"",""en""),)"),"I'm cutting my hair.")</f>
        <v>I'm cutting my hair.</v>
      </c>
    </row>
    <row r="86" spans="1:2" ht="18">
      <c r="A86" s="3" t="s">
        <v>2651</v>
      </c>
      <c r="B86" s="4" t="str">
        <f ca="1">IFERROR(__xludf.DUMMYFUNCTION("IFERROR(GOOGLETRANSLATE(A86,""ko"",""en""),)"),"I make a program.")</f>
        <v>I make a program.</v>
      </c>
    </row>
    <row r="87" spans="1:2" ht="18">
      <c r="A87" s="3" t="s">
        <v>2595</v>
      </c>
      <c r="B87" s="4" t="str">
        <f ca="1">IFERROR(__xludf.DUMMYFUNCTION("IFERROR(GOOGLETRANSLATE(A87,""ko"",""en""),)"),"I make programs. I am a programmer.")</f>
        <v>I make programs. I am a programmer.</v>
      </c>
    </row>
    <row r="88" spans="1:2" ht="18">
      <c r="A88" s="18" t="s">
        <v>2654</v>
      </c>
      <c r="B88" s="4" t="str">
        <f ca="1">IFERROR(__xludf.DUMMYFUNCTION("IFERROR(GOOGLETRANSLATE(A88,""ko"",""en""),)"),"I am a hair designer.")</f>
        <v>I am a hair designer.</v>
      </c>
    </row>
    <row r="89" spans="1:2" ht="18">
      <c r="A89" s="3" t="s">
        <v>2658</v>
      </c>
      <c r="B89" s="4" t="str">
        <f ca="1">IFERROR(__xludf.DUMMYFUNCTION("IFERROR(GOOGLETRANSLATE(A89,""ko"",""en""),)"),"I want to study Korean hard and become a Korean teacher.")</f>
        <v>I want to study Korean hard and become a Korean teacher.</v>
      </c>
    </row>
    <row r="90" spans="1:2" ht="18">
      <c r="A90" s="3" t="s">
        <v>2660</v>
      </c>
      <c r="B90" s="4" t="str">
        <f ca="1">IFERROR(__xludf.DUMMYFUNCTION("IFERROR(GOOGLETRANSLATE(A90,""ko"",""en""),)"),"My name is Anna.")</f>
        <v>My name is Anna.</v>
      </c>
    </row>
    <row r="91" spans="1:2" ht="18">
      <c r="A91" s="3" t="s">
        <v>2662</v>
      </c>
      <c r="B91" s="4" t="str">
        <f ca="1">IFERROR(__xludf.DUMMYFUNCTION("IFERROR(GOOGLETRANSLATE(A91,""ko"",""en""),)"),"What do you call this in Korean?")</f>
        <v>What do you call this in Korean?</v>
      </c>
    </row>
    <row r="92" spans="1:2" ht="18">
      <c r="A92" s="3" t="s">
        <v>2664</v>
      </c>
      <c r="B92" s="4" t="str">
        <f ca="1">IFERROR(__xludf.DUMMYFUNCTION("IFERROR(GOOGLETRANSLATE(A92,""ko"",""en""),)"),"That is called Hanbok.")</f>
        <v>That is called Hanbok.</v>
      </c>
    </row>
    <row r="93" spans="1:2" ht="18">
      <c r="A93" s="3" t="s">
        <v>2666</v>
      </c>
      <c r="B93" s="4" t="str">
        <f ca="1">IFERROR(__xludf.DUMMYFUNCTION("IFERROR(GOOGLETRANSLATE(A93,""ko"",""en""),)"),"My name is Juno.")</f>
        <v>My name is Juno.</v>
      </c>
    </row>
    <row r="94" spans="1:2" ht="18">
      <c r="A94" s="3" t="s">
        <v>2667</v>
      </c>
      <c r="B94" s="4" t="str">
        <f ca="1">IFERROR(__xludf.DUMMYFUNCTION("IFERROR(GOOGLETRANSLATE(A94,""ko"",""en""),)"),"My name is Jaemin.")</f>
        <v>My name is Jaemin.</v>
      </c>
    </row>
    <row r="95" spans="1:2" ht="18">
      <c r="A95" s="3" t="s">
        <v>2670</v>
      </c>
      <c r="B95" s="4" t="str">
        <f ca="1">IFERROR(__xludf.DUMMYFUNCTION("IFERROR(GOOGLETRANSLATE(A95,""ko"",""en""),)"),"My name is Dietman.")</f>
        <v>My name is Dietman.</v>
      </c>
    </row>
    <row r="96" spans="1:2" ht="18">
      <c r="A96" s="3" t="s">
        <v>2672</v>
      </c>
      <c r="B96" s="4" t="str">
        <f ca="1">IFERROR(__xludf.DUMMYFUNCTION("IFERROR(GOOGLETRANSLATE(A96,""ko"",""en""),)"),"What do you say ""Ni hao"" in Korean?")</f>
        <v>What do you say "Ni hao" in Korean?</v>
      </c>
    </row>
    <row r="97" spans="1:2" ht="18">
      <c r="A97" s="3" t="s">
        <v>2673</v>
      </c>
      <c r="B97" s="4" t="str">
        <f ca="1">IFERROR(__xludf.DUMMYFUNCTION("IFERROR(GOOGLETRANSLATE(A97,""ko"",""en""),)"),"I say ""Hello.""")</f>
        <v>I say "Hello."</v>
      </c>
    </row>
    <row r="98" spans="1:2" ht="18">
      <c r="A98" s="3" t="s">
        <v>1027</v>
      </c>
      <c r="B98" s="4" t="str">
        <f ca="1">IFERROR(__xludf.DUMMYFUNCTION("IFERROR(GOOGLETRANSLATE(A98,""ko"",""en""),)"),"sentence")</f>
        <v>sentence</v>
      </c>
    </row>
    <row r="99" spans="1:2" ht="18">
      <c r="A99" s="3" t="s">
        <v>2675</v>
      </c>
      <c r="B99" s="4" t="str">
        <f ca="1">IFERROR(__xludf.DUMMYFUNCTION("IFERROR(GOOGLETRANSLATE(A99,""ko"",""en""),)"),"My name is Yujin.")</f>
        <v>My name is Yujin.</v>
      </c>
    </row>
    <row r="100" spans="1:2" ht="18">
      <c r="A100" s="3" t="s">
        <v>2677</v>
      </c>
      <c r="B100" s="4" t="str">
        <f ca="1">IFERROR(__xludf.DUMMYFUNCTION("IFERROR(GOOGLETRANSLATE(A100,""ko"",""en""),)"),"My name is Jaemin.")</f>
        <v>My name is Jaemin.</v>
      </c>
    </row>
    <row r="101" spans="1:2" ht="18">
      <c r="A101" s="3" t="s">
        <v>2678</v>
      </c>
      <c r="B101" s="4" t="str">
        <f ca="1">IFERROR(__xludf.DUMMYFUNCTION("IFERROR(GOOGLETRANSLATE(A101,""ko"",""en""),)"),"It is called Hanbok.")</f>
        <v>It is called Hanbok.</v>
      </c>
    </row>
    <row r="102" spans="1:2" ht="18">
      <c r="A102" s="3" t="s">
        <v>2679</v>
      </c>
      <c r="B102" s="4" t="str">
        <f ca="1">IFERROR(__xludf.DUMMYFUNCTION("IFERROR(GOOGLETRANSLATE(A102,""ko"",""en""),)"),"It is called bibimbap.")</f>
        <v>It is called bibimbap.</v>
      </c>
    </row>
    <row r="103" spans="1:2" ht="18">
      <c r="A103" s="3" t="s">
        <v>2681</v>
      </c>
      <c r="B103" s="4" t="str">
        <f ca="1">IFERROR(__xludf.DUMMYFUNCTION("IFERROR(GOOGLETRANSLATE(A103,""ko"",""en""),)"),"It's called Seoul.")</f>
        <v>It's called Seoul.</v>
      </c>
    </row>
    <row r="104" spans="1:2" ht="18">
      <c r="A104" s="3" t="s">
        <v>2683</v>
      </c>
      <c r="B104" s="4" t="str">
        <f ca="1">IFERROR(__xludf.DUMMYFUNCTION("IFERROR(GOOGLETRANSLATE(A104,""ko"",""en""),)"),"My name is Marie.")</f>
        <v>My name is Marie.</v>
      </c>
    </row>
    <row r="105" spans="1:2" ht="18">
      <c r="A105" s="3" t="s">
        <v>2685</v>
      </c>
      <c r="B105" s="4" t="str">
        <f ca="1">IFERROR(__xludf.DUMMYFUNCTION("IFERROR(GOOGLETRANSLATE(A105,""ko"",""en""),)"),"My name is Juno.")</f>
        <v>My name is Juno.</v>
      </c>
    </row>
    <row r="106" spans="1:2" ht="18">
      <c r="A106" s="3" t="s">
        <v>2687</v>
      </c>
      <c r="B106" s="4" t="str">
        <f ca="1">IFERROR(__xludf.DUMMYFUNCTION("IFERROR(GOOGLETRANSLATE(A106,""ko"",""en""),)"),"They call it bulgogi.")</f>
        <v>They call it bulgogi.</v>
      </c>
    </row>
    <row r="107" spans="1:2" ht="18">
      <c r="A107" s="3" t="s">
        <v>2689</v>
      </c>
      <c r="B107" s="4" t="str">
        <f ca="1">IFERROR(__xludf.DUMMYFUNCTION("IFERROR(GOOGLETRANSLATE(A107,""ko"",""en""),)"),"It is called kimchi.")</f>
        <v>It is called kimchi.</v>
      </c>
    </row>
    <row r="108" spans="1:2" ht="18">
      <c r="A108" s="3" t="s">
        <v>2691</v>
      </c>
      <c r="B108" s="4" t="str">
        <f ca="1">IFERROR(__xludf.DUMMYFUNCTION("IFERROR(GOOGLETRANSLATE(A108,""ko"",""en""),)"),"They say it's Korean.")</f>
        <v>They say it's Korean.</v>
      </c>
    </row>
    <row r="109" spans="1:2" ht="18">
      <c r="A109" s="3" t="s">
        <v>2692</v>
      </c>
      <c r="B109" s="4" t="str">
        <f ca="1">IFERROR(__xludf.DUMMYFUNCTION("IFERROR(GOOGLETRANSLATE(A109,""ko"",""en""),)"),"I say ""Hello.""")</f>
        <v>I say "Hello."</v>
      </c>
    </row>
    <row r="110" spans="1:2" ht="18">
      <c r="A110" s="3" t="s">
        <v>2693</v>
      </c>
      <c r="B110" s="4" t="str">
        <f ca="1">IFERROR(__xludf.DUMMYFUNCTION("IFERROR(GOOGLETRANSLATE(A110,""ko"",""en""),)"),"They say ""Thank you.""")</f>
        <v>They say "Thank you."</v>
      </c>
    </row>
    <row r="111" spans="1:2" ht="18">
      <c r="A111" s="3" t="s">
        <v>2695</v>
      </c>
      <c r="B111" s="4" t="str">
        <f ca="1">IFERROR(__xludf.DUMMYFUNCTION("IFERROR(GOOGLETRANSLATE(A111,""ko"",""en""),)"),"Say ""I'm sorry.""")</f>
        <v>Say "I'm sorry."</v>
      </c>
    </row>
    <row r="112" spans="1:2" ht="18">
      <c r="A112" s="3" t="s">
        <v>2696</v>
      </c>
      <c r="B112" s="4" t="str">
        <f ca="1">IFERROR(__xludf.DUMMYFUNCTION("IFERROR(GOOGLETRANSLATE(A112,""ko"",""en""),)"),"Say ""I love you.""")</f>
        <v>Say "I love you."</v>
      </c>
    </row>
    <row r="113" spans="1:2" ht="18">
      <c r="A113" s="3" t="s">
        <v>2698</v>
      </c>
      <c r="B113" s="4" t="str">
        <f ca="1">IFERROR(__xludf.DUMMYFUNCTION("IFERROR(GOOGLETRANSLATE(A113,""ko"",""en""),)"),"They say ""I like you.""")</f>
        <v>They say "I like you."</v>
      </c>
    </row>
    <row r="114" spans="1:2" ht="18">
      <c r="A114" s="3" t="s">
        <v>2699</v>
      </c>
      <c r="B114" s="4" t="str">
        <f ca="1">IFERROR(__xludf.DUMMYFUNCTION("IFERROR(GOOGLETRANSLATE(A114,""ko"",""en""),)"),"traditional clothes")</f>
        <v>traditional clothes</v>
      </c>
    </row>
    <row r="115" spans="1:2" ht="18">
      <c r="A115" s="3" t="s">
        <v>1298</v>
      </c>
      <c r="B115" s="4" t="str">
        <f ca="1">IFERROR(__xludf.DUMMYFUNCTION("IFERROR(GOOGLETRANSLATE(A115,""ko"",""en""),)"),"Hanok")</f>
        <v>Hanok</v>
      </c>
    </row>
    <row r="116" spans="1:2" ht="18">
      <c r="A116" s="3" t="s">
        <v>2702</v>
      </c>
      <c r="B116" s="4" t="str">
        <f ca="1">IFERROR(__xludf.DUMMYFUNCTION("IFERROR(GOOGLETRANSLATE(A116,""ko"",""en""),)"),"korean")</f>
        <v>korean</v>
      </c>
    </row>
    <row r="117" spans="1:2" ht="18">
      <c r="A117" s="3" t="s">
        <v>2703</v>
      </c>
      <c r="B117" s="4" t="str">
        <f ca="1">IFERROR(__xludf.DUMMYFUNCTION("IFERROR(GOOGLETRANSLATE(A117,""ko"",""en""),)"),"Korean Wave")</f>
        <v>Korean Wave</v>
      </c>
    </row>
    <row r="118" spans="1:2" ht="18">
      <c r="A118" s="5" t="s">
        <v>2704</v>
      </c>
      <c r="B118" s="4" t="str">
        <f ca="1">IFERROR(__xludf.DUMMYFUNCTION("IFERROR(GOOGLETRANSLATE(A118,""ko"",""en""),)"),"Learn other countries' languages")</f>
        <v>Learn other countries' languages</v>
      </c>
    </row>
    <row r="119" spans="1:2" ht="18">
      <c r="A119" s="3" t="s">
        <v>594</v>
      </c>
      <c r="B119" s="4" t="str">
        <f ca="1">IFERROR(__xludf.DUMMYFUNCTION("IFERROR(GOOGLETRANSLATE(A119,""ko"",""en""),)"),"what's your name?")</f>
        <v>what's your name?</v>
      </c>
    </row>
    <row r="120" spans="1:2" ht="18">
      <c r="A120" s="3" t="s">
        <v>2707</v>
      </c>
      <c r="B120" s="4" t="str">
        <f ca="1">IFERROR(__xludf.DUMMYFUNCTION("IFERROR(GOOGLETRANSLATE(A120,""ko"",""en""),)"),"My name is Marie.")</f>
        <v>My name is Marie.</v>
      </c>
    </row>
    <row r="121" spans="1:2" ht="18">
      <c r="A121" s="3" t="s">
        <v>2708</v>
      </c>
      <c r="B121" s="4" t="str">
        <f ca="1">IFERROR(__xludf.DUMMYFUNCTION("IFERROR(GOOGLETRANSLATE(A121,""ko"",""en""),)"),"My name is Yujin.")</f>
        <v>My name is Yujin.</v>
      </c>
    </row>
    <row r="122" spans="1:2" ht="18">
      <c r="A122" s="3" t="s">
        <v>2710</v>
      </c>
      <c r="B122" s="4" t="str">
        <f ca="1">IFERROR(__xludf.DUMMYFUNCTION("IFERROR(GOOGLETRANSLATE(A122,""ko"",""en""),)"),"In Korean, we say 'I love you'.")</f>
        <v>In Korean, we say 'I love you'.</v>
      </c>
    </row>
    <row r="123" spans="1:2" ht="18">
      <c r="A123" s="3" t="s">
        <v>2713</v>
      </c>
      <c r="B123" s="4" t="str">
        <f ca="1">IFERROR(__xludf.DUMMYFUNCTION("IFERROR(GOOGLETRANSLATE(A123,""ko"",""en""),)"),"In Korean, it is called a 'mobile phone'.")</f>
        <v>In Korean, it is called a 'mobile phone'.</v>
      </c>
    </row>
    <row r="124" spans="1:2" ht="18">
      <c r="A124" s="5" t="s">
        <v>2714</v>
      </c>
      <c r="B124" s="4" t="str">
        <f ca="1">IFERROR(__xludf.DUMMYFUNCTION("IFERROR(GOOGLETRANSLATE(A124,""ko"",""en""),)"),"In Korean, it is called carrot.")</f>
        <v>In Korean, it is called carrot.</v>
      </c>
    </row>
    <row r="125" spans="1:2" ht="18">
      <c r="A125" s="3" t="s">
        <v>2715</v>
      </c>
      <c r="B125" s="4" t="s">
        <v>2717</v>
      </c>
    </row>
    <row r="126" spans="1:2" ht="18">
      <c r="A126" s="3" t="s">
        <v>2720</v>
      </c>
      <c r="B126" s="4" t="str">
        <f ca="1">IFERROR(__xludf.DUMMYFUNCTION("IFERROR(GOOGLETRANSLATE(A126,""ko"",""en""),)"),"Of course")</f>
        <v>Of course</v>
      </c>
    </row>
    <row r="127" spans="1:2" ht="18">
      <c r="A127" s="3" t="s">
        <v>2721</v>
      </c>
      <c r="B127" s="4" t="str">
        <f ca="1">IFERROR(__xludf.DUMMYFUNCTION("IFERROR(GOOGLETRANSLATE(A127,""ko"",""en""),)"),"In Korean, it is called 'cha'.")</f>
        <v>In Korean, it is called 'cha'.</v>
      </c>
    </row>
    <row r="128" spans="1:2" ht="18">
      <c r="A128" s="3"/>
      <c r="B128" s="4" t="str">
        <f ca="1">IFERROR(__xludf.DUMMYFUNCTION("IFERROR(GOOGLETRANSLATE(A128,""ko"",""en""),)"),"")</f>
        <v/>
      </c>
    </row>
    <row r="129" spans="1:2" ht="18">
      <c r="A129" s="3" t="s">
        <v>2724</v>
      </c>
      <c r="B129" s="4" t="str">
        <f ca="1">IFERROR(__xludf.DUMMYFUNCTION("IFERROR(GOOGLETRANSLATE(A129,""ko"",""en""),)"),"Favorite song")</f>
        <v>Favorite song</v>
      </c>
    </row>
    <row r="130" spans="1:2" ht="18">
      <c r="A130" s="3" t="s">
        <v>2725</v>
      </c>
      <c r="B130" s="4" t="str">
        <f ca="1">IFERROR(__xludf.DUMMYFUNCTION("IFERROR(GOOGLETRANSLATE(A130,""ko"",""en""),)"),"Favorite food")</f>
        <v>Favorite food</v>
      </c>
    </row>
    <row r="131" spans="1:2" ht="18">
      <c r="A131" s="3" t="s">
        <v>2726</v>
      </c>
      <c r="B131" s="4" t="str">
        <f ca="1">IFERROR(__xludf.DUMMYFUNCTION("IFERROR(GOOGLETRANSLATE(A131,""ko"",""en""),)"),"She is a friend I like. Her name is Anna.")</f>
        <v>She is a friend I like. Her name is Anna.</v>
      </c>
    </row>
    <row r="132" spans="1:2" ht="18">
      <c r="A132" s="3" t="s">
        <v>2729</v>
      </c>
      <c r="B132" s="4" t="str">
        <f ca="1">IFERROR(__xludf.DUMMYFUNCTION("IFERROR(GOOGLETRANSLATE(A132,""ko"",""en""),)"),"This is the Sejong Institute where I study.")</f>
        <v>This is the Sejong Institute where I study.</v>
      </c>
    </row>
    <row r="133" spans="1:2" ht="18">
      <c r="A133" s="3" t="s">
        <v>2732</v>
      </c>
      <c r="B133" s="4" t="str">
        <f ca="1">IFERROR(__xludf.DUMMYFUNCTION("IFERROR(GOOGLETRANSLATE(A133,""ko"",""en""),)"),"What kind of bread is Eric eating right now?")</f>
        <v>What kind of bread is Eric eating right now?</v>
      </c>
    </row>
    <row r="134" spans="1:2" ht="18">
      <c r="A134" s="3" t="s">
        <v>2734</v>
      </c>
      <c r="B134" s="4" t="str">
        <f ca="1">IFERROR(__xludf.DUMMYFUNCTION("IFERROR(GOOGLETRANSLATE(A134,""ko"",""en""),)"),"The language I am currently studying is Korean.")</f>
        <v>The language I am currently studying is Korean.</v>
      </c>
    </row>
    <row r="135" spans="1:2" ht="18">
      <c r="A135" s="3" t="s">
        <v>2736</v>
      </c>
      <c r="B135" s="4" t="str">
        <f ca="1">IFERROR(__xludf.DUMMYFUNCTION("IFERROR(GOOGLETRANSLATE(A135,""ko"",""en""),)"),"The food I am eating right now is ice cream.")</f>
        <v>The food I am eating right now is ice cream.</v>
      </c>
    </row>
    <row r="136" spans="1:2" ht="18">
      <c r="A136" s="3" t="s">
        <v>2737</v>
      </c>
      <c r="B136" s="4" t="str">
        <f ca="1">IFERROR(__xludf.DUMMYFUNCTION("IFERROR(GOOGLETRANSLATE(A136,""ko"",""en""),)"),"What food do you eat often?")</f>
        <v>What food do you eat often?</v>
      </c>
    </row>
    <row r="137" spans="1:2" ht="18">
      <c r="A137" s="3" t="s">
        <v>2739</v>
      </c>
      <c r="B137" s="4" t="str">
        <f ca="1">IFERROR(__xludf.DUMMYFUNCTION("IFERROR(GOOGLETRANSLATE(A137,""ko"",""en""),)"),"What is the gift you are receiving?")</f>
        <v>What is the gift you are receiving?</v>
      </c>
    </row>
    <row r="138" spans="1:2" ht="18">
      <c r="A138" s="3" t="s">
        <v>2740</v>
      </c>
      <c r="B138" s="4" t="str">
        <f ca="1">IFERROR(__xludf.DUMMYFUNCTION("IFERROR(GOOGLETRANSLATE(A138,""ko"",""en""),)"),"Do you usually receive a lot of gifts on your birthday?")</f>
        <v>Do you usually receive a lot of gifts on your birthday?</v>
      </c>
    </row>
    <row r="139" spans="1:2" ht="18">
      <c r="A139" s="3" t="s">
        <v>2743</v>
      </c>
      <c r="B139" s="4" t="str">
        <f ca="1">IFERROR(__xludf.DUMMYFUNCTION("IFERROR(GOOGLETRANSLATE(A139,""ko"",""en""),)"),"Seeing")</f>
        <v>Seeing</v>
      </c>
    </row>
    <row r="140" spans="1:2" ht="18">
      <c r="A140" s="5" t="s">
        <v>2744</v>
      </c>
      <c r="B140" s="4" t="str">
        <f ca="1">IFERROR(__xludf.DUMMYFUNCTION("IFERROR(GOOGLETRANSLATE(A140,""ko"",""en""),)"),"What kind of animal are you looking at?")</f>
        <v>What kind of animal are you looking at?</v>
      </c>
    </row>
    <row r="141" spans="1:2" ht="18">
      <c r="A141" s="5" t="s">
        <v>2747</v>
      </c>
      <c r="B141" s="4" t="str">
        <f ca="1">IFERROR(__xludf.DUMMYFUNCTION("IFERROR(GOOGLETRANSLATE(A141,""ko"",""en""),)"),"The animal I am looking at right now is a rabbit.")</f>
        <v>The animal I am looking at right now is a rabbit.</v>
      </c>
    </row>
    <row r="142" spans="1:2" ht="18">
      <c r="A142" s="3" t="s">
        <v>2748</v>
      </c>
      <c r="B142" s="4" t="str">
        <f ca="1">IFERROR(__xludf.DUMMYFUNCTION("IFERROR(GOOGLETRANSLATE(A142,""ko"",""en""),)"),"What movie are you watching right now?")</f>
        <v>What movie are you watching right now?</v>
      </c>
    </row>
    <row r="143" spans="1:2" ht="18">
      <c r="A143" s="3" t="s">
        <v>2750</v>
      </c>
      <c r="B143" s="4" t="str">
        <f ca="1">IFERROR(__xludf.DUMMYFUNCTION("IFERROR(GOOGLETRANSLATE(A143,""ko"",""en""),)"),"drinking")</f>
        <v>drinking</v>
      </c>
    </row>
    <row r="144" spans="1:2" ht="18">
      <c r="A144" s="5" t="s">
        <v>2751</v>
      </c>
      <c r="B144" s="4" t="str">
        <f ca="1">IFERROR(__xludf.DUMMYFUNCTION("IFERROR(GOOGLETRANSLATE(A144,""ko"",""en""),)"),"The coffee I'm drinking right now doesn't taste good.")</f>
        <v>The coffee I'm drinking right now doesn't taste good.</v>
      </c>
    </row>
    <row r="145" spans="1:2" ht="18">
      <c r="A145" s="3" t="s">
        <v>2754</v>
      </c>
      <c r="B145" s="4" t="str">
        <f ca="1">IFERROR(__xludf.DUMMYFUNCTION("IFERROR(GOOGLETRANSLATE(A145,""ko"",""en""),)"),"I want to see a friend who lives overseas.")</f>
        <v>I want to see a friend who lives overseas.</v>
      </c>
    </row>
    <row r="146" spans="1:2" ht="18">
      <c r="A146" s="3" t="s">
        <v>2757</v>
      </c>
      <c r="B146" s="4" t="str">
        <f ca="1">IFERROR(__xludf.DUMMYFUNCTION("IFERROR(GOOGLETRANSLATE(A146,""ko"",""en""),)"),"Australia, where I live, is beautiful.")</f>
        <v>Australia, where I live, is beautiful.</v>
      </c>
    </row>
    <row r="147" spans="1:2" ht="18">
      <c r="A147" s="3" t="s">
        <v>2758</v>
      </c>
      <c r="B147" s="4" t="str">
        <f ca="1">IFERROR(__xludf.DUMMYFUNCTION("IFERROR(GOOGLETRANSLATE(A147,""ko"",""en""),)"),"This is the classroom where I study.")</f>
        <v>This is the classroom where I study.</v>
      </c>
    </row>
    <row r="148" spans="1:2" ht="18">
      <c r="A148" s="3" t="s">
        <v>2761</v>
      </c>
      <c r="B148" s="4" t="s">
        <v>2762</v>
      </c>
    </row>
    <row r="149" spans="1:2" ht="18">
      <c r="A149" s="3" t="s">
        <v>2763</v>
      </c>
      <c r="B149" s="4" t="s">
        <v>2764</v>
      </c>
    </row>
    <row r="150" spans="1:2" ht="18">
      <c r="A150" s="3" t="s">
        <v>2765</v>
      </c>
      <c r="B150" s="4" t="str">
        <f ca="1">IFERROR(__xludf.DUMMYFUNCTION("IFERROR(GOOGLETRANSLATE(A150,""ko"",""en""),)"),"This is the coffee I drink often.")</f>
        <v>This is the coffee I drink often.</v>
      </c>
    </row>
    <row r="151" spans="1:2" ht="18">
      <c r="A151" s="3" t="s">
        <v>2766</v>
      </c>
      <c r="B151" s="4" t="str">
        <f ca="1">IFERROR(__xludf.DUMMYFUNCTION("IFERROR(GOOGLETRANSLATE(A151,""ko"",""en""),)"),"I work making furniture.")</f>
        <v>I work making furniture.</v>
      </c>
    </row>
    <row r="152" spans="1:2" ht="18">
      <c r="A152" s="3" t="s">
        <v>2768</v>
      </c>
      <c r="B152" s="4" t="str">
        <f ca="1">IFERROR(__xludf.DUMMYFUNCTION("IFERROR(GOOGLETRANSLATE(A152,""ko"",""en""),)"),"I am a computer programmer.")</f>
        <v>I am a computer programmer.</v>
      </c>
    </row>
    <row r="153" spans="1:2" ht="18">
      <c r="A153" s="3" t="s">
        <v>2770</v>
      </c>
      <c r="B153" s="4" t="str">
        <f ca="1">IFERROR(__xludf.DUMMYFUNCTION("IFERROR(GOOGLETRANSLATE(A153,""ko"",""en""),)"),"I work as a painter.")</f>
        <v>I work as a painter.</v>
      </c>
    </row>
    <row r="154" spans="1:2" ht="18">
      <c r="A154" s="3" t="s">
        <v>2771</v>
      </c>
      <c r="B154" s="4" t="str">
        <f ca="1">IFERROR(__xludf.DUMMYFUNCTION("IFERROR(GOOGLETRANSLATE(A154,""ko"",""en""),)"),"I am a painter.")</f>
        <v>I am a painter.</v>
      </c>
    </row>
    <row r="155" spans="1:2" ht="18">
      <c r="A155" s="3" t="s">
        <v>2772</v>
      </c>
      <c r="B155" s="4" t="str">
        <f ca="1">IFERROR(__xludf.DUMMYFUNCTION("IFERROR(GOOGLETRANSLATE(A155,""ko"",""en""),)"),"I like people who smile.")</f>
        <v>I like people who smile.</v>
      </c>
    </row>
    <row r="156" spans="1:2" ht="18">
      <c r="A156" s="3" t="s">
        <v>2773</v>
      </c>
      <c r="B156" s="4" t="str">
        <f ca="1">IFERROR(__xludf.DUMMYFUNCTION("IFERROR(GOOGLETRANSLATE(A156,""ko"",""en""),)"),"Where do you often go?")</f>
        <v>Where do you often go?</v>
      </c>
    </row>
    <row r="157" spans="1:2" ht="18">
      <c r="A157" s="3" t="s">
        <v>2776</v>
      </c>
      <c r="B157" s="4" t="str">
        <f ca="1">IFERROR(__xludf.DUMMYFUNCTION("IFERROR(GOOGLETRANSLATE(A157,""ko"",""en""),)"),"The place I often go to is a shopping mall.")</f>
        <v>The place I often go to is a shopping mall.</v>
      </c>
    </row>
    <row r="158" spans="1:2" ht="18">
      <c r="A158" s="3" t="s">
        <v>2778</v>
      </c>
      <c r="B158" s="4" t="str">
        <f ca="1">IFERROR(__xludf.DUMMYFUNCTION("IFERROR(GOOGLETRANSLATE(A158,""ko"",""en""),)"),"What kind of food do you often make?")</f>
        <v>What kind of food do you often make?</v>
      </c>
    </row>
    <row r="159" spans="1:2" ht="18">
      <c r="A159" s="3" t="s">
        <v>2779</v>
      </c>
      <c r="B159" s="4" t="str">
        <f ca="1">IFERROR(__xludf.DUMMYFUNCTION("IFERROR(GOOGLETRANSLATE(A159,""ko"",""en""),)"),"The food I often make is tteokbokki.")</f>
        <v>The food I often make is tteokbokki.</v>
      </c>
    </row>
    <row r="160" spans="1:2" ht="18">
      <c r="A160" s="3" t="s">
        <v>2781</v>
      </c>
      <c r="B160" s="4" t="str">
        <f ca="1">IFERROR(__xludf.DUMMYFUNCTION("IFERROR(GOOGLETRANSLATE(A160,""ko"",""en""),)"),"What kind of music do you listen to often?")</f>
        <v>What kind of music do you listen to often?</v>
      </c>
    </row>
    <row r="161" spans="1:2" ht="18">
      <c r="A161" s="3" t="s">
        <v>2782</v>
      </c>
      <c r="B161" s="4" t="str">
        <f ca="1">IFERROR(__xludf.DUMMYFUNCTION("IFERROR(GOOGLETRANSLATE(A161,""ko"",""en""),)"),"This is Korean music that I listen to often.")</f>
        <v>This is Korean music that I listen to often.</v>
      </c>
    </row>
    <row r="162" spans="1:2" ht="18">
      <c r="A162" s="3" t="s">
        <v>2785</v>
      </c>
      <c r="B162" s="4" t="str">
        <f ca="1">IFERROR(__xludf.DUMMYFUNCTION("IFERROR(GOOGLETRANSLATE(A162,""ko"",""en""),)"),"Where do you often go on weekends?")</f>
        <v>Where do you often go on weekends?</v>
      </c>
    </row>
    <row r="163" spans="1:2" ht="18">
      <c r="A163" s="3" t="s">
        <v>2786</v>
      </c>
      <c r="B163" s="4" t="str">
        <f ca="1">IFERROR(__xludf.DUMMYFUNCTION("IFERROR(GOOGLETRANSLATE(A163,""ko"",""en""),)"),"The place I often go to is a cafe.")</f>
        <v>The place I often go to is a cafe.</v>
      </c>
    </row>
    <row r="164" spans="1:2" ht="18">
      <c r="A164" s="5" t="s">
        <v>2787</v>
      </c>
      <c r="B164" s="4" t="str">
        <f ca="1">IFERROR(__xludf.DUMMYFUNCTION("IFERROR(GOOGLETRANSLATE(A164,""ko"",""en""),)"),"What do you often lose?")</f>
        <v>What do you often lose?</v>
      </c>
    </row>
    <row r="165" spans="1:2" ht="18">
      <c r="A165" s="5" t="s">
        <v>2789</v>
      </c>
      <c r="B165" s="4" t="str">
        <f ca="1">IFERROR(__xludf.DUMMYFUNCTION("IFERROR(GOOGLETRANSLATE(A165,""ko"",""en""),)"),"The item I often lose is my house key.")</f>
        <v>The item I often lose is my house key.</v>
      </c>
    </row>
    <row r="166" spans="1:2" ht="18">
      <c r="A166" s="3" t="s">
        <v>2791</v>
      </c>
      <c r="B166" s="4" t="str">
        <f ca="1">IFERROR(__xludf.DUMMYFUNCTION("IFERROR(GOOGLETRANSLATE(A166,""ko"",""en""),)"),"What movies do you watch often?")</f>
        <v>What movies do you watch often?</v>
      </c>
    </row>
    <row r="167" spans="1:2" ht="18">
      <c r="A167" s="3" t="s">
        <v>2792</v>
      </c>
      <c r="B167" s="4" t="str">
        <f ca="1">IFERROR(__xludf.DUMMYFUNCTION("IFERROR(GOOGLETRANSLATE(A167,""ko"",""en""),)"),"The movies I often watch are Korean movies.")</f>
        <v>The movies I often watch are Korean movies.</v>
      </c>
    </row>
    <row r="168" spans="1:2" ht="18">
      <c r="A168" s="5" t="s">
        <v>2794</v>
      </c>
      <c r="B168" s="4" t="str">
        <f ca="1">IFERROR(__xludf.DUMMYFUNCTION("IFERROR(GOOGLETRANSLATE(A168,""ko"",""en""),)"),"to lose")</f>
        <v>to lose</v>
      </c>
    </row>
    <row r="169" spans="1:2" ht="18">
      <c r="A169" s="3" t="s">
        <v>2795</v>
      </c>
      <c r="B169" s="4" t="str">
        <f ca="1">IFERROR(__xludf.DUMMYFUNCTION("IFERROR(GOOGLETRANSLATE(A169,""ko"",""en""),)"),"I lose my wallet")</f>
        <v>I lose my wallet</v>
      </c>
    </row>
    <row r="170" spans="1:2" ht="18">
      <c r="A170" s="5" t="s">
        <v>2796</v>
      </c>
      <c r="B170" s="4" t="str">
        <f ca="1">IFERROR(__xludf.DUMMYFUNCTION("IFERROR(GOOGLETRANSLATE(A170,""ko"",""en""),)"),"Forget")</f>
        <v>Forget</v>
      </c>
    </row>
    <row r="171" spans="1:2" ht="18">
      <c r="A171" s="3" t="s">
        <v>2797</v>
      </c>
      <c r="B171" s="4" t="str">
        <f ca="1">IFERROR(__xludf.DUMMYFUNCTION("IFERROR(GOOGLETRANSLATE(A171,""ko"",""en""),)"),"Forget the name")</f>
        <v>Forget the name</v>
      </c>
    </row>
    <row r="172" spans="1:2" ht="18">
      <c r="A172" s="3" t="s">
        <v>2800</v>
      </c>
      <c r="B172" s="4" t="str">
        <f ca="1">IFERROR(__xludf.DUMMYFUNCTION("IFERROR(GOOGLETRANSLATE(A172,""ko"",""en""),)"),"eating")</f>
        <v>eating</v>
      </c>
    </row>
    <row r="173" spans="1:2" ht="18">
      <c r="A173" s="3" t="s">
        <v>2801</v>
      </c>
      <c r="B173" s="4" t="s">
        <v>2802</v>
      </c>
    </row>
    <row r="174" spans="1:2" ht="18">
      <c r="A174" s="3" t="s">
        <v>2803</v>
      </c>
      <c r="B174" s="4" t="str">
        <f ca="1">IFERROR(__xludf.DUMMYFUNCTION("IFERROR(GOOGLETRANSLATE(A174,""ko"",""en""),)"),"Books to read")</f>
        <v>Books to read</v>
      </c>
    </row>
    <row r="175" spans="1:2" ht="18">
      <c r="A175" s="3" t="s">
        <v>2806</v>
      </c>
      <c r="B175" s="4" t="str">
        <f ca="1">IFERROR(__xludf.DUMMYFUNCTION("IFERROR(GOOGLETRANSLATE(A175,""ko"",""en""),)"),"Songs to listen to")</f>
        <v>Songs to listen to</v>
      </c>
    </row>
    <row r="176" spans="1:2" ht="18">
      <c r="A176" s="3" t="s">
        <v>2807</v>
      </c>
      <c r="B176" s="4" t="str">
        <f ca="1">IFERROR(__xludf.DUMMYFUNCTION("IFERROR(GOOGLETRANSLATE(A176,""ko"",""en""),)"),"Smiling person")</f>
        <v>Smiling person</v>
      </c>
    </row>
    <row r="177" spans="1:2" ht="18">
      <c r="A177" s="3" t="s">
        <v>2743</v>
      </c>
      <c r="B177" s="4" t="str">
        <f ca="1">IFERROR(__xludf.DUMMYFUNCTION("IFERROR(GOOGLETRANSLATE(A177,""ko"",""en""),)"),"Seeing")</f>
        <v>Seeing</v>
      </c>
    </row>
    <row r="178" spans="1:2" ht="18">
      <c r="A178" s="3" t="s">
        <v>2810</v>
      </c>
      <c r="B178" s="4" t="str">
        <f ca="1">IFERROR(__xludf.DUMMYFUNCTION("IFERROR(GOOGLETRANSLATE(A178,""ko"",""en""),)"),"Drinking beverages")</f>
        <v>Drinking beverages</v>
      </c>
    </row>
    <row r="179" spans="1:2" ht="18">
      <c r="A179" s="3" t="s">
        <v>2811</v>
      </c>
      <c r="B179" s="4" t="str">
        <f ca="1">IFERROR(__xludf.DUMMYFUNCTION("IFERROR(GOOGLETRANSLATE(A179,""ko"",""en""),)"),"People I meet")</f>
        <v>People I meet</v>
      </c>
    </row>
    <row r="180" spans="1:2" ht="18">
      <c r="A180" s="3" t="s">
        <v>2813</v>
      </c>
      <c r="B180" s="4" t="str">
        <f ca="1">IFERROR(__xludf.DUMMYFUNCTION("IFERROR(GOOGLETRANSLATE(A180,""ko"",""en""),)"),"Do you have a girlfriend?")</f>
        <v>Do you have a girlfriend?</v>
      </c>
    </row>
    <row r="181" spans="1:2" ht="18">
      <c r="A181" s="5" t="s">
        <v>2815</v>
      </c>
      <c r="B181" s="4" t="str">
        <f ca="1">IFERROR(__xludf.DUMMYFUNCTION("IFERROR(GOOGLETRANSLATE(A181,""ko"",""en""),)"),"Are you seeing anyone right now?")</f>
        <v>Are you seeing anyone right now?</v>
      </c>
    </row>
    <row r="182" spans="1:2" ht="18">
      <c r="A182" s="3" t="s">
        <v>2817</v>
      </c>
      <c r="B182" s="4" t="str">
        <f ca="1">IFERROR(__xludf.DUMMYFUNCTION("IFERROR(GOOGLETRANSLATE(A182,""ko"",""en""),)"),"How to study")</f>
        <v>How to study</v>
      </c>
    </row>
    <row r="183" spans="1:2" ht="18">
      <c r="A183" s="3" t="s">
        <v>2819</v>
      </c>
      <c r="B183" s="4" t="str">
        <f ca="1">IFERROR(__xludf.DUMMYFUNCTION("IFERROR(GOOGLETRANSLATE(A183,""ko"",""en""),)"),"What is the best way to study Korean?")</f>
        <v>What is the best way to study Korean?</v>
      </c>
    </row>
    <row r="184" spans="1:2" ht="18">
      <c r="A184" s="3" t="s">
        <v>2820</v>
      </c>
      <c r="B184" s="4" t="s">
        <v>2821</v>
      </c>
    </row>
    <row r="185" spans="1:2" ht="18">
      <c r="A185" s="3" t="s">
        <v>2824</v>
      </c>
      <c r="B185" s="4" t="str">
        <f ca="1">IFERROR(__xludf.DUMMYFUNCTION("IFERROR(GOOGLETRANSLATE(A185,""ko"",""en""),)"),"Basketball is a sport I like.")</f>
        <v>Basketball is a sport I like.</v>
      </c>
    </row>
    <row r="186" spans="1:2" ht="18">
      <c r="A186" s="3" t="s">
        <v>2826</v>
      </c>
      <c r="B186" s="4" t="str">
        <f ca="1">IFERROR(__xludf.DUMMYFUNCTION("IFERROR(GOOGLETRANSLATE(A186,""ko"",""en""),)"),"Bulgogi is my favorite food.")</f>
        <v>Bulgogi is my favorite food.</v>
      </c>
    </row>
    <row r="187" spans="1:2" ht="18">
      <c r="A187" s="3" t="s">
        <v>2827</v>
      </c>
      <c r="B187" s="4" t="str">
        <f ca="1">IFERROR(__xludf.DUMMYFUNCTION("IFERROR(GOOGLETRANSLATE(A187,""ko"",""en""),)"),"This book is Jack, which I'm reading these days.")</f>
        <v>This book is Jack, which I'm reading these days.</v>
      </c>
    </row>
    <row r="188" spans="1:2" ht="18">
      <c r="A188" s="3" t="s">
        <v>2830</v>
      </c>
      <c r="B188" s="4" t="str">
        <f ca="1">IFERROR(__xludf.DUMMYFUNCTION("IFERROR(GOOGLETRANSLATE(A188,""ko"",""en""),)"),"This is a song I listen to often.")</f>
        <v>This is a song I listen to often.</v>
      </c>
    </row>
    <row r="189" spans="1:2" ht="18">
      <c r="A189" s="3" t="s">
        <v>2833</v>
      </c>
      <c r="B189" s="4" t="str">
        <f ca="1">IFERROR(__xludf.DUMMYFUNCTION("IFERROR(GOOGLETRANSLATE(A189,""ko"",""en""),)"),"This is the Sejong Institute where I study.")</f>
        <v>This is the Sejong Institute where I study.</v>
      </c>
    </row>
    <row r="190" spans="1:2" ht="18">
      <c r="A190" s="3" t="s">
        <v>2834</v>
      </c>
      <c r="B190" s="4" t="str">
        <f ca="1">IFERROR(__xludf.DUMMYFUNCTION("IFERROR(GOOGLETRANSLATE(A190,""ko"",""en""),)"),"That is my house.")</f>
        <v>That is my house.</v>
      </c>
    </row>
    <row r="191" spans="1:2" ht="18">
      <c r="A191" s="3" t="s">
        <v>2836</v>
      </c>
      <c r="B191" s="4" t="str">
        <f ca="1">IFERROR(__xludf.DUMMYFUNCTION("IFERROR(GOOGLETRANSLATE(A191,""ko"",""en""),)"),"Try this. It's coffee I drink often.")</f>
        <v>Try this. It's coffee I drink often.</v>
      </c>
    </row>
    <row r="192" spans="1:2" ht="18">
      <c r="A192" s="3" t="s">
        <v>2837</v>
      </c>
      <c r="B192" s="4" t="str">
        <f ca="1">IFERROR(__xludf.DUMMYFUNCTION("IFERROR(GOOGLETRANSLATE(A192,""ko"",""en""),)"),"This person is a singer I like.")</f>
        <v>This person is a singer I like.</v>
      </c>
    </row>
    <row r="193" spans="1:2" ht="18">
      <c r="A193" s="3" t="s">
        <v>2841</v>
      </c>
      <c r="B193" s="4" t="str">
        <f ca="1">IFERROR(__xludf.DUMMYFUNCTION("IFERROR(GOOGLETRANSLATE(A193,""ko"",""en""),)"),"There are many students studying Korean these days.")</f>
        <v>There are many students studying Korean these days.</v>
      </c>
    </row>
    <row r="194" spans="1:2" ht="18">
      <c r="A194" s="3" t="s">
        <v>2842</v>
      </c>
      <c r="B194" s="4" t="str">
        <f ca="1">IFERROR(__xludf.DUMMYFUNCTION("IFERROR(GOOGLETRANSLATE(A194,""ko"",""en""),)"),"The bread I'm eating right now is expensive.")</f>
        <v>The bread I'm eating right now is expensive.</v>
      </c>
    </row>
    <row r="195" spans="1:2" ht="18">
      <c r="A195" s="3" t="s">
        <v>2844</v>
      </c>
      <c r="B195" s="4" t="str">
        <f ca="1">IFERROR(__xludf.DUMMYFUNCTION("IFERROR(GOOGLETRANSLATE(A195,""ko"",""en""),)"),"I also want to listen to the music my friend listens to.")</f>
        <v>I also want to listen to the music my friend listens to.</v>
      </c>
    </row>
    <row r="196" spans="1:2" ht="18">
      <c r="A196" s="3" t="s">
        <v>2847</v>
      </c>
      <c r="B196" s="4" t="str">
        <f ca="1">IFERROR(__xludf.DUMMYFUNCTION("IFERROR(GOOGLETRANSLATE(A196,""ko"",""en""),)"),"What Korean food do you often make?")</f>
        <v>What Korean food do you often make?</v>
      </c>
    </row>
    <row r="197" spans="1:2" ht="18">
      <c r="A197" s="3" t="s">
        <v>2848</v>
      </c>
      <c r="B197" s="4" t="str">
        <f ca="1">IFERROR(__xludf.DUMMYFUNCTION("IFERROR(GOOGLETRANSLATE(A197,""ko"",""en""),)"),"The person listening to music right now is Ana.")</f>
        <v>The person listening to music right now is Ana.</v>
      </c>
    </row>
    <row r="198" spans="1:2" ht="18">
      <c r="A198" s="3" t="s">
        <v>2850</v>
      </c>
      <c r="B198" s="4" t="str">
        <f ca="1">IFERROR(__xludf.DUMMYFUNCTION("IFERROR(GOOGLETRANSLATE(A198,""ko"",""en""),)"),"There are many people reading books in the library.")</f>
        <v>There are many people reading books in the library.</v>
      </c>
    </row>
    <row r="199" spans="1:2" ht="18">
      <c r="A199" s="3" t="s">
        <v>2851</v>
      </c>
      <c r="B199" s="4" t="str">
        <f ca="1">IFERROR(__xludf.DUMMYFUNCTION("IFERROR(GOOGLETRANSLATE(A199,""ko"",""en""),)"),"I am a painter.")</f>
        <v>I am a painter.</v>
      </c>
    </row>
    <row r="200" spans="1:2" ht="18">
      <c r="A200" s="3" t="s">
        <v>2855</v>
      </c>
      <c r="B200" s="4" t="str">
        <f ca="1">IFERROR(__xludf.DUMMYFUNCTION("IFERROR(GOOGLETRANSLATE(A200,""ko"",""en""),)"),"The music I listen to often these days is Korean songs.")</f>
        <v>The music I listen to often these days is Korean songs.</v>
      </c>
    </row>
    <row r="201" spans="1:2" ht="18">
      <c r="A201" s="5" t="s">
        <v>2856</v>
      </c>
      <c r="B201" s="4" t="str">
        <f ca="1">IFERROR(__xludf.DUMMYFUNCTION("IFERROR(GOOGLETRANSLATE(A201,""ko"",""en""),)"),"I am a university student majoring in Korean.")</f>
        <v>I am a university student majoring in Korean.</v>
      </c>
    </row>
    <row r="202" spans="1:2" ht="18">
      <c r="A202" s="3" t="s">
        <v>2858</v>
      </c>
      <c r="B202" s="4" t="str">
        <f ca="1">IFERROR(__xludf.DUMMYFUNCTION("IFERROR(GOOGLETRANSLATE(A202,""ko"",""en""),)"),"I am a Vietnamese language teacher.")</f>
        <v>I am a Vietnamese language teacher.</v>
      </c>
    </row>
    <row r="203" spans="1:2" ht="18">
      <c r="A203" s="3" t="s">
        <v>2859</v>
      </c>
      <c r="B203" s="4" t="str">
        <f ca="1">IFERROR(__xludf.DUMMYFUNCTION("IFERROR(GOOGLETRANSLATE(A203,""ko"",""en""),)"),"I am a math teacher at a high school.")</f>
        <v>I am a math teacher at a high school.</v>
      </c>
    </row>
    <row r="204" spans="1:2" ht="18">
      <c r="A204" s="3" t="s">
        <v>2862</v>
      </c>
      <c r="B204" s="4" t="str">
        <f ca="1">IFERROR(__xludf.DUMMYFUNCTION("IFERROR(GOOGLETRANSLATE(A204,""ko"",""en""),)"),"I am an accountant.")</f>
        <v>I am an accountant.</v>
      </c>
    </row>
    <row r="205" spans="1:2" ht="18">
      <c r="A205" s="5" t="s">
        <v>2866</v>
      </c>
      <c r="B205" s="4" t="str">
        <f ca="1">IFERROR(__xludf.DUMMYFUNCTION("IFERROR(GOOGLETRANSLATE(A205,""ko"",""en""),)"),"foyer")</f>
        <v>foyer</v>
      </c>
    </row>
    <row r="206" spans="1:2" ht="18">
      <c r="A206" s="5" t="s">
        <v>2867</v>
      </c>
      <c r="B206" s="4" t="str">
        <f ca="1">IFERROR(__xludf.DUMMYFUNCTION("IFERROR(GOOGLETRANSLATE(A206,""ko"",""en""),)"),"It is clean.")</f>
        <v>It is clean.</v>
      </c>
    </row>
    <row r="207" spans="1:2" ht="18">
      <c r="A207" s="5" t="s">
        <v>2869</v>
      </c>
      <c r="B207" s="4" t="str">
        <f ca="1">IFERROR(__xludf.DUMMYFUNCTION("IFERROR(GOOGLETRANSLATE(A207,""ko"",""en""),)"),"It is very enjoyable.")</f>
        <v>It is very enjoyable.</v>
      </c>
    </row>
    <row r="208" spans="1:2" ht="18">
      <c r="A208" s="3" t="s">
        <v>2872</v>
      </c>
      <c r="B208" s="4" t="str">
        <f ca="1">IFERROR(__xludf.DUMMYFUNCTION("IFERROR(GOOGLETRANSLATE(A208,""ko"",""en""),)"),"My name is Yujin. This is the Sejong Institute where I study Korean. I go to the Sejong Institute twice a week. The Sejong Institute has classrooms, a lounge, and an office. The classroom where I study is very large and clean. There is also a lounge next "&amp;"to the classroom where I can rest. In the lounge, I drink tea and chat with my friends. It is very enjoyable to learn Korean with my friends.")</f>
        <v>My name is Yujin. This is the Sejong Institute where I study Korean. I go to the Sejong Institute twice a week. The Sejong Institute has classrooms, a lounge, and an office. The classroom where I study is very large and clean. There is also a lounge next to the classroom where I can rest. In the lounge, I drink tea and chat with my friends. It is very enjoyable to learn Korean with my friends.</v>
      </c>
    </row>
    <row r="209" spans="1:2" ht="18">
      <c r="A209" s="5" t="s">
        <v>2874</v>
      </c>
      <c r="B209" s="4" t="str">
        <f ca="1">IFERROR(__xludf.DUMMYFUNCTION("IFERROR(GOOGLETRANSLATE(A209,""ko"",""en""),)"),"stranger")</f>
        <v>stranger</v>
      </c>
    </row>
    <row r="210" spans="1:2" ht="16">
      <c r="A210" s="19"/>
      <c r="B210" s="4"/>
    </row>
    <row r="211" spans="1:2" ht="18">
      <c r="A211" s="3" t="s">
        <v>2880</v>
      </c>
      <c r="B211" s="4" t="str">
        <f ca="1">IFERROR(__xludf.DUMMYFUNCTION("IFERROR(GOOGLETRANSLATE(A211,""ko"",""en""),)"),"or")</f>
        <v>or</v>
      </c>
    </row>
    <row r="212" spans="1:2" ht="18">
      <c r="A212" s="3" t="s">
        <v>2883</v>
      </c>
      <c r="B212" s="4" t="str">
        <f ca="1">IFERROR(__xludf.DUMMYFUNCTION("IFERROR(GOOGLETRANSLATE(A212,""ko"",""en""),)"),"I go hiking or go to a sports gathering.")</f>
        <v>I go hiking or go to a sports gathering.</v>
      </c>
    </row>
    <row r="213" spans="1:2" ht="18">
      <c r="A213" s="3" t="s">
        <v>2884</v>
      </c>
      <c r="B213" s="4" t="str">
        <f ca="1">IFERROR(__xludf.DUMMYFUNCTION("IFERROR(GOOGLETRANSLATE(A213,""ko"",""en""),)"),"leisure activities")</f>
        <v>leisure activities</v>
      </c>
    </row>
    <row r="214" spans="1:2" ht="18">
      <c r="A214" s="3" t="s">
        <v>2886</v>
      </c>
      <c r="B214" s="4" t="str">
        <f ca="1">IFERROR(__xludf.DUMMYFUNCTION("IFERROR(GOOGLETRANSLATE(A214,""ko"",""en""),)"),"class")</f>
        <v>class</v>
      </c>
    </row>
    <row r="215" spans="1:2" ht="18">
      <c r="A215" s="3" t="s">
        <v>2888</v>
      </c>
      <c r="B215" s="4" t="str">
        <f ca="1">IFERROR(__xludf.DUMMYFUNCTION("IFERROR(GOOGLETRANSLATE(A215,""ko"",""en""),)"),"basketball game")</f>
        <v>basketball game</v>
      </c>
    </row>
    <row r="216" spans="1:2" ht="18">
      <c r="A216" s="3" t="s">
        <v>2889</v>
      </c>
      <c r="B216" s="4" t="str">
        <f ca="1">IFERROR(__xludf.DUMMYFUNCTION("IFERROR(GOOGLETRANSLATE(A216,""ko"",""en""),)"),"leisure time")</f>
        <v>leisure time</v>
      </c>
    </row>
    <row r="217" spans="1:2" ht="18">
      <c r="A217" s="3" t="s">
        <v>1881</v>
      </c>
      <c r="B217" s="4" t="str">
        <f ca="1">IFERROR(__xludf.DUMMYFUNCTION("IFERROR(GOOGLETRANSLATE(A217,""ko"",""en""),)"),"weekdays")</f>
        <v>weekdays</v>
      </c>
    </row>
    <row r="218" spans="1:2" ht="18">
      <c r="A218" s="3" t="s">
        <v>2892</v>
      </c>
      <c r="B218" s="4" t="str">
        <f ca="1">IFERROR(__xludf.DUMMYFUNCTION("IFERROR(GOOGLETRANSLATE(A218,""ko"",""en""),)"),"day off")</f>
        <v>day off</v>
      </c>
    </row>
    <row r="219" spans="1:2" ht="18">
      <c r="A219" s="3" t="s">
        <v>2894</v>
      </c>
      <c r="B219" s="4" t="str">
        <f ca="1">IFERROR(__xludf.DUMMYFUNCTION("IFERROR(GOOGLETRANSLATE(A219,""ko"",""en""),)"),"all day long")</f>
        <v>all day long</v>
      </c>
    </row>
    <row r="220" spans="1:2" ht="18">
      <c r="A220" s="3" t="s">
        <v>2895</v>
      </c>
      <c r="B220" s="4" t="str">
        <f ca="1">IFERROR(__xludf.DUMMYFUNCTION("IFERROR(GOOGLETRANSLATE(A220,""ko"",""en""),)"),"to make food")</f>
        <v>to make food</v>
      </c>
    </row>
    <row r="221" spans="1:2" ht="18">
      <c r="A221" s="3" t="s">
        <v>2896</v>
      </c>
      <c r="B221" s="4" t="str">
        <f ca="1">IFERROR(__xludf.DUMMYFUNCTION("IFERROR(GOOGLETRANSLATE(A221,""ko"",""en""),)"),"Play a musical instrument.")</f>
        <v>Play a musical instrument.</v>
      </c>
    </row>
    <row r="222" spans="1:2" ht="18">
      <c r="A222" s="3" t="s">
        <v>2898</v>
      </c>
      <c r="B222" s="4" t="str">
        <f ca="1">IFERROR(__xludf.DUMMYFUNCTION("IFERROR(GOOGLETRANSLATE(A222,""ko"",""en""),)"),"Do you have an instrument you can play?!")</f>
        <v>Do you have an instrument you can play?!</v>
      </c>
    </row>
    <row r="223" spans="1:2" ht="18">
      <c r="A223" s="3" t="s">
        <v>2900</v>
      </c>
      <c r="B223" s="4" t="str">
        <f ca="1">IFERROR(__xludf.DUMMYFUNCTION("IFERROR(GOOGLETRANSLATE(A223,""ko"",""en""),)"),"Reading a novel")</f>
        <v>Reading a novel</v>
      </c>
    </row>
    <row r="224" spans="1:2" ht="18">
      <c r="A224" s="3" t="s">
        <v>2901</v>
      </c>
      <c r="B224" s="4" t="str">
        <f ca="1">IFERROR(__xludf.DUMMYFUNCTION("IFERROR(GOOGLETRANSLATE(A224,""ko"",""en""),)"),"Reading")</f>
        <v>Reading</v>
      </c>
    </row>
    <row r="225" spans="1:2" ht="18">
      <c r="A225" s="3" t="s">
        <v>2904</v>
      </c>
      <c r="B225" s="4" t="str">
        <f ca="1">IFERROR(__xludf.DUMMYFUNCTION("IFERROR(GOOGLETRANSLATE(A225,""ko"",""en""),)"),"Reading poetry")</f>
        <v>Reading poetry</v>
      </c>
    </row>
    <row r="226" spans="1:2" ht="18">
      <c r="A226" s="3" t="s">
        <v>2905</v>
      </c>
      <c r="B226" s="4" t="str">
        <f ca="1">IFERROR(__xludf.DUMMYFUNCTION("IFERROR(GOOGLETRANSLATE(A226,""ko"",""en""),)"),"magazine")</f>
        <v>magazine</v>
      </c>
    </row>
    <row r="227" spans="1:2" ht="18">
      <c r="A227" s="3" t="s">
        <v>2906</v>
      </c>
      <c r="B227" s="4" t="str">
        <f ca="1">IFERROR(__xludf.DUMMYFUNCTION("IFERROR(GOOGLETRANSLATE(A227,""ko"",""en""),)"),"Drawing comics")</f>
        <v>Drawing comics</v>
      </c>
    </row>
    <row r="228" spans="1:2" ht="18">
      <c r="A228" s="3" t="s">
        <v>2907</v>
      </c>
      <c r="B228" s="4" t="str">
        <f ca="1">IFERROR(__xludf.DUMMYFUNCTION("IFERROR(GOOGLETRANSLATE(A228,""ko"",""en""),)"),"Animated film")</f>
        <v>Animated film</v>
      </c>
    </row>
    <row r="229" spans="1:2" ht="18">
      <c r="A229" s="3" t="s">
        <v>2909</v>
      </c>
      <c r="B229" s="4" t="str">
        <f ca="1">IFERROR(__xludf.DUMMYFUNCTION("IFERROR(GOOGLETRANSLATE(A229,""ko"",""en""),)"),"Playing badminton")</f>
        <v>Playing badminton</v>
      </c>
    </row>
    <row r="230" spans="1:2" ht="18">
      <c r="A230" s="3" t="s">
        <v>2910</v>
      </c>
      <c r="B230" s="4" t="str">
        <f ca="1">IFERROR(__xludf.DUMMYFUNCTION("IFERROR(GOOGLETRANSLATE(A230,""ko"",""en""),)"),"table tennis")</f>
        <v>table tennis</v>
      </c>
    </row>
    <row r="231" spans="1:2" ht="18">
      <c r="A231" s="3" t="s">
        <v>2911</v>
      </c>
      <c r="B231" s="4" t="str">
        <f ca="1">IFERROR(__xludf.DUMMYFUNCTION("IFERROR(GOOGLETRANSLATE(A231,""ko"",""en""),)"),"bowling")</f>
        <v>bowling</v>
      </c>
    </row>
    <row r="232" spans="1:2" ht="18">
      <c r="A232" s="5" t="s">
        <v>2913</v>
      </c>
      <c r="B232" s="4" t="str">
        <f ca="1">IFERROR(__xludf.DUMMYFUNCTION("IFERROR(GOOGLETRANSLATE(A232,""ko"",""en""),)"),"Taking landscape photos")</f>
        <v>Taking landscape photos</v>
      </c>
    </row>
    <row r="233" spans="1:2" ht="18">
      <c r="A233" s="5" t="s">
        <v>2915</v>
      </c>
      <c r="B233" s="4" t="str">
        <f ca="1">IFERROR(__xludf.DUMMYFUNCTION("IFERROR(GOOGLETRANSLATE(A233,""ko"",""en""),)"),"Portrait")</f>
        <v>Portrait</v>
      </c>
    </row>
    <row r="234" spans="1:2" ht="18">
      <c r="A234" s="3" t="s">
        <v>2918</v>
      </c>
      <c r="B234" s="4" t="str">
        <f ca="1">IFERROR(__xludf.DUMMYFUNCTION("IFERROR(GOOGLETRANSLATE(A234,""ko"",""en""),)"),"Go to the exercise group")</f>
        <v>Go to the exercise group</v>
      </c>
    </row>
    <row r="235" spans="1:2" ht="18">
      <c r="A235" s="3" t="s">
        <v>2919</v>
      </c>
      <c r="B235" s="4" t="str">
        <f ca="1">IFERROR(__xludf.DUMMYFUNCTION("IFERROR(GOOGLETRANSLATE(A235,""ko"",""en""),)"),"Movie gathering")</f>
        <v>Movie gathering</v>
      </c>
    </row>
    <row r="236" spans="1:2" ht="18">
      <c r="A236" s="3" t="s">
        <v>2920</v>
      </c>
      <c r="B236" s="4" t="str">
        <f ca="1">IFERROR(__xludf.DUMMYFUNCTION("IFERROR(GOOGLETRANSLATE(A236,""ko"",""en""),)"),"Book club")</f>
        <v>Book club</v>
      </c>
    </row>
    <row r="237" spans="1:2" ht="18">
      <c r="A237" s="3" t="s">
        <v>2922</v>
      </c>
      <c r="B237" s="4" t="str">
        <f ca="1">IFERROR(__xludf.DUMMYFUNCTION("IFERROR(GOOGLETRANSLATE(A237,""ko"",""en""),)"),"Watching a sports game")</f>
        <v>Watching a sports game</v>
      </c>
    </row>
    <row r="238" spans="1:2" ht="18">
      <c r="A238" s="3" t="s">
        <v>2923</v>
      </c>
      <c r="B238" s="4" t="str">
        <f ca="1">IFERROR(__xludf.DUMMYFUNCTION("IFERROR(GOOGLETRANSLATE(A238,""ko"",""en""),)"),"I'm going to the sea to surf.")</f>
        <v>I'm going to the sea to surf.</v>
      </c>
    </row>
    <row r="239" spans="1:2" ht="18">
      <c r="A239" s="3" t="s">
        <v>2927</v>
      </c>
      <c r="B239" s="4" t="str">
        <f ca="1">IFERROR(__xludf.DUMMYFUNCTION("IFERROR(GOOGLETRANSLATE(A239,""ko"",""en""),)"),"I do housework.")</f>
        <v>I do housework.</v>
      </c>
    </row>
    <row r="240" spans="1:2" ht="18">
      <c r="A240" s="3" t="s">
        <v>2930</v>
      </c>
      <c r="B240" s="4" t="str">
        <f ca="1">IFERROR(__xludf.DUMMYFUNCTION("IFERROR(GOOGLETRANSLATE(A240,""ko"",""en""),)"),"cleaning")</f>
        <v>cleaning</v>
      </c>
    </row>
    <row r="241" spans="1:2" ht="18">
      <c r="A241" s="5" t="s">
        <v>2931</v>
      </c>
      <c r="B241" s="4" t="str">
        <f ca="1">IFERROR(__xludf.DUMMYFUNCTION("IFERROR(GOOGLETRANSLATE(A241,""ko"",""en""),)"),"wash")</f>
        <v>wash</v>
      </c>
    </row>
    <row r="242" spans="1:2" ht="18">
      <c r="A242" s="5" t="s">
        <v>2932</v>
      </c>
      <c r="B242" s="4" t="str">
        <f ca="1">IFERROR(__xludf.DUMMYFUNCTION("IFERROR(GOOGLETRANSLATE(A242,""ko"",""en""),)"),"organize")</f>
        <v>organize</v>
      </c>
    </row>
    <row r="243" spans="1:2" ht="18">
      <c r="A243" s="5" t="s">
        <v>2934</v>
      </c>
      <c r="B243" s="4" t="str">
        <f ca="1">IFERROR(__xludf.DUMMYFUNCTION("IFERROR(GOOGLETRANSLATE(A243,""ko"",""en""),)"),"Garden management")</f>
        <v>Garden management</v>
      </c>
    </row>
    <row r="244" spans="1:2" ht="18">
      <c r="A244" s="3" t="s">
        <v>2937</v>
      </c>
      <c r="B244" s="4" t="str">
        <f ca="1">IFERROR(__xludf.DUMMYFUNCTION("IFERROR(GOOGLETRANSLATE(A244,""ko"",""en""),)"),"dish wash")</f>
        <v>dish wash</v>
      </c>
    </row>
    <row r="245" spans="1:2" ht="18">
      <c r="A245" s="5" t="s">
        <v>2939</v>
      </c>
      <c r="B245" s="4" t="str">
        <f ca="1">IFERROR(__xludf.DUMMYFUNCTION("IFERROR(GOOGLETRANSLATE(A245,""ko"",""en""),)"),"Wipe off the dust.")</f>
        <v>Wipe off the dust.</v>
      </c>
    </row>
    <row r="246" spans="1:2" ht="18">
      <c r="A246" s="3" t="s">
        <v>2940</v>
      </c>
      <c r="B246" s="4" t="str">
        <f ca="1">IFERROR(__xludf.DUMMYFUNCTION("IFERROR(GOOGLETRANSLATE(A246,""ko"",""en""),)"),"I do Pilates. I take Pilates classes.")</f>
        <v>I do Pilates. I take Pilates classes.</v>
      </c>
    </row>
    <row r="247" spans="1:2" ht="18">
      <c r="A247" s="3" t="s">
        <v>2942</v>
      </c>
      <c r="B247" s="4" t="str">
        <f ca="1">IFERROR(__xludf.DUMMYFUNCTION("IFERROR(GOOGLETRANSLATE(A247,""ko"",""en""),)"),"What do you like to do on weekends?")</f>
        <v>What do you like to do on weekends?</v>
      </c>
    </row>
    <row r="248" spans="1:2" ht="18">
      <c r="A248" s="3" t="s">
        <v>2943</v>
      </c>
      <c r="B248" s="4" t="str">
        <f ca="1">IFERROR(__xludf.DUMMYFUNCTION("IFERROR(GOOGLETRANSLATE(A248,""ko"",""en""),)"),"I like playing badminton and riding a bicycle.")</f>
        <v>I like playing badminton and riding a bicycle.</v>
      </c>
    </row>
    <row r="249" spans="1:2" ht="18">
      <c r="A249" s="3" t="s">
        <v>2738</v>
      </c>
      <c r="B249" s="4" t="str">
        <f ca="1">IFERROR(__xludf.DUMMYFUNCTION("IFERROR(GOOGLETRANSLATE(A249,""ko"",""en""),)"),"What are your hobbies?")</f>
        <v>What are your hobbies?</v>
      </c>
    </row>
    <row r="250" spans="1:2" ht="18">
      <c r="A250" s="3" t="s">
        <v>2945</v>
      </c>
      <c r="B250" s="4" t="str">
        <f ca="1">IFERROR(__xludf.DUMMYFUNCTION("IFERROR(GOOGLETRANSLATE(A250,""ko"",""en""),)"),"It is playing the piano.")</f>
        <v>It is playing the piano.</v>
      </c>
    </row>
    <row r="251" spans="1:2" ht="18">
      <c r="A251" s="3" t="s">
        <v>2946</v>
      </c>
      <c r="B251" s="4" t="str">
        <f ca="1">IFERROR(__xludf.DUMMYFUNCTION("IFERROR(GOOGLETRANSLATE(A251,""ko"",""en""),)"),"I'm playing the piano.")</f>
        <v>I'm playing the piano.</v>
      </c>
    </row>
    <row r="252" spans="1:2" ht="18">
      <c r="A252" s="3" t="s">
        <v>2942</v>
      </c>
      <c r="B252" s="4" t="str">
        <f ca="1">IFERROR(__xludf.DUMMYFUNCTION("IFERROR(GOOGLETRANSLATE(A252,""ko"",""en""),)"),"What do you like to do on weekends?")</f>
        <v>What do you like to do on weekends?</v>
      </c>
    </row>
    <row r="253" spans="1:2" ht="18">
      <c r="A253" s="3" t="s">
        <v>2948</v>
      </c>
      <c r="B253" s="4" t="str">
        <f ca="1">IFERROR(__xludf.DUMMYFUNCTION("IFERROR(GOOGLETRANSLATE(A253,""ko"",""en""),)"),"I like fishing and taking pictures.")</f>
        <v>I like fishing and taking pictures.</v>
      </c>
    </row>
    <row r="254" spans="1:2" ht="18">
      <c r="A254" s="3" t="s">
        <v>2950</v>
      </c>
      <c r="B254" s="4" t="str">
        <f ca="1">IFERROR(__xludf.DUMMYFUNCTION("IFERROR(GOOGLETRANSLATE(A254,""ko"",""en""),)"),"I like sleeping and studying languages.")</f>
        <v>I like sleeping and studying languages.</v>
      </c>
    </row>
    <row r="255" spans="1:2" ht="18">
      <c r="A255" s="3" t="s">
        <v>2952</v>
      </c>
      <c r="B255" s="4" t="str">
        <f ca="1">IFERROR(__xludf.DUMMYFUNCTION("IFERROR(GOOGLETRANSLATE(A255,""ko"",""en""),)"),"I like sleeping.")</f>
        <v>I like sleeping.</v>
      </c>
    </row>
    <row r="256" spans="1:2" ht="18">
      <c r="A256" s="3" t="s">
        <v>2954</v>
      </c>
      <c r="B256" s="4" t="str">
        <f ca="1">IFERROR(__xludf.DUMMYFUNCTION("IFERROR(GOOGLETRANSLATE(A256,""ko"",""en""),)"),"Do you like fishing?")</f>
        <v>Do you like fishing?</v>
      </c>
    </row>
    <row r="257" spans="1:2" ht="18">
      <c r="A257" s="3" t="s">
        <v>2955</v>
      </c>
      <c r="B257" s="4" t="str">
        <f ca="1">IFERROR(__xludf.DUMMYFUNCTION("IFERROR(GOOGLETRANSLATE(A257,""ko"",""en""),)"),"I play badminton.")</f>
        <v>I play badminton.</v>
      </c>
    </row>
    <row r="258" spans="1:2" ht="18">
      <c r="A258" s="3" t="s">
        <v>2956</v>
      </c>
      <c r="B258" s="4" t="str">
        <f ca="1">IFERROR(__xludf.DUMMYFUNCTION("IFERROR(GOOGLETRANSLATE(A258,""ko"",""en""),)"),"I play the violin.")</f>
        <v>I play the violin.</v>
      </c>
    </row>
    <row r="259" spans="1:2" ht="18">
      <c r="A259" s="3" t="s">
        <v>2958</v>
      </c>
      <c r="B259" s="4" t="str">
        <f ca="1">IFERROR(__xludf.DUMMYFUNCTION("IFERROR(GOOGLETRANSLATE(A259,""ko"",""en""),)"),"I make food.")</f>
        <v>I make food.</v>
      </c>
    </row>
    <row r="260" spans="1:2" ht="18">
      <c r="A260" s="3" t="s">
        <v>2960</v>
      </c>
      <c r="B260" s="4" t="str">
        <f ca="1">IFERROR(__xludf.DUMMYFUNCTION("IFERROR(GOOGLETRANSLATE(A260,""ko"",""en""),)"),"I draw comics.")</f>
        <v>I draw comics.</v>
      </c>
    </row>
    <row r="261" spans="1:2" ht="18">
      <c r="A261" s="3" t="s">
        <v>2961</v>
      </c>
      <c r="B261" s="4" t="str">
        <f ca="1">IFERROR(__xludf.DUMMYFUNCTION("IFERROR(GOOGLETRANSLATE(A261,""ko"",""en""),)"),"I watch sports games.")</f>
        <v>I watch sports games.</v>
      </c>
    </row>
    <row r="262" spans="1:2" ht="18">
      <c r="A262" s="3" t="s">
        <v>2962</v>
      </c>
      <c r="B262" s="4" t="str">
        <f ca="1">IFERROR(__xludf.DUMMYFUNCTION("IFERROR(GOOGLETRANSLATE(A262,""ko"",""en""),)"),"What did you do on Saturday?")</f>
        <v>What did you do on Saturday?</v>
      </c>
    </row>
    <row r="263" spans="1:2" ht="18">
      <c r="A263" s="3" t="s">
        <v>2964</v>
      </c>
      <c r="B263" s="4" t="str">
        <f ca="1">IFERROR(__xludf.DUMMYFUNCTION("IFERROR(GOOGLETRANSLATE(A263,""ko"",""en""),)"),"I drew a comic at a cafe.")</f>
        <v>I drew a comic at a cafe.</v>
      </c>
    </row>
    <row r="264" spans="1:2" ht="18">
      <c r="A264" s="3" t="s">
        <v>2966</v>
      </c>
      <c r="B264" s="4" t="str">
        <f ca="1">IFERROR(__xludf.DUMMYFUNCTION("IFERROR(GOOGLETRANSLATE(A264,""ko"",""en""),)"),"What do you like to do on holidays?")</f>
        <v>What do you like to do on holidays?</v>
      </c>
    </row>
    <row r="265" spans="1:2" ht="18">
      <c r="A265" s="3" t="s">
        <v>2967</v>
      </c>
      <c r="B265" s="4" t="str">
        <f ca="1">IFERROR(__xludf.DUMMYFUNCTION("IFERROR(GOOGLETRANSLATE(A265,""ko"",""en""),)"),"I like making delicious food with my friends.")</f>
        <v>I like making delicious food with my friends.</v>
      </c>
    </row>
    <row r="266" spans="1:2" ht="18">
      <c r="A266" s="3" t="s">
        <v>2969</v>
      </c>
      <c r="B266" s="4" t="str">
        <f ca="1">IFERROR(__xludf.DUMMYFUNCTION("IFERROR(GOOGLETRANSLATE(A266,""ko"",""en""),)"),"What do you usually do on weekends?")</f>
        <v>What do you usually do on weekends?</v>
      </c>
    </row>
    <row r="267" spans="1:2" ht="18">
      <c r="A267" s="3" t="s">
        <v>2971</v>
      </c>
      <c r="B267" s="4" t="str">
        <f ca="1">IFERROR(__xludf.DUMMYFUNCTION("IFERROR(GOOGLETRANSLATE(A267,""ko"",""en""),)"),"I read novels because I like reading books.")</f>
        <v>I read novels because I like reading books.</v>
      </c>
    </row>
    <row r="268" spans="1:2" ht="18">
      <c r="A268" s="3" t="s">
        <v>2972</v>
      </c>
      <c r="B268" s="4" t="str">
        <f ca="1">IFERROR(__xludf.DUMMYFUNCTION("IFERROR(GOOGLETRANSLATE(A268,""ko"",""en""),)"),"What did you do at home last weekend?")</f>
        <v>What did you do at home last weekend?</v>
      </c>
    </row>
    <row r="269" spans="1:2" ht="18">
      <c r="A269" s="3" t="s">
        <v>2974</v>
      </c>
      <c r="B269" s="4" t="str">
        <f ca="1">IFERROR(__xludf.DUMMYFUNCTION("IFERROR(GOOGLETRANSLATE(A269,""ko"",""en""),)"),"I cleaned. After cleaning the room, I cleaned the bathroom.")</f>
        <v>I cleaned. After cleaning the room, I cleaned the bathroom.</v>
      </c>
    </row>
    <row r="270" spans="1:2" ht="18">
      <c r="A270" s="3" t="s">
        <v>2976</v>
      </c>
      <c r="B270" s="4" t="str">
        <f ca="1">IFERROR(__xludf.DUMMYFUNCTION("IFERROR(GOOGLETRANSLATE(A270,""ko"",""en""),)"),"What did you do on Sunday?")</f>
        <v>What did you do on Sunday?</v>
      </c>
    </row>
    <row r="271" spans="1:2" ht="18">
      <c r="A271" s="3" t="s">
        <v>2978</v>
      </c>
      <c r="B271" s="4" t="str">
        <f ca="1">IFERROR(__xludf.DUMMYFUNCTION("IFERROR(GOOGLETRANSLATE(A271,""ko"",""en""),)"),"I went to the park and took some landscape photos.")</f>
        <v>I went to the park and took some landscape photos.</v>
      </c>
    </row>
    <row r="272" spans="1:2" ht="18">
      <c r="A272" s="3" t="s">
        <v>2980</v>
      </c>
      <c r="B272" s="4" t="str">
        <f ca="1">IFERROR(__xludf.DUMMYFUNCTION("IFERROR(GOOGLETRANSLATE(A272,""ko"",""en""),)"),"Drink juice or eat toast.")</f>
        <v>Drink juice or eat toast.</v>
      </c>
    </row>
    <row r="273" spans="1:2" ht="18">
      <c r="A273" s="3" t="s">
        <v>2981</v>
      </c>
      <c r="B273" s="4" t="str">
        <f ca="1">IFERROR(__xludf.DUMMYFUNCTION("IFERROR(GOOGLETRANSLATE(A273,""ko"",""en""),)"),"Eat toast or drink juice.")</f>
        <v>Eat toast or drink juice.</v>
      </c>
    </row>
    <row r="274" spans="1:2" ht="18">
      <c r="A274" s="3" t="s">
        <v>2982</v>
      </c>
      <c r="B274" s="4" t="str">
        <f ca="1">IFERROR(__xludf.DUMMYFUNCTION("IFERROR(GOOGLETRANSLATE(A274,""ko"",""en""),)"),"I eat cereal or toast.")</f>
        <v>I eat cereal or toast.</v>
      </c>
    </row>
    <row r="275" spans="1:2" ht="18">
      <c r="A275" s="3" t="s">
        <v>2984</v>
      </c>
      <c r="B275" s="4" t="str">
        <f ca="1">IFERROR(__xludf.DUMMYFUNCTION("IFERROR(GOOGLETRANSLATE(A275,""ko"",""en""),)"),"I eat toast or cereal.")</f>
        <v>I eat toast or cereal.</v>
      </c>
    </row>
    <row r="276" spans="1:2" ht="18">
      <c r="A276" s="3" t="s">
        <v>2985</v>
      </c>
      <c r="B276" s="4" t="str">
        <f ca="1">IFERROR(__xludf.DUMMYFUNCTION("IFERROR(GOOGLETRANSLATE(A276,""ko"",""en""),)"),"What are you doing on your day off?")</f>
        <v>What are you doing on your day off?</v>
      </c>
    </row>
    <row r="277" spans="1:2" ht="18">
      <c r="A277" s="3" t="s">
        <v>2988</v>
      </c>
      <c r="B277" s="4" t="str">
        <f ca="1">IFERROR(__xludf.DUMMYFUNCTION("IFERROR(GOOGLETRANSLATE(A277,""ko"",""en""),)"),"I make food or clean.")</f>
        <v>I make food or clean.</v>
      </c>
    </row>
    <row r="278" spans="1:2" ht="18">
      <c r="A278" s="3" t="s">
        <v>2989</v>
      </c>
      <c r="B278" s="4" t="str">
        <f ca="1">IFERROR(__xludf.DUMMYFUNCTION("IFERROR(GOOGLETRANSLATE(A278,""ko"",""en""),)"),"What kind of food do you usually make?")</f>
        <v>What kind of food do you usually make?</v>
      </c>
    </row>
    <row r="279" spans="1:2" ht="18">
      <c r="A279" s="3" t="s">
        <v>2991</v>
      </c>
      <c r="B279" s="4" t="str">
        <f ca="1">IFERROR(__xludf.DUMMYFUNCTION("IFERROR(GOOGLETRANSLATE(A279,""ko"",""en""),)"),"I make Samgyetang or Bulgogi.")</f>
        <v>I make Samgyetang or Bulgogi.</v>
      </c>
    </row>
    <row r="280" spans="1:2" ht="18">
      <c r="A280" s="3" t="s">
        <v>2992</v>
      </c>
      <c r="B280" s="4" t="str">
        <f ca="1">IFERROR(__xludf.DUMMYFUNCTION("IFERROR(GOOGLETRANSLATE(A280,""ko"",""en""),)"),"Do you cook at home sometimes?")</f>
        <v>Do you cook at home sometimes?</v>
      </c>
    </row>
    <row r="281" spans="1:2" ht="18">
      <c r="A281" s="3" t="s">
        <v>2993</v>
      </c>
      <c r="B281" s="4" t="str">
        <f ca="1">IFERROR(__xludf.DUMMYFUNCTION("IFERROR(GOOGLETRANSLATE(A281,""ko"",""en""),)"),"I make kimchi stew or tteokbokki.")</f>
        <v>I make kimchi stew or tteokbokki.</v>
      </c>
    </row>
    <row r="282" spans="1:2" ht="18">
      <c r="A282" s="3" t="s">
        <v>2996</v>
      </c>
      <c r="B282" s="4" t="str">
        <f ca="1">IFERROR(__xludf.DUMMYFUNCTION("IFERROR(GOOGLETRANSLATE(A282,""ko"",""en""),)"),"or listen")</f>
        <v>or listen</v>
      </c>
    </row>
    <row r="283" spans="1:2" ht="18">
      <c r="A283" s="3" t="s">
        <v>2998</v>
      </c>
      <c r="B283" s="4" t="str">
        <f ca="1">IFERROR(__xludf.DUMMYFUNCTION("IFERROR(GOOGLETRANSLATE(A283,""ko"",""en""),)"),"Pork cutlet or")</f>
        <v>Pork cutlet or</v>
      </c>
    </row>
    <row r="284" spans="1:2" ht="18">
      <c r="A284" s="3" t="s">
        <v>2999</v>
      </c>
      <c r="B284" s="4" t="str">
        <f ca="1">IFERROR(__xludf.DUMMYFUNCTION("IFERROR(GOOGLETRANSLATE(A284,""ko"",""en""),)"),"Taekwondo or")</f>
        <v>Taekwondo or</v>
      </c>
    </row>
    <row r="285" spans="1:2" ht="18">
      <c r="A285" s="3" t="s">
        <v>3001</v>
      </c>
      <c r="B285" s="4" t="str">
        <f ca="1">IFERROR(__xludf.DUMMYFUNCTION("IFERROR(GOOGLETRANSLATE(A285,""ko"",""en""),)"),"I watch television or read novels.")</f>
        <v>I watch television or read novels.</v>
      </c>
    </row>
    <row r="286" spans="1:2" ht="18">
      <c r="A286" s="3" t="s">
        <v>3003</v>
      </c>
      <c r="B286" s="4" t="str">
        <f ca="1">IFERROR(__xludf.DUMMYFUNCTION("IFERROR(GOOGLETRANSLATE(A286,""ko"",""en""),)"),"I make pork cutlets or curry.")</f>
        <v>I make pork cutlets or curry.</v>
      </c>
    </row>
    <row r="287" spans="1:2" ht="18">
      <c r="A287" s="3" t="s">
        <v>3005</v>
      </c>
      <c r="B287" s="4" t="str">
        <f ca="1">IFERROR(__xludf.DUMMYFUNCTION("IFERROR(GOOGLETRANSLATE(A287,""ko"",""en""),)"),"I read novels or play musical instruments.")</f>
        <v>I read novels or play musical instruments.</v>
      </c>
    </row>
    <row r="288" spans="1:2" ht="18">
      <c r="A288" s="3" t="s">
        <v>3007</v>
      </c>
      <c r="B288" s="4" t="str">
        <f ca="1">IFERROR(__xludf.DUMMYFUNCTION("IFERROR(GOOGLETRANSLATE(A288,""ko"",""en""),)"),"I play badminton or watch sports matches.")</f>
        <v>I play badminton or watch sports matches.</v>
      </c>
    </row>
    <row r="289" spans="1:2" ht="18">
      <c r="A289" s="3" t="s">
        <v>3008</v>
      </c>
      <c r="B289" s="4" t="str">
        <f ca="1">IFERROR(__xludf.DUMMYFUNCTION("IFERROR(GOOGLETRANSLATE(A289,""ko"",""en""),)"),"Drink milk or water.")</f>
        <v>Drink milk or water.</v>
      </c>
    </row>
    <row r="290" spans="1:2" ht="18">
      <c r="A290" s="3" t="s">
        <v>3010</v>
      </c>
      <c r="B290" s="4" t="str">
        <f ca="1">IFERROR(__xludf.DUMMYFUNCTION("IFERROR(GOOGLETRANSLATE(A290,""ko"",""en""),)"),"I play games or exercise.")</f>
        <v>I play games or exercise.</v>
      </c>
    </row>
    <row r="291" spans="1:2" ht="18">
      <c r="A291" s="3" t="s">
        <v>2985</v>
      </c>
      <c r="B291" s="4" t="str">
        <f ca="1">IFERROR(__xludf.DUMMYFUNCTION("IFERROR(GOOGLETRANSLATE(A291,""ko"",""en""),)"),"What are you doing on your day off?")</f>
        <v>What are you doing on your day off?</v>
      </c>
    </row>
    <row r="292" spans="1:2" ht="18">
      <c r="A292" s="3" t="s">
        <v>3014</v>
      </c>
      <c r="B292" s="4" t="str">
        <f ca="1">IFERROR(__xludf.DUMMYFUNCTION("IFERROR(GOOGLETRANSLATE(A292,""ko"",""en""),)"),"I watch dramas or play games.")</f>
        <v>I watch dramas or play games.</v>
      </c>
    </row>
    <row r="293" spans="1:2" ht="18">
      <c r="A293" s="3" t="s">
        <v>3015</v>
      </c>
      <c r="B293" s="4" t="str">
        <f ca="1">IFERROR(__xludf.DUMMYFUNCTION("IFERROR(GOOGLETRANSLATE(A293,""ko"",""en""),)"),"What are you doing this weekend?")</f>
        <v>What are you doing this weekend?</v>
      </c>
    </row>
    <row r="294" spans="1:2" ht="18">
      <c r="A294" s="3" t="s">
        <v>3017</v>
      </c>
      <c r="B294" s="4" t="str">
        <f ca="1">IFERROR(__xludf.DUMMYFUNCTION("IFERROR(GOOGLETRANSLATE(A294,""ko"",""en""),)"),"I go to a cafe or watch television.")</f>
        <v>I go to a cafe or watch television.</v>
      </c>
    </row>
    <row r="295" spans="1:2" ht="18">
      <c r="A295" s="3" t="s">
        <v>3020</v>
      </c>
      <c r="B295" s="4" t="str">
        <f ca="1">IFERROR(__xludf.DUMMYFUNCTION("IFERROR(GOOGLETRANSLATE(A295,""ko"",""en""),)"),"I practice Taekwondo or read books.")</f>
        <v>I practice Taekwondo or read books.</v>
      </c>
    </row>
    <row r="296" spans="1:2" ht="18">
      <c r="A296" s="3" t="s">
        <v>3022</v>
      </c>
      <c r="B296" s="4" t="str">
        <f ca="1">IFERROR(__xludf.DUMMYFUNCTION("IFERROR(GOOGLETRANSLATE(A296,""ko"",""en""),)"),"What are you doing at the park?")</f>
        <v>What are you doing at the park?</v>
      </c>
    </row>
    <row r="297" spans="1:2" ht="18">
      <c r="A297" s="3" t="s">
        <v>3024</v>
      </c>
      <c r="B297" s="4" t="str">
        <f ca="1">IFERROR(__xludf.DUMMYFUNCTION("IFERROR(GOOGLETRANSLATE(A297,""ko"",""en""),)"),"I go for a walk or jog.")</f>
        <v>I go for a walk or jog.</v>
      </c>
    </row>
    <row r="298" spans="1:2" ht="18">
      <c r="A298" s="3" t="s">
        <v>3025</v>
      </c>
      <c r="B298" s="4" t="str">
        <f ca="1">IFERROR(__xludf.DUMMYFUNCTION("IFERROR(GOOGLETRANSLATE(A298,""ko"",""en""),)"),"I go for a walk or listen to podcasts.")</f>
        <v>I go for a walk or listen to podcasts.</v>
      </c>
    </row>
    <row r="299" spans="1:2" ht="18">
      <c r="A299" s="3" t="s">
        <v>3029</v>
      </c>
      <c r="B299" s="4" t="str">
        <f ca="1">IFERROR(__xludf.DUMMYFUNCTION("IFERROR(GOOGLETRANSLATE(A299,""ko"",""en""),)"),"What do you eat every morning?")</f>
        <v>What do you eat every morning?</v>
      </c>
    </row>
    <row r="300" spans="1:2" ht="18">
      <c r="A300" s="3" t="s">
        <v>3030</v>
      </c>
      <c r="B300" s="4" t="str">
        <f ca="1">IFERROR(__xludf.DUMMYFUNCTION("IFERROR(GOOGLETRANSLATE(A300,""ko"",""en""),)"),"I eat oats or bananas.")</f>
        <v>I eat oats or bananas.</v>
      </c>
    </row>
    <row r="301" spans="1:2" ht="18">
      <c r="A301" s="3" t="s">
        <v>3031</v>
      </c>
      <c r="B301" s="4" t="str">
        <f ca="1">IFERROR(__xludf.DUMMYFUNCTION("IFERROR(GOOGLETRANSLATE(A301,""ko"",""en""),)"),"Around what time do you go to sleep every day?")</f>
        <v>Around what time do you go to sleep every day?</v>
      </c>
    </row>
    <row r="302" spans="1:2" ht="18">
      <c r="A302" s="3" t="s">
        <v>3035</v>
      </c>
      <c r="B302" s="4" t="str">
        <f ca="1">IFERROR(__xludf.DUMMYFUNCTION("IFERROR(GOOGLETRANSLATE(A302,""ko"",""en""),)"),"I go to sleep around 11 or 12.")</f>
        <v>I go to sleep around 11 or 12.</v>
      </c>
    </row>
    <row r="303" spans="1:2" ht="18">
      <c r="A303" s="3" t="s">
        <v>3036</v>
      </c>
      <c r="B303" s="4" t="str">
        <f ca="1">IFERROR(__xludf.DUMMYFUNCTION("IFERROR(GOOGLETRANSLATE(A303,""ko"",""en""),)"),"I wake up at seven or seven thirty.")</f>
        <v>I wake up at seven or seven thirty.</v>
      </c>
    </row>
    <row r="304" spans="1:2" ht="18">
      <c r="A304" s="3" t="s">
        <v>3037</v>
      </c>
      <c r="B304" s="4" t="str">
        <f ca="1">IFERROR(__xludf.DUMMYFUNCTION("IFERROR(GOOGLETRANSLATE(A304,""ko"",""en""),)"),"or")</f>
        <v>or</v>
      </c>
    </row>
    <row r="305" spans="1:2" ht="18">
      <c r="A305" s="3" t="s">
        <v>2996</v>
      </c>
      <c r="B305" s="4" t="str">
        <f ca="1">IFERROR(__xludf.DUMMYFUNCTION("IFERROR(GOOGLETRANSLATE(A305,""ko"",""en""),)"),"or listen")</f>
        <v>or listen</v>
      </c>
    </row>
    <row r="306" spans="1:2" ht="18">
      <c r="A306" s="3" t="s">
        <v>3040</v>
      </c>
      <c r="B306" s="4" t="str">
        <f ca="1">IFERROR(__xludf.DUMMYFUNCTION("IFERROR(GOOGLETRANSLATE(A306,""ko"",""en""),)"),"go or")</f>
        <v>go or</v>
      </c>
    </row>
    <row r="307" spans="1:2" ht="18">
      <c r="A307" s="3" t="s">
        <v>3041</v>
      </c>
      <c r="B307" s="4" t="str">
        <f ca="1">IFERROR(__xludf.DUMMYFUNCTION("IFERROR(GOOGLETRANSLATE(A307,""ko"",""en""),)"),"or")</f>
        <v>or</v>
      </c>
    </row>
    <row r="308" spans="1:2" ht="18">
      <c r="A308" s="3" t="s">
        <v>3043</v>
      </c>
      <c r="B308" s="4" t="str">
        <f ca="1">IFERROR(__xludf.DUMMYFUNCTION("IFERROR(GOOGLETRANSLATE(A308,""ko"",""en""),)"),"or")</f>
        <v>or</v>
      </c>
    </row>
    <row r="309" spans="1:2" ht="18">
      <c r="A309" s="3" t="s">
        <v>3044</v>
      </c>
      <c r="B309" s="4" t="str">
        <f ca="1">IFERROR(__xludf.DUMMYFUNCTION("IFERROR(GOOGLETRANSLATE(A309,""ko"",""en""),)"),"Gimbap or")</f>
        <v>Gimbap or</v>
      </c>
    </row>
    <row r="310" spans="1:2" ht="18">
      <c r="A310" s="3" t="s">
        <v>3045</v>
      </c>
      <c r="B310" s="4" t="str">
        <f ca="1">IFERROR(__xludf.DUMMYFUNCTION("IFERROR(GOOGLETRANSLATE(A310,""ko"",""en""),)"),"What are you going to do on the holiday?")</f>
        <v>What are you going to do on the holiday?</v>
      </c>
    </row>
    <row r="311" spans="1:2" ht="18">
      <c r="A311" s="3" t="s">
        <v>3047</v>
      </c>
      <c r="B311" s="4" t="str">
        <f ca="1">IFERROR(__xludf.DUMMYFUNCTION("IFERROR(GOOGLETRANSLATE(A311,""ko"",""en""),)"),"I'm going to meet a friend or go to a workout gathering.")</f>
        <v>I'm going to meet a friend or go to a workout gathering.</v>
      </c>
    </row>
    <row r="312" spans="1:2" ht="18">
      <c r="A312" s="3" t="s">
        <v>3015</v>
      </c>
      <c r="B312" s="4" t="str">
        <f ca="1">IFERROR(__xludf.DUMMYFUNCTION("IFERROR(GOOGLETRANSLATE(A312,""ko"",""en""),)"),"What are you doing this weekend?")</f>
        <v>What are you doing this weekend?</v>
      </c>
    </row>
    <row r="313" spans="1:2" ht="18">
      <c r="A313" s="3" t="s">
        <v>3050</v>
      </c>
      <c r="B313" s="4" t="str">
        <f ca="1">IFERROR(__xludf.DUMMYFUNCTION("IFERROR(GOOGLETRANSLATE(A313,""ko"",""en""),)"),"Rest or exercise")</f>
        <v>Rest or exercise</v>
      </c>
    </row>
    <row r="314" spans="1:2" ht="18">
      <c r="A314" s="3" t="s">
        <v>3052</v>
      </c>
      <c r="B314" s="4" t="str">
        <f ca="1">IFERROR(__xludf.DUMMYFUNCTION("IFERROR(GOOGLETRANSLATE(A314,""ko"",""en""),)"),"How do you get to school?")</f>
        <v>How do you get to school?</v>
      </c>
    </row>
    <row r="315" spans="1:2" ht="18">
      <c r="A315" s="3" t="s">
        <v>3054</v>
      </c>
      <c r="B315" s="4" t="str">
        <f ca="1">IFERROR(__xludf.DUMMYFUNCTION("IFERROR(GOOGLETRANSLATE(A315,""ko"",""en""),)"),"I go on foot or by bicycle.")</f>
        <v>I go on foot or by bicycle.</v>
      </c>
    </row>
    <row r="316" spans="1:2" ht="18">
      <c r="A316" s="3" t="s">
        <v>3055</v>
      </c>
      <c r="B316" s="4" t="str">
        <f ca="1">IFERROR(__xludf.DUMMYFUNCTION("IFERROR(GOOGLETRANSLATE(A316,""ko"",""en""),)"),"I take a bus or a train.")</f>
        <v>I take a bus or a train.</v>
      </c>
    </row>
    <row r="317" spans="1:2" ht="18">
      <c r="A317" s="3" t="s">
        <v>3056</v>
      </c>
      <c r="B317" s="4" t="str">
        <f ca="1">IFERROR(__xludf.DUMMYFUNCTION("IFERROR(GOOGLETRANSLATE(A317,""ko"",""en""),)"),"I take a bus or a train.")</f>
        <v>I take a bus or a train.</v>
      </c>
    </row>
    <row r="318" spans="1:2" ht="18">
      <c r="A318" s="3" t="s">
        <v>3029</v>
      </c>
      <c r="B318" s="4" t="str">
        <f ca="1">IFERROR(__xludf.DUMMYFUNCTION("IFERROR(GOOGLETRANSLATE(A318,""ko"",""en""),)"),"What do you eat every morning?")</f>
        <v>What do you eat every morning?</v>
      </c>
    </row>
    <row r="319" spans="1:2" ht="18">
      <c r="A319" s="3" t="s">
        <v>3060</v>
      </c>
      <c r="B319" s="4" t="str">
        <f ca="1">IFERROR(__xludf.DUMMYFUNCTION("IFERROR(GOOGLETRANSLATE(A319,""ko"",""en""),)"),"I eat bread or gimbap.")</f>
        <v>I eat bread or gimbap.</v>
      </c>
    </row>
    <row r="320" spans="1:2" ht="18">
      <c r="A320" s="3" t="s">
        <v>3061</v>
      </c>
      <c r="B320" s="4" t="str">
        <f ca="1">IFERROR(__xludf.DUMMYFUNCTION("IFERROR(GOOGLETRANSLATE(A320,""ko"",""en""),)"),"Where do you buy coffee?")</f>
        <v>Where do you buy coffee?</v>
      </c>
    </row>
    <row r="321" spans="1:2" ht="18">
      <c r="A321" s="3" t="s">
        <v>3063</v>
      </c>
      <c r="B321" s="4" t="str">
        <f ca="1">IFERROR(__xludf.DUMMYFUNCTION("IFERROR(GOOGLETRANSLATE(A321,""ko"",""en""),)"),"I buy coffee at a cafe or convenience store.")</f>
        <v>I buy coffee at a cafe or convenience store.</v>
      </c>
    </row>
    <row r="322" spans="1:2" ht="18">
      <c r="A322" s="3" t="s">
        <v>3065</v>
      </c>
      <c r="B322" s="4" t="str">
        <f ca="1">IFERROR(__xludf.DUMMYFUNCTION("IFERROR(GOOGLETRANSLATE(A322,""ko"",""en""),)"),"What are you going to have for lunch?")</f>
        <v>What are you going to have for lunch?</v>
      </c>
    </row>
    <row r="323" spans="1:2" ht="18">
      <c r="A323" s="3" t="s">
        <v>3067</v>
      </c>
      <c r="B323" s="4" t="str">
        <f ca="1">IFERROR(__xludf.DUMMYFUNCTION("IFERROR(GOOGLETRANSLATE(A323,""ko"",""en""),)"),"I'm going to eat bibimbap or kimchi stew.")</f>
        <v>I'm going to eat bibimbap or kimchi stew.</v>
      </c>
    </row>
    <row r="324" spans="1:2" ht="18">
      <c r="A324" s="3" t="s">
        <v>174</v>
      </c>
      <c r="B324" s="4" t="str">
        <f ca="1">IFERROR(__xludf.DUMMYFUNCTION("IFERROR(GOOGLETRANSLATE(A324,""ko"",""en""),)"),"Where are you going tomorrow?")</f>
        <v>Where are you going tomorrow?</v>
      </c>
    </row>
    <row r="325" spans="1:2" ht="18">
      <c r="A325" s="3" t="s">
        <v>3069</v>
      </c>
      <c r="B325" s="4" t="str">
        <f ca="1">IFERROR(__xludf.DUMMYFUNCTION("IFERROR(GOOGLETRANSLATE(A325,""ko"",""en""),)"),"I'm going to the department store or the library.")</f>
        <v>I'm going to the department store or the library.</v>
      </c>
    </row>
    <row r="326" spans="1:2" ht="18">
      <c r="A326" s="3"/>
      <c r="B326" s="4" t="str">
        <f ca="1">IFERROR(__xludf.DUMMYFUNCTION("IFERROR(GOOGLETRANSLATE(A326,""ko"",""en""),)"),"")</f>
        <v/>
      </c>
    </row>
    <row r="327" spans="1:2" ht="18">
      <c r="A327" s="3" t="s">
        <v>3072</v>
      </c>
      <c r="B327" s="4" t="str">
        <f ca="1">IFERROR(__xludf.DUMMYFUNCTION("IFERROR(GOOGLETRANSLATE(A327,""ko"",""en""),)"),"What are you doing after class today?")</f>
        <v>What are you doing after class today?</v>
      </c>
    </row>
    <row r="328" spans="1:2" ht="18">
      <c r="A328" s="5" t="s">
        <v>3074</v>
      </c>
      <c r="B328" s="4" t="str">
        <f ca="1">IFERROR(__xludf.DUMMYFUNCTION("IFERROR(GOOGLETRANSLATE(A328,""ko"",""en""),)"),"I go to the park to take a walk or ride the swings.")</f>
        <v>I go to the park to take a walk or ride the swings.</v>
      </c>
    </row>
    <row r="329" spans="1:2" ht="18">
      <c r="A329" s="3" t="s">
        <v>3075</v>
      </c>
      <c r="B329" s="4" t="str">
        <f ca="1">IFERROR(__xludf.DUMMYFUNCTION("IFERROR(GOOGLETRANSLATE(A329,""ko"",""en""),)"),"I'm going to rest or sleep.")</f>
        <v>I'm going to rest or sleep.</v>
      </c>
    </row>
    <row r="330" spans="1:2" ht="18">
      <c r="A330" s="3" t="s">
        <v>3077</v>
      </c>
      <c r="B330" s="4" t="str">
        <f ca="1">IFERROR(__xludf.DUMMYFUNCTION("IFERROR(GOOGLETRANSLATE(A330,""ko"",""en""),)"),"What do you want to eat for dinner tonight?")</f>
        <v>What do you want to eat for dinner tonight?</v>
      </c>
    </row>
    <row r="331" spans="1:2" ht="18">
      <c r="A331" s="3" t="s">
        <v>3078</v>
      </c>
      <c r="B331" s="4" t="str">
        <f ca="1">IFERROR(__xludf.DUMMYFUNCTION("IFERROR(GOOGLETRANSLATE(A331,""ko"",""en""),)"),"I want to eat a burrito or pasta.")</f>
        <v>I want to eat a burrito or pasta.</v>
      </c>
    </row>
    <row r="332" spans="1:2" ht="18">
      <c r="A332" s="3" t="s">
        <v>3079</v>
      </c>
      <c r="B332" s="4" t="str">
        <f ca="1">IFERROR(__xludf.DUMMYFUNCTION("IFERROR(GOOGLETRANSLATE(A332,""ko"",""en""),)"),"I want to eat butter chicken or gimbap.")</f>
        <v>I want to eat butter chicken or gimbap.</v>
      </c>
    </row>
    <row r="333" spans="1:2" ht="18">
      <c r="A333" s="3" t="s">
        <v>3080</v>
      </c>
      <c r="B333" s="4" t="str">
        <f ca="1">IFERROR(__xludf.DUMMYFUNCTION("IFERROR(GOOGLETRANSLATE(A333,""ko"",""en""),)"),"Let's go hiking together tomorrow.")</f>
        <v>Let's go hiking together tomorrow.</v>
      </c>
    </row>
    <row r="334" spans="1:2" ht="18">
      <c r="A334" s="3" t="s">
        <v>3081</v>
      </c>
      <c r="B334" s="4" t="str">
        <f ca="1">IFERROR(__xludf.DUMMYFUNCTION("IFERROR(GOOGLETRANSLATE(A334,""ko"",""en""),)"),"Okay. But will the weather be sunny tomorrow too?")</f>
        <v>Okay. But will the weather be sunny tomorrow too?</v>
      </c>
    </row>
    <row r="335" spans="1:2" ht="18">
      <c r="A335" s="3" t="s">
        <v>3082</v>
      </c>
      <c r="B335" s="4" t="str">
        <f ca="1">IFERROR(__xludf.DUMMYFUNCTION("IFERROR(GOOGLETRANSLATE(A335,""ko"",""en""),)"),"Shall we study hard again today?")</f>
        <v>Shall we study hard again today?</v>
      </c>
    </row>
    <row r="336" spans="1:2" ht="18">
      <c r="A336" s="3" t="s">
        <v>3084</v>
      </c>
      <c r="B336" s="4" t="str">
        <f ca="1">IFERROR(__xludf.DUMMYFUNCTION("IFERROR(GOOGLETRANSLATE(A336,""ko"",""en""),)"),"Shall we all go to Korea together for this vacation?")</f>
        <v>Shall we all go to Korea together for this vacation?</v>
      </c>
    </row>
    <row r="337" spans="1:2" ht="18">
      <c r="A337" s="3" t="s">
        <v>3085</v>
      </c>
      <c r="B337" s="4" t="str">
        <f ca="1">IFERROR(__xludf.DUMMYFUNCTION("IFERROR(GOOGLETRANSLATE(A337,""ko"",""en""),)"),"Shall I make gimbap next time?")</f>
        <v>Shall I make gimbap next time?</v>
      </c>
    </row>
    <row r="338" spans="1:2" ht="18">
      <c r="A338" s="3" t="s">
        <v>3087</v>
      </c>
      <c r="B338" s="4" t="str">
        <f ca="1">IFERROR(__xludf.DUMMYFUNCTION("IFERROR(GOOGLETRANSLATE(A338,""ko"",""en""),)"),"What is the weather like right now?")</f>
        <v>What is the weather like right now?</v>
      </c>
    </row>
    <row r="339" spans="1:2" ht="18">
      <c r="A339" s="3" t="s">
        <v>3089</v>
      </c>
      <c r="B339" s="4" t="str">
        <f ca="1">IFERROR(__xludf.DUMMYFUNCTION("IFERROR(GOOGLETRANSLATE(A339,""ko"",""en""),)"),"Will the weather be sunny tomorrow as well?")</f>
        <v>Will the weather be sunny tomorrow as well?</v>
      </c>
    </row>
    <row r="340" spans="1:2" ht="18">
      <c r="A340" s="3" t="s">
        <v>3090</v>
      </c>
      <c r="B340" s="4" t="str">
        <f ca="1">IFERROR(__xludf.DUMMYFUNCTION("IFERROR(GOOGLETRANSLATE(A340,""ko"",""en""),)"),"Will the grammar we learn today be difficult?")</f>
        <v>Will the grammar we learn today be difficult?</v>
      </c>
    </row>
    <row r="341" spans="1:2" ht="18">
      <c r="A341" s="3" t="s">
        <v>3091</v>
      </c>
      <c r="B341" s="4" t="str">
        <f ca="1">IFERROR(__xludf.DUMMYFUNCTION("IFERROR(GOOGLETRANSLATE(A341,""ko"",""en""),)"),"Shall we eat?")</f>
        <v>Shall we eat?</v>
      </c>
    </row>
    <row r="342" spans="1:2" ht="18">
      <c r="A342" s="3" t="s">
        <v>3094</v>
      </c>
      <c r="B342" s="4" t="str">
        <f ca="1">IFERROR(__xludf.DUMMYFUNCTION("IFERROR(GOOGLETRANSLATE(A342,""ko"",""en""),)"),"Would that be good?")</f>
        <v>Would that be good?</v>
      </c>
    </row>
    <row r="343" spans="1:2" ht="18">
      <c r="A343" s="3" t="s">
        <v>3095</v>
      </c>
      <c r="B343" s="4" t="str">
        <f ca="1">IFERROR(__xludf.DUMMYFUNCTION("IFERROR(GOOGLETRANSLATE(A343,""ko"",""en""),)"),"Shall I take it?")</f>
        <v>Shall I take it?</v>
      </c>
    </row>
    <row r="344" spans="1:2" ht="18">
      <c r="A344" s="3" t="s">
        <v>3099</v>
      </c>
      <c r="B344" s="4" t="str">
        <f ca="1">IFERROR(__xludf.DUMMYFUNCTION("IFERROR(GOOGLETRANSLATE(A344,""ko"",""en""),)"),"Shall we go for a walk?")</f>
        <v>Shall we go for a walk?</v>
      </c>
    </row>
    <row r="345" spans="1:2" ht="18">
      <c r="A345" s="3" t="s">
        <v>3100</v>
      </c>
      <c r="B345" s="4" t="str">
        <f ca="1">IFERROR(__xludf.DUMMYFUNCTION("IFERROR(GOOGLETRANSLATE(A345,""ko"",""en""),)"),"Would it be difficult?")</f>
        <v>Would it be difficult?</v>
      </c>
    </row>
    <row r="346" spans="1:2" ht="18">
      <c r="A346" s="3" t="s">
        <v>3101</v>
      </c>
      <c r="B346" s="4" t="str">
        <f ca="1">IFERROR(__xludf.DUMMYFUNCTION("IFERROR(GOOGLETRANSLATE(A346,""ko"",""en""),)"),"Shall we go?")</f>
        <v>Shall we go?</v>
      </c>
    </row>
    <row r="347" spans="1:2" ht="18">
      <c r="A347" s="3" t="s">
        <v>3104</v>
      </c>
      <c r="B347" s="4" t="str">
        <f ca="1">IFERROR(__xludf.DUMMYFUNCTION("IFERROR(GOOGLETRANSLATE(A347,""ko"",""en""),)"),"Shall we take a look?")</f>
        <v>Shall we take a look?</v>
      </c>
    </row>
    <row r="348" spans="1:2" ht="18">
      <c r="A348" s="3" t="s">
        <v>3105</v>
      </c>
      <c r="B348" s="4" t="str">
        <f ca="1">IFERROR(__xludf.DUMMYFUNCTION("IFERROR(GOOGLETRANSLATE(A348,""ko"",""en""),)"),"Will I be busy?")</f>
        <v>Will I be busy?</v>
      </c>
    </row>
    <row r="349" spans="1:2" ht="18">
      <c r="A349" s="3" t="s">
        <v>3106</v>
      </c>
      <c r="B349" s="4" t="str">
        <f ca="1">IFERROR(__xludf.DUMMYFUNCTION("IFERROR(GOOGLETRANSLATE(A349,""ko"",""en""),)"),"Will it be refreshing?")</f>
        <v>Will it be refreshing?</v>
      </c>
    </row>
    <row r="350" spans="1:2" ht="18">
      <c r="A350" s="3" t="s">
        <v>3109</v>
      </c>
      <c r="B350" s="4" t="str">
        <f ca="1">IFERROR(__xludf.DUMMYFUNCTION("IFERROR(GOOGLETRANSLATE(A350,""ko"",""en""),)"),"Shall I make it?")</f>
        <v>Shall I make it?</v>
      </c>
    </row>
    <row r="351" spans="1:2" ht="18">
      <c r="A351" s="3" t="s">
        <v>3111</v>
      </c>
      <c r="B351" s="4" t="str">
        <f ca="1">IFERROR(__xludf.DUMMYFUNCTION("IFERROR(GOOGLETRANSLATE(A351,""ko"",""en""),)"),"Shall I ask?")</f>
        <v>Shall I ask?</v>
      </c>
    </row>
    <row r="352" spans="1:2" ht="18">
      <c r="A352" s="3" t="s">
        <v>3113</v>
      </c>
      <c r="B352" s="4" t="str">
        <f ca="1">IFERROR(__xludf.DUMMYFUNCTION("IFERROR(GOOGLETRANSLATE(A352,""ko"",""en""),)"),"Shall we listen?")</f>
        <v>Shall we listen?</v>
      </c>
    </row>
    <row r="353" spans="1:2" ht="18">
      <c r="A353" s="3" t="s">
        <v>3115</v>
      </c>
      <c r="B353" s="4" t="str">
        <f ca="1">IFERROR(__xludf.DUMMYFUNCTION("IFERROR(GOOGLETRANSLATE(A353,""ko"",""en""),)"),"Would it be beautiful?")</f>
        <v>Would it be beautiful?</v>
      </c>
    </row>
    <row r="354" spans="1:2" ht="18">
      <c r="A354" s="3" t="s">
        <v>3117</v>
      </c>
      <c r="B354" s="4" t="str">
        <f ca="1">IFERROR(__xludf.DUMMYFUNCTION("IFERROR(GOOGLETRANSLATE(A354,""ko"",""en""),)"),"Would that restaurant be good?")</f>
        <v>Would that restaurant be good?</v>
      </c>
    </row>
    <row r="355" spans="1:2" ht="18">
      <c r="A355" s="5" t="s">
        <v>3118</v>
      </c>
      <c r="B355" s="4" t="s">
        <v>3120</v>
      </c>
    </row>
    <row r="356" spans="1:2" ht="18">
      <c r="A356" s="3" t="s">
        <v>3121</v>
      </c>
      <c r="B356" s="4" t="str">
        <f ca="1">IFERROR(__xludf.DUMMYFUNCTION("IFERROR(GOOGLETRANSLATE(A356,""ko"",""en""),)"),"Will the teacher make kimchi well?")</f>
        <v>Will the teacher make kimchi well?</v>
      </c>
    </row>
    <row r="357" spans="1:2" ht="18">
      <c r="A357" s="3" t="s">
        <v>3122</v>
      </c>
      <c r="B357" s="4" t="str">
        <f ca="1">IFERROR(__xludf.DUMMYFUNCTION("IFERROR(GOOGLETRANSLATE(A357,""ko"",""en""),)"),"Shall we take a look at F1?")</f>
        <v>Shall we take a look at F1?</v>
      </c>
    </row>
    <row r="358" spans="1:2" ht="18">
      <c r="A358" s="3" t="s">
        <v>3125</v>
      </c>
      <c r="B358" s="4" t="str">
        <f ca="1">IFERROR(__xludf.DUMMYFUNCTION("IFERROR(GOOGLETRANSLATE(A358,""ko"",""en""),)"),"Let's watch a movie together on the weekend.")</f>
        <v>Let's watch a movie together on the weekend.</v>
      </c>
    </row>
    <row r="359" spans="1:2" ht="18">
      <c r="A359" s="3" t="s">
        <v>3126</v>
      </c>
      <c r="B359" s="4" t="str">
        <f ca="1">IFERROR(__xludf.DUMMYFUNCTION("IFERROR(GOOGLETRANSLATE(A359,""ko"",""en""),)"),"Okay. But what movie would be fun?")</f>
        <v>Okay. But what movie would be fun?</v>
      </c>
    </row>
    <row r="360" spans="1:2" ht="18">
      <c r="A360" s="3" t="s">
        <v>3128</v>
      </c>
      <c r="B360" s="4" t="str">
        <f ca="1">IFERROR(__xludf.DUMMYFUNCTION("IFERROR(GOOGLETRANSLATE(A360,""ko"",""en""),)"),"Let's learn Taekwondo together.")</f>
        <v>Let's learn Taekwondo together.</v>
      </c>
    </row>
    <row r="361" spans="1:2" ht="18">
      <c r="A361" s="3" t="s">
        <v>3130</v>
      </c>
      <c r="B361" s="4" t="str">
        <f ca="1">IFERROR(__xludf.DUMMYFUNCTION("IFERROR(GOOGLETRANSLATE(A361,""ko"",""en""),)"),"Okay. But would it be difficult?")</f>
        <v>Okay. But would it be difficult?</v>
      </c>
    </row>
    <row r="362" spans="1:2" ht="18">
      <c r="A362" s="3" t="s">
        <v>3132</v>
      </c>
      <c r="B362" s="4" t="str">
        <f ca="1">IFERROR(__xludf.DUMMYFUNCTION("IFERROR(GOOGLETRANSLATE(A362,""ko"",""en""),)"),"Okay. But won't it be difficult?")</f>
        <v>Okay. But won't it be difficult?</v>
      </c>
    </row>
    <row r="363" spans="1:2" ht="18">
      <c r="A363" s="3" t="s">
        <v>3133</v>
      </c>
      <c r="B363" s="4" t="str">
        <f ca="1">IFERROR(__xludf.DUMMYFUNCTION("IFERROR(GOOGLETRANSLATE(A363,""ko"",""en""),)"),"Let's go to the gym together on the weekend.")</f>
        <v>Let's go to the gym together on the weekend.</v>
      </c>
    </row>
    <row r="364" spans="1:2" ht="18">
      <c r="A364" s="3" t="s">
        <v>3135</v>
      </c>
      <c r="B364" s="4" t="str">
        <f ca="1">IFERROR(__xludf.DUMMYFUNCTION("IFERROR(GOOGLETRANSLATE(A364,""ko"",""en""),)"),"Okay. What should I prepare?")</f>
        <v>Okay. What should I prepare?</v>
      </c>
    </row>
    <row r="365" spans="1:2" ht="18">
      <c r="A365" s="3" t="s">
        <v>3137</v>
      </c>
      <c r="B365" s="4" t="str">
        <f ca="1">IFERROR(__xludf.DUMMYFUNCTION("IFERROR(GOOGLETRANSLATE(A365,""ko"",""en""),)"),"Okay. What should I prepare?")</f>
        <v>Okay. What should I prepare?</v>
      </c>
    </row>
    <row r="366" spans="1:2" ht="18">
      <c r="A366" s="3" t="s">
        <v>3138</v>
      </c>
      <c r="B366" s="4" t="str">
        <f ca="1">IFERROR(__xludf.DUMMYFUNCTION("IFERROR(GOOGLETRANSLATE(A366,""ko"",""en""),)"),"Shall we go cycling together this weekend?")</f>
        <v>Shall we go cycling together this weekend?</v>
      </c>
    </row>
    <row r="367" spans="1:2" ht="18">
      <c r="A367" s="3" t="s">
        <v>3140</v>
      </c>
      <c r="B367" s="4" t="str">
        <f ca="1">IFERROR(__xludf.DUMMYFUNCTION("IFERROR(GOOGLETRANSLATE(A367,""ko"",""en""),)"),"Okay. But do you think I can ride well too?")</f>
        <v>Okay. But do you think I can ride well too?</v>
      </c>
    </row>
    <row r="368" spans="1:2" ht="18">
      <c r="A368" s="3" t="s">
        <v>3141</v>
      </c>
      <c r="B368" s="4" t="str">
        <f ca="1">IFERROR(__xludf.DUMMYFUNCTION("IFERROR(GOOGLETRANSLATE(A368,""ko"",""en""),)"),"I'm not good at riding a bicycle.")</f>
        <v>I'm not good at riding a bicycle.</v>
      </c>
    </row>
    <row r="369" spans="1:2" ht="18">
      <c r="A369" s="3" t="s">
        <v>3142</v>
      </c>
      <c r="B369" s="4" t="str">
        <f ca="1">IFERROR(__xludf.DUMMYFUNCTION("IFERROR(GOOGLETRANSLATE(A369,""ko"",""en""),)"),"Will the weather be cold tomorrow?")</f>
        <v>Will the weather be cold tomorrow?</v>
      </c>
    </row>
    <row r="370" spans="1:2" ht="18">
      <c r="A370" s="3" t="s">
        <v>3143</v>
      </c>
      <c r="B370" s="4" t="str">
        <f ca="1">IFERROR(__xludf.DUMMYFUNCTION("IFERROR(GOOGLETRANSLATE(A370,""ko"",""en""),)"),"Yes. It will be cold tomorrow. I saw it in the weather forecast.")</f>
        <v>Yes. It will be cold tomorrow. I saw it in the weather forecast.</v>
      </c>
    </row>
    <row r="371" spans="1:2" ht="18">
      <c r="A371" s="3" t="s">
        <v>3145</v>
      </c>
      <c r="B371" s="4" t="str">
        <f ca="1">IFERROR(__xludf.DUMMYFUNCTION("IFERROR(GOOGLETRANSLATE(A371,""ko"",""en""),)"),"It is ten degrees below zero.")</f>
        <v>It is ten degrees below zero.</v>
      </c>
    </row>
    <row r="372" spans="1:2" ht="18">
      <c r="A372" s="3" t="s">
        <v>3146</v>
      </c>
      <c r="B372" s="4" t="str">
        <f ca="1">IFERROR(__xludf.DUMMYFUNCTION("IFERROR(GOOGLETRANSLATE(A372,""ko"",""en""),)"),"Will this book be interesting?")</f>
        <v>Will this book be interesting?</v>
      </c>
    </row>
    <row r="373" spans="1:2" ht="18">
      <c r="A373" s="3" t="s">
        <v>3147</v>
      </c>
      <c r="B373" s="4" t="str">
        <f ca="1">IFERROR(__xludf.DUMMYFUNCTION("IFERROR(GOOGLETRANSLATE(A373,""ko"",""en""),)"),"Yes. It will be fun. I read it.")</f>
        <v>Yes. It will be fun. I read it.</v>
      </c>
    </row>
    <row r="374" spans="1:2" ht="18">
      <c r="A374" s="3" t="s">
        <v>3148</v>
      </c>
      <c r="B374" s="4" t="str">
        <f ca="1">IFERROR(__xludf.DUMMYFUNCTION("IFERROR(GOOGLETRANSLATE(A374,""ko"",""en""),)"),"Shall I ask if Mari is taking the phone right now?")</f>
        <v>Shall I ask if Mari is taking the phone right now?</v>
      </c>
    </row>
    <row r="375" spans="1:2" ht="18">
      <c r="A375" s="3" t="s">
        <v>3150</v>
      </c>
      <c r="B375" s="4" t="str">
        <f ca="1">IFERROR(__xludf.DUMMYFUNCTION("IFERROR(GOOGLETRANSLATE(A375,""ko"",""en""),)"),"No. He won't answer the phone right now. It's too late. It's already eleven. He's probably asleep.")</f>
        <v>No. He won't answer the phone right now. It's too late. It's already eleven. He's probably asleep.</v>
      </c>
    </row>
    <row r="376" spans="1:2" ht="18">
      <c r="A376" s="3" t="s">
        <v>3151</v>
      </c>
      <c r="B376" s="4" t="str">
        <f ca="1">IFERROR(__xludf.DUMMYFUNCTION("IFERROR(GOOGLETRANSLATE(A376,""ko"",""en""),)"),"Did Ms. Mina have lunch?")</f>
        <v>Did Ms. Mina have lunch?</v>
      </c>
    </row>
    <row r="377" spans="1:2" ht="18">
      <c r="A377" s="3" t="s">
        <v>3152</v>
      </c>
      <c r="B377" s="4" t="str">
        <f ca="1">IFERROR(__xludf.DUMMYFUNCTION("IFERROR(GOOGLETRANSLATE(A377,""ko"",""en""),)"),"Well, I'm not sure.")</f>
        <v>Well, I'm not sure.</v>
      </c>
    </row>
    <row r="378" spans="1:2" ht="18">
      <c r="A378" s="3" t="s">
        <v>3155</v>
      </c>
      <c r="B378" s="4" t="str">
        <f ca="1">IFERROR(__xludf.DUMMYFUNCTION("IFERROR(GOOGLETRANSLATE(A378,""ko"",""en""),)"),"But since it's three o'clock now, they must have eaten.")</f>
        <v>But since it's three o'clock now, they must have eaten.</v>
      </c>
    </row>
    <row r="379" spans="1:2" ht="18">
      <c r="A379" s="3" t="s">
        <v>3091</v>
      </c>
      <c r="B379" s="4" t="str">
        <f ca="1">IFERROR(__xludf.DUMMYFUNCTION("IFERROR(GOOGLETRANSLATE(A379,""ko"",""en""),)"),"Shall we eat?")</f>
        <v>Shall we eat?</v>
      </c>
    </row>
    <row r="380" spans="1:2" ht="18">
      <c r="A380" s="3" t="s">
        <v>3094</v>
      </c>
      <c r="B380" s="4" t="str">
        <f ca="1">IFERROR(__xludf.DUMMYFUNCTION("IFERROR(GOOGLETRANSLATE(A380,""ko"",""en""),)"),"Would that be good?")</f>
        <v>Would that be good?</v>
      </c>
    </row>
    <row r="381" spans="1:2" ht="18">
      <c r="A381" s="3" t="s">
        <v>3095</v>
      </c>
      <c r="B381" s="4" t="str">
        <f ca="1">IFERROR(__xludf.DUMMYFUNCTION("IFERROR(GOOGLETRANSLATE(A381,""ko"",""en""),)"),"Shall I take it?")</f>
        <v>Shall I take it?</v>
      </c>
    </row>
    <row r="382" spans="1:2" ht="18">
      <c r="A382" s="3" t="s">
        <v>3099</v>
      </c>
      <c r="B382" s="4" t="str">
        <f ca="1">IFERROR(__xludf.DUMMYFUNCTION("IFERROR(GOOGLETRANSLATE(A382,""ko"",""en""),)"),"Shall we go for a walk?")</f>
        <v>Shall we go for a walk?</v>
      </c>
    </row>
    <row r="383" spans="1:2" ht="18">
      <c r="A383" s="3" t="s">
        <v>3100</v>
      </c>
      <c r="B383" s="4" t="str">
        <f ca="1">IFERROR(__xludf.DUMMYFUNCTION("IFERROR(GOOGLETRANSLATE(A383,""ko"",""en""),)"),"Would it be difficult?")</f>
        <v>Would it be difficult?</v>
      </c>
    </row>
    <row r="384" spans="1:2" ht="18">
      <c r="A384" s="3" t="s">
        <v>3158</v>
      </c>
      <c r="B384" s="4" t="str">
        <f ca="1">IFERROR(__xludf.DUMMYFUNCTION("IFERROR(GOOGLETRANSLATE(A384,""ko"",""en""),)"),"This Chanel bag is too expensive; would you like to take it, teacher?")</f>
        <v>This Chanel bag is too expensive; would you like to take it, teacher?</v>
      </c>
    </row>
    <row r="385" spans="1:2" ht="18">
      <c r="A385" s="3" t="s">
        <v>3101</v>
      </c>
      <c r="B385" s="4" t="str">
        <f ca="1">IFERROR(__xludf.DUMMYFUNCTION("IFERROR(GOOGLETRANSLATE(A385,""ko"",""en""),)"),"Shall we go?")</f>
        <v>Shall we go?</v>
      </c>
    </row>
    <row r="386" spans="1:2" ht="18">
      <c r="A386" s="3" t="s">
        <v>3104</v>
      </c>
      <c r="B386" s="4" t="str">
        <f ca="1">IFERROR(__xludf.DUMMYFUNCTION("IFERROR(GOOGLETRANSLATE(A386,""ko"",""en""),)"),"Shall we take a look?")</f>
        <v>Shall we take a look?</v>
      </c>
    </row>
    <row r="387" spans="1:2" ht="18">
      <c r="A387" s="3" t="s">
        <v>3105</v>
      </c>
      <c r="B387" s="4" t="str">
        <f ca="1">IFERROR(__xludf.DUMMYFUNCTION("IFERROR(GOOGLETRANSLATE(A387,""ko"",""en""),)"),"Will I be busy?")</f>
        <v>Will I be busy?</v>
      </c>
    </row>
    <row r="388" spans="1:2" ht="18">
      <c r="A388" s="3" t="s">
        <v>3106</v>
      </c>
      <c r="B388" s="4" t="str">
        <f ca="1">IFERROR(__xludf.DUMMYFUNCTION("IFERROR(GOOGLETRANSLATE(A388,""ko"",""en""),)"),"Will it be refreshing?")</f>
        <v>Will it be refreshing?</v>
      </c>
    </row>
    <row r="389" spans="1:2" ht="18">
      <c r="A389" s="3" t="s">
        <v>3109</v>
      </c>
      <c r="B389" s="4" t="str">
        <f ca="1">IFERROR(__xludf.DUMMYFUNCTION("IFERROR(GOOGLETRANSLATE(A389,""ko"",""en""),)"),"Shall I make it?")</f>
        <v>Shall I make it?</v>
      </c>
    </row>
    <row r="390" spans="1:2" ht="18">
      <c r="A390" s="3" t="s">
        <v>3162</v>
      </c>
      <c r="B390" s="4" t="str">
        <f ca="1">IFERROR(__xludf.DUMMYFUNCTION("IFERROR(GOOGLETRANSLATE(A390,""ko"",""en""),)"),"Sydney is hot, but is Hobart cool?")</f>
        <v>Sydney is hot, but is Hobart cool?</v>
      </c>
    </row>
    <row r="391" spans="1:2" ht="18">
      <c r="A391" s="3" t="s">
        <v>3163</v>
      </c>
      <c r="B391" s="4" t="str">
        <f ca="1">IFERROR(__xludf.DUMMYFUNCTION("IFERROR(GOOGLETRANSLATE(A391,""ko"",""en""),)"),"Will many people come to the concert?")</f>
        <v>Will many people come to the concert?</v>
      </c>
    </row>
    <row r="392" spans="1:2" ht="18">
      <c r="A392" s="3" t="s">
        <v>3164</v>
      </c>
      <c r="B392" s="4" t="str">
        <f ca="1">IFERROR(__xludf.DUMMYFUNCTION("IFERROR(GOOGLETRANSLATE(A392,""ko"",""en""),)"),"Since it's a concert by a famous singer, a lot of people will come.")</f>
        <v>Since it's a concert by a famous singer, a lot of people will come.</v>
      </c>
    </row>
    <row r="393" spans="1:2" ht="18">
      <c r="A393" s="3" t="s">
        <v>3166</v>
      </c>
      <c r="B393" s="4" t="str">
        <f ca="1">IFERROR(__xludf.DUMMYFUNCTION("IFERROR(GOOGLETRANSLATE(A393,""ko"",""en""),)"),"Is it hot in Korea right now?")</f>
        <v>Is it hot in Korea right now?</v>
      </c>
    </row>
    <row r="394" spans="1:2" ht="18">
      <c r="A394" s="3" t="s">
        <v>3167</v>
      </c>
      <c r="B394" s="4" t="str">
        <f ca="1">IFERROR(__xludf.DUMMYFUNCTION("IFERROR(GOOGLETRANSLATE(A394,""ko"",""en""),)"),"No. It is winter in Korea right now, so it is cold.")</f>
        <v>No. It is winter in Korea right now, so it is cold.</v>
      </c>
    </row>
    <row r="395" spans="1:2" ht="18">
      <c r="A395" s="3" t="s">
        <v>3169</v>
      </c>
      <c r="B395" s="4" t="str">
        <f ca="1">IFERROR(__xludf.DUMMYFUNCTION("IFERROR(GOOGLETRANSLATE(A395,""ko"",""en""),)"),"Is it far from Busan to Seoul?")</f>
        <v>Is it far from Busan to Seoul?</v>
      </c>
    </row>
    <row r="396" spans="1:2" ht="18">
      <c r="A396" s="3" t="s">
        <v>3171</v>
      </c>
      <c r="B396" s="4" t="str">
        <f ca="1">IFERROR(__xludf.DUMMYFUNCTION("IFERROR(GOOGLETRANSLATE(A396,""ko"",""en""),)"),"It's a bit far. It takes about four hours by bus.")</f>
        <v>It's a bit far. It takes about four hours by bus.</v>
      </c>
    </row>
    <row r="397" spans="1:2" ht="18">
      <c r="A397" s="3" t="s">
        <v>3172</v>
      </c>
      <c r="B397" s="4" t="str">
        <f ca="1">IFERROR(__xludf.DUMMYFUNCTION("IFERROR(GOOGLETRANSLATE(A397,""ko"",""en""),)"),"Is the food at this restaurant delicious?")</f>
        <v>Is the food at this restaurant delicious?</v>
      </c>
    </row>
    <row r="398" spans="1:2" ht="18">
      <c r="A398" s="3" t="s">
        <v>3174</v>
      </c>
      <c r="B398" s="4" t="str">
        <f ca="1">IFERROR(__xludf.DUMMYFUNCTION("IFERROR(GOOGLETRANSLATE(A398,""ko"",""en""),)"),"Since there are a lot of customers, it will probably be delicious.")</f>
        <v>Since there are a lot of customers, it will probably be delicious.</v>
      </c>
    </row>
    <row r="399" spans="1:2" ht="18">
      <c r="A399" s="3" t="s">
        <v>3176</v>
      </c>
      <c r="B399" s="4" t="str">
        <f ca="1">IFERROR(__xludf.DUMMYFUNCTION("IFERROR(GOOGLETRANSLATE(A399,""ko"",""en""),)"),"Will the department store be crowded tomorrow?")</f>
        <v>Will the department store be crowded tomorrow?</v>
      </c>
    </row>
    <row r="400" spans="1:2" ht="18">
      <c r="A400" s="3" t="s">
        <v>3178</v>
      </c>
      <c r="B400" s="4" t="str">
        <f ca="1">IFERROR(__xludf.DUMMYFUNCTION("IFERROR(GOOGLETRANSLATE(A400,""ko"",""en""),)"),"It's the weekend, so there will be a lot of people.")</f>
        <v>It's the weekend, so there will be a lot of people.</v>
      </c>
    </row>
    <row r="401" spans="1:2" ht="18">
      <c r="A401" s="3" t="s">
        <v>3180</v>
      </c>
      <c r="B401" s="4" t="str">
        <f ca="1">IFERROR(__xludf.DUMMYFUNCTION("IFERROR(GOOGLETRANSLATE(A401,""ko"",""en""),)"),"Will the Korean language test be easy?")</f>
        <v>Will the Korean language test be easy?</v>
      </c>
    </row>
    <row r="402" spans="1:2" ht="18">
      <c r="A402" s="3" t="s">
        <v>3182</v>
      </c>
      <c r="B402" s="4" t="str">
        <f ca="1">IFERROR(__xludf.DUMMYFUNCTION("IFERROR(GOOGLETRANSLATE(A402,""ko"",""en""),)"),"It won't be difficult since you studied hard.")</f>
        <v>It won't be difficult since you studied hard.</v>
      </c>
    </row>
    <row r="403" spans="1:2" ht="18">
      <c r="A403" s="3" t="s">
        <v>3184</v>
      </c>
      <c r="B403" s="4" t="str">
        <f ca="1">IFERROR(__xludf.DUMMYFUNCTION("IFERROR(GOOGLETRANSLATE(A403,""ko"",""en""),)"),"9. I think it will be too difficult since I haven't studied.")</f>
        <v>9. I think it will be too difficult since I haven't studied.</v>
      </c>
    </row>
    <row r="404" spans="1:2" ht="18">
      <c r="A404" s="3" t="s">
        <v>3185</v>
      </c>
      <c r="B404" s="4" t="str">
        <f ca="1">IFERROR(__xludf.DUMMYFUNCTION("IFERROR(GOOGLETRANSLATE(A404,""ko"",""en""),)"),"Will Mari be able to go hiking this weekend?")</f>
        <v>Will Mari be able to go hiking this weekend?</v>
      </c>
    </row>
    <row r="405" spans="1:2" ht="18">
      <c r="A405" s="3" t="s">
        <v>3187</v>
      </c>
      <c r="B405" s="4" t="str">
        <f ca="1">IFERROR(__xludf.DUMMYFUNCTION("IFERROR(GOOGLETRANSLATE(A405,""ko"",""en""),)"),"No. It's going to rain this weekend, so I won't be able to go hiking.")</f>
        <v>No. It's going to rain this weekend, so I won't be able to go hiking.</v>
      </c>
    </row>
    <row r="406" spans="1:2" ht="18">
      <c r="A406" s="3"/>
      <c r="B406" s="4" t="str">
        <f ca="1">IFERROR(__xludf.DUMMYFUNCTION("IFERROR(GOOGLETRANSLATE(A406,""ko"",""en""),)"),"")</f>
        <v/>
      </c>
    </row>
    <row r="407" spans="1:2" ht="18">
      <c r="A407" s="3" t="s">
        <v>3189</v>
      </c>
      <c r="B407" s="4" t="str">
        <f ca="1">IFERROR(__xludf.DUMMYFUNCTION("IFERROR(GOOGLETRANSLATE(A407,""ko"",""en""),)"),"I have a meeting every morning these days.")</f>
        <v>I have a meeting every morning these days.</v>
      </c>
    </row>
    <row r="408" spans="1:2" ht="18">
      <c r="A408" s="3" t="s">
        <v>3191</v>
      </c>
      <c r="B408" s="4" t="str">
        <f ca="1">IFERROR(__xludf.DUMMYFUNCTION("IFERROR(GOOGLETRANSLATE(A408,""ko"",""en""),)"),"When do you study Korean?")</f>
        <v>When do you study Korean?</v>
      </c>
    </row>
    <row r="409" spans="1:2" ht="18">
      <c r="A409" s="3" t="s">
        <v>3194</v>
      </c>
      <c r="B409" s="4" t="str">
        <f ca="1">IFERROR(__xludf.DUMMYFUNCTION("IFERROR(GOOGLETRANSLATE(A409,""ko"",""en""),)"),"Daily routine")</f>
        <v>Daily routine</v>
      </c>
    </row>
    <row r="410" spans="1:2" ht="18">
      <c r="A410" s="3" t="s">
        <v>1881</v>
      </c>
      <c r="B410" s="4" t="str">
        <f ca="1">IFERROR(__xludf.DUMMYFUNCTION("IFERROR(GOOGLETRANSLATE(A410,""ko"",""en""),)"),"weekdays")</f>
        <v>weekdays</v>
      </c>
    </row>
    <row r="411" spans="1:2" ht="18">
      <c r="A411" s="3" t="s">
        <v>1874</v>
      </c>
      <c r="B411" s="4" t="str">
        <f ca="1">IFERROR(__xludf.DUMMYFUNCTION("IFERROR(GOOGLETRANSLATE(A411,""ko"",""en""),)"),"weekdays")</f>
        <v>weekdays</v>
      </c>
    </row>
    <row r="412" spans="1:2" ht="18">
      <c r="A412" s="3" t="s">
        <v>3198</v>
      </c>
      <c r="B412" s="4" t="str">
        <f ca="1">IFERROR(__xludf.DUMMYFUNCTION("IFERROR(GOOGLETRANSLATE(A412,""ko"",""en""),)"),"Go to work")</f>
        <v>Go to work</v>
      </c>
    </row>
    <row r="413" spans="1:2" ht="18">
      <c r="A413" s="3" t="s">
        <v>3200</v>
      </c>
      <c r="B413" s="4" t="s">
        <v>3201</v>
      </c>
    </row>
    <row r="414" spans="1:2" ht="18">
      <c r="A414" s="3" t="s">
        <v>3202</v>
      </c>
      <c r="B414" s="4" t="str">
        <f ca="1">IFERROR(__xludf.DUMMYFUNCTION("IFERROR(GOOGLETRANSLATE(A414,""ko"",""en""),)"),"to commute to and from work")</f>
        <v>to commute to and from work</v>
      </c>
    </row>
    <row r="415" spans="1:2" ht="18">
      <c r="A415" s="3" t="s">
        <v>3204</v>
      </c>
      <c r="B415" s="4" t="str">
        <f ca="1">IFERROR(__xludf.DUMMYFUNCTION("IFERROR(GOOGLETRANSLATE(A415,""ko"",""en""),)"),"go to school")</f>
        <v>go to school</v>
      </c>
    </row>
    <row r="416" spans="1:2" ht="18">
      <c r="A416" s="3" t="s">
        <v>3207</v>
      </c>
      <c r="B416" s="4" t="str">
        <f ca="1">IFERROR(__xludf.DUMMYFUNCTION("IFERROR(GOOGLETRANSLATE(A416,""ko"",""en""),)"),"to leave school")</f>
        <v>to leave school</v>
      </c>
    </row>
    <row r="417" spans="1:2" ht="18">
      <c r="A417" s="3" t="s">
        <v>3208</v>
      </c>
      <c r="B417" s="4" t="str">
        <f ca="1">IFERROR(__xludf.DUMMYFUNCTION("IFERROR(GOOGLETRANSLATE(A417,""ko"",""en""),)"),"descend the mountain")</f>
        <v>descend the mountain</v>
      </c>
    </row>
    <row r="418" spans="1:2" ht="18">
      <c r="A418" s="3" t="s">
        <v>3210</v>
      </c>
      <c r="B418" s="4" t="s">
        <v>3211</v>
      </c>
    </row>
    <row r="419" spans="1:2" ht="18">
      <c r="A419" s="3" t="s">
        <v>3212</v>
      </c>
      <c r="B419" s="4" t="str">
        <f ca="1">IFERROR(__xludf.DUMMYFUNCTION("IFERROR(GOOGLETRANSLATE(A419,""ko"",""en""),)"),"What time do you start work? It's nine.")</f>
        <v>What time do you start work? It's nine.</v>
      </c>
    </row>
    <row r="420" spans="1:2" ht="18">
      <c r="A420" s="5" t="s">
        <v>3216</v>
      </c>
      <c r="B420" s="4" t="str">
        <f ca="1">IFERROR(__xludf.DUMMYFUNCTION("IFERROR(GOOGLETRANSLATE(A420,""ko"",""en""),)"),"The traffic is congested during students' school commute.")</f>
        <v>The traffic is congested during students' school commute.</v>
      </c>
    </row>
    <row r="421" spans="1:2" ht="18">
      <c r="A421" s="3" t="s">
        <v>3218</v>
      </c>
      <c r="B421" s="4" t="str">
        <f ca="1">IFERROR(__xludf.DUMMYFUNCTION("IFERROR(GOOGLETRANSLATE(A421,""ko"",""en""),)"),"Prepare for the meeting")</f>
        <v>Prepare for the meeting</v>
      </c>
    </row>
    <row r="422" spans="1:2" ht="18">
      <c r="A422" s="3" t="s">
        <v>3220</v>
      </c>
      <c r="B422" s="4" t="str">
        <f ca="1">IFERROR(__xludf.DUMMYFUNCTION("IFERROR(GOOGLETRANSLATE(A422,""ko"",""en""),)"),"It takes me a long time to get ready for work every day.")</f>
        <v>It takes me a long time to get ready for work every day.</v>
      </c>
    </row>
    <row r="423" spans="1:2" ht="18">
      <c r="A423" s="3" t="s">
        <v>3221</v>
      </c>
      <c r="B423" s="4" t="str">
        <f ca="1">IFERROR(__xludf.DUMMYFUNCTION("IFERROR(GOOGLETRANSLATE(A423,""ko"",""en""),)"),"Read the email")</f>
        <v>Read the email</v>
      </c>
    </row>
    <row r="424" spans="1:2" ht="18">
      <c r="A424" s="3" t="s">
        <v>3222</v>
      </c>
      <c r="B424" s="4" t="str">
        <f ca="1">IFERROR(__xludf.DUMMYFUNCTION("IFERROR(GOOGLETRANSLATE(A424,""ko"",""en""),)"),"Write an email")</f>
        <v>Write an email</v>
      </c>
    </row>
    <row r="425" spans="1:2" ht="18">
      <c r="A425" s="3" t="s">
        <v>3223</v>
      </c>
      <c r="B425" s="4" t="str">
        <f ca="1">IFERROR(__xludf.DUMMYFUNCTION("IFERROR(GOOGLETRANSLATE(A425,""ko"",""en""),)"),"Send an email")</f>
        <v>Send an email</v>
      </c>
    </row>
    <row r="426" spans="1:2" ht="18">
      <c r="A426" s="3" t="s">
        <v>3224</v>
      </c>
      <c r="B426" s="4" t="str">
        <f ca="1">IFERROR(__xludf.DUMMYFUNCTION("IFERROR(GOOGLETRANSLATE(A426,""ko"",""en""),)"),"attend class")</f>
        <v>attend class</v>
      </c>
    </row>
    <row r="427" spans="1:2" ht="18">
      <c r="A427" s="3" t="s">
        <v>3225</v>
      </c>
      <c r="B427" s="4" t="str">
        <f ca="1">IFERROR(__xludf.DUMMYFUNCTION("IFERROR(GOOGLETRANSLATE(A427,""ko"",""en""),)"),"Studying for an exam")</f>
        <v>Studying for an exam</v>
      </c>
    </row>
    <row r="428" spans="1:2" ht="18">
      <c r="A428" s="3" t="s">
        <v>3227</v>
      </c>
      <c r="B428" s="4" t="str">
        <f ca="1">IFERROR(__xludf.DUMMYFUNCTION("IFERROR(GOOGLETRANSLATE(A428,""ko"",""en""),)"),"doing club activities")</f>
        <v>doing club activities</v>
      </c>
    </row>
    <row r="429" spans="1:2" ht="18">
      <c r="A429" s="3" t="s">
        <v>3228</v>
      </c>
      <c r="B429" s="4" t="str">
        <f ca="1">IFERROR(__xludf.DUMMYFUNCTION("IFERROR(GOOGLETRANSLATE(A429,""ko"",""en""),)"),"I'm working a part-time job")</f>
        <v>I'm working a part-time job</v>
      </c>
    </row>
    <row r="430" spans="1:2" ht="18">
      <c r="A430" s="3" t="s">
        <v>3231</v>
      </c>
      <c r="B430" s="4" t="str">
        <f ca="1">IFERROR(__xludf.DUMMYFUNCTION("IFERROR(GOOGLETRANSLATE(A430,""ko"",""en""),)"),"I attend the meeting.")</f>
        <v>I attend the meeting.</v>
      </c>
    </row>
    <row r="431" spans="1:2" ht="18">
      <c r="A431" s="5" t="s">
        <v>3233</v>
      </c>
      <c r="B431" s="4" t="str">
        <f ca="1">IFERROR(__xludf.DUMMYFUNCTION("IFERROR(GOOGLETRANSLATE(A431,""ko"",""en""),)"),"Do you have a special daily routine?")</f>
        <v>Do you have a special daily routine?</v>
      </c>
    </row>
    <row r="432" spans="1:2" ht="18">
      <c r="A432" s="3" t="s">
        <v>3234</v>
      </c>
      <c r="B432" s="4" t="str">
        <f ca="1">IFERROR(__xludf.DUMMYFUNCTION("IFERROR(GOOGLETRANSLATE(A432,""ko"",""en""),)"),"I wake up at 5 AM.")</f>
        <v>I wake up at 5 AM.</v>
      </c>
    </row>
    <row r="433" spans="1:2" ht="18">
      <c r="A433" s="3" t="s">
        <v>3236</v>
      </c>
      <c r="B433" s="4" t="str">
        <f ca="1">IFERROR(__xludf.DUMMYFUNCTION("IFERROR(GOOGLETRANSLATE(A433,""ko"",""en""),)"),"I'm a morning person.")</f>
        <v>I'm a morning person.</v>
      </c>
    </row>
    <row r="434" spans="1:2" ht="18">
      <c r="A434" s="3" t="s">
        <v>3238</v>
      </c>
      <c r="B434" s="4" t="str">
        <f ca="1">IFERROR(__xludf.DUMMYFUNCTION("IFERROR(GOOGLETRANSLATE(A434,""ko"",""en""),)"),"What do you do when you wake up in the morning, Suzy?")</f>
        <v>What do you do when you wake up in the morning, Suzy?</v>
      </c>
    </row>
    <row r="435" spans="1:2" ht="18">
      <c r="A435" s="3" t="s">
        <v>3239</v>
      </c>
      <c r="B435" s="4" t="str">
        <f ca="1">IFERROR(__xludf.DUMMYFUNCTION("IFERROR(GOOGLETRANSLATE(A435,""ko"",""en""),)"),"I take a shower and eat breakfast.")</f>
        <v>I take a shower and eat breakfast.</v>
      </c>
    </row>
    <row r="436" spans="1:2" ht="18">
      <c r="A436" s="3" t="s">
        <v>3241</v>
      </c>
      <c r="B436" s="4" t="str">
        <f ca="1">IFERROR(__xludf.DUMMYFUNCTION("IFERROR(GOOGLETRANSLATE(A436,""ko"",""en""),)"),"I have breakfast. I make coffee.")</f>
        <v>I have breakfast. I make coffee.</v>
      </c>
    </row>
    <row r="437" spans="1:2" ht="18">
      <c r="A437" s="3" t="s">
        <v>3243</v>
      </c>
      <c r="B437" s="4" t="str">
        <f ca="1">IFERROR(__xludf.DUMMYFUNCTION("IFERROR(GOOGLETRANSLATE(A437,""ko"",""en""),)"),"I feed the dog and drink coffee.")</f>
        <v>I feed the dog and drink coffee.</v>
      </c>
    </row>
    <row r="438" spans="1:2" ht="18">
      <c r="A438" s="3" t="s">
        <v>3244</v>
      </c>
      <c r="B438" s="4" t="str">
        <f ca="1">IFERROR(__xludf.DUMMYFUNCTION("IFERROR(GOOGLETRANSLATE(A438,""ko"",""en""),)"),"Pack a lunch.")</f>
        <v>Pack a lunch.</v>
      </c>
    </row>
    <row r="439" spans="1:2" ht="18">
      <c r="A439" s="3" t="s">
        <v>3246</v>
      </c>
      <c r="B439" s="4" t="str">
        <f ca="1">IFERROR(__xludf.DUMMYFUNCTION("IFERROR(GOOGLETRANSLATE(A439,""ko"",""en""),)"),"Pack your bags.")</f>
        <v>Pack your bags.</v>
      </c>
    </row>
    <row r="440" spans="1:2" ht="18">
      <c r="A440" s="3" t="s">
        <v>3248</v>
      </c>
      <c r="B440" s="4" t="str">
        <f ca="1">IFERROR(__xludf.DUMMYFUNCTION("IFERROR(GOOGLETRANSLATE(A440,""ko"",""en""),)"),"I'm going to Korea tomorrow. So I'm packing my bags now.")</f>
        <v>I'm going to Korea tomorrow. So I'm packing my bags now.</v>
      </c>
    </row>
    <row r="441" spans="1:2" ht="18">
      <c r="A441" s="3" t="s">
        <v>3249</v>
      </c>
      <c r="B441" s="4" t="str">
        <f ca="1">IFERROR(__xludf.DUMMYFUNCTION("IFERROR(GOOGLETRANSLATE(A441,""ko"",""en""),)"),"What do you do first thing when you get to work?")</f>
        <v>What do you do first thing when you get to work?</v>
      </c>
    </row>
    <row r="442" spans="1:2" ht="18">
      <c r="A442" s="3" t="s">
        <v>3251</v>
      </c>
      <c r="B442" s="4" t="str">
        <f ca="1">IFERROR(__xludf.DUMMYFUNCTION("IFERROR(GOOGLETRANSLATE(A442,""ko"",""en""),)"),"I read the email.")</f>
        <v>I read the email.</v>
      </c>
    </row>
    <row r="443" spans="1:2" ht="18">
      <c r="A443" s="3" t="s">
        <v>3253</v>
      </c>
      <c r="B443" s="4" t="str">
        <f ca="1">IFERROR(__xludf.DUMMYFUNCTION("IFERROR(GOOGLETRANSLATE(A443,""ko"",""en""),)"),"What do you do at the Sejong Institute?")</f>
        <v>What do you do at the Sejong Institute?</v>
      </c>
    </row>
    <row r="444" spans="1:2" ht="18">
      <c r="A444" s="3" t="s">
        <v>3255</v>
      </c>
      <c r="B444" s="4" t="str">
        <f ca="1">IFERROR(__xludf.DUMMYFUNCTION("IFERROR(GOOGLETRANSLATE(A444,""ko"",""en""),)"),"I take classes.")</f>
        <v>I take classes.</v>
      </c>
    </row>
    <row r="445" spans="1:2" ht="18">
      <c r="A445" s="3" t="s">
        <v>3256</v>
      </c>
      <c r="B445" s="4" t="str">
        <f ca="1">IFERROR(__xludf.DUMMYFUNCTION("IFERROR(GOOGLETRANSLATE(A445,""ko"",""en""),)"),"What do you do after class?")</f>
        <v>What do you do after class?</v>
      </c>
    </row>
    <row r="446" spans="1:2" ht="18">
      <c r="A446" s="3" t="s">
        <v>3257</v>
      </c>
      <c r="B446" s="4" t="str">
        <f ca="1">IFERROR(__xludf.DUMMYFUNCTION("IFERROR(GOOGLETRANSLATE(A446,""ko"",""en""),)"),"I work a part-time job.")</f>
        <v>I work a part-time job.</v>
      </c>
    </row>
    <row r="447" spans="1:2" ht="18">
      <c r="A447" s="3" t="s">
        <v>3260</v>
      </c>
      <c r="B447" s="4" t="str">
        <f ca="1">IFERROR(__xludf.DUMMYFUNCTION("IFERROR(GOOGLETRANSLATE(A447,""ko"",""en""),)"),"I have an exam on Friday. Shall we study together?")</f>
        <v>I have an exam on Friday. Shall we study together?</v>
      </c>
    </row>
    <row r="448" spans="1:2" ht="18">
      <c r="A448" s="3" t="s">
        <v>3261</v>
      </c>
      <c r="B448" s="4" t="str">
        <f ca="1">IFERROR(__xludf.DUMMYFUNCTION("IFERROR(GOOGLETRANSLATE(A448,""ko"",""en""),)"),"Okay. Then, let's meet at the library tomorrow.")</f>
        <v>Okay. Then, let's meet at the library tomorrow.</v>
      </c>
    </row>
    <row r="449" spans="1:2" ht="18">
      <c r="A449" s="3" t="s">
        <v>3263</v>
      </c>
      <c r="B449" s="4" t="str">
        <f ca="1">IFERROR(__xludf.DUMMYFUNCTION("IFERROR(GOOGLETRANSLATE(A449,""ko"",""en""),)"),"Chat with colleagues")</f>
        <v>Chat with colleagues</v>
      </c>
    </row>
    <row r="450" spans="1:2" ht="18">
      <c r="A450" s="3" t="s">
        <v>3266</v>
      </c>
      <c r="B450" s="4" t="str">
        <f ca="1">IFERROR(__xludf.DUMMYFUNCTION("IFERROR(GOOGLETRANSLATE(A450,""ko"",""en""),)"),"chat")</f>
        <v>chat</v>
      </c>
    </row>
    <row r="451" spans="1:2" ht="18">
      <c r="A451" s="3" t="s">
        <v>3268</v>
      </c>
      <c r="B451" s="4" t="str">
        <f ca="1">IFERROR(__xludf.DUMMYFUNCTION("IFERROR(GOOGLETRANSLATE(A451,""ko"",""en""),)"),"People I work with")</f>
        <v>People I work with</v>
      </c>
    </row>
    <row r="452" spans="1:2" ht="18">
      <c r="A452" s="3" t="s">
        <v>3269</v>
      </c>
      <c r="B452" s="4" t="str">
        <f ca="1">IFERROR(__xludf.DUMMYFUNCTION("IFERROR(GOOGLETRANSLATE(A452,""ko"",""en""),)"),"I drink juice every morning.")</f>
        <v>I drink juice every morning.</v>
      </c>
    </row>
    <row r="453" spans="1:2" ht="18">
      <c r="A453" s="3" t="s">
        <v>3272</v>
      </c>
      <c r="B453" s="4" t="str">
        <f ca="1">IFERROR(__xludf.DUMMYFUNCTION("IFERROR(GOOGLETRANSLATE(A453,""ko"",""en""),)"),"I drink juice every morning.")</f>
        <v>I drink juice every morning.</v>
      </c>
    </row>
    <row r="454" spans="1:2" ht="18">
      <c r="A454" s="3" t="s">
        <v>3274</v>
      </c>
      <c r="B454" s="4" t="str">
        <f ca="1">IFERROR(__xludf.DUMMYFUNCTION("IFERROR(GOOGLETRANSLATE(A454,""ko"",""en""),)"),"Every day")</f>
        <v>Every day</v>
      </c>
    </row>
    <row r="455" spans="1:2" ht="18">
      <c r="A455" s="3" t="s">
        <v>3275</v>
      </c>
      <c r="B455" s="4" t="str">
        <f ca="1">IFERROR(__xludf.DUMMYFUNCTION("IFERROR(GOOGLETRANSLATE(A455,""ko"",""en""),)"),"Every week")</f>
        <v>Every week</v>
      </c>
    </row>
    <row r="456" spans="1:2" ht="18">
      <c r="A456" s="3" t="s">
        <v>3278</v>
      </c>
      <c r="B456" s="4" t="str">
        <f ca="1">IFERROR(__xludf.DUMMYFUNCTION("IFERROR(GOOGLETRANSLATE(A456,""ko"",""en""),)"),"every month")</f>
        <v>every month</v>
      </c>
    </row>
    <row r="457" spans="1:2" ht="18">
      <c r="A457" s="3" t="s">
        <v>1268</v>
      </c>
      <c r="B457" s="4" t="str">
        <f ca="1">IFERROR(__xludf.DUMMYFUNCTION("IFERROR(GOOGLETRANSLATE(A457,""ko"",""en""),)"),"Every month")</f>
        <v>Every month</v>
      </c>
    </row>
    <row r="458" spans="1:2" ht="18">
      <c r="A458" s="3" t="s">
        <v>3279</v>
      </c>
      <c r="B458" s="4" t="str">
        <f ca="1">IFERROR(__xludf.DUMMYFUNCTION("IFERROR(GOOGLETRANSLATE(A458,""ko"",""en""),)"),"Every month")</f>
        <v>Every month</v>
      </c>
    </row>
    <row r="459" spans="1:2" ht="18">
      <c r="A459" s="3" t="s">
        <v>3281</v>
      </c>
      <c r="B459" s="4" t="s">
        <v>3284</v>
      </c>
    </row>
    <row r="460" spans="1:2" ht="18">
      <c r="A460" s="3" t="s">
        <v>3285</v>
      </c>
      <c r="B460" s="4" t="str">
        <f ca="1">IFERROR(__xludf.DUMMYFUNCTION("IFERROR(GOOGLETRANSLATE(A460,""ko"",""en""),)"),"Every morning")</f>
        <v>Every morning</v>
      </c>
    </row>
    <row r="461" spans="1:2" ht="18">
      <c r="A461" s="3" t="s">
        <v>3286</v>
      </c>
      <c r="B461" s="4" t="str">
        <f ca="1">IFERROR(__xludf.DUMMYFUNCTION("IFERROR(GOOGLETRANSLATE(A461,""ko"",""en""),)"),"Every weekend")</f>
        <v>Every weekend</v>
      </c>
    </row>
    <row r="462" spans="1:2" ht="18">
      <c r="A462" s="3" t="s">
        <v>3289</v>
      </c>
      <c r="B462" s="4" t="str">
        <f ca="1">IFERROR(__xludf.DUMMYFUNCTION("IFERROR(GOOGLETRANSLATE(A462,""ko"",""en""),)"),"Every vacation")</f>
        <v>Every vacation</v>
      </c>
    </row>
    <row r="463" spans="1:2" ht="18">
      <c r="A463" s="3" t="s">
        <v>3291</v>
      </c>
      <c r="B463" s="4" t="str">
        <f ca="1">IFERROR(__xludf.DUMMYFUNCTION("IFERROR(GOOGLETRANSLATE(A463,""ko"",""en""),)"),"Every evening")</f>
        <v>Every evening</v>
      </c>
    </row>
    <row r="464" spans="1:2" ht="18">
      <c r="A464" s="3" t="s">
        <v>3293</v>
      </c>
      <c r="B464" s="4" t="str">
        <f ca="1">IFERROR(__xludf.DUMMYFUNCTION("IFERROR(GOOGLETRANSLATE(A464,""ko"",""en""),)"),"Every afternoon")</f>
        <v>Every afternoon</v>
      </c>
    </row>
    <row r="465" spans="1:2" ht="18">
      <c r="A465" s="3" t="s">
        <v>3295</v>
      </c>
      <c r="B465" s="4" t="str">
        <f ca="1">IFERROR(__xludf.DUMMYFUNCTION("IFERROR(GOOGLETRANSLATE(A465,""ko"",""en""),)"),"Call your parents")</f>
        <v>Call your parents</v>
      </c>
    </row>
    <row r="466" spans="1:2" ht="18">
      <c r="A466" s="3" t="s">
        <v>3297</v>
      </c>
      <c r="B466" s="4" t="str">
        <f ca="1">IFERROR(__xludf.DUMMYFUNCTION("IFERROR(GOOGLETRANSLATE(A466,""ko"",""en""),)"),"I read a book before going to bed.")</f>
        <v>I read a book before going to bed.</v>
      </c>
    </row>
    <row r="467" spans="1:2" ht="18">
      <c r="A467" s="3" t="s">
        <v>3300</v>
      </c>
      <c r="B467" s="4" t="str">
        <f ca="1">IFERROR(__xludf.DUMMYFUNCTION("IFERROR(GOOGLETRANSLATE(A467,""ko"",""en""),)"),"I'm taking a nap.")</f>
        <v>I'm taking a nap.</v>
      </c>
    </row>
    <row r="468" spans="1:2" ht="18">
      <c r="A468" s="3" t="s">
        <v>3301</v>
      </c>
      <c r="B468" s="4" t="str">
        <f ca="1">IFERROR(__xludf.DUMMYFUNCTION("IFERROR(GOOGLETRANSLATE(A468,""ko"",""en""),)"),"I want to take a nap every afternoon.")</f>
        <v>I want to take a nap every afternoon.</v>
      </c>
    </row>
    <row r="469" spans="1:2" ht="18">
      <c r="A469" s="3" t="s">
        <v>3303</v>
      </c>
      <c r="B469" s="4" t="str">
        <f ca="1">IFERROR(__xludf.DUMMYFUNCTION("IFERROR(GOOGLETRANSLATE(A469,""ko"",""en""),)"),"I exercise every Thursday.")</f>
        <v>I exercise every Thursday.</v>
      </c>
    </row>
    <row r="470" spans="1:2" ht="18">
      <c r="A470" s="3" t="s">
        <v>3304</v>
      </c>
      <c r="B470" s="4" t="str">
        <f ca="1">IFERROR(__xludf.DUMMYFUNCTION("IFERROR(GOOGLETRANSLATE(A470,""ko"",""en""),)"),"I go hiking every Saturday.")</f>
        <v>I go hiking every Saturday.</v>
      </c>
    </row>
    <row r="471" spans="1:2" ht="18">
      <c r="A471" s="3" t="s">
        <v>3307</v>
      </c>
      <c r="B471" s="4" t="str">
        <f ca="1">IFERROR(__xludf.DUMMYFUNCTION("IFERROR(GOOGLETRANSLATE(A471,""ko"",""en""),)"),"I go on dates every Sunday.")</f>
        <v>I go on dates every Sunday.</v>
      </c>
    </row>
    <row r="472" spans="1:2" ht="18">
      <c r="A472" s="3" t="s">
        <v>3308</v>
      </c>
      <c r="B472" s="4" t="str">
        <f ca="1">IFERROR(__xludf.DUMMYFUNCTION("IFERROR(GOOGLETRANSLATE(A472,""ko"",""en""),)"),"I take classes every Monday and Wednesday.")</f>
        <v>I take classes every Monday and Wednesday.</v>
      </c>
    </row>
    <row r="473" spans="1:2" ht="18">
      <c r="A473" s="3" t="s">
        <v>3309</v>
      </c>
      <c r="B473" s="4" t="str">
        <f ca="1">IFERROR(__xludf.DUMMYFUNCTION("IFERROR(GOOGLETRANSLATE(A473,""ko"",""en""),)"),"I go to the Sejong Institute every Wednesday afternoon.")</f>
        <v>I go to the Sejong Institute every Wednesday afternoon.</v>
      </c>
    </row>
    <row r="474" spans="1:2" ht="18">
      <c r="A474" s="3" t="s">
        <v>3312</v>
      </c>
      <c r="B474" s="4" t="str">
        <f ca="1">IFERROR(__xludf.DUMMYFUNCTION("IFERROR(GOOGLETRANSLATE(A474,""ko"",""en""),)"),"What do you do every morning?")</f>
        <v>What do you do every morning?</v>
      </c>
    </row>
    <row r="475" spans="1:2" ht="18">
      <c r="A475" s="3" t="s">
        <v>190</v>
      </c>
      <c r="B475" s="4" t="str">
        <f ca="1">IFERROR(__xludf.DUMMYFUNCTION("IFERROR(GOOGLETRANSLATE(A475,""ko"",""en""),)"),"I drink coffee.")</f>
        <v>I drink coffee.</v>
      </c>
    </row>
    <row r="476" spans="1:2" ht="18">
      <c r="A476" s="3" t="s">
        <v>3314</v>
      </c>
      <c r="B476" s="4" t="str">
        <f ca="1">IFERROR(__xludf.DUMMYFUNCTION("IFERROR(GOOGLETRANSLATE(A476,""ko"",""en""),)"),"Doing the assignment")</f>
        <v>Doing the assignment</v>
      </c>
    </row>
    <row r="477" spans="1:2" ht="18">
      <c r="A477" s="3" t="s">
        <v>3266</v>
      </c>
      <c r="B477" s="4" t="str">
        <f ca="1">IFERROR(__xludf.DUMMYFUNCTION("IFERROR(GOOGLETRANSLATE(A477,""ko"",""en""),)"),"chat")</f>
        <v>chat</v>
      </c>
    </row>
    <row r="478" spans="1:2" ht="18">
      <c r="A478" s="3" t="s">
        <v>3315</v>
      </c>
      <c r="B478" s="4" t="str">
        <f ca="1">IFERROR(__xludf.DUMMYFUNCTION("IFERROR(GOOGLETRANSLATE(A478,""ko"",""en""),)"),"otter")</f>
        <v>otter</v>
      </c>
    </row>
    <row r="479" spans="1:2" ht="18">
      <c r="A479" s="3" t="s">
        <v>3318</v>
      </c>
      <c r="B479" s="4" t="str">
        <f ca="1">IFERROR(__xludf.DUMMYFUNCTION("IFERROR(GOOGLETRANSLATE(A479,""ko"",""en""),)"),"I eat fruit every morning.")</f>
        <v>I eat fruit every morning.</v>
      </c>
    </row>
    <row r="480" spans="1:2" ht="18">
      <c r="A480" s="3" t="s">
        <v>3320</v>
      </c>
      <c r="B480" s="4" t="str">
        <f ca="1">IFERROR(__xludf.DUMMYFUNCTION("IFERROR(GOOGLETRANSLATE(A480,""ko"",""en""),)"),"I'm not a healthy person.")</f>
        <v>I'm not a healthy person.</v>
      </c>
    </row>
    <row r="481" spans="1:2" ht="18">
      <c r="A481" s="3" t="s">
        <v>3321</v>
      </c>
      <c r="B481" s="4" t="str">
        <f ca="1">IFERROR(__xludf.DUMMYFUNCTION("IFERROR(GOOGLETRANSLATE(A481,""ko"",""en""),)"),"Egg rice")</f>
        <v>Egg rice</v>
      </c>
    </row>
    <row r="482" spans="1:2" ht="18">
      <c r="A482" s="3" t="s">
        <v>3324</v>
      </c>
      <c r="B482" s="4" t="str">
        <f ca="1">IFERROR(__xludf.DUMMYFUNCTION("IFERROR(GOOGLETRANSLATE(A482,""ko"",""en""),)"),"I go to my hometown every weekend.")</f>
        <v>I go to my hometown every weekend.</v>
      </c>
    </row>
    <row r="483" spans="1:2" ht="18">
      <c r="A483" s="3" t="s">
        <v>3327</v>
      </c>
      <c r="B483" s="4" t="str">
        <f ca="1">IFERROR(__xludf.DUMMYFUNCTION("IFERROR(GOOGLETRANSLATE(A483,""ko"",""en""),)"),"I live separately from my parents.")</f>
        <v>I live separately from my parents.</v>
      </c>
    </row>
    <row r="484" spans="1:2" ht="18">
      <c r="A484" s="3" t="s">
        <v>3329</v>
      </c>
      <c r="B484" s="4" t="str">
        <f ca="1">IFERROR(__xludf.DUMMYFUNCTION("IFERROR(GOOGLETRANSLATE(A484,""ko"",""en""),)"),"I clean the house every Sunday.")</f>
        <v>I clean the house every Sunday.</v>
      </c>
    </row>
    <row r="485" spans="1:2" ht="18">
      <c r="A485" s="3" t="s">
        <v>3330</v>
      </c>
      <c r="B485" s="4" t="str">
        <f ca="1">IFERROR(__xludf.DUMMYFUNCTION("IFERROR(GOOGLETRANSLATE(A485,""ko"",""en""),)"),"I go on a trip every vacation.")</f>
        <v>I go on a trip every vacation.</v>
      </c>
    </row>
    <row r="486" spans="1:2" ht="18">
      <c r="A486" s="3" t="s">
        <v>3333</v>
      </c>
      <c r="B486" s="4" t="str">
        <f ca="1">IFERROR(__xludf.DUMMYFUNCTION("IFERROR(GOOGLETRANSLATE(A486,""ko"",""en""),)"),"I exercise every evening.")</f>
        <v>I exercise every evening.</v>
      </c>
    </row>
    <row r="487" spans="1:2" ht="18">
      <c r="A487" s="5" t="s">
        <v>3335</v>
      </c>
      <c r="B487" s="4" t="str">
        <f ca="1">IFERROR(__xludf.DUMMYFUNCTION("IFERROR(GOOGLETRANSLATE(A487,""ko"",""en""),)"),"I do the dishes.")</f>
        <v>I do the dishes.</v>
      </c>
    </row>
    <row r="488" spans="1:2" ht="18">
      <c r="A488" s="3" t="s">
        <v>3338</v>
      </c>
      <c r="B488" s="4" t="str">
        <f ca="1">IFERROR(__xludf.DUMMYFUNCTION("IFERROR(GOOGLETRANSLATE(A488,""ko"",""en""),)"),"I do the laundry.")</f>
        <v>I do the laundry.</v>
      </c>
    </row>
    <row r="489" spans="1:2" ht="18">
      <c r="A489" s="3" t="s">
        <v>3340</v>
      </c>
      <c r="B489" s="4" t="str">
        <f ca="1">IFERROR(__xludf.DUMMYFUNCTION("IFERROR(GOOGLETRANSLATE(A489,""ko"",""en""),)"),"I brush my teeth every morning.")</f>
        <v>I brush my teeth every morning.</v>
      </c>
    </row>
    <row r="490" spans="1:2" ht="18">
      <c r="A490" s="3" t="s">
        <v>3342</v>
      </c>
      <c r="B490" s="4" t="str">
        <f ca="1">IFERROR(__xludf.DUMMYFUNCTION("IFERROR(GOOGLETRANSLATE(A490,""ko"",""en""),)"),"Wash the car.")</f>
        <v>Wash the car.</v>
      </c>
    </row>
    <row r="491" spans="1:2" ht="18">
      <c r="A491" s="3" t="s">
        <v>3345</v>
      </c>
      <c r="B491" s="4" t="str">
        <f ca="1">IFERROR(__xludf.DUMMYFUNCTION("IFERROR(GOOGLETRANSLATE(A491,""ko"",""en""),)"),"When do you go to the Sejong Institute?")</f>
        <v>When do you go to the Sejong Institute?</v>
      </c>
    </row>
    <row r="492" spans="1:2" ht="18">
      <c r="A492" s="3" t="s">
        <v>3347</v>
      </c>
      <c r="B492" s="4" t="str">
        <f ca="1">IFERROR(__xludf.DUMMYFUNCTION("IFERROR(GOOGLETRANSLATE(A492,""ko"",""en""),)"),"I go to the Sejong Institute every Wednesday.")</f>
        <v>I go to the Sejong Institute every Wednesday.</v>
      </c>
    </row>
    <row r="493" spans="1:2" ht="18">
      <c r="A493" s="3" t="s">
        <v>3349</v>
      </c>
      <c r="B493" s="4" t="str">
        <f ca="1">IFERROR(__xludf.DUMMYFUNCTION("IFERROR(GOOGLETRANSLATE(A493,""ko"",""en""),)"),"When do you clean?")</f>
        <v>When do you clean?</v>
      </c>
    </row>
    <row r="494" spans="1:2" ht="18">
      <c r="A494" s="3" t="s">
        <v>3352</v>
      </c>
      <c r="B494" s="4" t="str">
        <f ca="1">IFERROR(__xludf.DUMMYFUNCTION("IFERROR(GOOGLETRANSLATE(A494,""ko"",""en""),)"),"I clean every Friday.")</f>
        <v>I clean every Friday.</v>
      </c>
    </row>
    <row r="495" spans="1:2" ht="18">
      <c r="A495" s="3" t="s">
        <v>3353</v>
      </c>
      <c r="B495" s="4" t="str">
        <f ca="1">IFERROR(__xludf.DUMMYFUNCTION("IFERROR(GOOGLETRANSLATE(A495,""ko"",""en""),)"),"When do you go hiking?")</f>
        <v>When do you go hiking?</v>
      </c>
    </row>
    <row r="496" spans="1:2" ht="18">
      <c r="A496" s="3" t="s">
        <v>3304</v>
      </c>
      <c r="B496" s="4" t="str">
        <f ca="1">IFERROR(__xludf.DUMMYFUNCTION("IFERROR(GOOGLETRANSLATE(A496,""ko"",""en""),)"),"I go hiking every Saturday.")</f>
        <v>I go hiking every Saturday.</v>
      </c>
    </row>
    <row r="497" spans="1:2" ht="18">
      <c r="A497" s="3" t="s">
        <v>1061</v>
      </c>
      <c r="B497" s="4" t="str">
        <f ca="1">IFERROR(__xludf.DUMMYFUNCTION("IFERROR(GOOGLETRANSLATE(A497,""ko"",""en""),)"),"When do you exercise?")</f>
        <v>When do you exercise?</v>
      </c>
    </row>
    <row r="498" spans="1:2" ht="18">
      <c r="A498" s="3" t="s">
        <v>3357</v>
      </c>
      <c r="B498" s="4" t="str">
        <f ca="1">IFERROR(__xludf.DUMMYFUNCTION("IFERROR(GOOGLETRANSLATE(A498,""ko"",""en""),)"),"I exercise every Thursday.")</f>
        <v>I exercise every Thursday.</v>
      </c>
    </row>
    <row r="499" spans="1:2" ht="18">
      <c r="A499" s="3" t="s">
        <v>3359</v>
      </c>
      <c r="B499" s="4" t="str">
        <f ca="1">IFERROR(__xludf.DUMMYFUNCTION("IFERROR(GOOGLETRANSLATE(A499,""ko"",""en""),)"),"When do you go on a date?")</f>
        <v>When do you go on a date?</v>
      </c>
    </row>
    <row r="500" spans="1:2" ht="18">
      <c r="A500" s="3" t="s">
        <v>3362</v>
      </c>
      <c r="B500" s="4" t="str">
        <f ca="1">IFERROR(__xludf.DUMMYFUNCTION("IFERROR(GOOGLETRANSLATE(A500,""ko"",""en""),)"),"I go on dates every Sunday.")</f>
        <v>I go on dates every Sunday.</v>
      </c>
    </row>
    <row r="501" spans="1:2" ht="18">
      <c r="A501" s="3" t="s">
        <v>3363</v>
      </c>
      <c r="B501" s="4" t="str">
        <f ca="1">IFERROR(__xludf.DUMMYFUNCTION("IFERROR(GOOGLETRANSLATE(A501,""ko"",""en""),)"),"noon")</f>
        <v>noon</v>
      </c>
    </row>
    <row r="502" spans="1:2" ht="18">
      <c r="A502" s="3" t="s">
        <v>3366</v>
      </c>
      <c r="B502" s="4" t="str">
        <f ca="1">IFERROR(__xludf.DUMMYFUNCTION("IFERROR(GOOGLETRANSLATE(A502,""ko"",""en""),)"),"midnight")</f>
        <v>midnight</v>
      </c>
    </row>
    <row r="503" spans="1:2" ht="18">
      <c r="A503" s="3"/>
      <c r="B503" s="4" t="str">
        <f ca="1">IFERROR(__xludf.DUMMYFUNCTION("IFERROR(GOOGLETRANSLATE(A503,""ko"",""en""),)"),"")</f>
        <v/>
      </c>
    </row>
    <row r="504" spans="1:2" ht="18">
      <c r="A504" s="3" t="s">
        <v>3369</v>
      </c>
      <c r="B504" s="4" t="str">
        <f ca="1">IFERROR(__xludf.DUMMYFUNCTION("IFERROR(GOOGLETRANSLATE(A504,""ko"",""en""),)"),"School commuting time")</f>
        <v>School commuting time</v>
      </c>
    </row>
    <row r="505" spans="1:2" ht="18">
      <c r="A505" s="3" t="s">
        <v>3370</v>
      </c>
      <c r="B505" s="4" t="str">
        <f ca="1">IFERROR(__xludf.DUMMYFUNCTION("IFERROR(GOOGLETRANSLATE(A505,""ko"",""en""),)"),"Commuting time")</f>
        <v>Commuting time</v>
      </c>
    </row>
    <row r="506" spans="1:2" ht="18">
      <c r="A506" s="3" t="s">
        <v>3371</v>
      </c>
      <c r="B506" s="4" t="str">
        <f ca="1">IFERROR(__xludf.DUMMYFUNCTION("IFERROR(GOOGLETRANSLATE(A506,""ko"",""en""),)"),"The traffic is congested during rush hour.")</f>
        <v>The traffic is congested during rush hour.</v>
      </c>
    </row>
    <row r="507" spans="1:2" ht="18">
      <c r="A507" s="3" t="s">
        <v>3375</v>
      </c>
      <c r="B507" s="4" t="str">
        <f ca="1">IFERROR(__xludf.DUMMYFUNCTION("IFERROR(GOOGLETRANSLATE(A507,""ko"",""en""),)"),"When do you listen to music?")</f>
        <v>When do you listen to music?</v>
      </c>
    </row>
    <row r="508" spans="1:2" ht="18">
      <c r="A508" s="3" t="s">
        <v>3376</v>
      </c>
      <c r="B508" s="4" t="str">
        <f ca="1">IFERROR(__xludf.DUMMYFUNCTION("IFERROR(GOOGLETRANSLATE(A508,""ko"",""en""),)"),"I usually listen to music when I commute to and from work.")</f>
        <v>I usually listen to music when I commute to and from work.</v>
      </c>
    </row>
    <row r="509" spans="1:2" ht="18">
      <c r="A509" s="3" t="s">
        <v>3377</v>
      </c>
      <c r="B509" s="4" t="str">
        <f ca="1">IFERROR(__xludf.DUMMYFUNCTION("IFERROR(GOOGLETRANSLATE(A509,""ko"",""en""),)"),"I'm having dinner. I'm watching a Korean drama.")</f>
        <v>I'm having dinner. I'm watching a Korean drama.</v>
      </c>
    </row>
    <row r="510" spans="1:2" ht="18">
      <c r="A510" s="3" t="s">
        <v>3381</v>
      </c>
      <c r="B510" s="4" t="str">
        <f ca="1">IFERROR(__xludf.DUMMYFUNCTION("IFERROR(GOOGLETRANSLATE(A510,""ko"",""en""),)"),"I watch Korean dramas when I eat dinner.")</f>
        <v>I watch Korean dramas when I eat dinner.</v>
      </c>
    </row>
    <row r="511" spans="1:2" ht="18">
      <c r="A511" s="3" t="s">
        <v>3382</v>
      </c>
      <c r="B511" s="4" t="str">
        <f ca="1">IFERROR(__xludf.DUMMYFUNCTION("IFERROR(GOOGLETRANSLATE(A511,""ko"",""en""),)"),"Do you like taking walks? Do you go often?")</f>
        <v>Do you like taking walks? Do you go often?</v>
      </c>
    </row>
    <row r="512" spans="1:2" ht="18">
      <c r="A512" s="3" t="s">
        <v>3389</v>
      </c>
      <c r="B512" s="4" t="str">
        <f ca="1">IFERROR(__xludf.DUMMYFUNCTION("IFERROR(GOOGLETRANSLATE(A512,""ko"",""en""),)"),"When do you usually go for walks?")</f>
        <v>When do you usually go for walks?</v>
      </c>
    </row>
    <row r="513" spans="1:2" ht="18">
      <c r="A513" s="3" t="s">
        <v>3390</v>
      </c>
      <c r="B513" s="4" t="str">
        <f ca="1">IFERROR(__xludf.DUMMYFUNCTION("IFERROR(GOOGLETRANSLATE(A513,""ko"",""en""),)"),"I go for a walk when the weather is nice.")</f>
        <v>I go for a walk when the weather is nice.</v>
      </c>
    </row>
    <row r="514" spans="1:2" ht="18">
      <c r="A514" s="3" t="s">
        <v>3392</v>
      </c>
      <c r="B514" s="4" t="str">
        <f ca="1">IFERROR(__xludf.DUMMYFUNCTION("IFERROR(GOOGLETRANSLATE(A514,""ko"",""en""),)"),"Commute to and from work.")</f>
        <v>Commute to and from work.</v>
      </c>
    </row>
    <row r="515" spans="1:2" ht="18">
      <c r="A515" s="3" t="s">
        <v>3393</v>
      </c>
      <c r="B515" s="4" t="str">
        <f ca="1">IFERROR(__xludf.DUMMYFUNCTION("IFERROR(GOOGLETRANSLATE(A515,""ko"",""en""),)"),"I usually listen to music when I go to and from school.")</f>
        <v>I usually listen to music when I go to and from school.</v>
      </c>
    </row>
    <row r="516" spans="1:2" ht="18">
      <c r="A516" s="3" t="s">
        <v>3395</v>
      </c>
      <c r="B516" s="4" t="str">
        <f ca="1">IFERROR(__xludf.DUMMYFUNCTION("IFERROR(GOOGLETRANSLATE(A516,""ko"",""en""),)"),"I listen to music when I go to school.")</f>
        <v>I listen to music when I go to school.</v>
      </c>
    </row>
    <row r="517" spans="1:2" ht="18">
      <c r="A517" s="3" t="s">
        <v>3397</v>
      </c>
      <c r="B517" s="4" t="str">
        <f ca="1">IFERROR(__xludf.DUMMYFUNCTION("IFERROR(GOOGLETRANSLATE(A517,""ko"",""en""),)"),"I listen to music after work.")</f>
        <v>I listen to music after work.</v>
      </c>
    </row>
    <row r="518" spans="1:2" ht="18">
      <c r="A518" s="3" t="s">
        <v>3398</v>
      </c>
      <c r="B518" s="4" t="str">
        <f ca="1">IFERROR(__xludf.DUMMYFUNCTION("IFERROR(GOOGLETRANSLATE(A518,""ko"",""en""),)"),"I listen to music while working.")</f>
        <v>I listen to music while working.</v>
      </c>
    </row>
    <row r="519" spans="1:2" ht="18">
      <c r="A519" s="3" t="s">
        <v>3400</v>
      </c>
      <c r="B519" s="4" t="str">
        <f ca="1">IFERROR(__xludf.DUMMYFUNCTION("IFERROR(GOOGLETRANSLATE(A519,""ko"",""en""),)"),"I listen to music before going to bed.")</f>
        <v>I listen to music before going to bed.</v>
      </c>
    </row>
    <row r="520" spans="1:2" ht="18">
      <c r="A520" s="3" t="s">
        <v>3402</v>
      </c>
      <c r="B520" s="4" t="str">
        <f ca="1">IFERROR(__xludf.DUMMYFUNCTION("IFERROR(GOOGLETRANSLATE(A520,""ko"",""en""),)"),"When eating")</f>
        <v>When eating</v>
      </c>
    </row>
    <row r="521" spans="1:2" ht="18">
      <c r="A521" s="3" t="s">
        <v>3404</v>
      </c>
      <c r="B521" s="4" t="str">
        <f ca="1">IFERROR(__xludf.DUMMYFUNCTION("IFERROR(GOOGLETRANSLATE(A521,""ko"",""en""),)"),"When reading")</f>
        <v>When reading</v>
      </c>
    </row>
    <row r="522" spans="1:2" ht="18">
      <c r="A522" s="3" t="s">
        <v>3405</v>
      </c>
      <c r="B522" s="4" t="str">
        <f ca="1">IFERROR(__xludf.DUMMYFUNCTION("IFERROR(GOOGLETRANSLATE(A522,""ko"",""en""),)"),"When it is")</f>
        <v>When it is</v>
      </c>
    </row>
    <row r="523" spans="1:2" ht="18">
      <c r="A523" s="3" t="s">
        <v>3408</v>
      </c>
      <c r="B523" s="4" t="str">
        <f ca="1">IFERROR(__xludf.DUMMYFUNCTION("IFERROR(GOOGLETRANSLATE(A523,""ko"",""en""),)"),"When it's cold")</f>
        <v>When it's cold</v>
      </c>
    </row>
    <row r="524" spans="1:2" ht="18">
      <c r="A524" s="3" t="s">
        <v>3410</v>
      </c>
      <c r="B524" s="4" t="str">
        <f ca="1">IFERROR(__xludf.DUMMYFUNCTION("IFERROR(GOOGLETRANSLATE(A524,""ko"",""en""),)"),"When listening")</f>
        <v>When listening</v>
      </c>
    </row>
    <row r="525" spans="1:2" ht="18">
      <c r="A525" s="3" t="s">
        <v>3411</v>
      </c>
      <c r="B525" s="4" t="str">
        <f ca="1">IFERROR(__xludf.DUMMYFUNCTION("IFERROR(GOOGLETRANSLATE(A525,""ko"",""en""),)"),"When going")</f>
        <v>When going</v>
      </c>
    </row>
    <row r="526" spans="1:2" ht="18">
      <c r="A526" s="3" t="s">
        <v>3412</v>
      </c>
      <c r="B526" s="4" t="str">
        <f ca="1">IFERROR(__xludf.DUMMYFUNCTION("IFERROR(GOOGLETRANSLATE(A526,""ko"",""en""),)"),"When looking")</f>
        <v>When looking</v>
      </c>
    </row>
    <row r="527" spans="1:2" ht="18">
      <c r="A527" s="3" t="s">
        <v>3415</v>
      </c>
      <c r="B527" s="4" t="str">
        <f ca="1">IFERROR(__xludf.DUMMYFUNCTION("IFERROR(GOOGLETRANSLATE(A527,""ko"",""en""),)"),"When studying")</f>
        <v>When studying</v>
      </c>
    </row>
    <row r="528" spans="1:2" ht="18">
      <c r="A528" s="3" t="s">
        <v>3416</v>
      </c>
      <c r="B528" s="4" t="str">
        <f ca="1">IFERROR(__xludf.DUMMYFUNCTION("IFERROR(GOOGLETRANSLATE(A528,""ko"",""en""),)"),"When exercising")</f>
        <v>When exercising</v>
      </c>
    </row>
    <row r="529" spans="1:2" ht="18">
      <c r="A529" s="3" t="s">
        <v>3419</v>
      </c>
      <c r="B529" s="4" t="str">
        <f ca="1">IFERROR(__xludf.DUMMYFUNCTION("IFERROR(GOOGLETRANSLATE(A529,""ko"",""en""),)"),"When making")</f>
        <v>When making</v>
      </c>
    </row>
    <row r="530" spans="1:2" ht="18">
      <c r="A530" s="3" t="s">
        <v>3420</v>
      </c>
      <c r="B530" s="4" t="str">
        <f ca="1">IFERROR(__xludf.DUMMYFUNCTION("IFERROR(GOOGLETRANSLATE(A530,""ko"",""en""),)"),"I ate popcorn while watching the movie.")</f>
        <v>I ate popcorn while watching the movie.</v>
      </c>
    </row>
    <row r="531" spans="1:2" ht="18">
      <c r="A531" s="3" t="s">
        <v>3421</v>
      </c>
      <c r="B531" s="4" t="str">
        <f ca="1">IFERROR(__xludf.DUMMYFUNCTION("IFERROR(GOOGLETRANSLATE(A531,""ko"",""en""),)"),"I study Korean while eating lunch.")</f>
        <v>I study Korean while eating lunch.</v>
      </c>
    </row>
    <row r="532" spans="1:2" ht="18">
      <c r="A532" s="3" t="s">
        <v>3425</v>
      </c>
      <c r="B532" s="4" t="str">
        <f ca="1">IFERROR(__xludf.DUMMYFUNCTION("IFERROR(GOOGLETRANSLATE(A532,""ko"",""en""),)"),"I listen to the news while making coffee.")</f>
        <v>I listen to the news while making coffee.</v>
      </c>
    </row>
    <row r="533" spans="1:2" ht="18">
      <c r="A533" s="3" t="s">
        <v>3426</v>
      </c>
      <c r="B533" s="4" t="str">
        <f ca="1">IFERROR(__xludf.DUMMYFUNCTION("IFERROR(GOOGLETRANSLATE(A533,""ko"",""en""),)"),"I watch the news while making coffee.")</f>
        <v>I watch the news while making coffee.</v>
      </c>
    </row>
    <row r="534" spans="1:2" ht="18">
      <c r="A534" s="3" t="s">
        <v>3428</v>
      </c>
      <c r="B534" s="4" t="str">
        <f ca="1">IFERROR(__xludf.DUMMYFUNCTION("IFERROR(GOOGLETRANSLATE(A534,""ko"",""en""),)"),"I drink a lot of water when I exercise.")</f>
        <v>I drink a lot of water when I exercise.</v>
      </c>
    </row>
    <row r="535" spans="1:2" ht="18">
      <c r="A535" s="3" t="s">
        <v>3429</v>
      </c>
      <c r="B535" s="4" t="str">
        <f ca="1">IFERROR(__xludf.DUMMYFUNCTION("IFERROR(GOOGLETRANSLATE(A535,""ko"",""en""),)"),"One liter, two liters..")</f>
        <v>One liter, two liters..</v>
      </c>
    </row>
    <row r="536" spans="1:2" ht="18">
      <c r="A536" s="3" t="s">
        <v>3432</v>
      </c>
      <c r="B536" s="4" t="str">
        <f ca="1">IFERROR(__xludf.DUMMYFUNCTION("IFERROR(GOOGLETRANSLATE(A536,""ko"",""en""),)"),"I sweat a lot.")</f>
        <v>I sweat a lot.</v>
      </c>
    </row>
    <row r="537" spans="1:2" ht="18">
      <c r="A537" s="3" t="s">
        <v>3433</v>
      </c>
      <c r="B537" s="4" t="str">
        <f ca="1">IFERROR(__xludf.DUMMYFUNCTION("IFERROR(GOOGLETRANSLATE(A537,""ko"",""en""),)"),"I need a large towel.")</f>
        <v>I need a large towel.</v>
      </c>
    </row>
    <row r="538" spans="1:2" ht="18">
      <c r="A538" s="3" t="s">
        <v>3437</v>
      </c>
      <c r="B538" s="4" t="str">
        <f ca="1">IFERROR(__xludf.DUMMYFUNCTION("IFERROR(GOOGLETRANSLATE(A538,""ko"",""en""),)"),"What are you taking?")</f>
        <v>What are you taking?</v>
      </c>
    </row>
    <row r="539" spans="1:2" ht="18">
      <c r="A539" s="3" t="s">
        <v>3438</v>
      </c>
      <c r="B539" s="4" t="str">
        <f ca="1">IFERROR(__xludf.DUMMYFUNCTION("IFERROR(GOOGLETRANSLATE(A539,""ko"",""en""),)"),"Do you want to take it?")</f>
        <v>Do you want to take it?</v>
      </c>
    </row>
    <row r="540" spans="1:2" ht="18">
      <c r="A540" s="5" t="s">
        <v>3439</v>
      </c>
      <c r="B540" s="4" t="str">
        <f ca="1">IFERROR(__xludf.DUMMYFUNCTION("IFERROR(GOOGLETRANSLATE(A540,""ko"",""en""),)"),"I am taking an empty suitcase.")</f>
        <v>I am taking an empty suitcase.</v>
      </c>
    </row>
    <row r="541" spans="1:2" ht="18">
      <c r="A541" s="3" t="s">
        <v>3442</v>
      </c>
      <c r="B541" s="4" t="str">
        <f ca="1">IFERROR(__xludf.DUMMYFUNCTION("IFERROR(GOOGLETRANSLATE(A541,""ko"",""en""),)"),"Let's meet when we have time.")</f>
        <v>Let's meet when we have time.</v>
      </c>
    </row>
    <row r="542" spans="1:2" ht="18">
      <c r="A542" s="3" t="s">
        <v>3443</v>
      </c>
      <c r="B542" s="4" t="str">
        <f ca="1">IFERROR(__xludf.DUMMYFUNCTION("IFERROR(GOOGLETRANSLATE(A542,""ko"",""en""),)"),"Bungeoppang is a Korean winter street food.")</f>
        <v>Bungeoppang is a Korean winter street food.</v>
      </c>
    </row>
    <row r="543" spans="1:2" ht="18">
      <c r="A543" s="3" t="s">
        <v>3445</v>
      </c>
      <c r="B543" s="4" t="str">
        <f ca="1">IFERROR(__xludf.DUMMYFUNCTION("IFERROR(GOOGLETRANSLATE(A543,""ko"",""en""),)"),"When do you wear the store manager?")</f>
        <v>When do you wear the store manager?</v>
      </c>
    </row>
    <row r="544" spans="1:2" ht="18">
      <c r="A544" s="3" t="s">
        <v>3448</v>
      </c>
      <c r="B544" s="4" t="str">
        <f ca="1">IFERROR(__xludf.DUMMYFUNCTION("IFERROR(GOOGLETRANSLATE(A544,""ko"",""en""),)"),"I usually wear a suit when I go to work.")</f>
        <v>I usually wear a suit when I go to work.</v>
      </c>
    </row>
    <row r="545" spans="1:2" ht="18">
      <c r="A545" s="3" t="s">
        <v>3449</v>
      </c>
      <c r="B545" s="4" t="str">
        <f ca="1">IFERROR(__xludf.DUMMYFUNCTION("IFERROR(GOOGLETRANSLATE(A545,""ko"",""en""),)"),"What do you wear when you go to work? I wear sportswear.")</f>
        <v>What do you wear when you go to work? I wear sportswear.</v>
      </c>
    </row>
    <row r="546" spans="1:2" ht="18">
      <c r="A546" s="3" t="s">
        <v>3451</v>
      </c>
      <c r="B546" s="4" t="str">
        <f ca="1">IFERROR(__xludf.DUMMYFUNCTION("IFERROR(GOOGLETRANSLATE(A546,""ko"",""en""),)"),"I wear a suit when going to a friend's wedding.")</f>
        <v>I wear a suit when going to a friend's wedding.</v>
      </c>
    </row>
    <row r="547" spans="1:2" ht="18">
      <c r="A547" s="3" t="s">
        <v>3454</v>
      </c>
      <c r="B547" s="4" t="str">
        <f ca="1">IFERROR(__xludf.DUMMYFUNCTION("IFERROR(GOOGLETRANSLATE(A547,""ko"",""en""),)"),"I wear a suit when I have an interview.")</f>
        <v>I wear a suit when I have an interview.</v>
      </c>
    </row>
    <row r="548" spans="1:2" ht="18">
      <c r="A548" s="3" t="s">
        <v>3455</v>
      </c>
      <c r="B548" s="4" t="str">
        <f ca="1">IFERROR(__xludf.DUMMYFUNCTION("IFERROR(GOOGLETRANSLATE(A548,""ko"",""en""),)"),"I wear a black suit when going to a funeral.")</f>
        <v>I wear a black suit when going to a funeral.</v>
      </c>
    </row>
    <row r="549" spans="1:2" ht="18">
      <c r="A549" s="3" t="s">
        <v>3457</v>
      </c>
      <c r="B549" s="4" t="str">
        <f ca="1">IFERROR(__xludf.DUMMYFUNCTION("IFERROR(GOOGLETRANSLATE(A549,""ko"",""en""),)"),"I eat snacks whenever I'm hungry.")</f>
        <v>I eat snacks whenever I'm hungry.</v>
      </c>
    </row>
    <row r="550" spans="1:2" ht="18">
      <c r="A550" s="3" t="s">
        <v>1061</v>
      </c>
      <c r="B550" s="4" t="str">
        <f ca="1">IFERROR(__xludf.DUMMYFUNCTION("IFERROR(GOOGLETRANSLATE(A550,""ko"",""en""),)"),"When do you exercise?")</f>
        <v>When do you exercise?</v>
      </c>
    </row>
    <row r="551" spans="1:2" ht="18">
      <c r="A551" s="3" t="s">
        <v>3460</v>
      </c>
      <c r="B551" s="4" t="str">
        <f ca="1">IFERROR(__xludf.DUMMYFUNCTION("IFERROR(GOOGLETRANSLATE(A551,""ko"",""en""),)"),"I exercise whenever I have time.")</f>
        <v>I exercise whenever I have time.</v>
      </c>
    </row>
    <row r="552" spans="1:2" ht="18">
      <c r="A552" s="3" t="s">
        <v>3461</v>
      </c>
      <c r="B552" s="4" t="str">
        <f ca="1">IFERROR(__xludf.DUMMYFUNCTION("IFERROR(GOOGLETRANSLATE(A552,""ko"",""en""),)"),"When do you take a taxi?")</f>
        <v>When do you take a taxi?</v>
      </c>
    </row>
    <row r="553" spans="1:2" ht="18">
      <c r="A553" s="3" t="s">
        <v>3465</v>
      </c>
      <c r="B553" s="4" t="str">
        <f ca="1">IFERROR(__xludf.DUMMYFUNCTION("IFERROR(GOOGLETRANSLATE(A553,""ko"",""en""),)"),"To school? I take a taxi when I'm late.")</f>
        <v>To school? I take a taxi when I'm late.</v>
      </c>
    </row>
    <row r="554" spans="1:2" ht="18">
      <c r="A554" s="3" t="s">
        <v>3466</v>
      </c>
      <c r="B554" s="4" t="str">
        <f ca="1">IFERROR(__xludf.DUMMYFUNCTION("IFERROR(GOOGLETRANSLATE(A554,""ko"",""en""),)"),"When do you go to karaoke?")</f>
        <v>When do you go to karaoke?</v>
      </c>
    </row>
    <row r="555" spans="1:2" ht="18">
      <c r="A555" s="3" t="s">
        <v>3467</v>
      </c>
      <c r="B555" s="4" t="str">
        <f ca="1">IFERROR(__xludf.DUMMYFUNCTION("IFERROR(GOOGLETRANSLATE(A555,""ko"",""en""),)"),"I go to karaoke when I want to sing with a friend.")</f>
        <v>I go to karaoke when I want to sing with a friend.</v>
      </c>
    </row>
    <row r="556" spans="1:2" ht="18">
      <c r="A556" s="3" t="s">
        <v>3468</v>
      </c>
      <c r="B556" s="4" t="str">
        <f ca="1">IFERROR(__xludf.DUMMYFUNCTION("IFERROR(GOOGLETRANSLATE(A556,""ko"",""en""),)"),"When are you happy?")</f>
        <v>When are you happy?</v>
      </c>
    </row>
    <row r="557" spans="1:2" ht="18">
      <c r="A557" s="3" t="s">
        <v>3470</v>
      </c>
      <c r="B557" s="4" t="str">
        <f ca="1">IFERROR(__xludf.DUMMYFUNCTION("IFERROR(GOOGLETRANSLATE(A557,""ko"",""en""),)"),"I am happiest when I eat delicious food.")</f>
        <v>I am happiest when I eat delicious food.</v>
      </c>
    </row>
    <row r="558" spans="1:2" ht="18">
      <c r="A558" s="3" t="s">
        <v>3471</v>
      </c>
      <c r="B558" s="4" t="str">
        <f ca="1">IFERROR(__xludf.DUMMYFUNCTION("IFERROR(GOOGLETRANSLATE(A558,""ko"",""en""),)"),"I am happiest when I meet my niece.")</f>
        <v>I am happiest when I meet my niece.</v>
      </c>
    </row>
    <row r="559" spans="1:2" ht="18">
      <c r="A559" s="3" t="s">
        <v>3473</v>
      </c>
      <c r="B559" s="4" t="str">
        <f ca="1">IFERROR(__xludf.DUMMYFUNCTION("IFERROR(GOOGLETRANSLATE(A559,""ko"",""en""),)"),"I am happiest when I spend time with my friends.")</f>
        <v>I am happiest when I spend time with my friends.</v>
      </c>
    </row>
    <row r="560" spans="1:2" ht="18">
      <c r="A560" s="3" t="s">
        <v>3475</v>
      </c>
      <c r="B560" s="4" t="str">
        <f ca="1">IFERROR(__xludf.DUMMYFUNCTION("IFERROR(GOOGLETRANSLATE(A560,""ko"",""en""),)"),"Puss in Boots")</f>
        <v>Puss in Boots</v>
      </c>
    </row>
    <row r="561" spans="1:2" ht="18">
      <c r="A561" s="3" t="s">
        <v>3477</v>
      </c>
      <c r="B561" s="4" t="str">
        <f ca="1">IFERROR(__xludf.DUMMYFUNCTION("IFERROR(GOOGLETRANSLATE(A561,""ko"",""en""),)"),"When are you going to the department store?")</f>
        <v>When are you going to the department store?</v>
      </c>
    </row>
    <row r="562" spans="1:2" ht="18">
      <c r="A562" s="3" t="s">
        <v>3479</v>
      </c>
      <c r="B562" s="4" t="str">
        <f ca="1">IFERROR(__xludf.DUMMYFUNCTION("IFERROR(GOOGLETRANSLATE(A562,""ko"",""en""),)"),"I go to a department store when I want to buy clothes.")</f>
        <v>I go to a department store when I want to buy clothes.</v>
      </c>
    </row>
    <row r="563" spans="1:2" ht="18">
      <c r="A563" s="3" t="s">
        <v>3480</v>
      </c>
      <c r="B563" s="4" t="str">
        <f ca="1">IFERROR(__xludf.DUMMYFUNCTION("IFERROR(GOOGLETRANSLATE(A563,""ko"",""en""),)"),"When are you going to the cafe?")</f>
        <v>When are you going to the cafe?</v>
      </c>
    </row>
    <row r="564" spans="1:2" ht="18">
      <c r="A564" s="3" t="s">
        <v>3482</v>
      </c>
      <c r="B564" s="4" t="str">
        <f ca="1">IFERROR(__xludf.DUMMYFUNCTION("IFERROR(GOOGLETRANSLATE(A564,""ko"",""en""),)"),"I go to a cafe when I want to eat cake.")</f>
        <v>I go to a cafe when I want to eat cake.</v>
      </c>
    </row>
    <row r="565" spans="1:2" ht="18">
      <c r="A565" s="3" t="s">
        <v>2288</v>
      </c>
      <c r="B565" s="4" t="str">
        <f ca="1">IFERROR(__xludf.DUMMYFUNCTION("IFERROR(GOOGLETRANSLATE(A565,""ko"",""en""),)"),"When do you go to the library?")</f>
        <v>When do you go to the library?</v>
      </c>
    </row>
    <row r="566" spans="1:2" ht="18">
      <c r="A566" s="3" t="s">
        <v>3485</v>
      </c>
      <c r="B566" s="4" t="str">
        <f ca="1">IFERROR(__xludf.DUMMYFUNCTION("IFERROR(GOOGLETRANSLATE(A566,""ko"",""en""),)"),"I go to the library when I study for exams.")</f>
        <v>I go to the library when I study for exams.</v>
      </c>
    </row>
    <row r="567" spans="1:2" ht="18">
      <c r="A567" s="3" t="s">
        <v>3488</v>
      </c>
      <c r="B567" s="4" t="str">
        <f ca="1">IFERROR(__xludf.DUMMYFUNCTION("IFERROR(GOOGLETRANSLATE(A567,""ko"",""en""),)"),"I go to the library when I want to borrow a book.")</f>
        <v>I go to the library when I want to borrow a book.</v>
      </c>
    </row>
    <row r="568" spans="1:2" ht="18">
      <c r="A568" s="3" t="s">
        <v>3490</v>
      </c>
      <c r="B568" s="4" t="str">
        <f ca="1">IFERROR(__xludf.DUMMYFUNCTION("IFERROR(GOOGLETRANSLATE(A568,""ko"",""en""),)"),"borrow")</f>
        <v>borrow</v>
      </c>
    </row>
    <row r="569" spans="1:2" ht="18">
      <c r="A569" s="3" t="s">
        <v>3491</v>
      </c>
      <c r="B569" s="4" t="str">
        <f ca="1">IFERROR(__xludf.DUMMYFUNCTION("IFERROR(GOOGLETRANSLATE(A569,""ko"",""en""),)"),"return")</f>
        <v>return</v>
      </c>
    </row>
    <row r="570" spans="1:2" ht="18">
      <c r="A570" s="3" t="s">
        <v>3493</v>
      </c>
      <c r="B570" s="4" t="str">
        <f ca="1">IFERROR(__xludf.DUMMYFUNCTION("IFERROR(GOOGLETRANSLATE(A570,""ko"",""en""),)"),"I go to the library when I have to return something.")</f>
        <v>I go to the library when I have to return something.</v>
      </c>
    </row>
    <row r="571" spans="1:2" ht="18">
      <c r="A571" s="3" t="s">
        <v>3496</v>
      </c>
      <c r="B571" s="4" t="str">
        <f ca="1">IFERROR(__xludf.DUMMYFUNCTION("IFERROR(GOOGLETRANSLATE(A571,""ko"",""en""),)"),"When are you going to the park?")</f>
        <v>When are you going to the park?</v>
      </c>
    </row>
    <row r="572" spans="1:2" ht="18">
      <c r="A572" s="3" t="s">
        <v>3498</v>
      </c>
      <c r="B572" s="4" t="str">
        <f ca="1">IFERROR(__xludf.DUMMYFUNCTION("IFERROR(GOOGLETRANSLATE(A572,""ko"",""en""),)"),"I go to the park when the weather is nice.")</f>
        <v>I go to the park when the weather is nice.</v>
      </c>
    </row>
    <row r="573" spans="1:2" ht="18">
      <c r="A573" s="3" t="s">
        <v>3499</v>
      </c>
      <c r="B573" s="4" t="str">
        <f ca="1">IFERROR(__xludf.DUMMYFUNCTION("IFERROR(GOOGLETRANSLATE(A573,""ko"",""en""),)"),"When listening")</f>
        <v>When listening</v>
      </c>
    </row>
    <row r="574" spans="1:2" ht="18">
      <c r="A574" s="3" t="s">
        <v>3501</v>
      </c>
      <c r="B574" s="4" t="str">
        <f ca="1">IFERROR(__xludf.DUMMYFUNCTION("IFERROR(GOOGLETRANSLATE(A574,""ko"",""en""),)"),"When it is beautiful")</f>
        <v>When it is beautiful</v>
      </c>
    </row>
    <row r="575" spans="1:2" ht="18">
      <c r="A575" s="3" t="s">
        <v>3503</v>
      </c>
      <c r="B575" s="4" t="str">
        <f ca="1">IFERROR(__xludf.DUMMYFUNCTION("IFERROR(GOOGLETRANSLATE(A575,""ko"",""en""),)"),"My feet hurt when I walk a lot.")</f>
        <v>My feet hurt when I walk a lot.</v>
      </c>
    </row>
    <row r="576" spans="1:2" ht="18">
      <c r="A576" s="3" t="s">
        <v>3411</v>
      </c>
      <c r="B576" s="4" t="str">
        <f ca="1">IFERROR(__xludf.DUMMYFUNCTION("IFERROR(GOOGLETRANSLATE(A576,""ko"",""en""),)"),"When going")</f>
        <v>When going</v>
      </c>
    </row>
    <row r="577" spans="1:2" ht="18">
      <c r="A577" s="3" t="s">
        <v>3412</v>
      </c>
      <c r="B577" s="4" t="str">
        <f ca="1">IFERROR(__xludf.DUMMYFUNCTION("IFERROR(GOOGLETRANSLATE(A577,""ko"",""en""),)"),"When looking")</f>
        <v>When looking</v>
      </c>
    </row>
    <row r="578" spans="1:2" ht="18">
      <c r="A578" s="3" t="s">
        <v>3415</v>
      </c>
      <c r="B578" s="4" t="str">
        <f ca="1">IFERROR(__xludf.DUMMYFUNCTION("IFERROR(GOOGLETRANSLATE(A578,""ko"",""en""),)"),"When studying")</f>
        <v>When studying</v>
      </c>
    </row>
    <row r="579" spans="1:2" ht="18">
      <c r="A579" s="3" t="s">
        <v>3416</v>
      </c>
      <c r="B579" s="4" t="str">
        <f ca="1">IFERROR(__xludf.DUMMYFUNCTION("IFERROR(GOOGLETRANSLATE(A579,""ko"",""en""),)"),"When exercising")</f>
        <v>When exercising</v>
      </c>
    </row>
    <row r="580" spans="1:2" ht="18">
      <c r="A580" s="3" t="s">
        <v>3419</v>
      </c>
      <c r="B580" s="4" t="str">
        <f ca="1">IFERROR(__xludf.DUMMYFUNCTION("IFERROR(GOOGLETRANSLATE(A580,""ko"",""en""),)"),"When making")</f>
        <v>When making</v>
      </c>
    </row>
    <row r="581" spans="1:2" ht="18">
      <c r="A581" s="3" t="s">
        <v>3510</v>
      </c>
      <c r="B581" s="4" t="str">
        <f ca="1">IFERROR(__xludf.DUMMYFUNCTION("IFERROR(GOOGLETRANSLATE(A581,""ko"",""en""),)"),"When playing with friends")</f>
        <v>When playing with friends</v>
      </c>
    </row>
    <row r="582" spans="1:2" ht="18">
      <c r="A582" s="3" t="s">
        <v>3511</v>
      </c>
      <c r="B582" s="4" t="str">
        <f ca="1">IFERROR(__xludf.DUMMYFUNCTION("IFERROR(GOOGLETRANSLATE(A582,""ko"",""en""),)"),"When buying")</f>
        <v>When buying</v>
      </c>
    </row>
    <row r="583" spans="1:2" ht="18">
      <c r="A583" s="3" t="s">
        <v>3513</v>
      </c>
      <c r="B583" s="4" t="str">
        <f ca="1">IFERROR(__xludf.DUMMYFUNCTION("IFERROR(GOOGLETRANSLATE(A583,""ko"",""en""),)"),"When I lived in Korea")</f>
        <v>When I lived in Korea</v>
      </c>
    </row>
    <row r="584" spans="1:2" ht="18">
      <c r="A584" s="3" t="s">
        <v>3516</v>
      </c>
      <c r="B584" s="4" t="str">
        <f ca="1">IFERROR(__xludf.DUMMYFUNCTION("IFERROR(GOOGLETRANSLATE(A584,""ko"",""en""),)"),"When I lived in Korea")</f>
        <v>When I lived in Korea</v>
      </c>
    </row>
    <row r="585" spans="1:2" ht="18">
      <c r="A585" s="3" t="s">
        <v>3517</v>
      </c>
      <c r="B585" s="4" t="str">
        <f ca="1">IFERROR(__xludf.DUMMYFUNCTION("IFERROR(GOOGLETRANSLATE(A585,""ko"",""en""),)"),"I buy coffee when I commute to and from work.")</f>
        <v>I buy coffee when I commute to and from work.</v>
      </c>
    </row>
    <row r="586" spans="1:2" ht="18">
      <c r="A586" s="3" t="s">
        <v>3518</v>
      </c>
      <c r="B586" s="4" t="str">
        <f ca="1">IFERROR(__xludf.DUMMYFUNCTION("IFERROR(GOOGLETRANSLATE(A586,""ko"",""en""),)"),"I enjoy studying Korean.")</f>
        <v>I enjoy studying Korean.</v>
      </c>
    </row>
    <row r="587" spans="1:2" ht="18">
      <c r="A587" s="3" t="s">
        <v>3520</v>
      </c>
      <c r="B587" s="4" t="str">
        <f ca="1">IFERROR(__xludf.DUMMYFUNCTION("IFERROR(GOOGLETRANSLATE(A587,""ko"",""en""),)"),"I eat ice cream when the weather is hot.")</f>
        <v>I eat ice cream when the weather is hot.</v>
      </c>
    </row>
    <row r="588" spans="1:2" ht="18">
      <c r="A588" s="3" t="s">
        <v>3522</v>
      </c>
      <c r="B588" s="4" t="str">
        <f ca="1">IFERROR(__xludf.DUMMYFUNCTION("IFERROR(GOOGLETRANSLATE(A588,""ko"",""en""),)"),"I go to Han River Park when I have time.")</f>
        <v>I go to Han River Park when I have time.</v>
      </c>
    </row>
    <row r="589" spans="1:2" ht="18">
      <c r="A589" s="3" t="s">
        <v>3523</v>
      </c>
      <c r="B589" s="4" t="str">
        <f ca="1">IFERROR(__xludf.DUMMYFUNCTION("IFERROR(GOOGLETRANSLATE(A589,""ko"",""en""),)"),"I listen to music when I take the bus.")</f>
        <v>I listen to music when I take the bus.</v>
      </c>
    </row>
    <row r="590" spans="1:2" ht="18">
      <c r="A590" s="3" t="s">
        <v>3525</v>
      </c>
      <c r="B590" s="4" t="str">
        <f ca="1">IFERROR(__xludf.DUMMYFUNCTION("IFERROR(GOOGLETRANSLATE(A590,""ko"",""en""),)"),"I feel happy when I listen to K-pop.")</f>
        <v>I feel happy when I listen to K-pop.</v>
      </c>
    </row>
    <row r="591" spans="1:2" ht="18">
      <c r="A591" s="3" t="s">
        <v>3531</v>
      </c>
      <c r="B591" s="4" t="str">
        <f ca="1">IFERROR(__xludf.DUMMYFUNCTION("IFERROR(GOOGLETRANSLATE(A591,""ko"",""en""),)"),"I go to the library when I want to read a book.")</f>
        <v>I go to the library when I want to read a book.</v>
      </c>
    </row>
    <row r="592" spans="1:2" ht="18">
      <c r="A592" s="3" t="s">
        <v>3533</v>
      </c>
      <c r="B592" s="4" t="str">
        <f ca="1">IFERROR(__xludf.DUMMYFUNCTION("IFERROR(GOOGLETRANSLATE(A592,""ko"",""en""),)"),"Please call me when you get off work.")</f>
        <v>Please call me when you get off work.</v>
      </c>
    </row>
    <row r="593" spans="1:2" ht="18">
      <c r="A593" s="3" t="s">
        <v>3535</v>
      </c>
      <c r="B593" s="4" t="str">
        <f ca="1">IFERROR(__xludf.DUMMYFUNCTION("IFERROR(GOOGLETRANSLATE(A593,""ko"",""en""),)"),"I've arrived!")</f>
        <v>I've arrived!</v>
      </c>
    </row>
    <row r="594" spans="1:2" ht="18">
      <c r="A594" s="3" t="s">
        <v>3536</v>
      </c>
      <c r="B594" s="4" t="str">
        <f ca="1">IFERROR(__xludf.DUMMYFUNCTION("IFERROR(GOOGLETRANSLATE(A594,""ko"",""en""),)"),"I'm leaving now!")</f>
        <v>I'm leaving now!</v>
      </c>
    </row>
    <row r="595" spans="1:2" ht="18">
      <c r="A595" s="3" t="s">
        <v>3537</v>
      </c>
      <c r="B595" s="4" t="str">
        <f ca="1">IFERROR(__xludf.DUMMYFUNCTION("IFERROR(GOOGLETRANSLATE(A595,""ko"",""en""),)"),"I'm on my way.")</f>
        <v>I'm on my way.</v>
      </c>
    </row>
    <row r="596" spans="1:2" ht="18">
      <c r="A596" s="3" t="s">
        <v>3539</v>
      </c>
      <c r="B596" s="4" t="str">
        <f ca="1">IFERROR(__xludf.DUMMYFUNCTION("IFERROR(GOOGLETRANSLATE(A596,""ko"",""en""),)"),"I'm on my way now.")</f>
        <v>I'm on my way now.</v>
      </c>
    </row>
    <row r="597" spans="1:2" ht="18">
      <c r="A597" s="3" t="s">
        <v>3541</v>
      </c>
      <c r="B597" s="4" t="str">
        <f ca="1">IFERROR(__xludf.DUMMYFUNCTION("IFERROR(GOOGLETRANSLATE(A597,""ko"",""en""),)"),"Text me.")</f>
        <v>Text me.</v>
      </c>
    </row>
    <row r="598" spans="1:2" ht="18">
      <c r="A598" s="3" t="s">
        <v>3545</v>
      </c>
      <c r="B598" s="4" t="str">
        <f ca="1">IFERROR(__xludf.DUMMYFUNCTION("IFERROR(GOOGLETRANSLATE(A598,""ko"",""en""),)"),"Text me.")</f>
        <v>Text me.</v>
      </c>
    </row>
    <row r="599" spans="1:2" ht="18">
      <c r="A599" s="3" t="s">
        <v>3547</v>
      </c>
      <c r="B599" s="4" t="s">
        <v>3549</v>
      </c>
    </row>
    <row r="600" spans="1:2" ht="18">
      <c r="A600" s="3" t="s">
        <v>3551</v>
      </c>
      <c r="B600" s="4" t="s">
        <v>3549</v>
      </c>
    </row>
    <row r="601" spans="1:2" ht="18">
      <c r="A601" s="3"/>
      <c r="B601" s="4" t="str">
        <f ca="1">IFERROR(__xludf.DUMMYFUNCTION("IFERROR(GOOGLETRANSLATE(A601,""ko"",""en""),)"),"")</f>
        <v/>
      </c>
    </row>
    <row r="602" spans="1:2" ht="18">
      <c r="A602" s="3" t="s">
        <v>3552</v>
      </c>
      <c r="B602" s="4" t="str">
        <f ca="1">IFERROR(__xludf.DUMMYFUNCTION("IFERROR(GOOGLETRANSLATE(A602,""ko"",""en""),)"),"I'm sorry. I forgot the name.")</f>
        <v>I'm sorry. I forgot the name.</v>
      </c>
    </row>
    <row r="603" spans="1:2" ht="18">
      <c r="A603" s="3" t="s">
        <v>2866</v>
      </c>
      <c r="B603" s="4" t="str">
        <f ca="1">IFERROR(__xludf.DUMMYFUNCTION("IFERROR(GOOGLETRANSLATE(A603,""ko"",""en""),)"),"foyer")</f>
        <v>foyer</v>
      </c>
    </row>
    <row r="604" spans="1:2" ht="18">
      <c r="A604" s="3" t="s">
        <v>3555</v>
      </c>
      <c r="B604" s="4" t="str">
        <f ca="1">IFERROR(__xludf.DUMMYFUNCTION("IFERROR(GOOGLETRANSLATE(A604,""ko"",""en""),)"),"living room")</f>
        <v>living room</v>
      </c>
    </row>
    <row r="605" spans="1:2" ht="18">
      <c r="A605" s="3" t="s">
        <v>3557</v>
      </c>
      <c r="B605" s="4" t="str">
        <f ca="1">IFERROR(__xludf.DUMMYFUNCTION("IFERROR(GOOGLETRANSLATE(A605,""ko"",""en""),)"),"be pleasant")</f>
        <v>be pleasant</v>
      </c>
    </row>
    <row r="606" spans="1:2" ht="18">
      <c r="A606" s="3" t="s">
        <v>3558</v>
      </c>
      <c r="B606" s="4" t="str">
        <f ca="1">IFERROR(__xludf.DUMMYFUNCTION("IFERROR(GOOGLETRANSLATE(A606,""ko"",""en""),)"),"Ideal type")</f>
        <v>Ideal type</v>
      </c>
    </row>
    <row r="607" spans="1:2" ht="18">
      <c r="A607" s="3" t="s">
        <v>3560</v>
      </c>
      <c r="B607" s="4" t="str">
        <f ca="1">IFERROR(__xludf.DUMMYFUNCTION("IFERROR(GOOGLETRANSLATE(A607,""ko"",""en""),)"),"stadium")</f>
        <v>stadium</v>
      </c>
    </row>
    <row r="608" spans="1:2" ht="18">
      <c r="A608" s="3" t="s">
        <v>3562</v>
      </c>
      <c r="B608" s="4" t="str">
        <f ca="1">IFERROR(__xludf.DUMMYFUNCTION("IFERROR(GOOGLETRANSLATE(A608,""ko"",""en""),)"),"basketball arena")</f>
        <v>basketball arena</v>
      </c>
    </row>
    <row r="609" spans="1:2" ht="18">
      <c r="A609" s="3" t="s">
        <v>3563</v>
      </c>
      <c r="B609" s="4" t="str">
        <f ca="1">IFERROR(__xludf.DUMMYFUNCTION("IFERROR(GOOGLETRANSLATE(A609,""ko"",""en""),)"),"soccer stadium")</f>
        <v>soccer stadium</v>
      </c>
    </row>
    <row r="610" spans="1:2" ht="18">
      <c r="A610" s="3" t="s">
        <v>3565</v>
      </c>
      <c r="B610" s="4" t="str">
        <f ca="1">IFERROR(__xludf.DUMMYFUNCTION("IFERROR(GOOGLETRANSLATE(A610,""ko"",""en""),)"),"Easter holiday")</f>
        <v>Easter holiday</v>
      </c>
    </row>
    <row r="611" spans="1:2" ht="18">
      <c r="A611" s="3" t="s">
        <v>3567</v>
      </c>
      <c r="B611" s="4" t="str">
        <f ca="1">IFERROR(__xludf.DUMMYFUNCTION("IFERROR(GOOGLETRANSLATE(A611,""ko"",""en""),)"),"Please check.")</f>
        <v>Please check.</v>
      </c>
    </row>
    <row r="612" spans="1:2" ht="18">
      <c r="A612" s="3" t="s">
        <v>3568</v>
      </c>
      <c r="B612" s="4" t="str">
        <f ca="1">IFERROR(__xludf.DUMMYFUNCTION("IFERROR(GOOGLETRANSLATE(A612,""ko"",""en""),)"),"Please check again.")</f>
        <v>Please check again.</v>
      </c>
    </row>
    <row r="613" spans="1:2" ht="18">
      <c r="A613" s="3" t="s">
        <v>3569</v>
      </c>
      <c r="B613" s="4" t="str">
        <f ca="1">IFERROR(__xludf.DUMMYFUNCTION("IFERROR(GOOGLETRANSLATE(A613,""ko"",""en""),)"),"well")</f>
        <v>well</v>
      </c>
    </row>
    <row r="614" spans="1:2" ht="18">
      <c r="A614" s="3" t="s">
        <v>3572</v>
      </c>
      <c r="B614" s="4" t="str">
        <f ca="1">IFERROR(__xludf.DUMMYFUNCTION("IFERROR(GOOGLETRANSLATE(A614,""ko"",""en""),)"),"well...")</f>
        <v>well...</v>
      </c>
    </row>
    <row r="615" spans="1:2" ht="18">
      <c r="A615" s="3" t="s">
        <v>3574</v>
      </c>
      <c r="B615" s="4" t="str">
        <f ca="1">IFERROR(__xludf.DUMMYFUNCTION("IFERROR(GOOGLETRANSLATE(A615,""ko"",""en""),)"),"SNS")</f>
        <v>SNS</v>
      </c>
    </row>
    <row r="616" spans="1:2" ht="18">
      <c r="A616" s="3" t="s">
        <v>3575</v>
      </c>
      <c r="B616" s="4" t="str">
        <f ca="1">IFERROR(__xludf.DUMMYFUNCTION("IFERROR(GOOGLETRANSLATE(A616,""ko"",""en""),)"),"boring")</f>
        <v>boring</v>
      </c>
    </row>
    <row r="617" spans="1:2" ht="18">
      <c r="A617" s="3" t="s">
        <v>3577</v>
      </c>
      <c r="B617" s="4" t="str">
        <f ca="1">IFERROR(__xludf.DUMMYFUNCTION("IFERROR(GOOGLETRANSLATE(A617,""ko"",""en""),)"),"The movie is too boring.")</f>
        <v>The movie is too boring.</v>
      </c>
    </row>
    <row r="618" spans="1:2" ht="18">
      <c r="A618" s="3" t="s">
        <v>3579</v>
      </c>
      <c r="B618" s="4" t="str">
        <f ca="1">IFERROR(__xludf.DUMMYFUNCTION("IFERROR(GOOGLETRANSLATE(A618,""ko"",""en""),)"),"Korean class isn't boring.")</f>
        <v>Korean class isn't boring.</v>
      </c>
    </row>
    <row r="619" spans="1:2" ht="18">
      <c r="A619" s="3" t="s">
        <v>3579</v>
      </c>
      <c r="B619" s="4" t="str">
        <f ca="1">IFERROR(__xludf.DUMMYFUNCTION("IFERROR(GOOGLETRANSLATE(A619,""ko"",""en""),)"),"Korean class isn't boring.")</f>
        <v>Korean class isn't boring.</v>
      </c>
    </row>
    <row r="620" spans="1:2" ht="18">
      <c r="A620" s="3" t="s">
        <v>3580</v>
      </c>
      <c r="B620" s="4" t="str">
        <f ca="1">IFERROR(__xludf.DUMMYFUNCTION("IFERROR(GOOGLETRANSLATE(A620,""ko"",""en""),)"),"It's the same")</f>
        <v>It's the same</v>
      </c>
    </row>
    <row r="621" spans="1:2" ht="18">
      <c r="A621" s="3" t="s">
        <v>3582</v>
      </c>
      <c r="B621" s="4" t="str">
        <f ca="1">IFERROR(__xludf.DUMMYFUNCTION("IFERROR(GOOGLETRANSLATE(A621,""ko"",""en""),)"),"It is the same")</f>
        <v>It is the same</v>
      </c>
    </row>
    <row r="622" spans="1:2" ht="18">
      <c r="A622" s="3" t="s">
        <v>3584</v>
      </c>
      <c r="B622" s="4" t="str">
        <f ca="1">IFERROR(__xludf.DUMMYFUNCTION("IFERROR(GOOGLETRANSLATE(A622,""ko"",""en""),)"),"We have the same birthday.")</f>
        <v>We have the same birthday.</v>
      </c>
    </row>
    <row r="623" spans="1:2" ht="18">
      <c r="A623" s="3" t="s">
        <v>3585</v>
      </c>
      <c r="B623" s="4" t="str">
        <f ca="1">IFERROR(__xludf.DUMMYFUNCTION("IFERROR(GOOGLETRANSLATE(A623,""ko"",""en""),)"),"I go on a date with my boyfriend.")</f>
        <v>I go on a date with my boyfriend.</v>
      </c>
    </row>
    <row r="624" spans="1:2" ht="18">
      <c r="A624" s="3" t="s">
        <v>3586</v>
      </c>
      <c r="B624" s="4" t="str">
        <f ca="1">IFERROR(__xludf.DUMMYFUNCTION("IFERROR(GOOGLETRANSLATE(A624,""ko"",""en""),)"),"I have a date.")</f>
        <v>I have a date.</v>
      </c>
    </row>
    <row r="625" spans="1:2" ht="18">
      <c r="A625" s="3" t="s">
        <v>3588</v>
      </c>
      <c r="B625" s="4" t="str">
        <f ca="1">IFERROR(__xludf.DUMMYFUNCTION("IFERROR(GOOGLETRANSLATE(A625,""ko"",""en""),)"),"Bowling")</f>
        <v>Bowling</v>
      </c>
    </row>
    <row r="626" spans="1:2" ht="18">
      <c r="A626" s="3" t="s">
        <v>3590</v>
      </c>
      <c r="B626" s="4" t="str">
        <f ca="1">IFERROR(__xludf.DUMMYFUNCTION("IFERROR(GOOGLETRANSLATE(A626,""ko"",""en""),)"),"Roller skating rink")</f>
        <v>Roller skating rink</v>
      </c>
    </row>
    <row r="627" spans="1:2" ht="18">
      <c r="A627" s="3" t="s">
        <v>3592</v>
      </c>
      <c r="B627" s="4" t="str">
        <f ca="1">IFERROR(__xludf.DUMMYFUNCTION("IFERROR(GOOGLETRANSLATE(A627,""ko"",""en""),)"),"ice rink")</f>
        <v>ice rink</v>
      </c>
    </row>
    <row r="628" spans="1:2" ht="18">
      <c r="A628" s="3" t="s">
        <v>3593</v>
      </c>
      <c r="B628" s="4" t="str">
        <f ca="1">IFERROR(__xludf.DUMMYFUNCTION("IFERROR(GOOGLETRANSLATE(A628,""ko"",""en""),)"),"Ice skating rink")</f>
        <v>Ice skating rink</v>
      </c>
    </row>
    <row r="629" spans="1:2" ht="18">
      <c r="A629" s="3" t="s">
        <v>3595</v>
      </c>
      <c r="B629" s="4" t="str">
        <f ca="1">IFERROR(__xludf.DUMMYFUNCTION("IFERROR(GOOGLETRANSLATE(A629,""ko"",""en""),)"),"Exam study")</f>
        <v>Exam study</v>
      </c>
    </row>
    <row r="630" spans="1:2" ht="18">
      <c r="A630" s="3" t="s">
        <v>3596</v>
      </c>
      <c r="B630" s="4" t="str">
        <f ca="1">IFERROR(__xludf.DUMMYFUNCTION("IFERROR(GOOGLETRANSLATE(A630,""ko"",""en""),)"),"Club activities")</f>
        <v>Club activities</v>
      </c>
    </row>
    <row r="631" spans="1:2" ht="18">
      <c r="A631" s="3" t="s">
        <v>3599</v>
      </c>
      <c r="B631" s="4" t="str">
        <f ca="1">IFERROR(__xludf.DUMMYFUNCTION("IFERROR(GOOGLETRANSLATE(A631,""ko"",""en""),)"),"finish")</f>
        <v>finish</v>
      </c>
    </row>
    <row r="632" spans="1:2" ht="18">
      <c r="A632" s="3" t="s">
        <v>3600</v>
      </c>
      <c r="B632" s="4" t="str">
        <f ca="1">IFERROR(__xludf.DUMMYFUNCTION("IFERROR(GOOGLETRANSLATE(A632,""ko"",""en""),)"),"end")</f>
        <v>end</v>
      </c>
    </row>
    <row r="633" spans="1:2" ht="18">
      <c r="A633" s="3" t="s">
        <v>3601</v>
      </c>
      <c r="B633" s="4" t="str">
        <f ca="1">IFERROR(__xludf.DUMMYFUNCTION("IFERROR(GOOGLETRANSLATE(A633,""ko"",""en""),)"),"The class is over.")</f>
        <v>The class is over.</v>
      </c>
    </row>
    <row r="634" spans="1:2" ht="18">
      <c r="A634" s="3" t="s">
        <v>3604</v>
      </c>
      <c r="B634" s="4" t="str">
        <f ca="1">IFERROR(__xludf.DUMMYFUNCTION("IFERROR(GOOGLETRANSLATE(A634,""ko"",""en""),)"),"The teacher finished the class.")</f>
        <v>The teacher finished the class.</v>
      </c>
    </row>
    <row r="635" spans="1:2" ht="18">
      <c r="A635" s="3" t="s">
        <v>3607</v>
      </c>
      <c r="B635" s="4" t="str">
        <f ca="1">IFERROR(__xludf.DUMMYFUNCTION("IFERROR(GOOGLETRANSLATE(A635,""ko"",""en""),)"),"I finished my homework yesterday.")</f>
        <v>I finished my homework yesterday.</v>
      </c>
    </row>
    <row r="636" spans="1:2" ht="18">
      <c r="A636" s="3" t="s">
        <v>3608</v>
      </c>
      <c r="B636" s="4" t="str">
        <f ca="1">IFERROR(__xludf.DUMMYFUNCTION("IFERROR(GOOGLETRANSLATE(A636,""ko"",""en""),)"),"The movie ended.")</f>
        <v>The movie ended.</v>
      </c>
    </row>
    <row r="637" spans="1:2" ht="18">
      <c r="A637" s="3" t="s">
        <v>3610</v>
      </c>
      <c r="B637" s="4" t="str">
        <f ca="1">IFERROR(__xludf.DUMMYFUNCTION("IFERROR(GOOGLETRANSLATE(A637,""ko"",""en""),)"),"End of the month")</f>
        <v>End of the month</v>
      </c>
    </row>
    <row r="638" spans="1:2" ht="18">
      <c r="A638" s="3" t="s">
        <v>3612</v>
      </c>
      <c r="B638" s="4" t="str">
        <f ca="1">IFERROR(__xludf.DUMMYFUNCTION("IFERROR(GOOGLETRANSLATE(A638,""ko"",""en""),)"),"I'm very busy at the end of the month.")</f>
        <v>I'm very busy at the end of the month.</v>
      </c>
    </row>
    <row r="639" spans="1:2" ht="18">
      <c r="A639" s="3" t="s">
        <v>3613</v>
      </c>
      <c r="B639" s="4" t="str">
        <f ca="1">IFERROR(__xludf.DUMMYFUNCTION("IFERROR(GOOGLETRANSLATE(A639,""ko"",""en""),)"),"presentation")</f>
        <v>presentation</v>
      </c>
    </row>
    <row r="640" spans="1:2" ht="18">
      <c r="A640" s="3"/>
      <c r="B640" s="4" t="str">
        <f ca="1">IFERROR(__xludf.DUMMYFUNCTION("IFERROR(GOOGLETRANSLATE(A640,""ko"",""en""),)"),"")</f>
        <v/>
      </c>
    </row>
    <row r="641" spans="1:2" ht="18">
      <c r="A641" s="3" t="s">
        <v>1270</v>
      </c>
      <c r="B641" s="4" t="str">
        <f ca="1">IFERROR(__xludf.DUMMYFUNCTION("IFERROR(GOOGLETRANSLATE(A641,""ko"",""en""),)"),"getup")</f>
        <v>getup</v>
      </c>
    </row>
    <row r="642" spans="1:2" ht="18">
      <c r="A642" s="3" t="s">
        <v>3616</v>
      </c>
      <c r="B642" s="4" t="str">
        <f ca="1">IFERROR(__xludf.DUMMYFUNCTION("IFERROR(GOOGLETRANSLATE(A642,""ko"",""en""),)"),"In addition")</f>
        <v>In addition</v>
      </c>
    </row>
    <row r="643" spans="1:2" ht="18">
      <c r="A643" s="3" t="s">
        <v>3617</v>
      </c>
      <c r="B643" s="4" t="str">
        <f ca="1">IFERROR(__xludf.DUMMYFUNCTION("IFERROR(GOOGLETRANSLATE(A643,""ko"",""en""),)"),"I'm planning to wear a T-shirt with jeans.")</f>
        <v>I'm planning to wear a T-shirt with jeans.</v>
      </c>
    </row>
    <row r="644" spans="1:2" ht="18">
      <c r="A644" s="3" t="s">
        <v>3618</v>
      </c>
      <c r="B644" s="4" t="str">
        <f ca="1">IFERROR(__xludf.DUMMYFUNCTION("IFERROR(GOOGLETRANSLATE(A644,""ko"",""en""),)"),"short")</f>
        <v>short</v>
      </c>
    </row>
    <row r="645" spans="1:2" ht="18">
      <c r="A645" s="3" t="s">
        <v>92</v>
      </c>
      <c r="B645" s="4" t="str">
        <f ca="1">IFERROR(__xludf.DUMMYFUNCTION("IFERROR(GOOGLETRANSLATE(A645,""ko"",""en""),)"),"shorts")</f>
        <v>shorts</v>
      </c>
    </row>
    <row r="646" spans="1:2" ht="18">
      <c r="A646" s="3" t="s">
        <v>3619</v>
      </c>
      <c r="B646" s="4" t="str">
        <f ca="1">IFERROR(__xludf.DUMMYFUNCTION("IFERROR(GOOGLETRANSLATE(A646,""ko"",""en""),)"),"Wear sunglasses.")</f>
        <v>Wear sunglasses.</v>
      </c>
    </row>
    <row r="647" spans="1:2" ht="18">
      <c r="A647" s="3" t="s">
        <v>1319</v>
      </c>
      <c r="B647" s="4" t="str">
        <f ca="1">IFERROR(__xludf.DUMMYFUNCTION("IFERROR(GOOGLETRANSLATE(A647,""ko"",""en""),)"),"coat")</f>
        <v>coat</v>
      </c>
    </row>
    <row r="648" spans="1:2" ht="18">
      <c r="A648" s="3" t="s">
        <v>1384</v>
      </c>
      <c r="B648" s="4" t="str">
        <f ca="1">IFERROR(__xludf.DUMMYFUNCTION("IFERROR(GOOGLETRANSLATE(A648,""ko"",""en""),)"),"jacket")</f>
        <v>jacket</v>
      </c>
    </row>
    <row r="649" spans="1:2" ht="18">
      <c r="A649" s="3" t="s">
        <v>1306</v>
      </c>
      <c r="B649" s="4" t="str">
        <f ca="1">IFERROR(__xludf.DUMMYFUNCTION("IFERROR(GOOGLETRANSLATE(A649,""ko"",""en""),)"),"Hanbok")</f>
        <v>Hanbok</v>
      </c>
    </row>
    <row r="650" spans="1:2" ht="18">
      <c r="A650" s="3" t="s">
        <v>1853</v>
      </c>
      <c r="B650" s="4" t="str">
        <f ca="1">IFERROR(__xludf.DUMMYFUNCTION("IFERROR(GOOGLETRANSLATE(A650,""ko"",""en""),)"),"holidays")</f>
        <v>holidays</v>
      </c>
    </row>
    <row r="651" spans="1:2" ht="18">
      <c r="A651" s="3" t="s">
        <v>3623</v>
      </c>
      <c r="B651" s="4" t="str">
        <f ca="1">IFERROR(__xludf.DUMMYFUNCTION("IFERROR(GOOGLETRANSLATE(A651,""ko"",""en""),)"),"bowing in reverence")</f>
        <v>bowing in reverence</v>
      </c>
    </row>
    <row r="652" spans="1:2" ht="18">
      <c r="A652" s="3" t="s">
        <v>2519</v>
      </c>
      <c r="B652" s="4" t="str">
        <f ca="1">IFERROR(__xludf.DUMMYFUNCTION("IFERROR(GOOGLETRANSLATE(A652,""ko"",""en""),)"),"happy new year")</f>
        <v>happy new year</v>
      </c>
    </row>
    <row r="653" spans="1:2" ht="18">
      <c r="A653" s="3" t="s">
        <v>1295</v>
      </c>
      <c r="B653" s="4" t="str">
        <f ca="1">IFERROR(__xludf.DUMMYFUNCTION("IFERROR(GOOGLETRANSLATE(A653,""ko"",""en""),)"),"sportswear")</f>
        <v>sportswear</v>
      </c>
    </row>
    <row r="654" spans="1:2" ht="18">
      <c r="A654" s="3" t="s">
        <v>3626</v>
      </c>
      <c r="B654" s="4" t="str">
        <f ca="1">IFERROR(__xludf.DUMMYFUNCTION("IFERROR(GOOGLETRANSLATE(A654,""ko"",""en""),)"),"night wear")</f>
        <v>night wear</v>
      </c>
    </row>
    <row r="655" spans="1:2" ht="18">
      <c r="A655" s="3" t="s">
        <v>3627</v>
      </c>
      <c r="B655" s="4" t="str">
        <f ca="1">IFERROR(__xludf.DUMMYFUNCTION("IFERROR(GOOGLETRANSLATE(A655,""ko"",""en""),)"),"gloves")</f>
        <v>gloves</v>
      </c>
    </row>
    <row r="656" spans="1:2" ht="18">
      <c r="A656" s="3" t="s">
        <v>3630</v>
      </c>
      <c r="B656" s="4" t="str">
        <f ca="1">IFERROR(__xludf.DUMMYFUNCTION("IFERROR(GOOGLETRANSLATE(A656,""ko"",""en""),)"),"muffler")</f>
        <v>muffler</v>
      </c>
    </row>
    <row r="657" spans="1:2" ht="18">
      <c r="A657" s="3" t="s">
        <v>3631</v>
      </c>
      <c r="B657" s="4" t="str">
        <f ca="1">IFERROR(__xludf.DUMMYFUNCTION("IFERROR(GOOGLETRANSLATE(A657,""ko"",""en""),)"),"scarf")</f>
        <v>scarf</v>
      </c>
    </row>
    <row r="658" spans="1:2" ht="18">
      <c r="A658" s="3" t="s">
        <v>1334</v>
      </c>
      <c r="B658" s="4" t="str">
        <f ca="1">IFERROR(__xludf.DUMMYFUNCTION("IFERROR(GOOGLETRANSLATE(A658,""ko"",""en""),)"),"dress shirt")</f>
        <v>dress shirt</v>
      </c>
    </row>
    <row r="659" spans="1:2" ht="18">
      <c r="A659" s="3" t="s">
        <v>284</v>
      </c>
      <c r="B659" s="4" t="str">
        <f ca="1">IFERROR(__xludf.DUMMYFUNCTION("IFERROR(GOOGLETRANSLATE(A659,""ko"",""en""),)"),"socks")</f>
        <v>socks</v>
      </c>
    </row>
    <row r="660" spans="1:2" ht="18">
      <c r="A660" s="3" t="s">
        <v>3634</v>
      </c>
      <c r="B660" s="4" t="str">
        <f ca="1">IFERROR(__xludf.DUMMYFUNCTION("IFERROR(GOOGLETRANSLATE(A660,""ko"",""en""),)"),"dress pants")</f>
        <v>dress pants</v>
      </c>
    </row>
    <row r="661" spans="1:2" ht="18">
      <c r="A661" s="3" t="s">
        <v>1282</v>
      </c>
      <c r="B661" s="4" t="str">
        <f ca="1">IFERROR(__xludf.DUMMYFUNCTION("IFERROR(GOOGLETRANSLATE(A661,""ko"",""en""),)"),"jeans")</f>
        <v>jeans</v>
      </c>
    </row>
    <row r="662" spans="1:2" ht="18">
      <c r="A662" s="3" t="s">
        <v>3637</v>
      </c>
      <c r="B662" s="4" t="str">
        <f ca="1">IFERROR(__xludf.DUMMYFUNCTION("IFERROR(GOOGLETRANSLATE(A662,""ko"",""en""),)"),"Wear a hat.")</f>
        <v>Wear a hat.</v>
      </c>
    </row>
    <row r="663" spans="1:2" ht="18">
      <c r="A663" s="3" t="s">
        <v>3638</v>
      </c>
      <c r="B663" s="4" t="str">
        <f ca="1">IFERROR(__xludf.DUMMYFUNCTION("IFERROR(GOOGLETRANSLATE(A663,""ko"",""en""),)"),"Wear sunglasses.")</f>
        <v>Wear sunglasses.</v>
      </c>
    </row>
    <row r="664" spans="1:2" ht="18">
      <c r="A664" s="3" t="s">
        <v>3640</v>
      </c>
      <c r="B664" s="4" t="str">
        <f ca="1">IFERROR(__xludf.DUMMYFUNCTION("IFERROR(GOOGLETRANSLATE(A664,""ko"",""en""),)"),"I wear a wedding ring.")</f>
        <v>I wear a wedding ring.</v>
      </c>
    </row>
    <row r="665" spans="1:2" ht="18">
      <c r="A665" s="3" t="s">
        <v>3641</v>
      </c>
      <c r="B665" s="4" t="str">
        <f ca="1">IFERROR(__xludf.DUMMYFUNCTION("IFERROR(GOOGLETRANSLATE(A665,""ko"",""en""),)"),"The weather was so cold that I wore gloves.")</f>
        <v>The weather was so cold that I wore gloves.</v>
      </c>
    </row>
    <row r="666" spans="1:2" ht="18">
      <c r="A666" s="3" t="s">
        <v>3644</v>
      </c>
      <c r="B666" s="4" t="str">
        <f ca="1">IFERROR(__xludf.DUMMYFUNCTION("IFERROR(GOOGLETRANSLATE(A666,""ko"",""en""),)"),"Wear a tie.")</f>
        <v>Wear a tie.</v>
      </c>
    </row>
    <row r="667" spans="1:2" ht="18">
      <c r="A667" s="3" t="s">
        <v>3645</v>
      </c>
      <c r="B667" s="4" t="str">
        <f ca="1">IFERROR(__xludf.DUMMYFUNCTION("IFERROR(GOOGLETRANSLATE(A667,""ko"",""en""),)"),"Wear a scarf.")</f>
        <v>Wear a scarf.</v>
      </c>
    </row>
    <row r="668" spans="1:2" ht="18">
      <c r="A668" s="3" t="s">
        <v>3646</v>
      </c>
      <c r="B668" s="4" t="str">
        <f ca="1">IFERROR(__xludf.DUMMYFUNCTION("IFERROR(GOOGLETRANSLATE(A668,""ko"",""en""),)"),"Put on your shoes.")</f>
        <v>Put on your shoes.</v>
      </c>
    </row>
    <row r="669" spans="1:2" ht="18">
      <c r="A669" s="3" t="s">
        <v>3648</v>
      </c>
      <c r="B669" s="4" t="str">
        <f ca="1">IFERROR(__xludf.DUMMYFUNCTION("IFERROR(GOOGLETRANSLATE(A669,""ko"",""en""),)"),"I wear a jacket.")</f>
        <v>I wear a jacket.</v>
      </c>
    </row>
    <row r="670" spans="1:2" ht="18">
      <c r="A670" s="3" t="s">
        <v>3650</v>
      </c>
      <c r="B670" s="4" t="str">
        <f ca="1">IFERROR(__xludf.DUMMYFUNCTION("IFERROR(GOOGLETRANSLATE(A670,""ko"",""en""),)"),"I usually wear dresses.")</f>
        <v>I usually wear dresses.</v>
      </c>
    </row>
    <row r="671" spans="1:2" ht="18">
      <c r="A671" s="3" t="s">
        <v>3652</v>
      </c>
      <c r="B671" s="4" t="str">
        <f ca="1">IFERROR(__xludf.DUMMYFUNCTION("IFERROR(GOOGLETRANSLATE(A671,""ko"",""en""),)"),"I wore a dress.")</f>
        <v>I wore a dress.</v>
      </c>
    </row>
    <row r="672" spans="1:2" ht="18">
      <c r="A672" s="3" t="s">
        <v>3653</v>
      </c>
      <c r="B672" s="4" t="str">
        <f ca="1">IFERROR(__xludf.DUMMYFUNCTION("IFERROR(GOOGLETRANSLATE(A672,""ko"",""en""),)"),"I am wearing a T-shirt, jeans, and sneakers right now.")</f>
        <v>I am wearing a T-shirt, jeans, and sneakers right now.</v>
      </c>
    </row>
    <row r="673" spans="1:2" ht="18">
      <c r="A673" s="3" t="s">
        <v>3655</v>
      </c>
      <c r="B673" s="4" t="str">
        <f ca="1">IFERROR(__xludf.DUMMYFUNCTION("IFERROR(GOOGLETRANSLATE(A673,""ko"",""en""),)"),"I wore a T-shirt, shorts, and slippers.")</f>
        <v>I wore a T-shirt, shorts, and slippers.</v>
      </c>
    </row>
    <row r="674" spans="1:2" ht="18">
      <c r="A674" s="3" t="s">
        <v>1184</v>
      </c>
      <c r="B674" s="4" t="str">
        <f ca="1">IFERROR(__xludf.DUMMYFUNCTION("IFERROR(GOOGLETRANSLATE(A674,""ko"",""en""),)"),"indoors")</f>
        <v>indoors</v>
      </c>
    </row>
    <row r="675" spans="1:2" ht="18">
      <c r="A675" s="3" t="s">
        <v>3658</v>
      </c>
      <c r="B675" s="4" t="str">
        <f ca="1">IFERROR(__xludf.DUMMYFUNCTION("IFERROR(GOOGLETRANSLATE(A675,""ko"",""en""),)"),"indoor shoes")</f>
        <v>indoor shoes</v>
      </c>
    </row>
    <row r="676" spans="1:2" ht="18">
      <c r="A676" s="3" t="s">
        <v>3659</v>
      </c>
      <c r="B676" s="4" t="str">
        <f ca="1">IFERROR(__xludf.DUMMYFUNCTION("IFERROR(GOOGLETRANSLATE(A676,""ko"",""en""),)"),"I wore glasses. And I wore a T-shirt and pants.")</f>
        <v>I wore glasses. And I wore a T-shirt and pants.</v>
      </c>
    </row>
    <row r="677" spans="1:2" ht="18">
      <c r="A677" s="3" t="s">
        <v>3660</v>
      </c>
      <c r="B677" s="4" t="str">
        <f ca="1">IFERROR(__xludf.DUMMYFUNCTION("IFERROR(GOOGLETRANSLATE(A677,""ko"",""en""),)"),"I wear a half-jacket and sweatpants.")</f>
        <v>I wear a half-jacket and sweatpants.</v>
      </c>
    </row>
    <row r="678" spans="1:2" ht="18">
      <c r="A678" s="3" t="s">
        <v>3663</v>
      </c>
      <c r="B678" s="4" t="str">
        <f ca="1">IFERROR(__xludf.DUMMYFUNCTION("IFERROR(GOOGLETRANSLATE(A678,""ko"",""en""),)"),"cotton pants")</f>
        <v>cotton pants</v>
      </c>
    </row>
    <row r="679" spans="1:2" ht="18">
      <c r="A679" s="3" t="s">
        <v>3665</v>
      </c>
      <c r="B679" s="4" t="str">
        <f ca="1">IFERROR(__xludf.DUMMYFUNCTION("IFERROR(GOOGLETRANSLATE(A679,""ko"",""en""),)"),"long pants")</f>
        <v>long pants</v>
      </c>
    </row>
    <row r="680" spans="1:2" ht="18">
      <c r="A680" s="3" t="s">
        <v>3666</v>
      </c>
      <c r="B680" s="4" t="str">
        <f ca="1">IFERROR(__xludf.DUMMYFUNCTION("IFERROR(GOOGLETRANSLATE(A680,""ko"",""en""),)"),"short-sleeved T-shirt")</f>
        <v>short-sleeved T-shirt</v>
      </c>
    </row>
    <row r="681" spans="1:2" ht="18">
      <c r="A681" s="3" t="s">
        <v>3667</v>
      </c>
      <c r="B681" s="4" t="str">
        <f ca="1">IFERROR(__xludf.DUMMYFUNCTION("IFERROR(GOOGLETRANSLATE(A681,""ko"",""en""),)"),"long-sleeved T-shirt")</f>
        <v>long-sleeved T-shirt</v>
      </c>
    </row>
    <row r="682" spans="1:2" ht="18">
      <c r="A682" s="3" t="s">
        <v>3669</v>
      </c>
      <c r="B682" s="4" t="str">
        <f ca="1">IFERROR(__xludf.DUMMYFUNCTION("IFERROR(GOOGLETRANSLATE(A682,""ko"",""en""),)"),"I wear sneakers.")</f>
        <v>I wear sneakers.</v>
      </c>
    </row>
    <row r="683" spans="1:2" ht="18">
      <c r="A683" s="3" t="s">
        <v>3670</v>
      </c>
      <c r="B683" s="4" t="str">
        <f ca="1">IFERROR(__xludf.DUMMYFUNCTION("IFERROR(GOOGLETRANSLATE(A683,""ko"",""en""),)"),"I wear a blouse and a skirt when I go to work.")</f>
        <v>I wear a blouse and a skirt when I go to work.</v>
      </c>
    </row>
    <row r="684" spans="1:2" ht="18">
      <c r="A684" s="3" t="s">
        <v>3673</v>
      </c>
      <c r="B684" s="4" t="str">
        <f ca="1">IFERROR(__xludf.DUMMYFUNCTION("IFERROR(GOOGLETRANSLATE(A684,""ko"",""en""),)"),"When I go to the mountains, I wear athletic wear and hiking boots.")</f>
        <v>When I go to the mountains, I wear athletic wear and hiking boots.</v>
      </c>
    </row>
    <row r="685" spans="1:2" ht="18">
      <c r="A685" s="3" t="s">
        <v>3674</v>
      </c>
      <c r="B685" s="4" t="str">
        <f ca="1">IFERROR(__xludf.DUMMYFUNCTION("IFERROR(GOOGLETRANSLATE(A685,""ko"",""en""),)"),"Wear a scarf when the weather is very cold.")</f>
        <v>Wear a scarf when the weather is very cold.</v>
      </c>
    </row>
    <row r="686" spans="1:2" ht="18">
      <c r="A686" s="3" t="s">
        <v>3676</v>
      </c>
      <c r="B686" s="4" t="str">
        <f ca="1">IFERROR(__xludf.DUMMYFUNCTION("IFERROR(GOOGLETRANSLATE(A686,""ko"",""en""),)"),"What are you going to do next week?")</f>
        <v>What are you going to do next week?</v>
      </c>
    </row>
    <row r="687" spans="1:2" ht="18">
      <c r="A687" s="3" t="s">
        <v>3678</v>
      </c>
      <c r="B687" s="4" t="str">
        <f ca="1">IFERROR(__xludf.DUMMYFUNCTION("IFERROR(GOOGLETRANSLATE(A687,""ko"",""en""),)"),"I decided to meet a friend.")</f>
        <v>I decided to meet a friend.</v>
      </c>
    </row>
    <row r="688" spans="1:2" ht="18">
      <c r="A688" s="3" t="s">
        <v>3680</v>
      </c>
      <c r="B688" s="4" t="str">
        <f ca="1">IFERROR(__xludf.DUMMYFUNCTION("IFERROR(GOOGLETRANSLATE(A688,""ko"",""en""),)"),"Wow, your clothes are cool.")</f>
        <v>Wow, your clothes are cool.</v>
      </c>
    </row>
    <row r="689" spans="1:2" ht="18">
      <c r="A689" s="3" t="s">
        <v>3682</v>
      </c>
      <c r="B689" s="4" t="str">
        <f ca="1">IFERROR(__xludf.DUMMYFUNCTION("IFERROR(GOOGLETRANSLATE(A689,""ko"",""en""),)"),"Thank you. I’m meeting my girlfriend this evening.")</f>
        <v>Thank you. I’m meeting my girlfriend this evening.</v>
      </c>
    </row>
    <row r="690" spans="1:2" ht="18">
      <c r="A690" s="3" t="s">
        <v>3683</v>
      </c>
      <c r="B690" s="4" t="str">
        <f ca="1">IFERROR(__xludf.DUMMYFUNCTION("IFERROR(GOOGLETRANSLATE(A690,""ko"",""en""),)"),"Let's look at the autumn foliage.")</f>
        <v>Let's look at the autumn foliage.</v>
      </c>
    </row>
    <row r="691" spans="1:2" ht="18">
      <c r="A691" s="3" t="s">
        <v>3686</v>
      </c>
      <c r="B691" s="4" t="str">
        <f ca="1">IFERROR(__xludf.DUMMYFUNCTION("IFERROR(GOOGLETRANSLATE(A691,""ko"",""en""),)"),"I decided to go to the Blue Mountains with my family.")</f>
        <v>I decided to go to the Blue Mountains with my family.</v>
      </c>
    </row>
    <row r="692" spans="1:2" ht="18">
      <c r="A692" s="3" t="s">
        <v>3688</v>
      </c>
      <c r="B692" s="4" t="str">
        <f ca="1">IFERROR(__xludf.DUMMYFUNCTION("IFERROR(GOOGLETRANSLATE(A692,""ko"",""en""),)"),"I decided to study hard starting today.")</f>
        <v>I decided to study hard starting today.</v>
      </c>
    </row>
    <row r="693" spans="1:2" ht="18">
      <c r="A693" s="3" t="s">
        <v>3689</v>
      </c>
      <c r="B693" s="4" t="str">
        <f ca="1">IFERROR(__xludf.DUMMYFUNCTION("IFERROR(GOOGLETRANSLATE(A693,""ko"",""en""),)"),"I decided to eat healthy food starting tomorrow.")</f>
        <v>I decided to eat healthy food starting tomorrow.</v>
      </c>
    </row>
    <row r="694" spans="1:2" ht="18">
      <c r="A694" s="3" t="s">
        <v>3692</v>
      </c>
      <c r="B694" s="4" t="str">
        <f ca="1">IFERROR(__xludf.DUMMYFUNCTION("IFERROR(GOOGLETRANSLATE(A694,""ko"",""en""),)"),"I decided to eat healthy food starting tomorrow.")</f>
        <v>I decided to eat healthy food starting tomorrow.</v>
      </c>
    </row>
    <row r="695" spans="1:2" ht="18">
      <c r="A695" s="3" t="s">
        <v>3693</v>
      </c>
      <c r="B695" s="4" t="str">
        <f ca="1">IFERROR(__xludf.DUMMYFUNCTION("IFERROR(GOOGLETRANSLATE(A695,""ko"",""en""),)"),"I decided to have cake for dinner tonight.")</f>
        <v>I decided to have cake for dinner tonight.</v>
      </c>
    </row>
    <row r="696" spans="1:2" ht="18">
      <c r="A696" s="3" t="s">
        <v>3695</v>
      </c>
      <c r="B696" s="4" t="str">
        <f ca="1">IFERROR(__xludf.DUMMYFUNCTION("IFERROR(GOOGLETRANSLATE(A696,""ko"",""en""),)"),"I decided to have Korean food with a friend for dinner tonight.")</f>
        <v>I decided to have Korean food with a friend for dinner tonight.</v>
      </c>
    </row>
    <row r="697" spans="1:2" ht="18">
      <c r="A697" s="3" t="s">
        <v>3697</v>
      </c>
      <c r="B697" s="4" t="str">
        <f ca="1">IFERROR(__xludf.DUMMYFUNCTION("IFERROR(GOOGLETRANSLATE(A697,""ko"",""en""),)"),"Do you have time? Shall we meet? I'm sorry.")</f>
        <v>Do you have time? Shall we meet? I'm sorry.</v>
      </c>
    </row>
    <row r="698" spans="1:2" ht="18">
      <c r="A698" s="3" t="s">
        <v>3699</v>
      </c>
      <c r="B698" s="4" t="str">
        <f ca="1">IFERROR(__xludf.DUMMYFUNCTION("IFERROR(GOOGLETRANSLATE(A698,""ko"",""en""),)"),"I decided to play at the park with my younger sibling today.")</f>
        <v>I decided to play at the park with my younger sibling today.</v>
      </c>
    </row>
    <row r="699" spans="1:2" ht="18">
      <c r="A699" s="3" t="s">
        <v>3700</v>
      </c>
      <c r="B699" s="4" t="str">
        <f ca="1">IFERROR(__xludf.DUMMYFUNCTION("IFERROR(GOOGLETRANSLATE(A699,""ko"",""en""),)"),"I decided to watch a movie with a friend tomorrow.")</f>
        <v>I decided to watch a movie with a friend tomorrow.</v>
      </c>
    </row>
    <row r="700" spans="1:2" ht="18">
      <c r="A700" s="3" t="s">
        <v>3702</v>
      </c>
      <c r="B700" s="4" t="str">
        <f ca="1">IFERROR(__xludf.DUMMYFUNCTION("IFERROR(GOOGLETRANSLATE(A700,""ko"",""en""),)"),"What movie is fun?")</f>
        <v>What movie is fun?</v>
      </c>
    </row>
    <row r="701" spans="1:2" ht="18">
      <c r="A701" s="3" t="s">
        <v>3705</v>
      </c>
      <c r="B701" s="4" t="str">
        <f ca="1">IFERROR(__xludf.DUMMYFUNCTION("IFERROR(GOOGLETRANSLATE(A701,""ko"",""en""),)"),"Did you decide to meet your significant other tomorrow?")</f>
        <v>Did you decide to meet your significant other tomorrow?</v>
      </c>
    </row>
    <row r="702" spans="1:2" ht="18">
      <c r="A702" s="3" t="s">
        <v>3707</v>
      </c>
      <c r="B702" s="4" t="str">
        <f ca="1">IFERROR(__xludf.DUMMYFUNCTION("IFERROR(GOOGLETRANSLATE(A702,""ko"",""en""),)"),"Yes. We decided to meet.")</f>
        <v>Yes. We decided to meet.</v>
      </c>
    </row>
    <row r="703" spans="1:2" ht="18">
      <c r="A703" s="3" t="s">
        <v>3709</v>
      </c>
      <c r="B703" s="4" t="str">
        <f ca="1">IFERROR(__xludf.DUMMYFUNCTION("IFERROR(GOOGLETRANSLATE(A703,""ko"",""en""),)"),"I need sneakers, so I decided to go shopping.")</f>
        <v>I need sneakers, so I decided to go shopping.</v>
      </c>
    </row>
    <row r="704" spans="1:2" ht="18">
      <c r="A704" s="3" t="s">
        <v>3711</v>
      </c>
      <c r="B704" s="4" t="str">
        <f ca="1">IFERROR(__xludf.DUMMYFUNCTION("IFERROR(GOOGLETRANSLATE(A704,""ko"",""en""),)"),"I decided to go shopping because tomorrow is Boxing Day.")</f>
        <v>I decided to go shopping because tomorrow is Boxing Day.</v>
      </c>
    </row>
    <row r="705" spans="1:2" ht="18">
      <c r="A705" s="3" t="s">
        <v>3714</v>
      </c>
      <c r="B705" s="4" t="str">
        <f ca="1">IFERROR(__xludf.DUMMYFUNCTION("IFERROR(GOOGLETRANSLATE(A705,""ko"",""en""),)"),"I decided to go on a date.")</f>
        <v>I decided to go on a date.</v>
      </c>
    </row>
    <row r="706" spans="1:2" ht="18">
      <c r="A706" s="3" t="s">
        <v>3715</v>
      </c>
      <c r="B706" s="4" t="str">
        <f ca="1">IFERROR(__xludf.DUMMYFUNCTION("IFERROR(GOOGLETRANSLATE(A706,""ko"",""en""),)"),"We agreed to meet in front of the company at 5 o'clock.")</f>
        <v>We agreed to meet in front of the company at 5 o'clock.</v>
      </c>
    </row>
    <row r="707" spans="1:2" ht="18">
      <c r="A707" s="3" t="s">
        <v>3716</v>
      </c>
      <c r="B707" s="4" t="str">
        <f ca="1">IFERROR(__xludf.DUMMYFUNCTION("IFERROR(GOOGLETRANSLATE(A707,""ko"",""en""),)"),"I decided to have a meal with a friend.")</f>
        <v>I decided to have a meal with a friend.</v>
      </c>
    </row>
    <row r="708" spans="1:2" ht="18">
      <c r="A708" s="3" t="s">
        <v>3719</v>
      </c>
      <c r="B708" s="4" t="str">
        <f ca="1">IFERROR(__xludf.DUMMYFUNCTION("IFERROR(GOOGLETRANSLATE(A708,""ko"",""en""),)"),"I hung out downtown on the weekend.")</f>
        <v>I hung out downtown on the weekend.</v>
      </c>
    </row>
    <row r="709" spans="1:2" ht="18">
      <c r="A709" s="3" t="s">
        <v>3721</v>
      </c>
      <c r="B709" s="4" t="str">
        <f ca="1">IFERROR(__xludf.DUMMYFUNCTION("IFERROR(GOOGLETRANSLATE(A709,""ko"",""en""),)"),"I decided to have tea and watch a movie with a friend.")</f>
        <v>I decided to have tea and watch a movie with a friend.</v>
      </c>
    </row>
    <row r="710" spans="1:2" ht="18">
      <c r="A710" s="3" t="s">
        <v>3722</v>
      </c>
      <c r="B710" s="4" t="str">
        <f ca="1">IFERROR(__xludf.DUMMYFUNCTION("IFERROR(GOOGLETRANSLATE(A710,""ko"",""en""),)"),"What are you doing this afternoon?")</f>
        <v>What are you doing this afternoon?</v>
      </c>
    </row>
    <row r="711" spans="1:2" ht="18">
      <c r="A711" s="3" t="s">
        <v>3724</v>
      </c>
      <c r="B711" s="4" t="str">
        <f ca="1">IFERROR(__xludf.DUMMYFUNCTION("IFERROR(GOOGLETRANSLATE(A711,""ko"",""en""),)"),"I decided to go shopping with a friend.")</f>
        <v>I decided to go shopping with a friend.</v>
      </c>
    </row>
    <row r="712" spans="1:2" ht="18">
      <c r="A712" s="3" t="s">
        <v>3727</v>
      </c>
      <c r="B712" s="4" t="str">
        <f ca="1">IFERROR(__xludf.DUMMYFUNCTION("IFERROR(GOOGLETRANSLATE(A712,""ko"",""en""),)"),"What are you doing tomorrow?")</f>
        <v>What are you doing tomorrow?</v>
      </c>
    </row>
    <row r="713" spans="1:2" ht="18">
      <c r="A713" s="3" t="s">
        <v>3728</v>
      </c>
      <c r="B713" s="4" t="str">
        <f ca="1">IFERROR(__xludf.DUMMYFUNCTION("IFERROR(GOOGLETRANSLATE(A713,""ko"",""en""),)"),"I decided to go to the gym tomorrow.")</f>
        <v>I decided to go to the gym tomorrow.</v>
      </c>
    </row>
    <row r="714" spans="1:2" ht="18">
      <c r="A714" s="3" t="s">
        <v>3730</v>
      </c>
      <c r="B714" s="4" t="str">
        <f ca="1">IFERROR(__xludf.DUMMYFUNCTION("IFERROR(GOOGLETRANSLATE(A714,""ko"",""en""),)"),"I decided to study Korean this weekend.")</f>
        <v>I decided to study Korean this weekend.</v>
      </c>
    </row>
    <row r="715" spans="1:2" ht="18">
      <c r="A715" s="3" t="s">
        <v>3732</v>
      </c>
      <c r="B715" s="4" t="str">
        <f ca="1">IFERROR(__xludf.DUMMYFUNCTION("IFERROR(GOOGLETRANSLATE(A715,""ko"",""en""),)"),"What are you doing next week?")</f>
        <v>What are you doing next week?</v>
      </c>
    </row>
    <row r="716" spans="1:2" ht="18">
      <c r="A716" s="3" t="s">
        <v>3733</v>
      </c>
      <c r="B716" s="4" t="str">
        <f ca="1">IFERROR(__xludf.DUMMYFUNCTION("IFERROR(GOOGLETRANSLATE(A716,""ko"",""en""),)"),"I decided to study Korean next week.")</f>
        <v>I decided to study Korean next week.</v>
      </c>
    </row>
    <row r="717" spans="1:2" ht="18">
      <c r="A717" s="3" t="s">
        <v>3735</v>
      </c>
      <c r="B717" s="4" t="str">
        <f ca="1">IFERROR(__xludf.DUMMYFUNCTION("IFERROR(GOOGLETRANSLATE(A717,""ko"",""en""),)"),"What are you doing on Anzac Day?")</f>
        <v>What are you doing on Anzac Day?</v>
      </c>
    </row>
    <row r="718" spans="1:2" ht="18">
      <c r="A718" s="3" t="s">
        <v>3737</v>
      </c>
      <c r="B718" s="4" t="str">
        <f ca="1">IFERROR(__xludf.DUMMYFUNCTION("IFERROR(GOOGLETRANSLATE(A718,""ko"",""en""),)"),"I decided to go to Martin Place in the morning on Anzac Day.")</f>
        <v>I decided to go to Martin Place in the morning on Anzac Day.</v>
      </c>
    </row>
    <row r="719" spans="1:2" ht="18">
      <c r="A719" s="3" t="s">
        <v>3739</v>
      </c>
      <c r="B719" s="4" t="str">
        <f ca="1">IFERROR(__xludf.DUMMYFUNCTION("IFERROR(GOOGLETRANSLATE(A719,""ko"",""en""),)"),"We decided to have my daughter's birthday party next week.")</f>
        <v>We decided to have my daughter's birthday party next week.</v>
      </c>
    </row>
    <row r="720" spans="1:2" ht="18">
      <c r="A720" s="3" t="s">
        <v>3740</v>
      </c>
      <c r="B720" s="4" t="str">
        <f ca="1">IFERROR(__xludf.DUMMYFUNCTION("IFERROR(GOOGLETRANSLATE(A720,""ko"",""en""),)"),"Have a great time")</f>
        <v>Have a great time</v>
      </c>
    </row>
    <row r="721" spans="1:2" ht="18">
      <c r="A721" s="3" t="s">
        <v>3742</v>
      </c>
      <c r="B721" s="4" t="str">
        <f ca="1">IFERROR(__xludf.DUMMYFUNCTION("IFERROR(GOOGLETRANSLATE(A721,""ko"",""en""),)"),"I decided to go grocery shopping with my wife tomorrow.")</f>
        <v>I decided to go grocery shopping with my wife tomorrow.</v>
      </c>
    </row>
    <row r="722" spans="1:2" ht="18">
      <c r="A722" s="3" t="s">
        <v>3743</v>
      </c>
      <c r="B722" s="4" t="str">
        <f ca="1">IFERROR(__xludf.DUMMYFUNCTION("IFERROR(GOOGLETRANSLATE(A722,""ko"",""en""),)"),"Take me with you, too!")</f>
        <v>Take me with you, too!</v>
      </c>
    </row>
    <row r="723" spans="1:2" ht="18">
      <c r="A723" s="3" t="s">
        <v>3744</v>
      </c>
      <c r="B723" s="4" t="str">
        <f ca="1">IFERROR(__xludf.DUMMYFUNCTION("IFERROR(GOOGLETRANSLATE(A723,""ko"",""en""),)"),"I decided to eat Korean food.")</f>
        <v>I decided to eat Korean food.</v>
      </c>
    </row>
    <row r="724" spans="1:2" ht="18">
      <c r="A724" s="3" t="s">
        <v>3746</v>
      </c>
      <c r="B724" s="4" t="str">
        <f ca="1">IFERROR(__xludf.DUMMYFUNCTION("IFERROR(GOOGLETRANSLATE(A724,""ko"",""en""),)"),"We decided to hang out downtown.")</f>
        <v>We decided to hang out downtown.</v>
      </c>
    </row>
    <row r="725" spans="1:2" ht="18">
      <c r="A725" s="3" t="s">
        <v>3748</v>
      </c>
      <c r="B725" s="4" t="str">
        <f ca="1">IFERROR(__xludf.DUMMYFUNCTION("IFERROR(GOOGLETRANSLATE(A725,""ko"",""en""),)"),"What are you going to do on Monday?")</f>
        <v>What are you going to do on Monday?</v>
      </c>
    </row>
    <row r="726" spans="1:2" ht="18">
      <c r="A726" s="3" t="s">
        <v>3749</v>
      </c>
      <c r="B726" s="4" t="str">
        <f ca="1">IFERROR(__xludf.DUMMYFUNCTION("IFERROR(GOOGLETRANSLATE(A726,""ko"",""en""),)"),"We decided to have an exercise group.")</f>
        <v>We decided to have an exercise group.</v>
      </c>
    </row>
    <row r="727" spans="1:2" ht="18">
      <c r="A727" s="3" t="s">
        <v>3751</v>
      </c>
      <c r="B727" s="4" t="str">
        <f ca="1">IFERROR(__xludf.DUMMYFUNCTION("IFERROR(GOOGLETRANSLATE(A727,""ko"",""en""),)"),"What did you plan to do on Thursday?")</f>
        <v>What did you plan to do on Thursday?</v>
      </c>
    </row>
    <row r="728" spans="1:2" ht="18">
      <c r="A728" s="3" t="s">
        <v>3753</v>
      </c>
      <c r="B728" s="4" t="str">
        <f ca="1">IFERROR(__xludf.DUMMYFUNCTION("IFERROR(GOOGLETRANSLATE(A728,""ko"",""en""),)"),"We decided to have a club meeting.")</f>
        <v>We decided to have a club meeting.</v>
      </c>
    </row>
    <row r="729" spans="1:2" ht="18">
      <c r="A729" s="3" t="s">
        <v>3754</v>
      </c>
      <c r="B729" s="4" t="str">
        <f ca="1">IFERROR(__xludf.DUMMYFUNCTION("IFERROR(GOOGLETRANSLATE(A729,""ko"",""en""),)"),"What are you going to do on Friday?")</f>
        <v>What are you going to do on Friday?</v>
      </c>
    </row>
    <row r="730" spans="1:2" ht="18">
      <c r="A730" s="3" t="s">
        <v>3756</v>
      </c>
      <c r="B730" s="4" t="str">
        <f ca="1">IFERROR(__xludf.DUMMYFUNCTION("IFERROR(GOOGLETRANSLATE(A730,""ko"",""en""),)"),"I decided to watch a movie with Jaemin.")</f>
        <v>I decided to watch a movie with Jaemin.</v>
      </c>
    </row>
    <row r="731" spans="1:2" ht="18">
      <c r="A731" s="3" t="s">
        <v>3758</v>
      </c>
      <c r="B731" s="4" t="str">
        <f ca="1">IFERROR(__xludf.DUMMYFUNCTION("IFERROR(GOOGLETRANSLATE(A731,""ko"",""en""),)"),"What did you plan to do on Saturday?")</f>
        <v>What did you plan to do on Saturday?</v>
      </c>
    </row>
    <row r="732" spans="1:2" ht="18">
      <c r="A732" s="3" t="s">
        <v>3760</v>
      </c>
      <c r="B732" s="4" t="str">
        <f ca="1">IFERROR(__xludf.DUMMYFUNCTION("IFERROR(GOOGLETRANSLATE(A732,""ko"",""en""),)"),"I decided to play badminton with Anna.")</f>
        <v>I decided to play badminton with Anna.</v>
      </c>
    </row>
    <row r="733" spans="1:2" ht="18">
      <c r="A733" s="3" t="s">
        <v>3761</v>
      </c>
      <c r="B733" s="4" t="str">
        <f ca="1">IFERROR(__xludf.DUMMYFUNCTION("IFERROR(GOOGLETRANSLATE(A733,""ko"",""en""),)"),"What are you going to do on Sunday?")</f>
        <v>What are you going to do on Sunday?</v>
      </c>
    </row>
    <row r="734" spans="1:2" ht="18">
      <c r="A734" s="3" t="s">
        <v>3762</v>
      </c>
      <c r="B734" s="4" t="str">
        <f ca="1">IFERROR(__xludf.DUMMYFUNCTION("IFERROR(GOOGLETRANSLATE(A734,""ko"",""en""),)"),"I decided to watch a soccer match at home.")</f>
        <v>I decided to watch a soccer match at home.</v>
      </c>
    </row>
    <row r="735" spans="1:2" ht="18">
      <c r="A735" s="3" t="s">
        <v>3764</v>
      </c>
      <c r="B735" s="4" t="str">
        <f ca="1">IFERROR(__xludf.DUMMYFUNCTION("IFERROR(GOOGLETRANSLATE(A735,""ko"",""en""),)"),"I decided to study more Korean after class.")</f>
        <v>I decided to study more Korean after class.</v>
      </c>
    </row>
    <row r="736" spans="1:2" ht="18">
      <c r="A736" s="3" t="s">
        <v>3766</v>
      </c>
      <c r="B736" s="4" t="str">
        <f ca="1">IFERROR(__xludf.DUMMYFUNCTION("IFERROR(GOOGLETRANSLATE(A736,""ko"",""en""),)"),"Family Month")</f>
        <v>Family Month</v>
      </c>
    </row>
    <row r="737" spans="1:2" ht="18">
      <c r="A737" s="3" t="s">
        <v>3767</v>
      </c>
      <c r="B737" s="4" t="str">
        <f ca="1">IFERROR(__xludf.DUMMYFUNCTION("IFERROR(GOOGLETRANSLATE(A737,""ko"",""en""),)"),"The week before last")</f>
        <v>The week before last</v>
      </c>
    </row>
    <row r="738" spans="1:2" ht="18">
      <c r="A738" s="3" t="s">
        <v>1814</v>
      </c>
      <c r="B738" s="4" t="str">
        <f ca="1">IFERROR(__xludf.DUMMYFUNCTION("IFERROR(GOOGLETRANSLATE(A738,""ko"",""en""),)"),"last week")</f>
        <v>last week</v>
      </c>
    </row>
    <row r="739" spans="1:2" ht="18">
      <c r="A739" s="3" t="s">
        <v>3769</v>
      </c>
      <c r="B739" s="4" t="str">
        <f ca="1">IFERROR(__xludf.DUMMYFUNCTION("IFERROR(GOOGLETRANSLATE(A739,""ko"",""en""),)"),"cotton T-shirt")</f>
        <v>cotton T-shirt</v>
      </c>
    </row>
    <row r="740" spans="1:2" ht="18">
      <c r="A740" s="3" t="s">
        <v>3771</v>
      </c>
      <c r="B740" s="4" t="str">
        <f ca="1">IFERROR(__xludf.DUMMYFUNCTION("IFERROR(GOOGLETRANSLATE(A740,""ko"",""en""),)"),"You all decided to study Korean harder starting last week.")</f>
        <v>You all decided to study Korean harder starting last week.</v>
      </c>
    </row>
    <row r="741" spans="1:2" ht="18">
      <c r="A741" s="3" t="s">
        <v>3772</v>
      </c>
      <c r="B741" s="4" t="str">
        <f ca="1">IFERROR(__xludf.DUMMYFUNCTION("IFERROR(GOOGLETRANSLATE(A741,""ko"",""en""),)"),"Shall we go downtown today?")</f>
        <v>Shall we go downtown today?</v>
      </c>
    </row>
    <row r="742" spans="1:2" ht="18">
      <c r="A742" s="3" t="s">
        <v>3774</v>
      </c>
      <c r="B742" s="4" t="str">
        <f ca="1">IFERROR(__xludf.DUMMYFUNCTION("IFERROR(GOOGLETRANSLATE(A742,""ko"",""en""),)"),"I'm sorry. I'm having dinner with my boyfriend today.")</f>
        <v>I'm sorry. I'm having dinner with my boyfriend today.</v>
      </c>
    </row>
    <row r="744" spans="1:2" ht="18">
      <c r="A744" s="3" t="s">
        <v>3775</v>
      </c>
      <c r="B744" s="4" t="str">
        <f ca="1">IFERROR(__xludf.DUMMYFUNCTION("IFERROR(GOOGLETRANSLATE(A744,""ko"",""en""),)"),"Write the answer in your notebook.")</f>
        <v>Write the answer in your notebook.</v>
      </c>
    </row>
    <row r="745" spans="1:2" ht="18">
      <c r="A745" s="3" t="s">
        <v>3777</v>
      </c>
      <c r="B745" s="4" t="str">
        <f ca="1">IFERROR(__xludf.DUMMYFUNCTION("IFERROR(GOOGLETRANSLATE(A745,""ko"",""en""),)"),"Throw trash in the park.")</f>
        <v>Throw trash in the park.</v>
      </c>
    </row>
    <row r="746" spans="1:2" ht="18">
      <c r="A746" s="3" t="s">
        <v>3779</v>
      </c>
      <c r="B746" s="4" t="str">
        <f ca="1">IFERROR(__xludf.DUMMYFUNCTION("IFERROR(GOOGLETRANSLATE(A746,""ko"",""en""),)"),"I wear jeans and a T-shirt every day.")</f>
        <v>I wear jeans and a T-shirt every day.</v>
      </c>
    </row>
    <row r="747" spans="1:2" ht="18">
      <c r="A747" s="3" t="s">
        <v>3780</v>
      </c>
      <c r="B747" s="4" t="str">
        <f ca="1">IFERROR(__xludf.DUMMYFUNCTION("IFERROR(GOOGLETRANSLATE(A747,""ko"",""en""),)"),"Add salt to the soup.")</f>
        <v>Add salt to the soup.</v>
      </c>
    </row>
    <row r="748" spans="1:2" ht="18">
      <c r="A748" s="3" t="s">
        <v>3781</v>
      </c>
      <c r="B748" s="4" t="str">
        <f ca="1">IFERROR(__xludf.DUMMYFUNCTION("IFERROR(GOOGLETRANSLATE(A748,""ko"",""en""),)"),"I have a meeting tomorrow. What should I wear?")</f>
        <v>I have a meeting tomorrow. What should I wear?</v>
      </c>
    </row>
    <row r="749" spans="1:2" ht="18">
      <c r="A749" s="3" t="s">
        <v>3783</v>
      </c>
      <c r="B749" s="4" t="str">
        <f ca="1">IFERROR(__xludf.DUMMYFUNCTION("IFERROR(GOOGLETRANSLATE(A749,""ko"",""en""),)"),"Wear dress shoes with your suit.")</f>
        <v>Wear dress shoes with your suit.</v>
      </c>
    </row>
    <row r="750" spans="1:2" ht="18">
      <c r="A750" s="3" t="s">
        <v>3784</v>
      </c>
      <c r="B750" s="4" t="str">
        <f ca="1">IFERROR(__xludf.DUMMYFUNCTION("IFERROR(GOOGLETRANSLATE(A750,""ko"",""en""),)"),"important meeting")</f>
        <v>important meeting</v>
      </c>
    </row>
    <row r="751" spans="1:2" ht="18">
      <c r="A751" s="3" t="s">
        <v>3786</v>
      </c>
      <c r="B751" s="4" t="str">
        <f ca="1">IFERROR(__xludf.DUMMYFUNCTION("IFERROR(GOOGLETRANSLATE(A751,""ko"",""en""),)"),"I'm going to Luna Park tomorrow. What should I wear?")</f>
        <v>I'm going to Luna Park tomorrow. What should I wear?</v>
      </c>
    </row>
    <row r="752" spans="1:2" ht="18">
      <c r="A752" s="3" t="s">
        <v>3788</v>
      </c>
      <c r="B752" s="4" t="str">
        <f ca="1">IFERROR(__xludf.DUMMYFUNCTION("IFERROR(GOOGLETRANSLATE(A752,""ko"",""en""),)"),"Wear athletic wear and sneakers.")</f>
        <v>Wear athletic wear and sneakers.</v>
      </c>
    </row>
    <row r="753" spans="1:2" ht="18">
      <c r="A753" s="3" t="s">
        <v>3789</v>
      </c>
      <c r="B753" s="4" t="str">
        <f ca="1">IFERROR(__xludf.DUMMYFUNCTION("IFERROR(GOOGLETRANSLATE(A753,""ko"",""en""),)"),"Wear comfortable clothes.")</f>
        <v>Wear comfortable clothes.</v>
      </c>
    </row>
    <row r="754" spans="1:2" ht="18">
      <c r="A754" s="3" t="s">
        <v>3790</v>
      </c>
      <c r="B754" s="4" t="str">
        <f ca="1">IFERROR(__xludf.DUMMYFUNCTION("IFERROR(GOOGLETRANSLATE(A754,""ko"",""en""),)"),"to the neck")</f>
        <v>to the neck</v>
      </c>
    </row>
    <row r="755" spans="1:2" ht="18">
      <c r="A755" s="3" t="s">
        <v>3792</v>
      </c>
      <c r="B755" s="4" t="str">
        <f ca="1">IFERROR(__xludf.DUMMYFUNCTION("IFERROR(GOOGLETRANSLATE(A755,""ko"",""en""),)"),"Wear a scarf around your neck.")</f>
        <v>Wear a scarf around your neck.</v>
      </c>
    </row>
    <row r="756" spans="1:2" ht="18">
      <c r="A756" s="3" t="s">
        <v>3794</v>
      </c>
      <c r="B756" s="4" t="str">
        <f ca="1">IFERROR(__xludf.DUMMYFUNCTION("IFERROR(GOOGLETRANSLATE(A756,""ko"",""en""),)"),"On a suit")</f>
        <v>On a suit</v>
      </c>
    </row>
    <row r="757" spans="1:2" ht="18">
      <c r="A757" s="3" t="s">
        <v>3795</v>
      </c>
      <c r="B757" s="4" t="str">
        <f ca="1">IFERROR(__xludf.DUMMYFUNCTION("IFERROR(GOOGLETRANSLATE(A757,""ko"",""en""),)"),"Wear a tie with your suit.")</f>
        <v>Wear a tie with your suit.</v>
      </c>
    </row>
    <row r="758" spans="1:2" ht="18">
      <c r="A758" s="3" t="s">
        <v>3796</v>
      </c>
      <c r="B758" s="4" t="str">
        <f ca="1">IFERROR(__xludf.DUMMYFUNCTION("IFERROR(GOOGLETRANSLATE(A758,""ko"",""en""),)"),"Wear a skirt over a blouse.")</f>
        <v>Wear a skirt over a blouse.</v>
      </c>
    </row>
    <row r="759" spans="1:2" ht="18">
      <c r="A759" s="5" t="s">
        <v>2483</v>
      </c>
      <c r="B759" s="4" t="s">
        <v>3798</v>
      </c>
    </row>
    <row r="760" spans="1:2" ht="18">
      <c r="A760" s="5" t="s">
        <v>3799</v>
      </c>
      <c r="B760" s="4" t="str">
        <f ca="1">IFERROR(__xludf.DUMMYFUNCTION("IFERROR(GOOGLETRANSLATE(A760,""ko"",""en""),)"),"blind date")</f>
        <v>blind date</v>
      </c>
    </row>
    <row r="761" spans="1:2" ht="18">
      <c r="A761" s="3" t="s">
        <v>3801</v>
      </c>
      <c r="B761" s="4" t="str">
        <f ca="1">IFERROR(__xludf.DUMMYFUNCTION("IFERROR(GOOGLETRANSLATE(A761,""ko"",""en""),)"),"Wear shorts over a T-shirt.")</f>
        <v>Wear shorts over a T-shirt.</v>
      </c>
    </row>
    <row r="762" spans="1:2" ht="18">
      <c r="A762" s="3" t="s">
        <v>3802</v>
      </c>
      <c r="B762" s="4" t="str">
        <f ca="1">IFERROR(__xludf.DUMMYFUNCTION("IFERROR(GOOGLETRANSLATE(A762,""ko"",""en""),)"),"Put on gloves over your sweater.")</f>
        <v>Put on gloves over your sweater.</v>
      </c>
    </row>
    <row r="763" spans="1:2" ht="18">
      <c r="A763" s="3" t="s">
        <v>3803</v>
      </c>
      <c r="B763" s="4" t="str">
        <f ca="1">IFERROR(__xludf.DUMMYFUNCTION("IFERROR(GOOGLETRANSLATE(A763,""ko"",""en""),)"),"Wear a blouse with your pants.")</f>
        <v>Wear a blouse with your pants.</v>
      </c>
    </row>
    <row r="764" spans="1:2" ht="18">
      <c r="A764" s="3" t="s">
        <v>3805</v>
      </c>
      <c r="B764" s="4" t="str">
        <f ca="1">IFERROR(__xludf.DUMMYFUNCTION("IFERROR(GOOGLETRANSLATE(A764,""ko"",""en""),)"),"The weather is cold, so I wear a scarf over my coat.")</f>
        <v>The weather is cold, so I wear a scarf over my coat.</v>
      </c>
    </row>
    <row r="765" spans="1:2" ht="18">
      <c r="A765" s="3" t="s">
        <v>3807</v>
      </c>
      <c r="B765" s="4" t="str">
        <f ca="1">IFERROR(__xludf.DUMMYFUNCTION("IFERROR(GOOGLETRANSLATE(A765,""ko"",""en""),)"),"Since the weather is cold, wear a scarf with your coat.")</f>
        <v>Since the weather is cold, wear a scarf with your coat.</v>
      </c>
    </row>
    <row r="766" spans="1:2" ht="18">
      <c r="A766" s="3" t="s">
        <v>3808</v>
      </c>
      <c r="B766" s="4" t="str">
        <f ca="1">IFERROR(__xludf.DUMMYFUNCTION("IFERROR(GOOGLETRANSLATE(A766,""ko"",""en""),)"),"What do you wear when it's cold?")</f>
        <v>What do you wear when it's cold?</v>
      </c>
    </row>
    <row r="767" spans="1:2" ht="18">
      <c r="A767" s="3" t="s">
        <v>3810</v>
      </c>
      <c r="B767" s="4" t="str">
        <f ca="1">IFERROR(__xludf.DUMMYFUNCTION("IFERROR(GOOGLETRANSLATE(A767,""ko"",""en""),)"),"I put on gloves and a scarf over my sweater.")</f>
        <v>I put on gloves and a scarf over my sweater.</v>
      </c>
    </row>
    <row r="768" spans="1:2" ht="18">
      <c r="A768" s="3" t="s">
        <v>3811</v>
      </c>
      <c r="B768" s="4" t="str">
        <f ca="1">IFERROR(__xludf.DUMMYFUNCTION("IFERROR(GOOGLETRANSLATE(A768,""ko"",""en""),)"),"What do you wear when you exercise?")</f>
        <v>What do you wear when you exercise?</v>
      </c>
    </row>
    <row r="769" spans="1:2" ht="18">
      <c r="A769" s="3" t="s">
        <v>3813</v>
      </c>
      <c r="B769" s="4" t="str">
        <f ca="1">IFERROR(__xludf.DUMMYFUNCTION("IFERROR(GOOGLETRANSLATE(A769,""ko"",""en""),)"),"I wear a T-shirt, shorts, and sneakers.")</f>
        <v>I wear a T-shirt, shorts, and sneakers.</v>
      </c>
    </row>
    <row r="770" spans="1:2" ht="18">
      <c r="A770" s="3" t="s">
        <v>3814</v>
      </c>
      <c r="B770" s="4" t="str">
        <f ca="1">IFERROR(__xludf.DUMMYFUNCTION("IFERROR(GOOGLETRANSLATE(A770,""ko"",""en""),)"),"What do you wear when you go to work?")</f>
        <v>What do you wear when you go to work?</v>
      </c>
    </row>
    <row r="771" spans="1:2" ht="18">
      <c r="A771" s="3" t="s">
        <v>3816</v>
      </c>
      <c r="B771" s="4" t="str">
        <f ca="1">IFERROR(__xludf.DUMMYFUNCTION("IFERROR(GOOGLETRANSLATE(A771,""ko"",""en""),)"),"I wear a suit, a tie, and dress shoes.")</f>
        <v>I wear a suit, a tie, and dress shoes.</v>
      </c>
    </row>
    <row r="772" spans="1:2" ht="18">
      <c r="A772" s="3" t="s">
        <v>3818</v>
      </c>
      <c r="B772" s="4" t="str">
        <f ca="1">IFERROR(__xludf.DUMMYFUNCTION("IFERROR(GOOGLETRANSLATE(A772,""ko"",""en""),)"),"What do you wear when you go to the mountains?")</f>
        <v>What do you wear when you go to the mountains?</v>
      </c>
    </row>
    <row r="773" spans="1:2" ht="18">
      <c r="A773" s="3" t="s">
        <v>3819</v>
      </c>
      <c r="B773" s="4" t="str">
        <f ca="1">IFERROR(__xludf.DUMMYFUNCTION("IFERROR(GOOGLETRANSLATE(A773,""ko"",""en""),)"),"I wear sportswear, shoes, and a hat.")</f>
        <v>I wear sportswear, shoes, and a hat.</v>
      </c>
    </row>
    <row r="774" spans="1:2" ht="18">
      <c r="A774" s="5" t="s">
        <v>3820</v>
      </c>
      <c r="B774" s="4" t="str">
        <f ca="1">IFERROR(__xludf.DUMMYFUNCTION("IFERROR(GOOGLETRANSLATE(A774,""ko"",""en""),)"),"What do you wear when you go to the airport (when you go to Korea)?")</f>
        <v>What do you wear when you go to the airport (when you go to Korea)?</v>
      </c>
    </row>
    <row r="775" spans="1:2" ht="18">
      <c r="A775" s="3" t="s">
        <v>3823</v>
      </c>
      <c r="B775" s="4" t="str">
        <f ca="1">IFERROR(__xludf.DUMMYFUNCTION("IFERROR(GOOGLETRANSLATE(A775,""ko"",""en""),)"),"Wear a sweater over a warm jacket.")</f>
        <v>Wear a sweater over a warm jacket.</v>
      </c>
    </row>
    <row r="776" spans="1:2" ht="18">
      <c r="A776" s="3" t="s">
        <v>3824</v>
      </c>
      <c r="B776" s="4" t="str">
        <f ca="1">IFERROR(__xludf.DUMMYFUNCTION("IFERROR(GOOGLETRANSLATE(A776,""ko"",""en""),)"),"I take long flights.")</f>
        <v>I take long flights.</v>
      </c>
    </row>
    <row r="777" spans="1:2" ht="18">
      <c r="A777" s="3" t="s">
        <v>3825</v>
      </c>
      <c r="B777" s="4" t="str">
        <f ca="1">IFERROR(__xludf.DUMMYFUNCTION("IFERROR(GOOGLETRANSLATE(A777,""ko"",""en""),)"),"The flight time is long.")</f>
        <v>The flight time is long.</v>
      </c>
    </row>
    <row r="778" spans="1:2" ht="18">
      <c r="A778" s="3" t="s">
        <v>3826</v>
      </c>
      <c r="B778" s="4" t="str">
        <f ca="1">IFERROR(__xludf.DUMMYFUNCTION("IFERROR(GOOGLETRANSLATE(A778,""ko"",""en""),)"),"I usually wear comfortable clothes.")</f>
        <v>I usually wear comfortable clothes.</v>
      </c>
    </row>
    <row r="779" spans="1:2" ht="18">
      <c r="A779" s="3" t="s">
        <v>3828</v>
      </c>
      <c r="B779" s="4" t="str">
        <f ca="1">IFERROR(__xludf.DUMMYFUNCTION("IFERROR(GOOGLETRANSLATE(A779,""ko"",""en""),)"),"I also wear sneakers with comfortable clothes.")</f>
        <v>I also wear sneakers with comfortable clothes.</v>
      </c>
    </row>
    <row r="780" spans="1:2" ht="18">
      <c r="A780" s="3" t="s">
        <v>3830</v>
      </c>
      <c r="B780" s="4" t="str">
        <f ca="1">IFERROR(__xludf.DUMMYFUNCTION("IFERROR(GOOGLETRANSLATE(A780,""ko"",""en""),)"),"I wear a T-shirt with pants.")</f>
        <v>I wear a T-shirt with pants.</v>
      </c>
    </row>
    <row r="781" spans="1:2" ht="18">
      <c r="A781" s="3" t="s">
        <v>3832</v>
      </c>
      <c r="B781" s="4" t="str">
        <f ca="1">IFERROR(__xludf.DUMMYFUNCTION("IFERROR(GOOGLETRANSLATE(A781,""ko"",""en""),)"),"I wear a T-shirt and jeans.")</f>
        <v>I wear a T-shirt and jeans.</v>
      </c>
    </row>
    <row r="782" spans="1:2" ht="18">
      <c r="A782" s="3" t="s">
        <v>3834</v>
      </c>
      <c r="B782" s="4" t="str">
        <f ca="1">IFERROR(__xludf.DUMMYFUNCTION("IFERROR(GOOGLETRANSLATE(A782,""ko"",""en""),)"),"I wear cotton pants, a cotton t-shirt, and sneakers.")</f>
        <v>I wear cotton pants, a cotton t-shirt, and sneakers.</v>
      </c>
    </row>
    <row r="783" spans="1:2" ht="18">
      <c r="A783" s="3" t="s">
        <v>3835</v>
      </c>
      <c r="B783" s="4" t="str">
        <f ca="1">IFERROR(__xludf.DUMMYFUNCTION("IFERROR(GOOGLETRANSLATE(A783,""ko"",""en""),)"),"I also wear jeans with a sweater and a T-shirt.")</f>
        <v>I also wear jeans with a sweater and a T-shirt.</v>
      </c>
    </row>
    <row r="784" spans="1:2" ht="18">
      <c r="A784" s="3" t="s">
        <v>3837</v>
      </c>
      <c r="B784" s="4" t="str">
        <f ca="1">IFERROR(__xludf.DUMMYFUNCTION("IFERROR(GOOGLETRANSLATE(A784,""ko"",""en""),)"),"I wear a skirt over a sweater and a scarf.")</f>
        <v>I wear a skirt over a sweater and a scarf.</v>
      </c>
    </row>
    <row r="785" spans="1:2" ht="18">
      <c r="A785" s="3" t="s">
        <v>3838</v>
      </c>
      <c r="B785" s="4" t="str">
        <f ca="1">IFERROR(__xludf.DUMMYFUNCTION("IFERROR(GOOGLETRANSLATE(A785,""ko"",""en""),)"),"Hoodie, cotton pants, and sneakers.")</f>
        <v>Hoodie, cotton pants, and sneakers.</v>
      </c>
    </row>
    <row r="786" spans="1:2" ht="18">
      <c r="A786" s="3" t="s">
        <v>3840</v>
      </c>
      <c r="B786" s="4" t="str">
        <f ca="1">IFERROR(__xludf.DUMMYFUNCTION("IFERROR(GOOGLETRANSLATE(A786,""ko"",""en""),)"),"I also wear comfortable t-shirts and sweatpants.")</f>
        <v>I also wear comfortable t-shirts and sweatpants.</v>
      </c>
    </row>
    <row r="787" spans="1:2" ht="18">
      <c r="A787" s="3" t="s">
        <v>3841</v>
      </c>
      <c r="B787" s="4" t="str">
        <f ca="1">IFERROR(__xludf.DUMMYFUNCTION("IFERROR(GOOGLETRANSLATE(A787,""ko"",""en""),)"),"What do you usually wear when going to a friend's wedding?")</f>
        <v>What do you usually wear when going to a friend's wedding?</v>
      </c>
    </row>
    <row r="788" spans="1:2" ht="18">
      <c r="A788" s="3" t="s">
        <v>3842</v>
      </c>
      <c r="B788" s="4" t="str">
        <f ca="1">IFERROR(__xludf.DUMMYFUNCTION("IFERROR(GOOGLETRANSLATE(A788,""ko"",""en""),)"),"I wear a skirt with a blouse.")</f>
        <v>I wear a skirt with a blouse.</v>
      </c>
    </row>
    <row r="789" spans="1:2" ht="18">
      <c r="A789" s="3" t="s">
        <v>3843</v>
      </c>
      <c r="B789" s="4" t="str">
        <f ca="1">IFERROR(__xludf.DUMMYFUNCTION("IFERROR(GOOGLETRANSLATE(A789,""ko"",""en""),)"),"What clothes do you wear when riding a bicycle?")</f>
        <v>What clothes do you wear when riding a bicycle?</v>
      </c>
    </row>
    <row r="790" spans="1:2" ht="18">
      <c r="A790" s="3" t="s">
        <v>3832</v>
      </c>
      <c r="B790" s="4" t="str">
        <f ca="1">IFERROR(__xludf.DUMMYFUNCTION("IFERROR(GOOGLETRANSLATE(A790,""ko"",""en""),)"),"I wear a T-shirt and jeans.")</f>
        <v>I wear a T-shirt and jeans.</v>
      </c>
    </row>
    <row r="791" spans="1:2" ht="18">
      <c r="A791" s="3" t="s">
        <v>3844</v>
      </c>
      <c r="B791" s="4" t="str">
        <f ca="1">IFERROR(__xludf.DUMMYFUNCTION("IFERROR(GOOGLETRANSLATE(A791,""ko"",""en""),)"),"What do you usually wear when you go to work?")</f>
        <v>What do you usually wear when you go to work?</v>
      </c>
    </row>
    <row r="792" spans="1:2" ht="18">
      <c r="A792" s="3" t="s">
        <v>3846</v>
      </c>
      <c r="B792" s="4" t="str">
        <f ca="1">IFERROR(__xludf.DUMMYFUNCTION("IFERROR(GOOGLETRANSLATE(A792,""ko"",""en""),)"),"I wear dress shoes with a suit.")</f>
        <v>I wear dress shoes with a suit.</v>
      </c>
    </row>
    <row r="793" spans="1:2" ht="18">
      <c r="A793" s="3" t="s">
        <v>3848</v>
      </c>
      <c r="B793" s="4" t="str">
        <f ca="1">IFERROR(__xludf.DUMMYFUNCTION("IFERROR(GOOGLETRANSLATE(A793,""ko"",""en""),)"),"to prepare")</f>
        <v>to prepare</v>
      </c>
    </row>
    <row r="794" spans="1:2" ht="18">
      <c r="A794" s="3" t="s">
        <v>3849</v>
      </c>
      <c r="B794" s="4" t="str">
        <f ca="1">IFERROR(__xludf.DUMMYFUNCTION("IFERROR(GOOGLETRANSLATE(A794,""ko"",""en""),)"),"Table setting")</f>
        <v>Table setting</v>
      </c>
    </row>
    <row r="795" spans="1:2" ht="18">
      <c r="A795" s="3" t="s">
        <v>3850</v>
      </c>
      <c r="B795" s="4" t="str">
        <f ca="1">IFERROR(__xludf.DUMMYFUNCTION("IFERROR(GOOGLETRANSLATE(A795,""ko"",""en""),)"),"The table setting is really pretty.")</f>
        <v>The table setting is really pretty.</v>
      </c>
    </row>
    <row r="796" spans="1:2" ht="18">
      <c r="A796" s="3" t="s">
        <v>3853</v>
      </c>
      <c r="B796" s="4" t="str">
        <f ca="1">IFERROR(__xludf.DUMMYFUNCTION("IFERROR(GOOGLETRANSLATE(A796,""ko"",""en""),)"),"What do you usually wear when the weather is hot?")</f>
        <v>What do you usually wear when the weather is hot?</v>
      </c>
    </row>
    <row r="797" spans="1:2" ht="18">
      <c r="A797" s="3" t="s">
        <v>3854</v>
      </c>
      <c r="B797" s="4" t="str">
        <f ca="1">IFERROR(__xludf.DUMMYFUNCTION("IFERROR(GOOGLETRANSLATE(A797,""ko"",""en""),)"),"I wear shorts with a T-shirt.")</f>
        <v>I wear shorts with a T-shirt.</v>
      </c>
    </row>
    <row r="798" spans="1:2" ht="18">
      <c r="A798" s="3" t="s">
        <v>3855</v>
      </c>
      <c r="B798" s="4" t="str">
        <f ca="1">IFERROR(__xludf.DUMMYFUNCTION("IFERROR(GOOGLETRANSLATE(A798,""ko"",""en""),)"),"What do you usually wear when the weather is cold?")</f>
        <v>What do you usually wear when the weather is cold?</v>
      </c>
    </row>
    <row r="799" spans="1:2" ht="18">
      <c r="A799" s="3" t="s">
        <v>3858</v>
      </c>
      <c r="B799" s="4" t="str">
        <f ca="1">IFERROR(__xludf.DUMMYFUNCTION("IFERROR(GOOGLETRANSLATE(A799,""ko"",""en""),)"),"I wear a coat over a sweater.")</f>
        <v>I wear a coat over a sweater.</v>
      </c>
    </row>
    <row r="800" spans="1:2" ht="18">
      <c r="A800" s="3" t="s">
        <v>3859</v>
      </c>
      <c r="B800" s="4" t="str">
        <f ca="1">IFERROR(__xludf.DUMMYFUNCTION("IFERROR(GOOGLETRANSLATE(A800,""ko"",""en""),)"),"I write down my friend's birthday on the calendar.")</f>
        <v>I write down my friend's birthday on the calendar.</v>
      </c>
    </row>
    <row r="801" spans="1:2" ht="18">
      <c r="A801" s="3" t="s">
        <v>3860</v>
      </c>
      <c r="B801" s="4" t="str">
        <f ca="1">IFERROR(__xludf.DUMMYFUNCTION("IFERROR(GOOGLETRANSLATE(A801,""ko"",""en""),)"),"I always write my name on the jack.")</f>
        <v>I always write my name on the jack.</v>
      </c>
    </row>
    <row r="802" spans="1:2" ht="18">
      <c r="A802" s="3" t="s">
        <v>3862</v>
      </c>
      <c r="B802" s="4" t="str">
        <f ca="1">IFERROR(__xludf.DUMMYFUNCTION("IFERROR(GOOGLETRANSLATE(A802,""ko"",""en""),)"),"I did my homework on the notebook.")</f>
        <v>I did my homework on the notebook.</v>
      </c>
    </row>
    <row r="803" spans="1:2" ht="18">
      <c r="A803" s="3" t="s">
        <v>3864</v>
      </c>
      <c r="B803" s="4" t="str">
        <f ca="1">IFERROR(__xludf.DUMMYFUNCTION("IFERROR(GOOGLETRANSLATE(A803,""ko"",""en""),)"),"I uploaded a photo to social media.")</f>
        <v>I uploaded a photo to social media.</v>
      </c>
    </row>
    <row r="804" spans="1:2" ht="18">
      <c r="A804" s="3" t="s">
        <v>3866</v>
      </c>
      <c r="B804" s="4" t="str">
        <f ca="1">IFERROR(__xludf.DUMMYFUNCTION("IFERROR(GOOGLETRANSLATE(A804,""ko"",""en""),)"),"I put a book in the bag.")</f>
        <v>I put a book in the bag.</v>
      </c>
    </row>
    <row r="805" spans="1:2" ht="18">
      <c r="A805" s="3" t="s">
        <v>3868</v>
      </c>
      <c r="B805" s="4" t="str">
        <f ca="1">IFERROR(__xludf.DUMMYFUNCTION("IFERROR(GOOGLETRANSLATE(A805,""ko"",""en""),)"),"Add sugar and milk to the coffee.")</f>
        <v>Add sugar and milk to the coffee.</v>
      </c>
    </row>
    <row r="806" spans="1:2" ht="21.75" customHeight="1">
      <c r="A806" s="3" t="s">
        <v>3869</v>
      </c>
      <c r="B806" s="4" t="str">
        <f ca="1">IFERROR(__xludf.DUMMYFUNCTION("IFERROR(GOOGLETRANSLATE(A806,""ko"",""en""),)"),"Selfie")</f>
        <v>Selfie</v>
      </c>
    </row>
    <row r="807" spans="1:2" ht="18">
      <c r="A807" s="3" t="s">
        <v>3870</v>
      </c>
      <c r="B807" s="4" t="str">
        <f ca="1">IFERROR(__xludf.DUMMYFUNCTION("IFERROR(GOOGLETRANSLATE(A807,""ko"",""en""),)"),"I don't put sugar in my coffee.")</f>
        <v>I don't put sugar in my coffee.</v>
      </c>
    </row>
    <row r="808" spans="1:2" ht="18">
      <c r="A808" s="3" t="s">
        <v>3871</v>
      </c>
      <c r="B808" s="4" t="str">
        <f ca="1">IFERROR(__xludf.DUMMYFUNCTION("IFERROR(GOOGLETRANSLATE(A808,""ko"",""en""),)"),"I decided to go to the beach with my friends next weekend.")</f>
        <v>I decided to go to the beach with my friends next weekend.</v>
      </c>
    </row>
    <row r="809" spans="1:2" ht="18">
      <c r="A809" s="3" t="s">
        <v>3873</v>
      </c>
      <c r="B809" s="4" t="str">
        <f ca="1">IFERROR(__xludf.DUMMYFUNCTION("IFERROR(GOOGLETRANSLATE(A809,""ko"",""en""),)"),"That would be really great.")</f>
        <v>That would be really great.</v>
      </c>
    </row>
    <row r="810" spans="1:2" ht="18">
      <c r="A810" s="3" t="s">
        <v>3874</v>
      </c>
      <c r="B810" s="4" t="str">
        <f ca="1">IFERROR(__xludf.DUMMYFUNCTION("IFERROR(GOOGLETRANSLATE(A810,""ko"",""en""),)"),"Why does Marie buy clothes?")</f>
        <v>Why does Marie buy clothes?</v>
      </c>
    </row>
    <row r="811" spans="1:2" ht="18">
      <c r="A811" s="3" t="s">
        <v>3875</v>
      </c>
      <c r="B811" s="4" t="str">
        <f ca="1">IFERROR(__xludf.DUMMYFUNCTION("IFERROR(GOOGLETRANSLATE(A811,""ko"",""en""),)"),"Marie decided to go to the seaside with her friends.")</f>
        <v>Marie decided to go to the seaside with her friends.</v>
      </c>
    </row>
    <row r="812" spans="1:2" ht="18">
      <c r="A812" s="3" t="s">
        <v>3877</v>
      </c>
      <c r="B812" s="4" t="str">
        <f ca="1">IFERROR(__xludf.DUMMYFUNCTION("IFERROR(GOOGLETRANSLATE(A812,""ko"",""en""),)"),"What will you wear next weekend, Mari?")</f>
        <v>What will you wear next weekend, Mari?</v>
      </c>
    </row>
    <row r="813" spans="1:2" ht="18">
      <c r="A813" s="3" t="s">
        <v>3878</v>
      </c>
      <c r="B813" s="4" t="str">
        <f ca="1">IFERROR(__xludf.DUMMYFUNCTION("IFERROR(GOOGLETRANSLATE(A813,""ko"",""en""),)"),"Marie is going to wear a T-shirt with jeans.")</f>
        <v>Marie is going to wear a T-shirt with jeans.</v>
      </c>
    </row>
    <row r="814" spans="1:2" ht="18">
      <c r="A814" s="3" t="s">
        <v>3879</v>
      </c>
      <c r="B814" s="4" t="str">
        <f ca="1">IFERROR(__xludf.DUMMYFUNCTION("IFERROR(GOOGLETRANSLATE(A814,""ko"",""en""),)"),"choose")</f>
        <v>choose</v>
      </c>
    </row>
    <row r="815" spans="1:2" ht="18">
      <c r="A815" s="3" t="s">
        <v>3880</v>
      </c>
      <c r="B815" s="4" t="str">
        <f ca="1">IFERROR(__xludf.DUMMYFUNCTION("IFERROR(GOOGLETRANSLATE(A815,""ko"",""en""),)"),"I'm planning to wear jeans, sneakers, and a baseball cap.")</f>
        <v>I'm planning to wear jeans, sneakers, and a baseball cap.</v>
      </c>
    </row>
    <row r="816" spans="1:2" ht="18">
      <c r="A816" s="3"/>
      <c r="B816" s="4" t="str">
        <f ca="1">IFERROR(__xludf.DUMMYFUNCTION("IFERROR(GOOGLETRANSLATE(A816,""ko"",""en""),)"),"")</f>
        <v/>
      </c>
    </row>
    <row r="817" spans="1:2" ht="18">
      <c r="A817" s="3" t="s">
        <v>3884</v>
      </c>
      <c r="B817" s="4" t="str">
        <f ca="1">IFERROR(__xludf.DUMMYFUNCTION("IFERROR(GOOGLETRANSLATE(A817,""ko"",""en""),)"),"The living room window is large, so it is nice to look at the scenery.")</f>
        <v>The living room window is large, so it is nice to look at the scenery.</v>
      </c>
    </row>
    <row r="818" spans="1:2" ht="18">
      <c r="A818" s="3" t="s">
        <v>3555</v>
      </c>
      <c r="B818" s="4" t="str">
        <f ca="1">IFERROR(__xludf.DUMMYFUNCTION("IFERROR(GOOGLETRANSLATE(A818,""ko"",""en""),)"),"living room")</f>
        <v>living room</v>
      </c>
    </row>
    <row r="819" spans="1:2" ht="18">
      <c r="A819" s="3" t="s">
        <v>3886</v>
      </c>
      <c r="B819" s="4" t="s">
        <v>3887</v>
      </c>
    </row>
    <row r="820" spans="1:2" ht="18">
      <c r="A820" s="3" t="s">
        <v>3888</v>
      </c>
      <c r="B820" s="4" t="str">
        <f ca="1">IFERROR(__xludf.DUMMYFUNCTION("IFERROR(GOOGLETRANSLATE(A820,""ko"",""en""),)"),"small room")</f>
        <v>small room</v>
      </c>
    </row>
    <row r="821" spans="1:2" ht="18">
      <c r="A821" s="3" t="s">
        <v>3891</v>
      </c>
      <c r="B821" s="4" t="str">
        <f ca="1">IFERROR(__xludf.DUMMYFUNCTION("IFERROR(GOOGLETRANSLATE(A821,""ko"",""en""),)"),"guest room")</f>
        <v>guest room</v>
      </c>
    </row>
    <row r="822" spans="1:2" ht="18">
      <c r="A822" s="3" t="s">
        <v>3892</v>
      </c>
      <c r="B822" s="4" t="str">
        <f ca="1">IFERROR(__xludf.DUMMYFUNCTION("IFERROR(GOOGLETRANSLATE(A822,""ko"",""en""),)"),"children's room")</f>
        <v>children's room</v>
      </c>
    </row>
    <row r="823" spans="1:2" ht="18">
      <c r="A823" s="3" t="s">
        <v>3893</v>
      </c>
      <c r="B823" s="4" t="str">
        <f ca="1">IFERROR(__xludf.DUMMYFUNCTION("IFERROR(GOOGLETRANSLATE(A823,""ko"",""en""),)"),"kitchen")</f>
        <v>kitchen</v>
      </c>
    </row>
    <row r="824" spans="1:2" ht="18">
      <c r="A824" s="3" t="s">
        <v>3895</v>
      </c>
      <c r="B824" s="4" t="str">
        <f ca="1">IFERROR(__xludf.DUMMYFUNCTION("IFERROR(GOOGLETRANSLATE(A824,""ko"",""en""),)"),"kitchen")</f>
        <v>kitchen</v>
      </c>
    </row>
    <row r="825" spans="1:2" ht="18">
      <c r="A825" s="3" t="s">
        <v>3897</v>
      </c>
      <c r="B825" s="4" t="str">
        <f ca="1">IFERROR(__xludf.DUMMYFUNCTION("IFERROR(GOOGLETRANSLATE(A825,""ko"",""en""),)"),"restroom")</f>
        <v>restroom</v>
      </c>
    </row>
    <row r="826" spans="1:2" ht="18">
      <c r="A826" s="3" t="s">
        <v>3898</v>
      </c>
      <c r="B826" s="4" t="str">
        <f ca="1">IFERROR(__xludf.DUMMYFUNCTION("IFERROR(GOOGLETRANSLATE(A826,""ko"",""en""),)"),"bathroom")</f>
        <v>bathroom</v>
      </c>
    </row>
    <row r="827" spans="1:2" ht="18">
      <c r="A827" s="3" t="s">
        <v>3899</v>
      </c>
      <c r="B827" s="4" t="str">
        <f ca="1">IFERROR(__xludf.DUMMYFUNCTION("IFERROR(GOOGLETRANSLATE(A827,""ko"",""en""),)"),"laundry room")</f>
        <v>laundry room</v>
      </c>
    </row>
    <row r="828" spans="1:2" ht="18">
      <c r="A828" s="3" t="s">
        <v>3900</v>
      </c>
      <c r="B828" s="4" t="str">
        <f ca="1">IFERROR(__xludf.DUMMYFUNCTION("IFERROR(GOOGLETRANSLATE(A828,""ko"",""en""),)"),"wash")</f>
        <v>wash</v>
      </c>
    </row>
    <row r="829" spans="1:2" ht="18">
      <c r="A829" s="3" t="s">
        <v>3903</v>
      </c>
      <c r="B829" s="4" t="str">
        <f ca="1">IFERROR(__xludf.DUMMYFUNCTION("IFERROR(GOOGLETRANSLATE(A829,""ko"",""en""),)"),"do laundry")</f>
        <v>do laundry</v>
      </c>
    </row>
    <row r="830" spans="1:2" ht="18">
      <c r="A830" s="3" t="s">
        <v>3904</v>
      </c>
      <c r="B830" s="4" t="str">
        <f ca="1">IFERROR(__xludf.DUMMYFUNCTION("IFERROR(GOOGLETRANSLATE(A830,""ko"",""en""),)"),"garage")</f>
        <v>garage</v>
      </c>
    </row>
    <row r="831" spans="1:2" ht="18">
      <c r="A831" s="3" t="s">
        <v>3905</v>
      </c>
      <c r="B831" s="4" t="str">
        <f ca="1">IFERROR(__xludf.DUMMYFUNCTION("IFERROR(GOOGLETRANSLATE(A831,""ko"",""en""),)"),"garden")</f>
        <v>garden</v>
      </c>
    </row>
    <row r="832" spans="1:2" ht="18">
      <c r="A832" s="3" t="s">
        <v>3907</v>
      </c>
      <c r="B832" s="4" t="str">
        <f ca="1">IFERROR(__xludf.DUMMYFUNCTION("IFERROR(GOOGLETRANSLATE(A832,""ko"",""en""),)"),"yard")</f>
        <v>yard</v>
      </c>
    </row>
    <row r="833" spans="1:2" ht="18">
      <c r="A833" s="3" t="s">
        <v>3908</v>
      </c>
      <c r="B833" s="4" t="str">
        <f ca="1">IFERROR(__xludf.DUMMYFUNCTION("IFERROR(GOOGLETRANSLATE(A833,""ko"",""en""),)"),"forecourt")</f>
        <v>forecourt</v>
      </c>
    </row>
    <row r="834" spans="1:2" ht="18">
      <c r="A834" s="3" t="s">
        <v>3909</v>
      </c>
      <c r="B834" s="4" t="str">
        <f ca="1">IFERROR(__xludf.DUMMYFUNCTION("IFERROR(GOOGLETRANSLATE(A834,""ko"",""en""),)"),"backyard")</f>
        <v>backyard</v>
      </c>
    </row>
    <row r="835" spans="1:2" ht="18">
      <c r="A835" s="3" t="s">
        <v>3911</v>
      </c>
      <c r="B835" s="4" t="str">
        <f ca="1">IFERROR(__xludf.DUMMYFUNCTION("IFERROR(GOOGLETRANSLATE(A835,""ko"",""en""),)"),"veranda")</f>
        <v>veranda</v>
      </c>
    </row>
    <row r="836" spans="1:2" ht="18">
      <c r="A836" s="3" t="s">
        <v>3913</v>
      </c>
      <c r="B836" s="4" t="str">
        <f ca="1">IFERROR(__xludf.DUMMYFUNCTION("IFERROR(GOOGLETRANSLATE(A836,""ko"",""en""),)"),"storage")</f>
        <v>storage</v>
      </c>
    </row>
    <row r="837" spans="1:2" ht="18">
      <c r="A837" s="3" t="s">
        <v>3914</v>
      </c>
      <c r="B837" s="4" t="str">
        <f ca="1">IFERROR(__xludf.DUMMYFUNCTION("IFERROR(GOOGLETRANSLATE(A837,""ko"",""en""),)"),"Game room")</f>
        <v>Game room</v>
      </c>
    </row>
    <row r="838" spans="1:2" ht="18">
      <c r="A838" s="3" t="s">
        <v>3916</v>
      </c>
      <c r="B838" s="4" t="s">
        <v>3917</v>
      </c>
    </row>
    <row r="839" spans="1:2" ht="18">
      <c r="A839" s="3" t="s">
        <v>3918</v>
      </c>
      <c r="B839" s="4" t="str">
        <f ca="1">IFERROR(__xludf.DUMMYFUNCTION("IFERROR(GOOGLETRANSLATE(A839,""ko"",""en""),)"),"house")</f>
        <v>house</v>
      </c>
    </row>
    <row r="840" spans="1:2" ht="18">
      <c r="A840" s="3" t="s">
        <v>3919</v>
      </c>
      <c r="B840" s="4" t="str">
        <f ca="1">IFERROR(__xludf.DUMMYFUNCTION("IFERROR(GOOGLETRANSLATE(A840,""ko"",""en""),)"),"Prices are rising. House prices are rising a lot.")</f>
        <v>Prices are rising. House prices are rising a lot.</v>
      </c>
    </row>
    <row r="841" spans="1:2" ht="18">
      <c r="A841" s="3" t="s">
        <v>3920</v>
      </c>
      <c r="B841" s="4" t="str">
        <f ca="1">IFERROR(__xludf.DUMMYFUNCTION("IFERROR(GOOGLETRANSLATE(A841,""ko"",""en""),)"),"What are the advantages of living in an apartment? And what are the advantages of living in a house?")</f>
        <v>What are the advantages of living in an apartment? And what are the advantages of living in a house?</v>
      </c>
    </row>
    <row r="842" spans="1:2" ht="18">
      <c r="A842" s="3" t="s">
        <v>3922</v>
      </c>
      <c r="B842" s="4" t="str">
        <f ca="1">IFERROR(__xludf.DUMMYFUNCTION("IFERROR(GOOGLETRANSLATE(A842,""ko"",""en""),)"),"It is easy to clean.")</f>
        <v>It is easy to clean.</v>
      </c>
    </row>
    <row r="843" spans="1:2" ht="18">
      <c r="A843" s="3" t="s">
        <v>3923</v>
      </c>
      <c r="B843" s="4" t="str">
        <f ca="1">IFERROR(__xludf.DUMMYFUNCTION("IFERROR(GOOGLETRANSLATE(A843,""ko"",""en""),)"),"House maintenance is easy.")</f>
        <v>House maintenance is easy.</v>
      </c>
    </row>
    <row r="844" spans="1:2" ht="18">
      <c r="A844" s="3" t="s">
        <v>3924</v>
      </c>
      <c r="B844" s="4" t="str">
        <f ca="1">IFERROR(__xludf.DUMMYFUNCTION("IFERROR(GOOGLETRANSLATE(A844,""ko"",""en""),)"),"The security is good.")</f>
        <v>The security is good.</v>
      </c>
    </row>
    <row r="845" spans="1:2" ht="18">
      <c r="A845" s="3" t="s">
        <v>3926</v>
      </c>
      <c r="B845" s="4" t="str">
        <f ca="1">IFERROR(__xludf.DUMMYFUNCTION("IFERROR(GOOGLETRANSLATE(A845,""ko"",""en""),)"),"It's close to downtown.")</f>
        <v>It's close to downtown.</v>
      </c>
    </row>
    <row r="846" spans="1:2" ht="18">
      <c r="A846" s="3" t="s">
        <v>3927</v>
      </c>
      <c r="B846" s="4" t="str">
        <f ca="1">IFERROR(__xludf.DUMMYFUNCTION("IFERROR(GOOGLETRANSLATE(A846,""ko"",""en""),)"),"There are many amenities.")</f>
        <v>There are many amenities.</v>
      </c>
    </row>
    <row r="847" spans="1:2" ht="18">
      <c r="A847" s="3" t="s">
        <v>3928</v>
      </c>
      <c r="B847" s="4" t="str">
        <f ca="1">IFERROR(__xludf.DUMMYFUNCTION("IFERROR(GOOGLETRANSLATE(A847,""ko"",""en""),)"),"You can raise a pet easily.")</f>
        <v>You can raise a pet easily.</v>
      </c>
    </row>
    <row r="848" spans="1:2" ht="18">
      <c r="A848" s="3" t="s">
        <v>3929</v>
      </c>
      <c r="B848" s="4" t="str">
        <f ca="1">IFERROR(__xludf.DUMMYFUNCTION("IFERROR(GOOGLETRANSLATE(A848,""ko"",""en""),)"),"You can raise a pet easily.")</f>
        <v>You can raise a pet easily.</v>
      </c>
    </row>
    <row r="849" spans="1:2" ht="18">
      <c r="A849" s="3" t="s">
        <v>3931</v>
      </c>
      <c r="B849" s="4" t="str">
        <f ca="1">IFERROR(__xludf.DUMMYFUNCTION("IFERROR(GOOGLETRANSLATE(A849,""ko"",""en""),)"),"There are several rooms.")</f>
        <v>There are several rooms.</v>
      </c>
    </row>
    <row r="850" spans="1:2" ht="18">
      <c r="A850" s="3" t="s">
        <v>3932</v>
      </c>
      <c r="B850" s="4" t="str">
        <f ca="1">IFERROR(__xludf.DUMMYFUNCTION("IFERROR(GOOGLETRANSLATE(A850,""ko"",""en""),)"),"There is more space.")</f>
        <v>There is more space.</v>
      </c>
    </row>
    <row r="851" spans="1:2" ht="18">
      <c r="A851" s="3" t="s">
        <v>3933</v>
      </c>
      <c r="B851" s="4" t="str">
        <f ca="1">IFERROR(__xludf.DUMMYFUNCTION("IFERROR(GOOGLETRANSLATE(A851,""ko"",""en""),)"),"The house is spacious.")</f>
        <v>The house is spacious.</v>
      </c>
    </row>
    <row r="852" spans="1:2" ht="18">
      <c r="A852" s="3" t="s">
        <v>3935</v>
      </c>
      <c r="B852" s="4" t="str">
        <f ca="1">IFERROR(__xludf.DUMMYFUNCTION("IFERROR(GOOGLETRANSLATE(A852,""ko"",""en""),)"),"You can better protect your privacy.")</f>
        <v>You can better protect your privacy.</v>
      </c>
    </row>
    <row r="853" spans="1:2" ht="18">
      <c r="A853" s="3" t="s">
        <v>3937</v>
      </c>
      <c r="B853" s="4" t="str">
        <f ca="1">IFERROR(__xludf.DUMMYFUNCTION("IFERROR(GOOGLETRANSLATE(A853,""ko"",""en""),)"),"It's quiet.")</f>
        <v>It's quiet.</v>
      </c>
    </row>
    <row r="854" spans="1:2" ht="18">
      <c r="A854" s="3" t="s">
        <v>3938</v>
      </c>
      <c r="B854" s="4" t="str">
        <f ca="1">IFERROR(__xludf.DUMMYFUNCTION("IFERROR(GOOGLETRANSLATE(A854,""ko"",""en""),)"),"Inter-floor noise is a very big problem.")</f>
        <v>Inter-floor noise is a very big problem.</v>
      </c>
    </row>
    <row r="855" spans="1:2" ht="18">
      <c r="A855" s="3" t="s">
        <v>3939</v>
      </c>
      <c r="B855" s="4" t="str">
        <f ca="1">IFERROR(__xludf.DUMMYFUNCTION("IFERROR(GOOGLETRANSLATE(A855,""ko"",""en""),)"),"clean")</f>
        <v>clean</v>
      </c>
    </row>
    <row r="856" spans="1:2" ht="18">
      <c r="A856" s="3" t="s">
        <v>3941</v>
      </c>
      <c r="B856" s="4" t="str">
        <f ca="1">IFERROR(__xludf.DUMMYFUNCTION("IFERROR(GOOGLETRANSLATE(A856,""ko"",""en""),)"),"wide")</f>
        <v>wide</v>
      </c>
    </row>
    <row r="857" spans="1:2" ht="18">
      <c r="A857" s="3" t="s">
        <v>3943</v>
      </c>
      <c r="B857" s="4" t="str">
        <f ca="1">IFERROR(__xludf.DUMMYFUNCTION("IFERROR(GOOGLETRANSLATE(A857,""ko"",""en""),)"),"bright")</f>
        <v>bright</v>
      </c>
    </row>
    <row r="858" spans="1:2" ht="18">
      <c r="A858" s="3" t="s">
        <v>3944</v>
      </c>
      <c r="B858" s="4" t="s">
        <v>3945</v>
      </c>
    </row>
    <row r="859" spans="1:2" ht="18">
      <c r="A859" s="3" t="s">
        <v>3946</v>
      </c>
      <c r="B859" s="4" t="str">
        <f ca="1">IFERROR(__xludf.DUMMYFUNCTION("IFERROR(GOOGLETRANSLATE(A859,""ko"",""en""),)"),"It's messy")</f>
        <v>It's messy</v>
      </c>
    </row>
    <row r="860" spans="1:2" ht="18">
      <c r="A860" s="3" t="s">
        <v>3949</v>
      </c>
      <c r="B860" s="4" t="str">
        <f ca="1">IFERROR(__xludf.DUMMYFUNCTION("IFERROR(GOOGLETRANSLATE(A860,""ko"",""en""),)"),"narrow")</f>
        <v>narrow</v>
      </c>
    </row>
    <row r="861" spans="1:2" ht="18">
      <c r="A861" s="3" t="s">
        <v>2059</v>
      </c>
      <c r="B861" s="4" t="str">
        <f ca="1">IFERROR(__xludf.DUMMYFUNCTION("IFERROR(GOOGLETRANSLATE(A861,""ko"",""en""),)"),"It's narrow.")</f>
        <v>It's narrow.</v>
      </c>
    </row>
    <row r="862" spans="1:2" ht="18">
      <c r="A862" s="3" t="s">
        <v>3950</v>
      </c>
      <c r="B862" s="4" t="str">
        <f ca="1">IFERROR(__xludf.DUMMYFUNCTION("IFERROR(GOOGLETRANSLATE(A862,""ko"",""en""),)"),"Do you take a lot of luggage when you go to Korea?")</f>
        <v>Do you take a lot of luggage when you go to Korea?</v>
      </c>
    </row>
    <row r="863" spans="1:2" ht="18">
      <c r="A863" s="3" t="s">
        <v>3953</v>
      </c>
      <c r="B863" s="4" t="str">
        <f ca="1">IFERROR(__xludf.DUMMYFUNCTION("IFERROR(GOOGLETRANSLATE(A863,""ko"",""en""),)"),"Take a lot of luggage.")</f>
        <v>Take a lot of luggage.</v>
      </c>
    </row>
    <row r="864" spans="1:2" ht="18">
      <c r="A864" s="3" t="s">
        <v>3954</v>
      </c>
      <c r="B864" s="4" t="str">
        <f ca="1">IFERROR(__xludf.DUMMYFUNCTION("IFERROR(GOOGLETRANSLATE(A864,""ko"",""en""),)"),"No, I have little luggage.")</f>
        <v>No, I have little luggage.</v>
      </c>
    </row>
    <row r="865" spans="1:2" ht="18">
      <c r="A865" s="3" t="s">
        <v>3955</v>
      </c>
      <c r="B865" s="4" t="str">
        <f ca="1">IFERROR(__xludf.DUMMYFUNCTION("IFERROR(GOOGLETRANSLATE(A865,""ko"",""en""),)"),"I take light luggage so I can travel comfortably.")</f>
        <v>I take light luggage so I can travel comfortably.</v>
      </c>
    </row>
    <row r="866" spans="1:2" ht="18">
      <c r="A866" s="3" t="s">
        <v>3956</v>
      </c>
      <c r="B866" s="4" t="str">
        <f ca="1">IFERROR(__xludf.DUMMYFUNCTION("IFERROR(GOOGLETRANSLATE(A866,""ko"",""en""),)"),"Empty suitcase")</f>
        <v>Empty suitcase</v>
      </c>
    </row>
    <row r="867" spans="1:2" ht="18">
      <c r="A867" s="3" t="s">
        <v>3946</v>
      </c>
      <c r="B867" s="4" t="str">
        <f ca="1">IFERROR(__xludf.DUMMYFUNCTION("IFERROR(GOOGLETRANSLATE(A867,""ko"",""en""),)"),"It's messy")</f>
        <v>It's messy</v>
      </c>
    </row>
    <row r="868" spans="1:2" ht="18">
      <c r="A868" s="3" t="s">
        <v>3949</v>
      </c>
      <c r="B868" s="4" t="str">
        <f ca="1">IFERROR(__xludf.DUMMYFUNCTION("IFERROR(GOOGLETRANSLATE(A868,""ko"",""en""),)"),"narrow")</f>
        <v>narrow</v>
      </c>
    </row>
    <row r="869" spans="1:2" ht="18">
      <c r="A869" s="3" t="s">
        <v>3959</v>
      </c>
      <c r="B869" s="4" t="str">
        <f ca="1">IFERROR(__xludf.DUMMYFUNCTION("IFERROR(GOOGLETRANSLATE(A869,""ko"",""en""),)"),"It is dark")</f>
        <v>It is dark</v>
      </c>
    </row>
    <row r="870" spans="1:2" ht="18">
      <c r="A870" s="3" t="s">
        <v>3960</v>
      </c>
      <c r="B870" s="4" t="str">
        <f ca="1">IFERROR(__xludf.DUMMYFUNCTION("IFERROR(GOOGLETRANSLATE(A870,""ko"",""en""),)"),"It's dark")</f>
        <v>It's dark</v>
      </c>
    </row>
    <row r="871" spans="1:2" ht="18">
      <c r="A871" s="3" t="s">
        <v>3962</v>
      </c>
      <c r="B871" s="4" t="str">
        <f ca="1">IFERROR(__xludf.DUMMYFUNCTION("IFERROR(GOOGLETRANSLATE(A871,""ko"",""en""),)"),"I have a lot of luggage.")</f>
        <v>I have a lot of luggage.</v>
      </c>
    </row>
    <row r="872" spans="1:2" ht="18">
      <c r="A872" s="3" t="s">
        <v>3964</v>
      </c>
      <c r="B872" s="4" t="str">
        <f ca="1">IFERROR(__xludf.DUMMYFUNCTION("IFERROR(GOOGLETRANSLATE(A872,""ko"",""en""),)"),"What kind of house do you like, Anna?")</f>
        <v>What kind of house do you like, Anna?</v>
      </c>
    </row>
    <row r="873" spans="1:2" ht="18">
      <c r="A873" s="3" t="s">
        <v>3965</v>
      </c>
      <c r="B873" s="4" t="str">
        <f ca="1">IFERROR(__xludf.DUMMYFUNCTION("IFERROR(GOOGLETRANSLATE(A873,""ko"",""en""),)"),"I like a house close to school. I also like a spacious and bright house.")</f>
        <v>I like a house close to school. I also like a spacious and bright house.</v>
      </c>
    </row>
    <row r="874" spans="1:2" ht="18">
      <c r="A874" s="3" t="s">
        <v>3967</v>
      </c>
      <c r="B874" s="4" t="str">
        <f ca="1">IFERROR(__xludf.DUMMYFUNCTION("IFERROR(GOOGLETRANSLATE(A874,""ko"",""en""),)"),"I like a house close to downtown.")</f>
        <v>I like a house close to downtown.</v>
      </c>
    </row>
    <row r="875" spans="1:2" ht="18">
      <c r="A875" s="3" t="s">
        <v>3968</v>
      </c>
      <c r="B875" s="4" t="str">
        <f ca="1">IFERROR(__xludf.DUMMYFUNCTION("IFERROR(GOOGLETRANSLATE(A875,""ko"",""en""),)"),"I like big two-story houses.")</f>
        <v>I like big two-story houses.</v>
      </c>
    </row>
    <row r="876" spans="1:2" ht="18">
      <c r="A876" s="3" t="s">
        <v>3969</v>
      </c>
      <c r="B876" s="4" t="str">
        <f ca="1">IFERROR(__xludf.DUMMYFUNCTION("IFERROR(GOOGLETRANSLATE(A876,""ko"",""en""),)"),"I like a house that is close to the train station and has big windows.")</f>
        <v>I like a house that is close to the train station and has big windows.</v>
      </c>
    </row>
    <row r="877" spans="1:2" ht="18">
      <c r="A877" s="3" t="s">
        <v>3971</v>
      </c>
      <c r="B877" s="4" t="str">
        <f ca="1">IFERROR(__xludf.DUMMYFUNCTION("IFERROR(GOOGLETRANSLATE(A877,""ko"",""en""),)"),"I like a house close to a park.")</f>
        <v>I like a house close to a park.</v>
      </c>
    </row>
    <row r="878" spans="1:2" ht="18">
      <c r="A878" s="3" t="s">
        <v>3972</v>
      </c>
      <c r="B878" s="4" t="str">
        <f ca="1">IFERROR(__xludf.DUMMYFUNCTION("IFERROR(GOOGLETRANSLATE(A878,""ko"",""en""),)"),"porch")</f>
        <v>porch</v>
      </c>
    </row>
    <row r="879" spans="1:2" ht="18">
      <c r="A879" s="3" t="s">
        <v>3973</v>
      </c>
      <c r="B879" s="4" t="str">
        <f ca="1">IFERROR(__xludf.DUMMYFUNCTION("IFERROR(GOOGLETRANSLATE(A879,""ko"",""en""),)"),"My knees hurt if there are a lot of stairs.")</f>
        <v>My knees hurt if there are a lot of stairs.</v>
      </c>
    </row>
    <row r="880" spans="1:2" ht="18">
      <c r="A880" s="3" t="s">
        <v>3974</v>
      </c>
      <c r="B880" s="4" t="str">
        <f ca="1">IFERROR(__xludf.DUMMYFUNCTION("IFERROR(GOOGLETRANSLATE(A880,""ko"",""en""),)"),"It is narrow and dark.")</f>
        <v>It is narrow and dark.</v>
      </c>
    </row>
    <row r="881" spans="1:2" ht="18">
      <c r="A881" s="3" t="s">
        <v>3975</v>
      </c>
      <c r="B881" s="4" t="str">
        <f ca="1">IFERROR(__xludf.DUMMYFUNCTION("IFERROR(GOOGLETRANSLATE(A881,""ko"",""en""),)"),"It is spacious and clean.")</f>
        <v>It is spacious and clean.</v>
      </c>
    </row>
    <row r="882" spans="1:2" ht="18">
      <c r="A882" s="3" t="s">
        <v>3977</v>
      </c>
      <c r="B882" s="4" t="str">
        <f ca="1">IFERROR(__xludf.DUMMYFUNCTION("IFERROR(GOOGLETRANSLATE(A882,""ko"",""en""),)"),"It is spacious and clean, but dark.")</f>
        <v>It is spacious and clean, but dark.</v>
      </c>
    </row>
    <row r="883" spans="1:2" ht="18">
      <c r="A883" s="3" t="s">
        <v>3978</v>
      </c>
      <c r="B883" s="4" t="str">
        <f ca="1">IFERROR(__xludf.DUMMYFUNCTION("IFERROR(GOOGLETRANSLATE(A883,""ko"",""en""),)"),"It's messy, but bright and spacious.")</f>
        <v>It's messy, but bright and spacious.</v>
      </c>
    </row>
    <row r="884" spans="1:2" ht="18">
      <c r="A884" s="3" t="s">
        <v>3980</v>
      </c>
      <c r="B884" s="4" t="str">
        <f ca="1">IFERROR(__xludf.DUMMYFUNCTION("IFERROR(GOOGLETRANSLATE(A884,""ko"",""en""),)"),"It's small but clean.")</f>
        <v>It's small but clean.</v>
      </c>
    </row>
    <row r="885" spans="1:2" ht="18">
      <c r="A885" s="3" t="s">
        <v>3916</v>
      </c>
      <c r="B885" s="4" t="str">
        <f ca="1">IFERROR(__xludf.DUMMYFUNCTION("IFERROR(GOOGLETRANSLATE(A885,""ko"",""en""),)"),"sight")</f>
        <v>sight</v>
      </c>
    </row>
    <row r="886" spans="1:2" ht="18">
      <c r="A886" s="3" t="s">
        <v>3981</v>
      </c>
      <c r="B886" s="4" t="str">
        <f ca="1">IFERROR(__xludf.DUMMYFUNCTION("IFERROR(GOOGLETRANSLATE(A886,""ko"",""en""),)"),"The night view is wonderful.")</f>
        <v>The night view is wonderful.</v>
      </c>
    </row>
    <row r="887" spans="1:2" ht="18">
      <c r="A887" s="3" t="s">
        <v>3983</v>
      </c>
      <c r="B887" s="4" t="str">
        <f ca="1">IFERROR(__xludf.DUMMYFUNCTION("IFERROR(GOOGLETRANSLATE(A887,""ko"",""en""),)"),"late-night snack")</f>
        <v>late-night snack</v>
      </c>
    </row>
    <row r="888" spans="1:2" ht="18">
      <c r="A888" s="3" t="s">
        <v>3984</v>
      </c>
      <c r="B888" s="4" t="str">
        <f ca="1">IFERROR(__xludf.DUMMYFUNCTION("IFERROR(GOOGLETRANSLATE(A888,""ko"",""en""),)"),"This book is easy, so it is good for students to read every day.")</f>
        <v>This book is easy, so it is good for students to read every day.</v>
      </c>
    </row>
    <row r="889" spans="1:2" ht="18">
      <c r="A889" s="3" t="s">
        <v>3986</v>
      </c>
      <c r="B889" s="4" t="str">
        <f ca="1">IFERROR(__xludf.DUMMYFUNCTION("IFERROR(GOOGLETRANSLATE(A889,""ko"",""en""),)"),"This book is easy to read because the font is large.")</f>
        <v>This book is easy to read because the font is large.</v>
      </c>
    </row>
    <row r="890" spans="1:2" ht="18">
      <c r="A890" s="3" t="s">
        <v>3987</v>
      </c>
      <c r="B890" s="4" t="str">
        <f ca="1">IFERROR(__xludf.DUMMYFUNCTION("IFERROR(GOOGLETRANSLATE(A890,""ko"",""en""),)"),"This sweater is great to wear in cold weather.")</f>
        <v>This sweater is great to wear in cold weather.</v>
      </c>
    </row>
    <row r="891" spans="1:2" ht="18">
      <c r="A891" s="3" t="s">
        <v>3989</v>
      </c>
      <c r="B891" s="4" t="str">
        <f ca="1">IFERROR(__xludf.DUMMYFUNCTION("IFERROR(GOOGLETRANSLATE(A891,""ko"",""en""),)"),"This city is a good place to live.")</f>
        <v>This city is a good place to live.</v>
      </c>
    </row>
    <row r="892" spans="1:2" ht="18">
      <c r="A892" s="3" t="s">
        <v>3990</v>
      </c>
      <c r="B892" s="4" t="str">
        <f ca="1">IFERROR(__xludf.DUMMYFUNCTION("IFERROR(GOOGLETRANSLATE(A892,""ko"",""en""),)"),"Sydney is a great place to live because it has a lot of ocean.")</f>
        <v>Sydney is a great place to live because it has a lot of ocean.</v>
      </c>
    </row>
    <row r="893" spans="1:2" ht="18">
      <c r="A893" s="3" t="s">
        <v>3991</v>
      </c>
      <c r="B893" s="4" t="str">
        <f ca="1">IFERROR(__xludf.DUMMYFUNCTION("IFERROR(GOOGLETRANSLATE(A893,""ko"",""en""),)"),"Because there are many good restaurants, because the weather is good, because the air is good")</f>
        <v>Because there are many good restaurants, because the weather is good, because the air is good</v>
      </c>
    </row>
    <row r="894" spans="1:2" ht="18">
      <c r="A894" s="3" t="s">
        <v>3993</v>
      </c>
      <c r="B894" s="4" t="str">
        <f ca="1">IFERROR(__xludf.DUMMYFUNCTION("IFERROR(GOOGLETRANSLATE(A894,""ko"",""en""),)"),"This movie is cute, so it's good to watch with my younger sibling.")</f>
        <v>This movie is cute, so it's good to watch with my younger sibling.</v>
      </c>
    </row>
    <row r="895" spans="1:2" ht="18">
      <c r="A895" s="3" t="s">
        <v>3994</v>
      </c>
      <c r="B895" s="4" t="str">
        <f ca="1">IFERROR(__xludf.DUMMYFUNCTION("IFERROR(GOOGLETRANSLATE(A895,""ko"",""en""),)"),"Because the content is good")</f>
        <v>Because the content is good</v>
      </c>
    </row>
    <row r="896" spans="1:2" ht="18">
      <c r="A896" s="3" t="s">
        <v>3995</v>
      </c>
      <c r="B896" s="4" t="str">
        <f ca="1">IFERROR(__xludf.DUMMYFUNCTION("IFERROR(GOOGLETRANSLATE(A896,""ko"",""en""),)"),"Because the story was good")</f>
        <v>Because the story was good</v>
      </c>
    </row>
    <row r="897" spans="1:2" ht="18">
      <c r="A897" s="3" t="s">
        <v>3997</v>
      </c>
      <c r="B897" s="4" t="str">
        <f ca="1">IFERROR(__xludf.DUMMYFUNCTION("IFERROR(GOOGLETRANSLATE(A897,""ko"",""en""),)"),"The weather is nice, so it's good for a walk.")</f>
        <v>The weather is nice, so it's good for a walk.</v>
      </c>
    </row>
    <row r="898" spans="1:2" ht="18">
      <c r="A898" s="3" t="s">
        <v>3999</v>
      </c>
      <c r="B898" s="4" t="str">
        <f ca="1">IFERROR(__xludf.DUMMYFUNCTION("IFERROR(GOOGLETRANSLATE(A898,""ko"",""en""),)"),"The weather is warm in the spring, so it is good for taking a walk.")</f>
        <v>The weather is warm in the spring, so it is good for taking a walk.</v>
      </c>
    </row>
    <row r="899" spans="1:2" ht="18">
      <c r="A899" s="3" t="s">
        <v>4000</v>
      </c>
      <c r="B899" s="4" t="str">
        <f ca="1">IFERROR(__xludf.DUMMYFUNCTION("IFERROR(GOOGLETRANSLATE(A899,""ko"",""en""),)"),"The kitchen is spacious, so it is good for cooking.")</f>
        <v>The kitchen is spacious, so it is good for cooking.</v>
      </c>
    </row>
    <row r="900" spans="1:2" ht="18">
      <c r="A900" s="3" t="s">
        <v>4001</v>
      </c>
      <c r="B900" s="4" t="str">
        <f ca="1">IFERROR(__xludf.DUMMYFUNCTION("IFERROR(GOOGLETRANSLATE(A900,""ko"",""en""),)"),"This book is easy and fun, so it makes a great gift for children.")</f>
        <v>This book is easy and fun, so it makes a great gift for children.</v>
      </c>
    </row>
    <row r="901" spans="1:2" ht="18">
      <c r="A901" s="3" t="s">
        <v>4003</v>
      </c>
      <c r="B901" s="4" t="str">
        <f ca="1">IFERROR(__xludf.DUMMYFUNCTION("IFERROR(GOOGLETRANSLATE(A901,""ko"",""en""),)"),"This scarf is very popular, so it makes a great gift for your mother.")</f>
        <v>This scarf is very popular, so it makes a great gift for your mother.</v>
      </c>
    </row>
    <row r="902" spans="1:2" ht="18">
      <c r="A902" s="3" t="s">
        <v>4005</v>
      </c>
      <c r="B902" s="4" t="str">
        <f ca="1">IFERROR(__xludf.DUMMYFUNCTION("IFERROR(GOOGLETRANSLATE(A902,""ko"",""en""),)"),"The library was quiet, so it was nice to read books.")</f>
        <v>The library was quiet, so it was nice to read books.</v>
      </c>
    </row>
    <row r="903" spans="1:2" ht="18">
      <c r="A903" s="3" t="s">
        <v>4006</v>
      </c>
      <c r="B903" s="4" t="str">
        <f ca="1">IFERROR(__xludf.DUMMYFUNCTION("IFERROR(GOOGLETRANSLATE(A903,""ko"",""en""),)"),"These pants are cool, so they will be good to wear in the summer.")</f>
        <v>These pants are cool, so they will be good to wear in the summer.</v>
      </c>
    </row>
    <row r="904" spans="1:2" ht="18">
      <c r="A904" s="3" t="s">
        <v>4008</v>
      </c>
      <c r="B904" s="4" t="str">
        <f ca="1">IFERROR(__xludf.DUMMYFUNCTION("IFERROR(GOOGLETRANSLATE(A904,""ko"",""en""),)"),"How is Marie's house?")</f>
        <v>How is Marie's house?</v>
      </c>
    </row>
    <row r="905" spans="1:2" ht="18">
      <c r="A905" s="3" t="s">
        <v>4009</v>
      </c>
      <c r="B905" s="4" t="str">
        <f ca="1">IFERROR(__xludf.DUMMYFUNCTION("IFERROR(GOOGLETRANSLATE(A905,""ko"",""en""),)"),"It’s not good for exercising because there isn’t a park nearby.")</f>
        <v>It’s not good for exercising because there isn’t a park nearby.</v>
      </c>
    </row>
    <row r="906" spans="1:2" ht="18">
      <c r="A906" s="3" t="s">
        <v>4011</v>
      </c>
      <c r="B906" s="4" t="str">
        <f ca="1">IFERROR(__xludf.DUMMYFUNCTION("IFERROR(GOOGLETRANSLATE(A906,""ko"",""en""),)"),"It's close to the company, so it's convenient for commuting.")</f>
        <v>It's close to the company, so it's convenient for commuting.</v>
      </c>
    </row>
    <row r="907" spans="1:2" ht="18">
      <c r="A907" s="3" t="s">
        <v>4012</v>
      </c>
      <c r="B907" s="4" t="str">
        <f ca="1">IFERROR(__xludf.DUMMYFUNCTION("IFERROR(GOOGLETRANSLATE(A907,""ko"",""en""),)"),"It was very windy, so it wasn't good for a walk.")</f>
        <v>It was very windy, so it wasn't good for a walk.</v>
      </c>
    </row>
    <row r="908" spans="1:2" ht="18">
      <c r="A908" s="3" t="s">
        <v>2828</v>
      </c>
      <c r="B908" s="4" t="str">
        <f ca="1">IFERROR(__xludf.DUMMYFUNCTION("IFERROR(GOOGLETRANSLATE(A908,""ko"",""en""),)"),"How is the weather today?")</f>
        <v>How is the weather today?</v>
      </c>
    </row>
    <row r="909" spans="1:2" ht="18">
      <c r="A909" s="3" t="s">
        <v>4014</v>
      </c>
      <c r="B909" s="4" t="str">
        <f ca="1">IFERROR(__xludf.DUMMYFUNCTION("IFERROR(GOOGLETRANSLATE(A909,""ko"",""en""),)"),"It's warm, so it's nice to take a walk.")</f>
        <v>It's warm, so it's nice to take a walk.</v>
      </c>
    </row>
    <row r="910" spans="1:2" ht="18">
      <c r="A910" s="3" t="s">
        <v>4016</v>
      </c>
      <c r="B910" s="4" t="str">
        <f ca="1">IFERROR(__xludf.DUMMYFUNCTION("IFERROR(GOOGLETRANSLATE(A910,""ko"",""en""),)"),"How is that novel?")</f>
        <v>How is that novel?</v>
      </c>
    </row>
    <row r="911" spans="1:2" ht="18">
      <c r="A911" s="3" t="s">
        <v>4017</v>
      </c>
      <c r="B911" s="4" t="str">
        <f ca="1">IFERROR(__xludf.DUMMYFUNCTION("IFERROR(GOOGLETRANSLATE(A911,""ko"",""en""),)"),"It's fun to read because the content is interesting.")</f>
        <v>It's fun to read because the content is interesting.</v>
      </c>
    </row>
    <row r="912" spans="1:2" ht="18">
      <c r="A912" s="3" t="s">
        <v>4019</v>
      </c>
      <c r="B912" s="4" t="str">
        <f ca="1">IFERROR(__xludf.DUMMYFUNCTION("IFERROR(GOOGLETRANSLATE(A912,""ko"",""en""),)"),"How was that animated movie?")</f>
        <v>How was that animated movie?</v>
      </c>
    </row>
    <row r="913" spans="1:2" ht="18">
      <c r="A913" s="3" t="s">
        <v>4020</v>
      </c>
      <c r="B913" s="4" t="str">
        <f ca="1">IFERROR(__xludf.DUMMYFUNCTION("IFERROR(GOOGLETRANSLATE(A913,""ko"",""en""),)"),"The content was easy to understand, so it was good to watch with my younger sibling.")</f>
        <v>The content was easy to understand, so it was good to watch with my younger sibling.</v>
      </c>
    </row>
    <row r="914" spans="1:2" ht="18">
      <c r="A914" s="3" t="s">
        <v>4023</v>
      </c>
      <c r="B914" s="4" t="str">
        <f ca="1">IFERROR(__xludf.DUMMYFUNCTION("IFERROR(GOOGLETRANSLATE(A914,""ko"",""en""),)"),"Where shall we go in the fall?")</f>
        <v>Where shall we go in the fall?</v>
      </c>
    </row>
    <row r="915" spans="1:2" ht="18">
      <c r="A915" s="3" t="s">
        <v>4024</v>
      </c>
      <c r="B915" s="4" t="str">
        <f ca="1">IFERROR(__xludf.DUMMYFUNCTION("IFERROR(GOOGLETRANSLATE(A915,""ko"",""en""),)"),"I'm going to the mountains. The autumn foliage is beautiful, so it will be nice to see.")</f>
        <v>I'm going to the mountains. The autumn foliage is beautiful, so it will be nice to see.</v>
      </c>
    </row>
    <row r="916" spans="1:2" ht="18">
      <c r="A916" s="3" t="s">
        <v>4025</v>
      </c>
      <c r="B916" s="4" t="str">
        <f ca="1">IFERROR(__xludf.DUMMYFUNCTION("IFERROR(GOOGLETRANSLATE(A916,""ko"",""en""),)"),"It is nice to ride a bike outdoors in the spring.")</f>
        <v>It is nice to ride a bike outdoors in the spring.</v>
      </c>
    </row>
    <row r="917" spans="1:2" ht="18">
      <c r="A917" s="3" t="s">
        <v>4027</v>
      </c>
      <c r="B917" s="4" t="str">
        <f ca="1">IFERROR(__xludf.DUMMYFUNCTION("IFERROR(GOOGLETRANSLATE(A917,""ko"",""en""),)"),"It is not good to play outside in winter.")</f>
        <v>It is not good to play outside in winter.</v>
      </c>
    </row>
    <row r="918" spans="1:2" ht="18">
      <c r="A918" s="3" t="s">
        <v>4028</v>
      </c>
      <c r="B918" s="4" t="str">
        <f ca="1">IFERROR(__xludf.DUMMYFUNCTION("IFERROR(GOOGLETRANSLATE(A918,""ko"",""en""),)"),"Let's make a snowman.")</f>
        <v>Let's make a snowman.</v>
      </c>
    </row>
    <row r="919" spans="1:2" ht="18">
      <c r="A919" s="3" t="s">
        <v>4030</v>
      </c>
      <c r="B919" s="4" t="str">
        <f ca="1">IFERROR(__xludf.DUMMYFUNCTION("IFERROR(GOOGLETRANSLATE(A919,""ko"",""en""),)"),"Let's have a snowball fight.")</f>
        <v>Let's have a snowball fight.</v>
      </c>
    </row>
    <row r="920" spans="1:2" ht="18">
      <c r="A920" s="3" t="s">
        <v>4031</v>
      </c>
      <c r="B920" s="4" t="str">
        <f ca="1">IFERROR(__xludf.DUMMYFUNCTION("IFERROR(GOOGLETRANSLATE(A920,""ko"",""en""),)"),"I ski.")</f>
        <v>I ski.</v>
      </c>
    </row>
    <row r="921" spans="1:2" ht="18">
      <c r="A921" s="3" t="s">
        <v>4032</v>
      </c>
      <c r="B921" s="4" t="str">
        <f ca="1">IFERROR(__xludf.DUMMYFUNCTION("IFERROR(GOOGLETRANSLATE(A921,""ko"",""en""),)"),"I skate.")</f>
        <v>I skate.</v>
      </c>
    </row>
    <row r="922" spans="1:2" ht="18">
      <c r="A922" s="3" t="s">
        <v>4034</v>
      </c>
      <c r="B922" s="4" t="str">
        <f ca="1">IFERROR(__xludf.DUMMYFUNCTION("IFERROR(GOOGLETRANSLATE(A922,""ko"",""en""),)"),"Bread is good to eat when you don't have time.")</f>
        <v>Bread is good to eat when you don't have time.</v>
      </c>
    </row>
    <row r="923" spans="1:2" ht="18">
      <c r="A923" s="3" t="s">
        <v>4035</v>
      </c>
      <c r="B923" s="4" t="str">
        <f ca="1">IFERROR(__xludf.DUMMYFUNCTION("IFERROR(GOOGLETRANSLATE(A923,""ko"",""en""),)"),"It is not good to drink coffee before bed.")</f>
        <v>It is not good to drink coffee before bed.</v>
      </c>
    </row>
    <row r="924" spans="1:2" ht="18">
      <c r="A924" s="3" t="s">
        <v>4037</v>
      </c>
      <c r="B924" s="4" t="str">
        <f ca="1">IFERROR(__xludf.DUMMYFUNCTION("IFERROR(GOOGLETRANSLATE(A924,""ko"",""en""),)"),"Milk is good to drink when eating spicy food.")</f>
        <v>Milk is good to drink when eating spicy food.</v>
      </c>
    </row>
    <row r="925" spans="1:2" ht="18">
      <c r="A925" s="3"/>
      <c r="B925" s="4" t="str">
        <f ca="1">IFERROR(__xludf.DUMMYFUNCTION("IFERROR(GOOGLETRANSLATE(#REF!,""ko"",""en""),)"),"")</f>
        <v/>
      </c>
    </row>
    <row r="926" spans="1:2" ht="18">
      <c r="A926" s="3" t="s">
        <v>4038</v>
      </c>
      <c r="B926" s="4" t="str">
        <f ca="1">IFERROR(__xludf.DUMMYFUNCTION("IFERROR(GOOGLETRANSLATE(A926,""ko"",""en""),)"),"I clean every day.")</f>
        <v>I clean every day.</v>
      </c>
    </row>
    <row r="927" spans="1:2" ht="18">
      <c r="A927" s="3" t="s">
        <v>4040</v>
      </c>
      <c r="B927" s="4" t="str">
        <f ca="1">IFERROR(__xludf.DUMMYFUNCTION("IFERROR(GOOGLETRANSLATE(A927,""ko"",""en""),)"),"I don't clean every day.")</f>
        <v>I don't clean every day.</v>
      </c>
    </row>
    <row r="928" spans="1:2" ht="18">
      <c r="A928" s="3" t="s">
        <v>4042</v>
      </c>
      <c r="B928" s="4" t="str">
        <f ca="1">IFERROR(__xludf.DUMMYFUNCTION("IFERROR(GOOGLETRANSLATE(A928,""ko"",""en""),)"),"I can't clean every day.")</f>
        <v>I can't clean every day.</v>
      </c>
    </row>
    <row r="929" spans="1:2" ht="18">
      <c r="A929" s="3" t="s">
        <v>4043</v>
      </c>
      <c r="B929" s="4" t="str">
        <f ca="1">IFERROR(__xludf.DUMMYFUNCTION("IFERROR(GOOGLETRANSLATE(A929,""ko"",""en""),)"),"I don't clean every day.")</f>
        <v>I don't clean every day.</v>
      </c>
    </row>
    <row r="930" spans="1:2" ht="18">
      <c r="A930" s="3" t="s">
        <v>4044</v>
      </c>
      <c r="B930" s="4" t="str">
        <f ca="1">IFERROR(__xludf.DUMMYFUNCTION("IFERROR(GOOGLETRANSLATE(A930,""ko"",""en""),)"),"I can't clean my hair every day.")</f>
        <v>I can't clean my hair every day.</v>
      </c>
    </row>
    <row r="931" spans="1:2" ht="18">
      <c r="A931" s="3" t="s">
        <v>4045</v>
      </c>
      <c r="B931" s="4" t="str">
        <f ca="1">IFERROR(__xludf.DUMMYFUNCTION("IFERROR(GOOGLETRANSLATE(A931,""ko"",""en""),)"),"I hate cleaning.")</f>
        <v>I hate cleaning.</v>
      </c>
    </row>
    <row r="932" spans="1:2" ht="18">
      <c r="A932" s="3" t="s">
        <v>4047</v>
      </c>
      <c r="B932" s="4" t="str">
        <f ca="1">IFERROR(__xludf.DUMMYFUNCTION("IFERROR(GOOGLETRANSLATE(A932,""ko"",""en""),)"),"So I don't clean.")</f>
        <v>So I don't clean.</v>
      </c>
    </row>
    <row r="933" spans="1:2" ht="18">
      <c r="A933" s="3" t="s">
        <v>4048</v>
      </c>
      <c r="B933" s="4" t="str">
        <f ca="1">IFERROR(__xludf.DUMMYFUNCTION("IFERROR(GOOGLETRANSLATE(A933,""ko"",""en""),)"),"I have a lot of work, so I don't have time.")</f>
        <v>I have a lot of work, so I don't have time.</v>
      </c>
    </row>
    <row r="934" spans="1:2" ht="18">
      <c r="A934" s="3" t="s">
        <v>4049</v>
      </c>
      <c r="B934" s="4" t="str">
        <f ca="1">IFERROR(__xludf.DUMMYFUNCTION("IFERROR(GOOGLETRANSLATE(A934,""ko"",""en""),)"),"So I can't clean.")</f>
        <v>So I can't clean.</v>
      </c>
    </row>
    <row r="935" spans="1:2" ht="18">
      <c r="A935" s="3" t="s">
        <v>4050</v>
      </c>
      <c r="B935" s="4" t="str">
        <f ca="1">IFERROR(__xludf.DUMMYFUNCTION("IFERROR(GOOGLETRANSLATE(A935,""ko"",""en""),)"),"I don't go to the library.")</f>
        <v>I don't go to the library.</v>
      </c>
    </row>
    <row r="936" spans="1:2" ht="18">
      <c r="A936" s="3" t="s">
        <v>4053</v>
      </c>
      <c r="B936" s="4" t="str">
        <f ca="1">IFERROR(__xludf.DUMMYFUNCTION("IFERROR(GOOGLETRANSLATE(A936,""ko"",""en""),)"),"I can't go to the library.")</f>
        <v>I can't go to the library.</v>
      </c>
    </row>
    <row r="937" spans="1:2" ht="18">
      <c r="A937" s="3" t="s">
        <v>4054</v>
      </c>
      <c r="B937" s="4" t="str">
        <f ca="1">IFERROR(__xludf.DUMMYFUNCTION("IFERROR(GOOGLETRANSLATE(A937,""ko"",""en""),)"),"I'm not pretty.")</f>
        <v>I'm not pretty.</v>
      </c>
    </row>
    <row r="938" spans="1:2" ht="18">
      <c r="A938" s="3" t="s">
        <v>4055</v>
      </c>
      <c r="B938" s="4" t="str">
        <f ca="1">IFERROR(__xludf.DUMMYFUNCTION("IFERROR(GOOGLETRANSLATE(A938,""ko"",""en""),)"),"I'm not pretty.")</f>
        <v>I'm not pretty.</v>
      </c>
    </row>
    <row r="939" spans="1:2" ht="18">
      <c r="A939" s="3" t="s">
        <v>4057</v>
      </c>
      <c r="B939" s="4" t="str">
        <f ca="1">IFERROR(__xludf.DUMMYFUNCTION("IFERROR(GOOGLETRANSLATE(A939,""ko"",""en""),)"),"It's not difficult.")</f>
        <v>It's not difficult.</v>
      </c>
    </row>
    <row r="940" spans="1:2" ht="18">
      <c r="A940" s="3" t="s">
        <v>4059</v>
      </c>
      <c r="B940" s="4" t="str">
        <f ca="1">IFERROR(__xludf.DUMMYFUNCTION("IFERROR(GOOGLETRANSLATE(A940,""ko"",""en""),)"),"It's not difficult.")</f>
        <v>It's not difficult.</v>
      </c>
    </row>
    <row r="941" spans="1:2" ht="18">
      <c r="A941" s="3" t="s">
        <v>4060</v>
      </c>
      <c r="B941" s="4" t="str">
        <f ca="1">IFERROR(__xludf.DUMMYFUNCTION("IFERROR(GOOGLETRANSLATE(A941,""ko"",""en""),)"),"I hate you.")</f>
        <v>I hate you.</v>
      </c>
    </row>
    <row r="942" spans="1:2" ht="18">
      <c r="A942" s="3" t="s">
        <v>4061</v>
      </c>
      <c r="B942" s="4" t="str">
        <f ca="1">IFERROR(__xludf.DUMMYFUNCTION("IFERROR(GOOGLETRANSLATE(A942,""ko"",""en""),)"),"I hate you.")</f>
        <v>I hate you.</v>
      </c>
    </row>
    <row r="943" spans="1:2" ht="18">
      <c r="A943" s="3" t="s">
        <v>4062</v>
      </c>
      <c r="B943" s="4" t="str">
        <f ca="1">IFERROR(__xludf.DUMMYFUNCTION("IFERROR(GOOGLETRANSLATE(A943,""ko"",""en""),)"),"I like playing the piano.")</f>
        <v>I like playing the piano.</v>
      </c>
    </row>
    <row r="944" spans="1:2" ht="18">
      <c r="A944" s="3" t="s">
        <v>4063</v>
      </c>
      <c r="B944" s="4" t="str">
        <f ca="1">IFERROR(__xludf.DUMMYFUNCTION("IFERROR(GOOGLETRANSLATE(A944,""ko"",""en""),)"),"It is playing the piano.")</f>
        <v>It is playing the piano.</v>
      </c>
    </row>
    <row r="945" spans="1:2" ht="18">
      <c r="A945" s="3" t="s">
        <v>4065</v>
      </c>
      <c r="B945" s="4" t="str">
        <f ca="1">IFERROR(__xludf.DUMMYFUNCTION("IFERROR(GOOGLETRANSLATE(A945,""ko"",""en""),)"),"I'm playing soccer.")</f>
        <v>I'm playing soccer.</v>
      </c>
    </row>
    <row r="946" spans="1:2" ht="18">
      <c r="A946" s="3" t="s">
        <v>4066</v>
      </c>
      <c r="B946" s="4" t="str">
        <f ca="1">IFERROR(__xludf.DUMMYFUNCTION("IFERROR(GOOGLETRANSLATE(A946,""ko"",""en""),)"),"I can't eat food that is too spicy.")</f>
        <v>I can't eat food that is too spicy.</v>
      </c>
    </row>
    <row r="947" spans="1:2" ht="18">
      <c r="A947" s="3" t="s">
        <v>4067</v>
      </c>
      <c r="B947" s="4" t="str">
        <f ca="1">IFERROR(__xludf.DUMMYFUNCTION("IFERROR(GOOGLETRANSLATE(A947,""ko"",""en""),)"),"I have diarrhea.")</f>
        <v>I have diarrhea.</v>
      </c>
    </row>
    <row r="948" spans="1:2" ht="18">
      <c r="A948" s="3" t="s">
        <v>4068</v>
      </c>
      <c r="B948" s="4" t="str">
        <f ca="1">IFERROR(__xludf.DUMMYFUNCTION("IFERROR(GOOGLETRANSLATE(A948,""ko"",""en""),)"),"I have a peanut allergy.")</f>
        <v>I have a peanut allergy.</v>
      </c>
    </row>
    <row r="949" spans="1:2" ht="18">
      <c r="A949" s="3" t="s">
        <v>4069</v>
      </c>
      <c r="B949" s="4" t="str">
        <f ca="1">IFERROR(__xludf.DUMMYFUNCTION("IFERROR(GOOGLETRANSLATE(A949,""ko"",""en""),)"),"So I can't eat peanuts.")</f>
        <v>So I can't eat peanuts.</v>
      </c>
    </row>
    <row r="950" spans="1:2" ht="18">
      <c r="A950" s="3" t="s">
        <v>4071</v>
      </c>
      <c r="B950" s="4" t="str">
        <f ca="1">IFERROR(__xludf.DUMMYFUNCTION("IFERROR(GOOGLETRANSLATE(A950,""ko"",""en""),)"),"I can't go to Korea this year because plane tickets are too expensive.")</f>
        <v>I can't go to Korea this year because plane tickets are too expensive.</v>
      </c>
    </row>
    <row r="951" spans="1:2" ht="18">
      <c r="A951" s="3" t="s">
        <v>4072</v>
      </c>
      <c r="B951" s="4" t="str">
        <f ca="1">IFERROR(__xludf.DUMMYFUNCTION("IFERROR(GOOGLETRANSLATE(A951,""ko"",""en""),)"),"lazy")</f>
        <v>lazy</v>
      </c>
    </row>
    <row r="952" spans="1:2" ht="18">
      <c r="A952" s="3" t="s">
        <v>4073</v>
      </c>
      <c r="B952" s="4" t="str">
        <f ca="1">IFERROR(__xludf.DUMMYFUNCTION("IFERROR(GOOGLETRANSLATE(A952,""ko"",""en""),)"),"I'm lazy")</f>
        <v>I'm lazy</v>
      </c>
    </row>
    <row r="953" spans="1:2" ht="18">
      <c r="A953" s="3" t="s">
        <v>4074</v>
      </c>
      <c r="B953" s="4" t="str">
        <f ca="1">IFERROR(__xludf.DUMMYFUNCTION("IFERROR(GOOGLETRANSLATE(A953,""ko"",""en""),)"),"call")</f>
        <v>call</v>
      </c>
    </row>
    <row r="954" spans="1:2" ht="18">
      <c r="A954" s="3" t="s">
        <v>4076</v>
      </c>
      <c r="B954" s="4" t="str">
        <f ca="1">IFERROR(__xludf.DUMMYFUNCTION("IFERROR(GOOGLETRANSLATE(A954,""ko"",""en""),)"),"Call me")</f>
        <v>Call me</v>
      </c>
    </row>
    <row r="955" spans="1:2" ht="18">
      <c r="A955" s="3" t="s">
        <v>4077</v>
      </c>
      <c r="B955" s="4" t="str">
        <f ca="1">IFERROR(__xludf.DUMMYFUNCTION("IFERROR(GOOGLETRANSLATE(A955,""ko"",""en""),)"),"My room has a big window, so it's not dark.")</f>
        <v>My room has a big window, so it's not dark.</v>
      </c>
    </row>
    <row r="956" spans="1:2" ht="18">
      <c r="A956" s="3" t="s">
        <v>4078</v>
      </c>
      <c r="B956" s="4" t="str">
        <f ca="1">IFERROR(__xludf.DUMMYFUNCTION("IFERROR(GOOGLETRANSLATE(A956,""ko"",""en""),)"),"The window is big, so it's not dark.")</f>
        <v>The window is big, so it's not dark.</v>
      </c>
    </row>
    <row r="957" spans="1:2" ht="18">
      <c r="A957" s="3" t="s">
        <v>4079</v>
      </c>
      <c r="B957" s="4" t="str">
        <f ca="1">IFERROR(__xludf.DUMMYFUNCTION("IFERROR(GOOGLETRANSLATE(A957,""ko"",""en""),)"),"I clean it every day, so it isn't messy.")</f>
        <v>I clean it every day, so it isn't messy.</v>
      </c>
    </row>
    <row r="958" spans="1:2" ht="18">
      <c r="A958" s="3" t="s">
        <v>4080</v>
      </c>
      <c r="B958" s="4" t="str">
        <f ca="1">IFERROR(__xludf.DUMMYFUNCTION("IFERROR(GOOGLETRANSLATE(A958,""ko"",""en""),)"),"It's not messy because I'm not home every day.")</f>
        <v>It's not messy because I'm not home every day.</v>
      </c>
    </row>
    <row r="959" spans="1:2" ht="18">
      <c r="A959" s="3" t="s">
        <v>4081</v>
      </c>
      <c r="B959" s="4" t="str">
        <f ca="1">IFERROR(__xludf.DUMMYFUNCTION("IFERROR(GOOGLETRANSLATE(A959,""ko"",""en""),)"),"People throw away trash")</f>
        <v>People throw away trash</v>
      </c>
    </row>
    <row r="960" spans="1:2" ht="18">
      <c r="A960" s="3" t="s">
        <v>4082</v>
      </c>
      <c r="B960" s="4" t="str">
        <f ca="1">IFERROR(__xludf.DUMMYFUNCTION("IFERROR(GOOGLETRANSLATE(A960,""ko"",""en""),)"),"I want to throw away the refrigerator.")</f>
        <v>I want to throw away the refrigerator.</v>
      </c>
    </row>
    <row r="961" spans="1:2" ht="18">
      <c r="A961" s="3" t="s">
        <v>4083</v>
      </c>
      <c r="B961" s="4" t="str">
        <f ca="1">IFERROR(__xludf.DUMMYFUNCTION("IFERROR(GOOGLETRANSLATE(A961,""ko"",""en""),)"),"But it's too heavy, so I can't throw it away by myself.")</f>
        <v>But it's too heavy, so I can't throw it away by myself.</v>
      </c>
    </row>
    <row r="962" spans="1:2" ht="18">
      <c r="A962" s="3" t="s">
        <v>4084</v>
      </c>
      <c r="B962" s="4" t="str">
        <f ca="1">IFERROR(__xludf.DUMMYFUNCTION("IFERROR(GOOGLETRANSLATE(A962,""ko"",""en""),)"),"Kimchi refrigerator")</f>
        <v>Kimchi refrigerator</v>
      </c>
    </row>
    <row r="963" spans="1:2" ht="18">
      <c r="A963" s="3" t="s">
        <v>4085</v>
      </c>
      <c r="B963" s="4" t="str">
        <f ca="1">IFERROR(__xludf.DUMMYFUNCTION("IFERROR(GOOGLETRANSLATE(A963,""ko"",""en""),)"),"Anna cleans every day.")</f>
        <v>Anna cleans every day.</v>
      </c>
    </row>
    <row r="964" spans="1:2" ht="18">
      <c r="A964" s="3" t="s">
        <v>4087</v>
      </c>
      <c r="B964" s="4" t="str">
        <f ca="1">IFERROR(__xludf.DUMMYFUNCTION("IFERROR(GOOGLETRANSLATE(A964,""ko"",""en""),)"),"So the room isn't very messy.")</f>
        <v>So the room isn't very messy.</v>
      </c>
    </row>
    <row r="965" spans="1:2" ht="18">
      <c r="A965" s="3" t="s">
        <v>4088</v>
      </c>
      <c r="B965" s="4" t="str">
        <f ca="1">IFERROR(__xludf.DUMMYFUNCTION("IFERROR(GOOGLETRANSLATE(A965,""ko"",""en""),)"),"My room has a big window.")</f>
        <v>My room has a big window.</v>
      </c>
    </row>
    <row r="966" spans="1:2" ht="18">
      <c r="A966" s="3" t="s">
        <v>4089</v>
      </c>
      <c r="B966" s="4" t="str">
        <f ca="1">IFERROR(__xludf.DUMMYFUNCTION("IFERROR(GOOGLETRANSLATE(A966,""ko"",""en""),)"),"So the room isn't dark.")</f>
        <v>So the room isn't dark.</v>
      </c>
    </row>
    <row r="967" spans="1:2" ht="18">
      <c r="A967" s="3" t="s">
        <v>4090</v>
      </c>
      <c r="B967" s="4" t="str">
        <f ca="1">IFERROR(__xludf.DUMMYFUNCTION("IFERROR(GOOGLETRANSLATE(A967,""ko"",""en""),)"),"What don't you eat, Mina?")</f>
        <v>What don't you eat, Mina?</v>
      </c>
    </row>
    <row r="968" spans="1:2" ht="18">
      <c r="A968" s="3" t="s">
        <v>4092</v>
      </c>
      <c r="B968" s="4" t="str">
        <f ca="1">IFERROR(__xludf.DUMMYFUNCTION("IFERROR(GOOGLETRANSLATE(A968,""ko"",""en""),)"),"I don't eat meat because I dislike it.")</f>
        <v>I don't eat meat because I dislike it.</v>
      </c>
    </row>
    <row r="969" spans="1:2" ht="18">
      <c r="A969" s="3" t="s">
        <v>4093</v>
      </c>
      <c r="B969" s="4" t="str">
        <f ca="1">IFERROR(__xludf.DUMMYFUNCTION("IFERROR(GOOGLETRANSLATE(A969,""ko"",""en""),)"),"I don't eat meat at all.")</f>
        <v>I don't eat meat at all.</v>
      </c>
    </row>
    <row r="970" spans="1:2" ht="18">
      <c r="A970" s="3" t="s">
        <v>4094</v>
      </c>
      <c r="B970" s="4" t="str">
        <f ca="1">IFERROR(__xludf.DUMMYFUNCTION("IFERROR(GOOGLETRANSLATE(A970,""ko"",""en""),)"),"What can't you eat, Mina?")</f>
        <v>What can't you eat, Mina?</v>
      </c>
    </row>
    <row r="971" spans="1:2" ht="18">
      <c r="A971" s="3" t="s">
        <v>4095</v>
      </c>
      <c r="B971" s="4" t="str">
        <f ca="1">IFERROR(__xludf.DUMMYFUNCTION("IFERROR(GOOGLETRANSLATE(A971,""ko"",""en""),)"),"I get a stomachache every time I eat eggs. So I can't eat eggs at all.")</f>
        <v>I get a stomachache every time I eat eggs. So I can't eat eggs at all.</v>
      </c>
    </row>
    <row r="972" spans="1:2" ht="18">
      <c r="A972" s="3" t="s">
        <v>4096</v>
      </c>
      <c r="B972" s="4" t="str">
        <f ca="1">IFERROR(__xludf.DUMMYFUNCTION("IFERROR(GOOGLETRANSLATE(A972,""ko"",""en""),)"),"I had to eat peas when I was young.")</f>
        <v>I had to eat peas when I was young.</v>
      </c>
    </row>
    <row r="973" spans="1:2" ht="18">
      <c r="A973" s="3" t="s">
        <v>4098</v>
      </c>
      <c r="B973" s="4" t="str">
        <f ca="1">IFERROR(__xludf.DUMMYFUNCTION("IFERROR(GOOGLETRANSLATE(A973,""ko"",""en""),)"),"I didn't like peas back then.")</f>
        <v>I didn't like peas back then.</v>
      </c>
    </row>
    <row r="974" spans="1:2" ht="18">
      <c r="A974" s="3" t="s">
        <v>4099</v>
      </c>
      <c r="B974" s="4" t="str">
        <f ca="1">IFERROR(__xludf.DUMMYFUNCTION("IFERROR(GOOGLETRANSLATE(A974,""ko"",""en""),)"),"I forced myself to eat the peas.")</f>
        <v>I forced myself to eat the peas.</v>
      </c>
    </row>
    <row r="975" spans="1:2" ht="18">
      <c r="A975" s="3" t="s">
        <v>4100</v>
      </c>
      <c r="B975" s="4" t="str">
        <f ca="1">IFERROR(__xludf.DUMMYFUNCTION("IFERROR(GOOGLETRANSLATE(A975,""ko"",""en""),)"),"So now if I eat peas, I throw up.")</f>
        <v>So now if I eat peas, I throw up.</v>
      </c>
    </row>
    <row r="976" spans="1:2" ht="18">
      <c r="A976" s="3" t="s">
        <v>4101</v>
      </c>
      <c r="B976" s="4" t="str">
        <f ca="1">IFERROR(__xludf.DUMMYFUNCTION("IFERROR(GOOGLETRANSLATE(A976,""ko"",""en""),)"),"So I can't eat peas at all.")</f>
        <v>So I can't eat peas at all.</v>
      </c>
    </row>
    <row r="977" spans="1:2" ht="18">
      <c r="A977" s="3" t="s">
        <v>4103</v>
      </c>
      <c r="B977" s="4" t="str">
        <f ca="1">IFERROR(__xludf.DUMMYFUNCTION("IFERROR(GOOGLETRANSLATE(A977,""ko"",""en""),)"),"Avoid eating carrots.")</f>
        <v>Avoid eating carrots.</v>
      </c>
    </row>
    <row r="978" spans="1:2" ht="18">
      <c r="A978" s="3" t="s">
        <v>4104</v>
      </c>
      <c r="B978" s="4" t="str">
        <f ca="1">IFERROR(__xludf.DUMMYFUNCTION("IFERROR(GOOGLETRANSLATE(A978,""ko"",""en""),)"),"I don't eat kiwis because they are sour.")</f>
        <v>I don't eat kiwis because they are sour.</v>
      </c>
    </row>
    <row r="979" spans="1:2" ht="18">
      <c r="A979" s="3" t="s">
        <v>4105</v>
      </c>
      <c r="B979" s="4" t="str">
        <f ca="1">IFERROR(__xludf.DUMMYFUNCTION("IFERROR(GOOGLETRANSLATE(A979,""ko"",""en""),)"),"lamb")</f>
        <v>lamb</v>
      </c>
    </row>
    <row r="980" spans="1:2" ht="18">
      <c r="A980" s="3" t="s">
        <v>4106</v>
      </c>
      <c r="B980" s="4" t="str">
        <f ca="1">IFERROR(__xludf.DUMMYFUNCTION("IFERROR(GOOGLETRANSLATE(A980,""ko"",""en""),)"),"I don't eat lamb because of its strong smell.")</f>
        <v>I don't eat lamb because of its strong smell.</v>
      </c>
    </row>
    <row r="981" spans="1:2" ht="18">
      <c r="A981" s="3" t="s">
        <v>4108</v>
      </c>
      <c r="B981" s="4" t="str">
        <f ca="1">IFERROR(__xludf.DUMMYFUNCTION("IFERROR(GOOGLETRANSLATE(A981,""ko"",""en""),)"),"Jaemin, why didn't you eat lunch?")</f>
        <v>Jaemin, why didn't you eat lunch?</v>
      </c>
    </row>
    <row r="982" spans="1:2" ht="18">
      <c r="A982" s="3" t="s">
        <v>4109</v>
      </c>
      <c r="B982" s="4" t="str">
        <f ca="1">IFERROR(__xludf.DUMMYFUNCTION("IFERROR(GOOGLETRANSLATE(A982,""ko"",""en""),)"),"I didn't eat because I wasn't hungry.")</f>
        <v>I didn't eat because I wasn't hungry.</v>
      </c>
    </row>
    <row r="983" spans="1:2" ht="18">
      <c r="A983" s="3" t="s">
        <v>4110</v>
      </c>
      <c r="B983" s="4" t="str">
        <f ca="1">IFERROR(__xludf.DUMMYFUNCTION("IFERROR(GOOGLETRANSLATE(A983,""ko"",""en""),)"),"Did you clean the room?")</f>
        <v>Did you clean the room?</v>
      </c>
    </row>
    <row r="984" spans="1:2" ht="18">
      <c r="A984" s="3" t="s">
        <v>4111</v>
      </c>
      <c r="B984" s="4" t="str">
        <f ca="1">IFERROR(__xludf.DUMMYFUNCTION("IFERROR(GOOGLETRANSLATE(A984,""ko"",""en""),)"),"No. I haven't been able to clean because I've been really busy lately.")</f>
        <v>No. I haven't been able to clean because I've been really busy lately.</v>
      </c>
    </row>
    <row r="985" spans="1:2" ht="18">
      <c r="A985" s="3" t="s">
        <v>4112</v>
      </c>
      <c r="B985" s="4" t="str">
        <f ca="1">IFERROR(__xludf.DUMMYFUNCTION("IFERROR(GOOGLETRANSLATE(A985,""ko"",""en""),)"),"Are you going to school again today?")</f>
        <v>Are you going to school again today?</v>
      </c>
    </row>
    <row r="986" spans="1:2" ht="18">
      <c r="A986" s="3" t="s">
        <v>4114</v>
      </c>
      <c r="B986" s="4" t="str">
        <f ca="1">IFERROR(__xludf.DUMMYFUNCTION("IFERROR(GOOGLETRANSLATE(A986,""ko"",""en""),)"),"No. Today is Sunday, so I'm not going to school.")</f>
        <v>No. Today is Sunday, so I'm not going to school.</v>
      </c>
    </row>
    <row r="987" spans="1:2" ht="18">
      <c r="A987" s="3" t="s">
        <v>4115</v>
      </c>
      <c r="B987" s="4" t="str">
        <f ca="1">IFERROR(__xludf.DUMMYFUNCTION("IFERROR(GOOGLETRANSLATE(A987,""ko"",""en""),)"),"Anna, why didn't you come to school yesterday?")</f>
        <v>Anna, why didn't you come to school yesterday?</v>
      </c>
    </row>
    <row r="988" spans="1:2" ht="18">
      <c r="A988" s="3" t="s">
        <v>4116</v>
      </c>
      <c r="B988" s="4" t="str">
        <f ca="1">IFERROR(__xludf.DUMMYFUNCTION("IFERROR(GOOGLETRANSLATE(A988,""ko"",""en""),)"),"Oh, teacher. I woke up late so I couldn't get to school.")</f>
        <v>Oh, teacher. I woke up late so I couldn't get to school.</v>
      </c>
    </row>
    <row r="989" spans="1:2" ht="18">
      <c r="A989" s="3" t="s">
        <v>4117</v>
      </c>
      <c r="B989" s="4" t="str">
        <f ca="1">IFERROR(__xludf.DUMMYFUNCTION("IFERROR(GOOGLETRANSLATE(A989,""ko"",""en""),)"),"How is the new house?")</f>
        <v>How is the new house?</v>
      </c>
    </row>
    <row r="990" spans="1:2" ht="18">
      <c r="A990" s="3" t="s">
        <v>4119</v>
      </c>
      <c r="B990" s="4" t="str">
        <f ca="1">IFERROR(__xludf.DUMMYFUNCTION("IFERROR(GOOGLETRANSLATE(A990,""ko"",""en""),)"),"It is far from the company, so it is not good to commute.")</f>
        <v>It is far from the company, so it is not good to commute.</v>
      </c>
    </row>
    <row r="991" spans="1:2" ht="18">
      <c r="A991" s="3" t="s">
        <v>1514</v>
      </c>
      <c r="B991" s="4" t="str">
        <f ca="1">IFERROR(__xludf.DUMMYFUNCTION("IFERROR(GOOGLETRANSLATE(A991,""ko"",""en""),)"),"Can you make Korean food?")</f>
        <v>Can you make Korean food?</v>
      </c>
    </row>
    <row r="992" spans="1:2" ht="18">
      <c r="A992" s="3" t="s">
        <v>4120</v>
      </c>
      <c r="B992" s="4" t="str">
        <f ca="1">IFERROR(__xludf.DUMMYFUNCTION("IFERROR(GOOGLETRANSLATE(A992,""ko"",""en""),)"),"No. I can't make Korean food.")</f>
        <v>No. I can't make Korean food.</v>
      </c>
    </row>
    <row r="993" spans="1:2" ht="18">
      <c r="A993" s="3" t="s">
        <v>4121</v>
      </c>
      <c r="B993" s="4" t="str">
        <f ca="1">IFERROR(__xludf.DUMMYFUNCTION("IFERROR(GOOGLETRANSLATE(A993,""ko"",""en""),)"),"Does your head still hurt?")</f>
        <v>Does your head still hurt?</v>
      </c>
    </row>
    <row r="994" spans="1:2" ht="18">
      <c r="A994" s="3" t="s">
        <v>4123</v>
      </c>
      <c r="B994" s="4" t="str">
        <f ca="1">IFERROR(__xludf.DUMMYFUNCTION("IFERROR(GOOGLETRANSLATE(A994,""ko"",""en""),)"),"No. My head doesn't hurt right now.")</f>
        <v>No. My head doesn't hurt right now.</v>
      </c>
    </row>
    <row r="995" spans="1:2" ht="18">
      <c r="A995" s="3" t="s">
        <v>4124</v>
      </c>
      <c r="B995" s="4" t="str">
        <f ca="1">IFERROR(__xludf.DUMMYFUNCTION("IFERROR(GOOGLETRANSLATE(A995,""ko"",""en""),)"),"Shall we go to karaoke together?")</f>
        <v>Shall we go to karaoke together?</v>
      </c>
    </row>
    <row r="996" spans="1:2" ht="18">
      <c r="A996" s="3" t="s">
        <v>4125</v>
      </c>
      <c r="B996" s="4" t="str">
        <f ca="1">IFERROR(__xludf.DUMMYFUNCTION("IFERROR(GOOGLETRANSLATE(A996,""ko"",""en""),)"),"I'm sorry. I don't want to sing today.")</f>
        <v>I'm sorry. I don't want to sing today.</v>
      </c>
    </row>
    <row r="997" spans="1:2" ht="18">
      <c r="A997" s="3" t="s">
        <v>4126</v>
      </c>
      <c r="B997" s="4" t="str">
        <f ca="1">IFERROR(__xludf.DUMMYFUNCTION("IFERROR(GOOGLETRANSLATE(A997,""ko"",""en""),)"),"Did you have a good move yesterday?")</f>
        <v>Did you have a good move yesterday?</v>
      </c>
    </row>
    <row r="998" spans="1:2" ht="18">
      <c r="A998" s="3" t="s">
        <v>4127</v>
      </c>
      <c r="B998" s="4" t="str">
        <f ca="1">IFERROR(__xludf.DUMMYFUNCTION("IFERROR(GOOGLETRANSLATE(A998,""ko"",""en""),)"),"I'm sorry I couldn't help you because it's a weekday.")</f>
        <v>I'm sorry I couldn't help you because it's a weekday.</v>
      </c>
    </row>
    <row r="999" spans="1:2" ht="18">
      <c r="A999" s="3" t="s">
        <v>4128</v>
      </c>
      <c r="B999" s="4" t="str">
        <f ca="1">IFERROR(__xludf.DUMMYFUNCTION("IFERROR(GOOGLETRANSLATE(A999,""ko"",""en""),)"),"I want to move to a house like that, too.")</f>
        <v>I want to move to a house like that, too.</v>
      </c>
    </row>
    <row r="1000" spans="1:2" ht="18">
      <c r="A1000" s="3" t="s">
        <v>4129</v>
      </c>
      <c r="B1000" s="4" t="str">
        <f ca="1">IFERROR(__xludf.DUMMYFUNCTION("IFERROR(GOOGLETRANSLATE(A1000,""ko"",""en""),)"),"Hahaha. It’s not that great of a house.")</f>
        <v>Hahaha. It’s not that great of a house.</v>
      </c>
    </row>
    <row r="1001" spans="1:2" ht="18">
      <c r="A1001" s="3" t="s">
        <v>4131</v>
      </c>
      <c r="B1001" s="4" t="str">
        <f ca="1">IFERROR(__xludf.DUMMYFUNCTION("IFERROR(GOOGLETRANSLATE(A1001,""ko"",""en""),)"),"hehe")</f>
        <v>hehe</v>
      </c>
    </row>
    <row r="1002" spans="1:2" ht="18">
      <c r="A1002" s="3" t="s">
        <v>4132</v>
      </c>
      <c r="B1002" s="4" t="str">
        <f ca="1">IFERROR(__xludf.DUMMYFUNCTION("IFERROR(GOOGLETRANSLATE(A1002,""ko"",""en""),)"),"lol")</f>
        <v>lol</v>
      </c>
    </row>
    <row r="1003" spans="1:2" ht="18">
      <c r="A1003" s="3" t="s">
        <v>4133</v>
      </c>
      <c r="B1003" s="4" t="str">
        <f ca="1">IFERROR(__xludf.DUMMYFUNCTION("IFERROR(GOOGLETRANSLATE(A1003,""ko"",""en""),)"),"Please come visit sometime.")</f>
        <v>Please come visit sometime.</v>
      </c>
    </row>
    <row r="1004" spans="1:2" ht="18">
      <c r="A1004" s="3" t="s">
        <v>4135</v>
      </c>
      <c r="B1004" s="4" t="str">
        <f ca="1">IFERROR(__xludf.DUMMYFUNCTION("IFERROR(GOOGLETRANSLATE(A1004,""ko"",""en""),)"),"What did you do yesterday, Juno? How was it?")</f>
        <v>What did you do yesterday, Juno? How was it?</v>
      </c>
    </row>
    <row r="1005" spans="1:2" ht="18">
      <c r="A1005" s="3" t="s">
        <v>4136</v>
      </c>
      <c r="B1005" s="4" t="str">
        <f ca="1">IFERROR(__xludf.DUMMYFUNCTION("IFERROR(GOOGLETRANSLATE(A1005,""ko"",""en""),)"),"Juno moved yesterday. It was a bit difficult because there was a lot of stuff.")</f>
        <v>Juno moved yesterday. It was a bit difficult because there was a lot of stuff.</v>
      </c>
    </row>
    <row r="1006" spans="1:2" ht="18">
      <c r="A1006" s="3" t="s">
        <v>4137</v>
      </c>
      <c r="B1006" s="4" t="str">
        <f ca="1">IFERROR(__xludf.DUMMYFUNCTION("IFERROR(GOOGLETRANSLATE(A1006,""ko"",""en""),)"),"How is your new house, Juno?")</f>
        <v>How is your new house, Juno?</v>
      </c>
    </row>
    <row r="1007" spans="1:2" ht="18">
      <c r="A1007" s="3" t="s">
        <v>4138</v>
      </c>
      <c r="B1007" s="4" t="str">
        <f ca="1">IFERROR(__xludf.DUMMYFUNCTION("IFERROR(GOOGLETRANSLATE(A1007,""ko"",""en""),)"),"It isn't spacious, but the living room window is large, so it's nice to look at the view.")</f>
        <v>It isn't spacious, but the living room window is large, so it's nice to look at the view.</v>
      </c>
    </row>
    <row r="1008" spans="1:2" ht="18">
      <c r="A1008" s="3"/>
      <c r="B1008" s="4" t="str">
        <f ca="1">IFERROR(__xludf.DUMMYFUNCTION("IFERROR(GOOGLETRANSLATE(A1008,""ko"",""en""),)"),"")</f>
        <v/>
      </c>
    </row>
    <row r="1009" spans="1:2" ht="18">
      <c r="A1009" s="3" t="s">
        <v>4140</v>
      </c>
      <c r="B1009" s="4" t="str">
        <f ca="1">IFERROR(__xludf.DUMMYFUNCTION("IFERROR(GOOGLETRANSLATE(A1009,""ko"",""en""),)"),"I listen to music while drinking coffee.")</f>
        <v>I listen to music while drinking coffee.</v>
      </c>
    </row>
    <row r="1010" spans="1:2" ht="18">
      <c r="A1010" s="3" t="s">
        <v>4141</v>
      </c>
      <c r="B1010" s="4" t="str">
        <f ca="1">IFERROR(__xludf.DUMMYFUNCTION("IFERROR(GOOGLETRANSLATE(A1010,""ko"",""en""),)"),"Is there a place you go to often?")</f>
        <v>Is there a place you go to often?</v>
      </c>
    </row>
    <row r="1011" spans="1:2" ht="18">
      <c r="A1011" s="3" t="s">
        <v>4143</v>
      </c>
      <c r="B1011" s="4" t="str">
        <f ca="1">IFERROR(__xludf.DUMMYFUNCTION("IFERROR(GOOGLETRANSLATE(A1011,""ko"",""en""),)"),"Everything is too expensive.")</f>
        <v>Everything is too expensive.</v>
      </c>
    </row>
    <row r="1012" spans="1:2" ht="18">
      <c r="A1012" s="3" t="s">
        <v>4144</v>
      </c>
      <c r="B1012" s="4" t="str">
        <f ca="1">IFERROR(__xludf.DUMMYFUNCTION("IFERROR(GOOGLETRANSLATE(A1012,""ko"",""en""),)"),"I need to drink tea at home!")</f>
        <v>I need to drink tea at home!</v>
      </c>
    </row>
    <row r="1013" spans="1:2" ht="18">
      <c r="A1013" s="3" t="s">
        <v>4145</v>
      </c>
      <c r="B1013" s="4" t="str">
        <f ca="1">IFERROR(__xludf.DUMMYFUNCTION("IFERROR(GOOGLETRANSLATE(A1013,""ko"",""en""),)"),"I study Korean while drinking tea.")</f>
        <v>I study Korean while drinking tea.</v>
      </c>
    </row>
    <row r="1014" spans="1:2" ht="18">
      <c r="A1014" s="3" t="s">
        <v>4147</v>
      </c>
      <c r="B1014" s="4" t="str">
        <f ca="1">IFERROR(__xludf.DUMMYFUNCTION("IFERROR(GOOGLETRANSLATE(A1014,""ko"",""en""),)"),"I watch a movie while eating popcorn and cola.")</f>
        <v>I watch a movie while eating popcorn and cola.</v>
      </c>
    </row>
    <row r="1015" spans="1:2" ht="18">
      <c r="A1015" s="3" t="s">
        <v>4148</v>
      </c>
      <c r="B1015" s="4" t="str">
        <f ca="1">IFERROR(__xludf.DUMMYFUNCTION("IFERROR(GOOGLETRANSLATE(A1015,""ko"",""en""),)"),"Korean people often go to cafes when they have time. What do they do when they go to a cafe?")</f>
        <v>Korean people often go to cafes when they have time. What do they do when they go to a cafe?</v>
      </c>
    </row>
    <row r="1016" spans="1:2" ht="18">
      <c r="A1016" s="3" t="s">
        <v>4149</v>
      </c>
      <c r="B1016" s="4" t="str">
        <f ca="1">IFERROR(__xludf.DUMMYFUNCTION("IFERROR(GOOGLETRANSLATE(A1016,""ko"",""en""),)"),"Do you guys go to cafes often too? What do you do when you go?")</f>
        <v>Do you guys go to cafes often too? What do you do when you go?</v>
      </c>
    </row>
    <row r="1017" spans="1:2" ht="18">
      <c r="A1017" s="3" t="s">
        <v>4151</v>
      </c>
      <c r="B1017" s="4" t="str">
        <f ca="1">IFERROR(__xludf.DUMMYFUNCTION("IFERROR(GOOGLETRANSLATE(A1017,""ko"",""en""),)"),"I go to a cafe about three times a week.")</f>
        <v>I go to a cafe about three times a week.</v>
      </c>
    </row>
    <row r="1018" spans="1:2" ht="18">
      <c r="A1018" s="3" t="s">
        <v>4152</v>
      </c>
      <c r="B1018" s="4" t="str">
        <f ca="1">IFERROR(__xludf.DUMMYFUNCTION("IFERROR(GOOGLETRANSLATE(A1018,""ko"",""en""),)"),"Please pack it for me.")</f>
        <v>Please pack it for me.</v>
      </c>
    </row>
    <row r="1019" spans="1:2" ht="18">
      <c r="A1019" s="3" t="s">
        <v>4153</v>
      </c>
      <c r="B1019" s="4" t="str">
        <f ca="1">IFERROR(__xludf.DUMMYFUNCTION("IFERROR(GOOGLETRANSLATE(A1019,""ko"",""en""),)"),"Wrap the gift.")</f>
        <v>Wrap the gift.</v>
      </c>
    </row>
    <row r="1020" spans="1:2" ht="18">
      <c r="A1020" s="3" t="s">
        <v>4154</v>
      </c>
      <c r="B1020" s="4" t="str">
        <f ca="1">IFERROR(__xludf.DUMMYFUNCTION("IFERROR(GOOGLETRANSLATE(A1020,""ko"",""en""),)"),"I'll take it.")</f>
        <v>I'll take it.</v>
      </c>
    </row>
    <row r="1021" spans="1:2" ht="18">
      <c r="A1021" s="3" t="s">
        <v>4156</v>
      </c>
      <c r="B1021" s="4" t="str">
        <f ca="1">IFERROR(__xludf.DUMMYFUNCTION("IFERROR(GOOGLETRANSLATE(A1021,""ko"",""en""),)"),"I go to a cafe when I meet friends outside.")</f>
        <v>I go to a cafe when I meet friends outside.</v>
      </c>
    </row>
    <row r="1022" spans="1:2" ht="18">
      <c r="A1022" s="3" t="s">
        <v>4157</v>
      </c>
      <c r="B1022" s="4" t="str">
        <f ca="1">IFERROR(__xludf.DUMMYFUNCTION("IFERROR(GOOGLETRANSLATE(A1022,""ko"",""en""),)"),"I talk to a friend while drinking coffee.")</f>
        <v>I talk to a friend while drinking coffee.</v>
      </c>
    </row>
    <row r="1023" spans="1:2" ht="18">
      <c r="A1023" s="3" t="s">
        <v>4158</v>
      </c>
      <c r="B1023" s="4" t="str">
        <f ca="1">IFERROR(__xludf.DUMMYFUNCTION("IFERROR(GOOGLETRANSLATE(A1023,""ko"",""en""),)"),"Please give me the menu.")</f>
        <v>Please give me the menu.</v>
      </c>
    </row>
    <row r="1024" spans="1:2" ht="18">
      <c r="A1024" s="3" t="s">
        <v>1431</v>
      </c>
      <c r="B1024" s="4" t="str">
        <f ca="1">IFERROR(__xludf.DUMMYFUNCTION("IFERROR(GOOGLETRANSLATE(A1024,""ko"",""en""),)"),"price")</f>
        <v>price</v>
      </c>
    </row>
    <row r="1025" spans="1:2" ht="18">
      <c r="A1025" s="3" t="s">
        <v>4160</v>
      </c>
      <c r="B1025" s="4" t="str">
        <f ca="1">IFERROR(__xludf.DUMMYFUNCTION("IFERROR(GOOGLETRANSLATE(A1025,""ko"",""en""),)"),"Price list")</f>
        <v>Price list</v>
      </c>
    </row>
    <row r="1026" spans="1:2" ht="18">
      <c r="A1026" s="3" t="s">
        <v>4161</v>
      </c>
      <c r="B1026" s="4" t="str">
        <f ca="1">IFERROR(__xludf.DUMMYFUNCTION("IFERROR(GOOGLETRANSLATE(A1026,""ko"",""en""),)"),"wall")</f>
        <v>wall</v>
      </c>
    </row>
    <row r="1027" spans="1:2" ht="18">
      <c r="A1027" s="3" t="s">
        <v>1480</v>
      </c>
      <c r="B1027" s="4" t="str">
        <f ca="1">IFERROR(__xludf.DUMMYFUNCTION("IFERROR(GOOGLETRANSLATE(A1027,""ko"",""en""),)"),"calendar")</f>
        <v>calendar</v>
      </c>
    </row>
    <row r="1028" spans="1:2" ht="18">
      <c r="A1028" s="3" t="s">
        <v>4162</v>
      </c>
      <c r="B1028" s="4" t="str">
        <f ca="1">IFERROR(__xludf.DUMMYFUNCTION("IFERROR(GOOGLETRANSLATE(A1028,""ko"",""en""),)"),"poster")</f>
        <v>poster</v>
      </c>
    </row>
    <row r="1029" spans="1:2" ht="18">
      <c r="A1029" s="3" t="s">
        <v>2458</v>
      </c>
      <c r="B1029" s="4" t="str">
        <f ca="1">IFERROR(__xludf.DUMMYFUNCTION("IFERROR(GOOGLETRANSLATE(A1029,""ko"",""en""),)"),"painting")</f>
        <v>painting</v>
      </c>
    </row>
    <row r="1030" spans="1:2" ht="18">
      <c r="A1030" s="3" t="s">
        <v>2046</v>
      </c>
      <c r="B1030" s="4" t="str">
        <f ca="1">IFERROR(__xludf.DUMMYFUNCTION("IFERROR(GOOGLETRANSLATE(A1030,""ko"",""en""),)"),"frame")</f>
        <v>frame</v>
      </c>
    </row>
    <row r="1031" spans="1:2" ht="18">
      <c r="A1031" s="3" t="s">
        <v>4164</v>
      </c>
      <c r="B1031" s="4" t="str">
        <f ca="1">IFERROR(__xludf.DUMMYFUNCTION("IFERROR(GOOGLETRANSLATE(A1031,""ko"",""en""),)"),"Picture frame")</f>
        <v>Picture frame</v>
      </c>
    </row>
    <row r="1032" spans="1:2" ht="18">
      <c r="A1032" s="3" t="s">
        <v>4166</v>
      </c>
      <c r="B1032" s="4" t="str">
        <f ca="1">IFERROR(__xludf.DUMMYFUNCTION("IFERROR(GOOGLETRANSLATE(A1032,""ko"",""en""),)"),"Photo frame")</f>
        <v>Photo frame</v>
      </c>
    </row>
    <row r="1033" spans="1:2" ht="18">
      <c r="A1033" s="3" t="s">
        <v>4167</v>
      </c>
      <c r="B1033" s="4" t="str">
        <f ca="1">IFERROR(__xludf.DUMMYFUNCTION("IFERROR(GOOGLETRANSLATE(A1033,""ko"",""en""),)"),"coffee machine")</f>
        <v>coffee machine</v>
      </c>
    </row>
    <row r="1034" spans="1:2" ht="18">
      <c r="A1034" s="3" t="s">
        <v>4169</v>
      </c>
      <c r="B1034" s="4" t="str">
        <f ca="1">IFERROR(__xludf.DUMMYFUNCTION("IFERROR(GOOGLETRANSLATE(A1034,""ko"",""en""),)"),"coffee machine")</f>
        <v>coffee machine</v>
      </c>
    </row>
    <row r="1035" spans="1:2" ht="18">
      <c r="A1035" s="3" t="s">
        <v>4170</v>
      </c>
      <c r="B1035" s="4" t="s">
        <v>4171</v>
      </c>
    </row>
    <row r="1036" spans="1:2" ht="18">
      <c r="A1036" s="3" t="s">
        <v>4172</v>
      </c>
      <c r="B1036" s="4" t="str">
        <f ca="1">IFERROR(__xludf.DUMMYFUNCTION("IFERROR(GOOGLETRANSLATE(A1036,""ko"",""en""),)"),"floor")</f>
        <v>floor</v>
      </c>
    </row>
    <row r="1037" spans="1:2" ht="18">
      <c r="A1037" s="3" t="s">
        <v>4173</v>
      </c>
      <c r="B1037" s="4" t="str">
        <f ca="1">IFERROR(__xludf.DUMMYFUNCTION("IFERROR(GOOGLETRANSLATE(A1037,""ko"",""en""),)"),"ceiling")</f>
        <v>ceiling</v>
      </c>
    </row>
    <row r="1038" spans="1:2" ht="18">
      <c r="A1038" s="3" t="s">
        <v>2368</v>
      </c>
      <c r="B1038" s="4" t="str">
        <f ca="1">IFERROR(__xludf.DUMMYFUNCTION("IFERROR(GOOGLETRANSLATE(A1038,""ko"",""en""),)"),"table")</f>
        <v>table</v>
      </c>
    </row>
    <row r="1039" spans="1:2" ht="18">
      <c r="A1039" s="3" t="s">
        <v>4175</v>
      </c>
      <c r="B1039" s="4" t="str">
        <f ca="1">IFERROR(__xludf.DUMMYFUNCTION("IFERROR(GOOGLETRANSLATE(A1039,""ko"",""en""),)"),"flower vase")</f>
        <v>flower vase</v>
      </c>
    </row>
    <row r="1040" spans="1:2" ht="18">
      <c r="A1040" s="3" t="s">
        <v>705</v>
      </c>
      <c r="B1040" s="4" t="s">
        <v>4176</v>
      </c>
    </row>
    <row r="1041" spans="1:2" ht="18">
      <c r="A1041" s="3" t="s">
        <v>4177</v>
      </c>
      <c r="B1041" s="4" t="str">
        <f ca="1">IFERROR(__xludf.DUMMYFUNCTION("IFERROR(GOOGLETRANSLATE(A1041,""ko"",""en""),)"),"lighting")</f>
        <v>lighting</v>
      </c>
    </row>
    <row r="1042" spans="1:2" ht="18">
      <c r="A1042" s="3" t="s">
        <v>4178</v>
      </c>
      <c r="B1042" s="4" t="str">
        <f ca="1">IFERROR(__xludf.DUMMYFUNCTION("IFERROR(GOOGLETRANSLATE(A1042,""ko"",""en""),)"),"doll")</f>
        <v>doll</v>
      </c>
    </row>
    <row r="1043" spans="1:2" ht="18">
      <c r="A1043" s="3" t="s">
        <v>4179</v>
      </c>
      <c r="B1043" s="4" t="str">
        <f ca="1">IFERROR(__xludf.DUMMYFUNCTION("IFERROR(GOOGLETRANSLATE(A1043,""ko"",""en""),)"),"cushion")</f>
        <v>cushion</v>
      </c>
    </row>
    <row r="1044" spans="1:2" ht="18">
      <c r="A1044" s="3" t="s">
        <v>4181</v>
      </c>
      <c r="B1044" s="4" t="str">
        <f ca="1">IFERROR(__xludf.DUMMYFUNCTION("IFERROR(GOOGLETRANSLATE(A1044,""ko"",""en""),)"),"sofa")</f>
        <v>sofa</v>
      </c>
    </row>
    <row r="1045" spans="1:2" ht="18">
      <c r="A1045" s="3" t="s">
        <v>2374</v>
      </c>
      <c r="B1045" s="4" t="str">
        <f ca="1">IFERROR(__xludf.DUMMYFUNCTION("IFERROR(GOOGLETRANSLATE(A1045,""ko"",""en""),)"),"table")</f>
        <v>table</v>
      </c>
    </row>
    <row r="1046" spans="1:2" ht="18">
      <c r="A1046" s="3" t="s">
        <v>4182</v>
      </c>
      <c r="B1046" s="4" t="str">
        <f ca="1">IFERROR(__xludf.DUMMYFUNCTION("IFERROR(GOOGLETRANSLATE(A1046,""ko"",""en""),)"),"napkin")</f>
        <v>napkin</v>
      </c>
    </row>
    <row r="1047" spans="1:2" ht="18">
      <c r="A1047" s="3" t="s">
        <v>4183</v>
      </c>
      <c r="B1047" s="4" t="s">
        <v>4184</v>
      </c>
    </row>
    <row r="1048" spans="1:2" ht="18">
      <c r="A1048" s="3" t="s">
        <v>4185</v>
      </c>
      <c r="B1048" s="4" t="str">
        <f ca="1">IFERROR(__xludf.DUMMYFUNCTION("IFERROR(GOOGLETRANSLATE(A1048,""ko"",""en""),)"),"bar chair")</f>
        <v>bar chair</v>
      </c>
    </row>
    <row r="1049" spans="1:2" ht="18">
      <c r="A1049" s="3" t="s">
        <v>4187</v>
      </c>
      <c r="B1049" s="4" t="str">
        <f ca="1">IFERROR(__xludf.DUMMYFUNCTION("IFERROR(GOOGLETRANSLATE(A1049,""ko"",""en""),)"),"bar table")</f>
        <v>bar table</v>
      </c>
    </row>
    <row r="1050" spans="1:2" ht="18">
      <c r="A1050" s="3" t="s">
        <v>4188</v>
      </c>
      <c r="B1050" s="4" t="str">
        <f ca="1">IFERROR(__xludf.DUMMYFUNCTION("IFERROR(GOOGLETRANSLATE(A1050,""ko"",""en""),)"),"coffee beans")</f>
        <v>coffee beans</v>
      </c>
    </row>
    <row r="1051" spans="1:2" ht="18">
      <c r="A1051" s="3" t="s">
        <v>4189</v>
      </c>
      <c r="B1051" s="4" t="str">
        <f ca="1">IFERROR(__xludf.DUMMYFUNCTION("IFERROR(GOOGLETRANSLATE(A1051,""ko"",""en""),)"),"It is placed")</f>
        <v>It is placed</v>
      </c>
    </row>
    <row r="1052" spans="1:2" ht="18">
      <c r="A1052" s="3" t="s">
        <v>4190</v>
      </c>
      <c r="B1052" s="4" t="str">
        <f ca="1">IFERROR(__xludf.DUMMYFUNCTION("IFERROR(GOOGLETRANSLATE(A1052,""ko"",""en""),)"),"It is hanging")</f>
        <v>It is hanging</v>
      </c>
    </row>
    <row r="1053" spans="1:2" ht="18">
      <c r="A1053" s="3" t="s">
        <v>4192</v>
      </c>
      <c r="B1053" s="4" t="str">
        <f ca="1">IFERROR(__xludf.DUMMYFUNCTION("IFERROR(GOOGLETRANSLATE(A1053,""ko"",""en""),)"),"Place the vase on the table.")</f>
        <v>Place the vase on the table.</v>
      </c>
    </row>
    <row r="1054" spans="1:2" ht="18">
      <c r="A1054" s="3" t="s">
        <v>4193</v>
      </c>
      <c r="B1054" s="4" t="str">
        <f ca="1">IFERROR(__xludf.DUMMYFUNCTION("IFERROR(GOOGLETRANSLATE(A1054,""ko"",""en""),)"),"A vase is placed on the table.")</f>
        <v>A vase is placed on the table.</v>
      </c>
    </row>
    <row r="1055" spans="1:2" ht="18">
      <c r="A1055" s="3" t="s">
        <v>4194</v>
      </c>
      <c r="B1055" s="4" t="str">
        <f ca="1">IFERROR(__xludf.DUMMYFUNCTION("IFERROR(GOOGLETRANSLATE(A1055,""ko"",""en""),)"),"A vase is placed on the table.")</f>
        <v>A vase is placed on the table.</v>
      </c>
    </row>
    <row r="1056" spans="1:2" ht="18">
      <c r="A1056" s="3" t="s">
        <v>4195</v>
      </c>
      <c r="B1056" s="4" t="str">
        <f ca="1">IFERROR(__xludf.DUMMYFUNCTION("IFERROR(GOOGLETRANSLATE(A1056,""ko"",""en""),)"),"The clothes are hanging on a hanger.")</f>
        <v>The clothes are hanging on a hanger.</v>
      </c>
    </row>
    <row r="1057" spans="1:2" ht="18">
      <c r="A1057" s="3" t="s">
        <v>4197</v>
      </c>
      <c r="B1057" s="4" t="str">
        <f ca="1">IFERROR(__xludf.DUMMYFUNCTION("IFERROR(GOOGLETRANSLATE(A1057,""ko"",""en""),)"),"The coffee machine is placed on the bar table.")</f>
        <v>The coffee machine is placed on the bar table.</v>
      </c>
    </row>
    <row r="1058" spans="1:2" ht="18">
      <c r="A1058" s="3" t="s">
        <v>4198</v>
      </c>
      <c r="B1058" s="4" t="str">
        <f ca="1">IFERROR(__xludf.DUMMYFUNCTION("IFERROR(GOOGLETRANSLATE(A1058,""ko"",""en""),)"),"The light is hanging from the ceiling.")</f>
        <v>The light is hanging from the ceiling.</v>
      </c>
    </row>
    <row r="1059" spans="1:2" ht="18">
      <c r="A1059" s="3" t="s">
        <v>4199</v>
      </c>
      <c r="B1059" s="4" t="str">
        <f ca="1">IFERROR(__xludf.DUMMYFUNCTION("IFERROR(GOOGLETRANSLATE(A1059,""ko"",""en""),)"),"The menu is hanging on the wall.")</f>
        <v>The menu is hanging on the wall.</v>
      </c>
    </row>
    <row r="1060" spans="1:2" ht="18">
      <c r="A1060" s="3" t="s">
        <v>4200</v>
      </c>
      <c r="B1060" s="4" t="str">
        <f ca="1">IFERROR(__xludf.DUMMYFUNCTION("IFERROR(GOOGLETRANSLATE(A1060,""ko"",""en""),)"),"A coffee table is placed in front of the sofa.")</f>
        <v>A coffee table is placed in front of the sofa.</v>
      </c>
    </row>
    <row r="1061" spans="1:2" ht="18">
      <c r="A1061" s="3" t="s">
        <v>4201</v>
      </c>
      <c r="B1061" s="4" t="str">
        <f ca="1">IFERROR(__xludf.DUMMYFUNCTION("IFERROR(GOOGLETRANSLATE(A1061,""ko"",""en""),)"),"The cushion is placed on the sofa.")</f>
        <v>The cushion is placed on the sofa.</v>
      </c>
    </row>
    <row r="1062" spans="1:2" ht="18">
      <c r="A1062" s="3" t="s">
        <v>4202</v>
      </c>
      <c r="B1062" s="4" t="str">
        <f ca="1">IFERROR(__xludf.DUMMYFUNCTION("IFERROR(GOOGLETRANSLATE(A1062,""ko"",""en""),)"),"fireplace")</f>
        <v>fireplace</v>
      </c>
    </row>
    <row r="1063" spans="1:2" ht="18">
      <c r="A1063" s="3" t="s">
        <v>4203</v>
      </c>
      <c r="B1063" s="4" t="str">
        <f ca="1">IFERROR(__xludf.DUMMYFUNCTION("IFERROR(GOOGLETRANSLATE(A1063,""ko"",""en""),)"),"There is a picture frame and a candle on the fireplace.")</f>
        <v>There is a picture frame and a candle on the fireplace.</v>
      </c>
    </row>
    <row r="1064" spans="1:2" ht="18">
      <c r="A1064" s="3" t="s">
        <v>4204</v>
      </c>
      <c r="B1064" s="4" t="str">
        <f ca="1">IFERROR(__xludf.DUMMYFUNCTION("IFERROR(GOOGLETRANSLATE(A1064,""ko"",""en""),)"),"I want to live in a house with a fireplace in the countryside.")</f>
        <v>I want to live in a house with a fireplace in the countryside.</v>
      </c>
    </row>
    <row r="1065" spans="1:2" ht="18">
      <c r="A1065" s="3" t="s">
        <v>2464</v>
      </c>
      <c r="B1065" s="4" t="str">
        <f ca="1">IFERROR(__xludf.DUMMYFUNCTION("IFERROR(GOOGLETRANSLATE(A1065,""ko"",""en""),)"),"rug")</f>
        <v>rug</v>
      </c>
    </row>
    <row r="1066" spans="1:2" ht="18">
      <c r="A1066" s="3" t="s">
        <v>2465</v>
      </c>
      <c r="B1066" s="4" t="str">
        <f ca="1">IFERROR(__xludf.DUMMYFUNCTION("IFERROR(GOOGLETRANSLATE(A1066,""ko"",""en""),)"),"carpet")</f>
        <v>carpet</v>
      </c>
    </row>
    <row r="1067" spans="1:2" ht="18">
      <c r="A1067" s="3" t="s">
        <v>4205</v>
      </c>
      <c r="B1067" s="4" t="str">
        <f ca="1">IFERROR(__xludf.DUMMYFUNCTION("IFERROR(GOOGLETRANSLATE(A1067,""ko"",""en""),)"),"brick")</f>
        <v>brick</v>
      </c>
    </row>
    <row r="1068" spans="1:2" ht="18">
      <c r="A1068" s="3" t="s">
        <v>4206</v>
      </c>
      <c r="B1068" s="4" t="str">
        <f ca="1">IFERROR(__xludf.DUMMYFUNCTION("IFERROR(GOOGLETRANSLATE(A1068,""ko"",""en""),)"),"There is a mirror in the room.")</f>
        <v>There is a mirror in the room.</v>
      </c>
    </row>
    <row r="1069" spans="1:2" ht="18">
      <c r="A1069" s="3" t="s">
        <v>1339</v>
      </c>
      <c r="B1069" s="4" t="str">
        <f ca="1">IFERROR(__xludf.DUMMYFUNCTION("IFERROR(GOOGLETRANSLATE(A1069,""ko"",""en""),)"),"school uniform")</f>
        <v>school uniform</v>
      </c>
    </row>
    <row r="1070" spans="1:2" ht="18">
      <c r="A1070" s="3" t="s">
        <v>4207</v>
      </c>
      <c r="B1070" s="4" t="str">
        <f ca="1">IFERROR(__xludf.DUMMYFUNCTION("IFERROR(GOOGLETRANSLATE(A1070,""ko"",""en""),)"),"The school uniform is hanging on the wall.")</f>
        <v>The school uniform is hanging on the wall.</v>
      </c>
    </row>
    <row r="1071" spans="1:2" ht="18">
      <c r="A1071" s="3" t="s">
        <v>4208</v>
      </c>
      <c r="B1071" s="4" t="str">
        <f ca="1">IFERROR(__xludf.DUMMYFUNCTION("IFERROR(GOOGLETRANSLATE(A1071,""ko"",""en""),)"),"The MacBook is sitting on the table.")</f>
        <v>The MacBook is sitting on the table.</v>
      </c>
    </row>
    <row r="1072" spans="1:2" ht="18">
      <c r="A1072" s="3" t="s">
        <v>4209</v>
      </c>
      <c r="B1072" s="4" t="str">
        <f ca="1">IFERROR(__xludf.DUMMYFUNCTION("IFERROR(GOOGLETRANSLATE(A1072,""ko"",""en""),)"),"Where are the clothes?")</f>
        <v>Where are the clothes?</v>
      </c>
    </row>
    <row r="1073" spans="1:2" ht="18">
      <c r="A1073" s="3" t="s">
        <v>4210</v>
      </c>
      <c r="B1073" s="4" t="str">
        <f ca="1">IFERROR(__xludf.DUMMYFUNCTION("IFERROR(GOOGLETRANSLATE(A1073,""ko"",""en""),)"),"It is hanging on a clothes hanger.")</f>
        <v>It is hanging on a clothes hanger.</v>
      </c>
    </row>
    <row r="1074" spans="1:2" ht="18">
      <c r="A1074" s="3" t="s">
        <v>4211</v>
      </c>
      <c r="B1074" s="4" t="str">
        <f ca="1">IFERROR(__xludf.DUMMYFUNCTION("IFERROR(GOOGLETRANSLATE(A1074,""ko"",""en""),)"),"Where is the television?")</f>
        <v>Where is the television?</v>
      </c>
    </row>
    <row r="1075" spans="1:2" ht="18">
      <c r="A1075" s="3" t="s">
        <v>4213</v>
      </c>
      <c r="B1075" s="4" t="str">
        <f ca="1">IFERROR(__xludf.DUMMYFUNCTION("IFERROR(GOOGLETRANSLATE(A1075,""ko"",""en""),)"),"It's hanging on the wall.")</f>
        <v>It's hanging on the wall.</v>
      </c>
    </row>
    <row r="1076" spans="1:2" ht="18">
      <c r="A1076" s="3" t="s">
        <v>4214</v>
      </c>
      <c r="B1076" s="4" t="str">
        <f ca="1">IFERROR(__xludf.DUMMYFUNCTION("IFERROR(GOOGLETRANSLATE(A1076,""ko"",""en""),)"),"What is on the table?")</f>
        <v>What is on the table?</v>
      </c>
    </row>
    <row r="1077" spans="1:2" ht="18">
      <c r="A1077" s="3" t="s">
        <v>4215</v>
      </c>
      <c r="B1077" s="4" t="str">
        <f ca="1">IFERROR(__xludf.DUMMYFUNCTION("IFERROR(GOOGLETRANSLATE(A1077,""ko"",""en""),)"),"A vase and a remote control are on the table.")</f>
        <v>A vase and a remote control are on the table.</v>
      </c>
    </row>
    <row r="1078" spans="1:2" ht="18">
      <c r="A1078" s="3" t="s">
        <v>4216</v>
      </c>
      <c r="B1078" s="4" t="str">
        <f ca="1">IFERROR(__xludf.DUMMYFUNCTION("IFERROR(GOOGLETRANSLATE(A1078,""ko"",""en""),)"),"What is on the wall?")</f>
        <v>What is on the wall?</v>
      </c>
    </row>
    <row r="1079" spans="1:2" ht="18">
      <c r="A1079" s="3" t="s">
        <v>4217</v>
      </c>
      <c r="B1079" s="4" t="str">
        <f ca="1">IFERROR(__xludf.DUMMYFUNCTION("IFERROR(GOOGLETRANSLATE(A1079,""ko"",""en""),)"),"There is a clock and a picture hanging there.")</f>
        <v>There is a clock and a picture hanging there.</v>
      </c>
    </row>
    <row r="1080" spans="1:2" ht="18">
      <c r="A1080" s="3" t="s">
        <v>4218</v>
      </c>
      <c r="B1080" s="4" t="str">
        <f ca="1">IFERROR(__xludf.DUMMYFUNCTION("IFERROR(GOOGLETRANSLATE(A1080,""ko"",""en""),)"),"There are two shelves hanging.")</f>
        <v>There are two shelves hanging.</v>
      </c>
    </row>
    <row r="1081" spans="1:2" ht="18">
      <c r="A1081" s="3" t="s">
        <v>4219</v>
      </c>
      <c r="B1081" s="4" t="str">
        <f ca="1">IFERROR(__xludf.DUMMYFUNCTION("IFERROR(GOOGLETRANSLATE(A1081,""ko"",""en""),)"),"Minho, what are you doing right now?")</f>
        <v>Minho, what are you doing right now?</v>
      </c>
    </row>
    <row r="1082" spans="1:2" ht="18">
      <c r="A1082" s="3" t="s">
        <v>4221</v>
      </c>
      <c r="B1082" s="4" t="str">
        <f ca="1">IFERROR(__xludf.DUMMYFUNCTION("IFERROR(GOOGLETRANSLATE(A1082,""ko"",""en""),)"),"I take a walk while listening to music.")</f>
        <v>I take a walk while listening to music.</v>
      </c>
    </row>
    <row r="1083" spans="1:2" ht="18">
      <c r="A1083" s="3" t="s">
        <v>4222</v>
      </c>
      <c r="B1083" s="4" t="str">
        <f ca="1">IFERROR(__xludf.DUMMYFUNCTION("IFERROR(GOOGLETRANSLATE(A1083,""ko"",""en""),)"),"I watch TV while cooking.")</f>
        <v>I watch TV while cooking.</v>
      </c>
    </row>
    <row r="1084" spans="1:2" ht="18">
      <c r="A1084" s="3" t="s">
        <v>4223</v>
      </c>
      <c r="B1084" s="4" t="str">
        <f ca="1">IFERROR(__xludf.DUMMYFUNCTION("IFERROR(GOOGLETRANSLATE(A1084,""ko"",""en""),)"),"I exercise while listening to music.")</f>
        <v>I exercise while listening to music.</v>
      </c>
    </row>
    <row r="1085" spans="1:2" ht="18">
      <c r="A1085" s="3" t="s">
        <v>4224</v>
      </c>
      <c r="B1085" s="4" t="str">
        <f ca="1">IFERROR(__xludf.DUMMYFUNCTION("IFERROR(GOOGLETRANSLATE(A1085,""ko"",""en""),)"),"He bullies his friend while looking at his phone.")</f>
        <v>He bullies his friend while looking at his phone.</v>
      </c>
    </row>
    <row r="1086" spans="1:2" ht="18">
      <c r="A1086" s="3" t="s">
        <v>4226</v>
      </c>
      <c r="B1086" s="4" t="str">
        <f ca="1">IFERROR(__xludf.DUMMYFUNCTION("IFERROR(GOOGLETRANSLATE(A1086,""ko"",""en""),)"),"Do you use a dishwasher?")</f>
        <v>Do you use a dishwasher?</v>
      </c>
    </row>
    <row r="1087" spans="1:2" ht="18">
      <c r="A1087" s="3" t="s">
        <v>4227</v>
      </c>
      <c r="B1087" s="4" t="str">
        <f ca="1">IFERROR(__xludf.DUMMYFUNCTION("IFERROR(GOOGLETRANSLATE(A1087,""ko"",""en""),)"),"I wash the dishes by hand. I watch Running Man while washing the dishes.")</f>
        <v>I wash the dishes by hand. I watch Running Man while washing the dishes.</v>
      </c>
    </row>
    <row r="1088" spans="1:2" ht="18">
      <c r="A1088" s="3" t="s">
        <v>4228</v>
      </c>
      <c r="B1088" s="4" t="str">
        <f ca="1">IFERROR(__xludf.DUMMYFUNCTION("IFERROR(GOOGLETRANSLATE(A1088,""ko"",""en""),)"),"Knowing Brothers")</f>
        <v>Knowing Brothers</v>
      </c>
    </row>
    <row r="1089" spans="1:2" ht="18">
      <c r="A1089" s="3" t="s">
        <v>4230</v>
      </c>
      <c r="B1089" s="4" t="str">
        <f ca="1">IFERROR(__xludf.DUMMYFUNCTION("IFERROR(GOOGLETRANSLATE(A1089,""ko"",""en""),)"),"Watch the video with subtitles.")</f>
        <v>Watch the video with subtitles.</v>
      </c>
    </row>
    <row r="1090" spans="1:2" ht="18">
      <c r="A1090" s="3" t="s">
        <v>4232</v>
      </c>
      <c r="B1090" s="4" t="str">
        <f ca="1">IFERROR(__xludf.DUMMYFUNCTION("IFERROR(GOOGLETRANSLATE(A1090,""ko"",""en""),)"),"entertainment programs")</f>
        <v>entertainment programs</v>
      </c>
    </row>
    <row r="1091" spans="1:2" ht="18">
      <c r="A1091" s="3" t="s">
        <v>4233</v>
      </c>
      <c r="B1091" s="4" t="str">
        <f ca="1">IFERROR(__xludf.DUMMYFUNCTION("IFERROR(GOOGLETRANSLATE(A1091,""ko"",""en""),)"),"I take a walk while talking with a friend.")</f>
        <v>I take a walk while talking with a friend.</v>
      </c>
    </row>
    <row r="1092" spans="1:2" ht="18">
      <c r="A1092" s="3" t="s">
        <v>4234</v>
      </c>
      <c r="B1092" s="4" t="str">
        <f ca="1">IFERROR(__xludf.DUMMYFUNCTION("IFERROR(GOOGLETRANSLATE(A1092,""ko"",""en""),)"),"I watch television while eating.")</f>
        <v>I watch television while eating.</v>
      </c>
    </row>
    <row r="1093" spans="1:2" ht="18">
      <c r="A1093" s="3" t="s">
        <v>4236</v>
      </c>
      <c r="B1093" s="4" t="str">
        <f ca="1">IFERROR(__xludf.DUMMYFUNCTION("IFERROR(GOOGLETRANSLATE(A1093,""ko"",""en""),)"),"I study while listening to music.")</f>
        <v>I study while listening to music.</v>
      </c>
    </row>
    <row r="1094" spans="1:2" ht="18">
      <c r="A1094" s="3" t="s">
        <v>4237</v>
      </c>
      <c r="B1094" s="4" t="str">
        <f ca="1">IFERROR(__xludf.DUMMYFUNCTION("IFERROR(GOOGLETRANSLATE(A1094,""ko"",""en""),)"),"I am playing games with my friends.")</f>
        <v>I am playing games with my friends.</v>
      </c>
    </row>
    <row r="1095" spans="1:2" ht="18">
      <c r="A1095" s="3" t="s">
        <v>4238</v>
      </c>
      <c r="B1095" s="4" t="str">
        <f ca="1">IFERROR(__xludf.DUMMYFUNCTION("IFERROR(GOOGLETRANSLATE(A1095,""ko"",""en""),)"),"I study foreign languages ​​while traveling.")</f>
        <v>I study foreign languages ​​while traveling.</v>
      </c>
    </row>
    <row r="1096" spans="1:2" ht="18">
      <c r="A1096" s="3" t="s">
        <v>4239</v>
      </c>
      <c r="B1096" s="4" t="str">
        <f ca="1">IFERROR(__xludf.DUMMYFUNCTION("IFERROR(GOOGLETRANSLATE(A1096,""ko"",""en""),)"),"adjective")</f>
        <v>adjective</v>
      </c>
    </row>
    <row r="1097" spans="1:2" ht="18">
      <c r="A1097" s="3" t="s">
        <v>4240</v>
      </c>
      <c r="B1097" s="4" t="str">
        <f ca="1">IFERROR(__xludf.DUMMYFUNCTION("IFERROR(GOOGLETRANSLATE(A1097,""ko"",""en""),)"),"While eating")</f>
        <v>While eating</v>
      </c>
    </row>
    <row r="1098" spans="1:2" ht="18">
      <c r="A1098" s="3" t="s">
        <v>4241</v>
      </c>
      <c r="B1098" s="4" t="str">
        <f ca="1">IFERROR(__xludf.DUMMYFUNCTION("IFERROR(GOOGLETRANSLATE(A1098,""ko"",""en""),)"),"While reading")</f>
        <v>While reading</v>
      </c>
    </row>
    <row r="1099" spans="1:2" ht="18">
      <c r="A1099" s="3" t="s">
        <v>4242</v>
      </c>
      <c r="B1099" s="4" t="str">
        <f ca="1">IFERROR(__xludf.DUMMYFUNCTION("IFERROR(GOOGLETRANSLATE(A1099,""ko"",""en""),)"),"While wearing")</f>
        <v>While wearing</v>
      </c>
    </row>
    <row r="1100" spans="1:2" ht="18">
      <c r="A1100" s="3" t="s">
        <v>4243</v>
      </c>
      <c r="B1100" s="4" t="str">
        <f ca="1">IFERROR(__xludf.DUMMYFUNCTION("IFERROR(GOOGLETRANSLATE(A1100,""ko"",""en""),)"),"While filming")</f>
        <v>While filming</v>
      </c>
    </row>
    <row r="1101" spans="1:2" ht="18">
      <c r="A1101" s="3" t="s">
        <v>4245</v>
      </c>
      <c r="B1101" s="4" t="str">
        <f ca="1">IFERROR(__xludf.DUMMYFUNCTION("IFERROR(GOOGLETRANSLATE(A1101,""ko"",""en""),)"),"While listening")</f>
        <v>While listening</v>
      </c>
    </row>
    <row r="1102" spans="1:2" ht="18">
      <c r="A1102" s="3" t="s">
        <v>4246</v>
      </c>
      <c r="B1102" s="4" t="str">
        <f ca="1">IFERROR(__xludf.DUMMYFUNCTION("IFERROR(GOOGLETRANSLATE(A1102,""ko"",""en""),)"),"While watching")</f>
        <v>While watching</v>
      </c>
    </row>
    <row r="1103" spans="1:2" ht="18">
      <c r="A1103" s="3" t="s">
        <v>4247</v>
      </c>
      <c r="B1103" s="4" t="str">
        <f ca="1">IFERROR(__xludf.DUMMYFUNCTION("IFERROR(GOOGLETRANSLATE(A1103,""ko"",""en""),)"),"While drinking")</f>
        <v>While drinking</v>
      </c>
    </row>
    <row r="1104" spans="1:2" ht="18">
      <c r="A1104" s="3" t="s">
        <v>4248</v>
      </c>
      <c r="B1104" s="4" t="str">
        <f ca="1">IFERROR(__xludf.DUMMYFUNCTION("IFERROR(GOOGLETRANSLATE(A1104,""ko"",""en""),)"),"I talk with my friend while watching a drama.")</f>
        <v>I talk with my friend while watching a drama.</v>
      </c>
    </row>
    <row r="1105" spans="1:2" ht="18">
      <c r="A1105" s="3" t="s">
        <v>4249</v>
      </c>
      <c r="B1105" s="4" t="str">
        <f ca="1">IFERROR(__xludf.DUMMYFUNCTION("IFERROR(GOOGLETRANSLATE(A1105,""ko"",""en""),)"),"I work part-time while attending university.")</f>
        <v>I work part-time while attending university.</v>
      </c>
    </row>
    <row r="1106" spans="1:2" ht="18">
      <c r="A1106" s="3" t="s">
        <v>4251</v>
      </c>
      <c r="B1106" s="4" t="str">
        <f ca="1">IFERROR(__xludf.DUMMYFUNCTION("IFERROR(GOOGLETRANSLATE(A1106,""ko"",""en""),)"),"I read a book while waiting for my friend.")</f>
        <v>I read a book while waiting for my friend.</v>
      </c>
    </row>
    <row r="1107" spans="1:2" ht="18">
      <c r="A1107" s="3" t="s">
        <v>1744</v>
      </c>
      <c r="B1107" s="4" t="str">
        <f ca="1">IFERROR(__xludf.DUMMYFUNCTION("IFERROR(GOOGLETRANSLATE(A1107,""ko"",""en""),)"),"What are you doing right now?")</f>
        <v>What are you doing right now?</v>
      </c>
    </row>
    <row r="1108" spans="1:2" ht="18">
      <c r="A1108" s="3" t="s">
        <v>4252</v>
      </c>
      <c r="B1108" s="4" t="str">
        <f ca="1">IFERROR(__xludf.DUMMYFUNCTION("IFERROR(GOOGLETRANSLATE(A1108,""ko"",""en""),)"),"I drink milk while eating cake.")</f>
        <v>I drink milk while eating cake.</v>
      </c>
    </row>
    <row r="1109" spans="1:2" ht="18">
      <c r="A1109" s="3" t="s">
        <v>1744</v>
      </c>
      <c r="B1109" s="4" t="str">
        <f ca="1">IFERROR(__xludf.DUMMYFUNCTION("IFERROR(GOOGLETRANSLATE(A1109,""ko"",""en""),)"),"What are you doing right now?")</f>
        <v>What are you doing right now?</v>
      </c>
    </row>
    <row r="1110" spans="1:2" ht="18">
      <c r="A1110" s="3" t="s">
        <v>4254</v>
      </c>
      <c r="B1110" s="4" t="str">
        <f ca="1">IFERROR(__xludf.DUMMYFUNCTION("IFERROR(GOOGLETRANSLATE(A1110,""ko"",""en""),)"),"I wait for my friend while making food.")</f>
        <v>I wait for my friend while making food.</v>
      </c>
    </row>
    <row r="1111" spans="1:2" ht="18">
      <c r="A1111" s="3" t="s">
        <v>4255</v>
      </c>
      <c r="B1111" s="4" t="str">
        <f ca="1">IFERROR(__xludf.DUMMYFUNCTION("IFERROR(GOOGLETRANSLATE(A1111,""ko"",""en""),)"),"When it rains, I eat pajeon and makgeolli!!")</f>
        <v>When it rains, I eat pajeon and makgeolli!!</v>
      </c>
    </row>
    <row r="1112" spans="1:2" ht="18">
      <c r="A1112" s="3" t="s">
        <v>4256</v>
      </c>
      <c r="B1112" s="4" t="str">
        <f ca="1">IFERROR(__xludf.DUMMYFUNCTION("IFERROR(GOOGLETRANSLATE(A1112,""ko"",""en""),)"),"What did you do over the weekend?")</f>
        <v>What did you do over the weekend?</v>
      </c>
    </row>
    <row r="1113" spans="1:2" ht="18">
      <c r="A1113" s="3" t="s">
        <v>4257</v>
      </c>
      <c r="B1113" s="4" t="str">
        <f ca="1">IFERROR(__xludf.DUMMYFUNCTION("IFERROR(GOOGLETRANSLATE(A1113,""ko"",""en""),)"),"I played games with my friend.")</f>
        <v>I played games with my friend.</v>
      </c>
    </row>
    <row r="1114" spans="1:2" ht="18">
      <c r="A1114" s="3" t="s">
        <v>4256</v>
      </c>
      <c r="B1114" s="4" t="str">
        <f ca="1">IFERROR(__xludf.DUMMYFUNCTION("IFERROR(GOOGLETRANSLATE(A1114,""ko"",""en""),)"),"What did you do over the weekend?")</f>
        <v>What did you do over the weekend?</v>
      </c>
    </row>
    <row r="1115" spans="1:2" ht="18">
      <c r="A1115" s="3" t="s">
        <v>4259</v>
      </c>
      <c r="B1115" s="4" t="str">
        <f ca="1">IFERROR(__xludf.DUMMYFUNCTION("IFERROR(GOOGLETRANSLATE(A1115,""ko"",""en""),)"),"I exercised by the Han River while listening to music.")</f>
        <v>I exercised by the Han River while listening to music.</v>
      </c>
    </row>
    <row r="1116" spans="1:2" ht="18">
      <c r="A1116" s="3" t="s">
        <v>4260</v>
      </c>
      <c r="B1116" s="4" t="str">
        <f ca="1">IFERROR(__xludf.DUMMYFUNCTION("IFERROR(GOOGLETRANSLATE(A1116,""ko"",""en""),)"),"running")</f>
        <v>running</v>
      </c>
    </row>
    <row r="1117" spans="1:2" ht="18">
      <c r="A1117" s="3" t="s">
        <v>4261</v>
      </c>
      <c r="B1117" s="4" t="str">
        <f ca="1">IFERROR(__xludf.DUMMYFUNCTION("IFERROR(GOOGLETRANSLATE(A1117,""ko"",""en""),)"),"I'm going to prepare while eating.")</f>
        <v>I'm going to prepare while eating.</v>
      </c>
    </row>
    <row r="1118" spans="1:2" ht="18">
      <c r="A1118" s="3" t="s">
        <v>4262</v>
      </c>
      <c r="B1118" s="4" t="str">
        <f ca="1">IFERROR(__xludf.DUMMYFUNCTION("IFERROR(GOOGLETRANSLATE(A1118,""ko"",""en""),)"),"I'm going to get ready to meet my friend while eating.")</f>
        <v>I'm going to get ready to meet my friend while eating.</v>
      </c>
    </row>
    <row r="1119" spans="1:2" ht="18">
      <c r="A1119" s="3" t="s">
        <v>4264</v>
      </c>
      <c r="B1119" s="4" t="str">
        <f ca="1">IFERROR(__xludf.DUMMYFUNCTION("IFERROR(GOOGLETRANSLATE(A1119,""ko"",""en""),)"),"Getting ready to go out")</f>
        <v>Getting ready to go out</v>
      </c>
    </row>
    <row r="1120" spans="1:2" ht="18">
      <c r="A1120" s="3"/>
      <c r="B1120" s="4" t="str">
        <f ca="1">IFERROR(__xludf.DUMMYFUNCTION("IFERROR(GOOGLETRANSLATE(A1120,""ko"",""en""),)"),"")</f>
        <v/>
      </c>
    </row>
    <row r="1121" spans="1:2" ht="18">
      <c r="A1121" s="3" t="s">
        <v>4265</v>
      </c>
      <c r="B1121" s="4" t="str">
        <f ca="1">IFERROR(__xludf.DUMMYFUNCTION("IFERROR(GOOGLETRANSLATE(A1121,""ko"",""en""),)"),"Muscle recovery")</f>
        <v>Muscle recovery</v>
      </c>
    </row>
    <row r="1122" spans="1:2" ht="18">
      <c r="A1122" s="3" t="s">
        <v>4266</v>
      </c>
      <c r="B1122" s="4" t="str">
        <f ca="1">IFERROR(__xludf.DUMMYFUNCTION("IFERROR(GOOGLETRANSLATE(A1122,""ko"",""en""),)"),"Do you have picture frames hanging on your room walls, too?")</f>
        <v>Do you have picture frames hanging on your room walls, too?</v>
      </c>
    </row>
    <row r="1123" spans="1:2" ht="18">
      <c r="A1123" s="3" t="s">
        <v>4268</v>
      </c>
      <c r="B1123" s="4" t="str">
        <f ca="1">IFERROR(__xludf.DUMMYFUNCTION("IFERROR(GOOGLETRANSLATE(A1123,""ko"",""en""),)"),"There is a Korean idol poster hanging on the wall.")</f>
        <v>There is a Korean idol poster hanging on the wall.</v>
      </c>
    </row>
    <row r="1124" spans="1:2" ht="18">
      <c r="A1124" s="3" t="s">
        <v>4269</v>
      </c>
      <c r="B1124" s="4" t="str">
        <f ca="1">IFERROR(__xludf.DUMMYFUNCTION("IFERROR(GOOGLETRANSLATE(A1124,""ko"",""en""),)"),"Who is your favorite idol?")</f>
        <v>Who is your favorite idol?</v>
      </c>
    </row>
    <row r="1125" spans="1:2" ht="18">
      <c r="A1125" s="3" t="s">
        <v>4270</v>
      </c>
      <c r="B1125" s="4" t="str">
        <f ca="1">IFERROR(__xludf.DUMMYFUNCTION("IFERROR(GOOGLETRANSLATE(A1125,""ko"",""en""),)"),"Mr. Dietman talked to the teacher while eating a protein bar.")</f>
        <v>Mr. Dietman talked to the teacher while eating a protein bar.</v>
      </c>
    </row>
    <row r="1126" spans="1:2" ht="18">
      <c r="A1126" s="3" t="s">
        <v>4272</v>
      </c>
      <c r="B1126" s="4" t="str">
        <f ca="1">IFERROR(__xludf.DUMMYFUNCTION("IFERROR(GOOGLETRANSLATE(A1126,""ko"",""en""),)"),"I watch Korean dramas while eating.")</f>
        <v>I watch Korean dramas while eating.</v>
      </c>
    </row>
    <row r="1127" spans="1:2" ht="18">
      <c r="A1127" s="3" t="s">
        <v>4273</v>
      </c>
      <c r="B1127" s="4" t="str">
        <f ca="1">IFERROR(__xludf.DUMMYFUNCTION("IFERROR(GOOGLETRANSLATE(A1127,""ko"",""en""),)"),"I watch YouTube.")</f>
        <v>I watch YouTube.</v>
      </c>
    </row>
    <row r="1128" spans="1:2" ht="18">
      <c r="A1128" s="3" t="s">
        <v>4275</v>
      </c>
      <c r="B1128" s="4" t="str">
        <f ca="1">IFERROR(__xludf.DUMMYFUNCTION("IFERROR(GOOGLETRANSLATE(A1128,""ko"",""en""),)"),"Yoo Jae-seok's B&amp;B")</f>
        <v>Yoo Jae-seok's B&amp;B</v>
      </c>
    </row>
    <row r="1129" spans="1:2" ht="18">
      <c r="A1129" s="3" t="s">
        <v>4276</v>
      </c>
      <c r="B1129" s="4" t="str">
        <f ca="1">IFERROR(__xludf.DUMMYFUNCTION("IFERROR(GOOGLETRANSLATE(A1129,""ko"",""en""),)"),"2 nights and 3 days")</f>
        <v>2 nights and 3 days</v>
      </c>
    </row>
    <row r="1130" spans="1:2" ht="18">
      <c r="A1130" s="3" t="s">
        <v>4277</v>
      </c>
      <c r="B1130" s="4" t="str">
        <f ca="1">IFERROR(__xludf.DUMMYFUNCTION("IFERROR(GOOGLETRANSLATE(A1130,""ko"",""en""),)"),"1 Night 2 Days Kang Ho-dong")</f>
        <v>1 Night 2 Days Kang Ho-dong</v>
      </c>
    </row>
    <row r="1131" spans="1:2" ht="18">
      <c r="A1131" s="3" t="s">
        <v>4240</v>
      </c>
      <c r="B1131" s="4" t="str">
        <f ca="1">IFERROR(__xludf.DUMMYFUNCTION("IFERROR(GOOGLETRANSLATE(A1131,""ko"",""en""),)"),"While eating")</f>
        <v>While eating</v>
      </c>
    </row>
    <row r="1132" spans="1:2" ht="18">
      <c r="A1132" s="3" t="s">
        <v>4241</v>
      </c>
      <c r="B1132" s="4" t="str">
        <f ca="1">IFERROR(__xludf.DUMMYFUNCTION("IFERROR(GOOGLETRANSLATE(A1132,""ko"",""en""),)"),"While reading")</f>
        <v>While reading</v>
      </c>
    </row>
    <row r="1133" spans="1:2" ht="18">
      <c r="A1133" s="3" t="s">
        <v>4279</v>
      </c>
      <c r="B1133" s="4" t="str">
        <f ca="1">IFERROR(__xludf.DUMMYFUNCTION("IFERROR(GOOGLETRANSLATE(A1133,""ko"",""en""),)"),"Juno likes Korean dramas.")</f>
        <v>Juno likes Korean dramas.</v>
      </c>
    </row>
    <row r="1134" spans="1:2" ht="18">
      <c r="A1134" s="3" t="s">
        <v>4280</v>
      </c>
      <c r="B1134" s="4" t="str">
        <f ca="1">IFERROR(__xludf.DUMMYFUNCTION("IFERROR(GOOGLETRANSLATE(A1134,""ko"",""en""),)"),"Juno, you like Korean dramas, don't you?")</f>
        <v>Juno, you like Korean dramas, don't you?</v>
      </c>
    </row>
    <row r="1135" spans="1:2" ht="18">
      <c r="A1135" s="3" t="s">
        <v>4281</v>
      </c>
      <c r="B1135" s="4" t="str">
        <f ca="1">IFERROR(__xludf.DUMMYFUNCTION("IFERROR(GOOGLETRANSLATE(A1135,""ko"",""en""),)"),"The weather in Sydney is nice today, isn't it?")</f>
        <v>The weather in Sydney is nice today, isn't it?</v>
      </c>
    </row>
    <row r="1136" spans="1:2" ht="18">
      <c r="A1136" s="3" t="s">
        <v>4283</v>
      </c>
      <c r="B1136" s="4" t="str">
        <f ca="1">IFERROR(__xludf.DUMMYFUNCTION("IFERROR(GOOGLETRANSLATE(A1136,""ko"",""en""),)"),"Yes. It's really good.")</f>
        <v>Yes. It's really good.</v>
      </c>
    </row>
    <row r="1137" spans="1:2" ht="18">
      <c r="A1137" s="3" t="s">
        <v>4284</v>
      </c>
      <c r="B1137" s="4" t="str">
        <f ca="1">IFERROR(__xludf.DUMMYFUNCTION("IFERROR(GOOGLETRANSLATE(A1137,""ko"",""en""),)"),"No. It's a little cloudy.")</f>
        <v>No. It's a little cloudy.</v>
      </c>
    </row>
    <row r="1138" spans="1:2" ht="18">
      <c r="A1138" s="3" t="s">
        <v>4285</v>
      </c>
      <c r="B1138" s="4" t="str">
        <f ca="1">IFERROR(__xludf.DUMMYFUNCTION("IFERROR(GOOGLETRANSLATE(A1138,""ko"",""en""),)"),"Korean fried chicken is really delicious, isn't it?")</f>
        <v>Korean fried chicken is really delicious, isn't it?</v>
      </c>
    </row>
    <row r="1139" spans="1:2" ht="18">
      <c r="A1139" s="3" t="s">
        <v>4287</v>
      </c>
      <c r="B1139" s="4" t="str">
        <f ca="1">IFERROR(__xludf.DUMMYFUNCTION("IFERROR(GOOGLETRANSLATE(A1139,""ko"",""en""),)"),"Are you going to Korea this vacation?")</f>
        <v>Are you going to Korea this vacation?</v>
      </c>
    </row>
    <row r="1140" spans="1:2" ht="18">
      <c r="A1140" s="3" t="s">
        <v>4288</v>
      </c>
      <c r="B1140" s="4" t="str">
        <f ca="1">IFERROR(__xludf.DUMMYFUNCTION("IFERROR(GOOGLETRANSLATE(A1140,""ko"",""en""),)"),"The weather in Sydney was bad yesterday, wasn't it?")</f>
        <v>The weather in Sydney was bad yesterday, wasn't it?</v>
      </c>
    </row>
    <row r="1141" spans="1:2" ht="18">
      <c r="A1141" s="3" t="s">
        <v>4289</v>
      </c>
      <c r="B1141" s="4" t="str">
        <f ca="1">IFERROR(__xludf.DUMMYFUNCTION("IFERROR(GOOGLETRANSLATE(A1141,""ko"",""en""),)"),"You're going to work tomorrow, right?")</f>
        <v>You're going to work tomorrow, right?</v>
      </c>
    </row>
    <row r="1142" spans="1:2" ht="18">
      <c r="A1142" s="3" t="s">
        <v>4290</v>
      </c>
      <c r="B1142" s="4" t="str">
        <f ca="1">IFERROR(__xludf.DUMMYFUNCTION("IFERROR(GOOGLETRANSLATE(A1142,""ko"",""en""),)"),"Easy, right?")</f>
        <v>Easy, right?</v>
      </c>
    </row>
    <row r="1143" spans="1:2" ht="18">
      <c r="A1143" s="3" t="s">
        <v>4291</v>
      </c>
      <c r="B1143" s="4" t="str">
        <f ca="1">IFERROR(__xludf.DUMMYFUNCTION("IFERROR(GOOGLETRANSLATE(A1143,""ko"",""en""),)"),"You watched a Korean drama yesterday, didn't you?")</f>
        <v>You watched a Korean drama yesterday, didn't you?</v>
      </c>
    </row>
    <row r="1144" spans="1:2" ht="18">
      <c r="A1144" s="3" t="s">
        <v>4292</v>
      </c>
      <c r="B1144" s="4" t="str">
        <f ca="1">IFERROR(__xludf.DUMMYFUNCTION("IFERROR(GOOGLETRANSLATE(A1144,""ko"",""en""),)"),"Are you going?")</f>
        <v>Are you going?</v>
      </c>
    </row>
    <row r="1145" spans="1:2" ht="18">
      <c r="A1145" s="3" t="s">
        <v>4293</v>
      </c>
      <c r="B1145" s="4" t="str">
        <f ca="1">IFERROR(__xludf.DUMMYFUNCTION("IFERROR(GOOGLETRANSLATE(A1145,""ko"",""en""),)"),"You know, right?")</f>
        <v>You know, right?</v>
      </c>
    </row>
    <row r="1146" spans="1:2" ht="18">
      <c r="A1146" s="3" t="s">
        <v>4294</v>
      </c>
      <c r="B1146" s="4" t="str">
        <f ca="1">IFERROR(__xludf.DUMMYFUNCTION("IFERROR(GOOGLETRANSLATE(A1146,""ko"",""en""),)"),"It's delicious, isn't it?")</f>
        <v>It's delicious, isn't it?</v>
      </c>
    </row>
    <row r="1147" spans="1:2" ht="18">
      <c r="A1147" s="3" t="s">
        <v>4295</v>
      </c>
      <c r="B1147" s="4" t="str">
        <f ca="1">IFERROR(__xludf.DUMMYFUNCTION("IFERROR(GOOGLETRANSLATE(A1147,""ko"",""en""),)"),"Isn't it pretty?")</f>
        <v>Isn't it pretty?</v>
      </c>
    </row>
    <row r="1148" spans="1:2" ht="18">
      <c r="A1148" s="3" t="s">
        <v>4296</v>
      </c>
      <c r="B1148" s="4" t="str">
        <f ca="1">IFERROR(__xludf.DUMMYFUNCTION("IFERROR(GOOGLETRANSLATE(A1148,""ko"",""en""),)"),"It's fun, isn't it?")</f>
        <v>It's fun, isn't it?</v>
      </c>
    </row>
    <row r="1149" spans="1:2" ht="18">
      <c r="A1149" s="3" t="s">
        <v>4297</v>
      </c>
      <c r="B1149" s="4" t="str">
        <f ca="1">IFERROR(__xludf.DUMMYFUNCTION("IFERROR(GOOGLETRANSLATE(A1149,""ko"",""en""),)"),"It's raining really heavily today, isn't it?")</f>
        <v>It's raining really heavily today, isn't it?</v>
      </c>
    </row>
    <row r="1150" spans="1:2" ht="18">
      <c r="A1150" s="3" t="s">
        <v>4298</v>
      </c>
      <c r="B1150" s="4" t="str">
        <f ca="1">IFERROR(__xludf.DUMMYFUNCTION("IFERROR(GOOGLETRANSLATE(A1150,""ko"",""en""),)"),"Yes, it really comes a lot.")</f>
        <v>Yes, it really comes a lot.</v>
      </c>
    </row>
    <row r="1151" spans="1:2" ht="18">
      <c r="A1151" s="3" t="s">
        <v>4299</v>
      </c>
      <c r="B1151" s="4" t="str">
        <f ca="1">IFERROR(__xludf.DUMMYFUNCTION("IFERROR(GOOGLETRANSLATE(A1151,""ko"",""en""),)"),"Mina, you're taking a Korean test this weekend, aren't you?")</f>
        <v>Mina, you're taking a Korean test this weekend, aren't you?</v>
      </c>
    </row>
    <row r="1152" spans="1:2" ht="18">
      <c r="A1152" s="3" t="s">
        <v>4301</v>
      </c>
      <c r="B1152" s="4" t="str">
        <f ca="1">IFERROR(__xludf.DUMMYFUNCTION("IFERROR(GOOGLETRANSLATE(A1152,""ko"",""en""),)"),"Yes. So I'm studying hard.")</f>
        <v>Yes. So I'm studying hard.</v>
      </c>
    </row>
    <row r="1153" spans="1:2" ht="18">
      <c r="A1153" s="3" t="s">
        <v>4302</v>
      </c>
      <c r="B1153" s="4" t="str">
        <f ca="1">IFERROR(__xludf.DUMMYFUNCTION("IFERROR(GOOGLETRANSLATE(A1153,""ko"",""en""),)"),"Isn't that person so cool?")</f>
        <v>Isn't that person so cool?</v>
      </c>
    </row>
    <row r="1154" spans="1:2" ht="18">
      <c r="A1154" s="3" t="s">
        <v>4303</v>
      </c>
      <c r="B1154" s="4" t="str">
        <f ca="1">IFERROR(__xludf.DUMMYFUNCTION("IFERROR(GOOGLETRANSLATE(A1154,""ko"",""en""),)"),"Well, I'm not sure.")</f>
        <v>Well, I'm not sure.</v>
      </c>
    </row>
    <row r="1155" spans="1:2" ht="18">
      <c r="A1155" s="3" t="s">
        <v>4304</v>
      </c>
      <c r="B1155" s="4" t="str">
        <f ca="1">IFERROR(__xludf.DUMMYFUNCTION("IFERROR(GOOGLETRANSLATE(A1155,""ko"",""en""),)"),"We agreed to meet on Saturday, didn't we?")</f>
        <v>We agreed to meet on Saturday, didn't we?</v>
      </c>
    </row>
    <row r="1156" spans="1:2" ht="18">
      <c r="A1156" s="3" t="s">
        <v>4305</v>
      </c>
      <c r="B1156" s="4" t="str">
        <f ca="1">IFERROR(__xludf.DUMMYFUNCTION("IFERROR(GOOGLETRANSLATE(A1156,""ko"",""en""),)"),"Yes. That's right. We agreed to meet at 2 o'clock.")</f>
        <v>Yes. That's right. We agreed to meet at 2 o'clock.</v>
      </c>
    </row>
    <row r="1157" spans="1:2" ht="18">
      <c r="A1157" s="3" t="s">
        <v>4306</v>
      </c>
      <c r="B1157" s="4" t="str">
        <f ca="1">IFERROR(__xludf.DUMMYFUNCTION("IFERROR(GOOGLETRANSLATE(A1157,""ko"",""en""),)"),"Anna, you are an office worker, aren't you?")</f>
        <v>Anna, you are an office worker, aren't you?</v>
      </c>
    </row>
    <row r="1158" spans="1:2" ht="18">
      <c r="A1158" s="3" t="s">
        <v>4307</v>
      </c>
      <c r="B1158" s="4" t="str">
        <f ca="1">IFERROR(__xludf.DUMMYFUNCTION("IFERROR(GOOGLETRANSLATE(A1158,""ko"",""en""),)"),"No. I am a student.")</f>
        <v>No. I am a student.</v>
      </c>
    </row>
    <row r="1159" spans="1:2" ht="18">
      <c r="A1159" s="3" t="s">
        <v>4308</v>
      </c>
      <c r="B1159" s="4" t="str">
        <f ca="1">IFERROR(__xludf.DUMMYFUNCTION("IFERROR(GOOGLETRANSLATE(A1159,""ko"",""en""),)"),"You're a doctor, right?")</f>
        <v>You're a doctor, right?</v>
      </c>
    </row>
    <row r="1160" spans="1:2" ht="18">
      <c r="A1160" s="3" t="s">
        <v>4309</v>
      </c>
      <c r="B1160" s="4" t="str">
        <f ca="1">IFERROR(__xludf.DUMMYFUNCTION("IFERROR(GOOGLETRANSLATE(A1160,""ko"",""en""),)"),"You're done, right?")</f>
        <v>You're done, right?</v>
      </c>
    </row>
    <row r="1161" spans="1:2" ht="18">
      <c r="A1161" s="3" t="s">
        <v>4310</v>
      </c>
      <c r="B1161" s="4" t="str">
        <f ca="1">IFERROR(__xludf.DUMMYFUNCTION("IFERROR(GOOGLETRANSLATE(A1161,""ko"",""en""),)"),"We're all done, right?")</f>
        <v>We're all done, right?</v>
      </c>
    </row>
    <row r="1162" spans="1:2" ht="18">
      <c r="A1162" s="3" t="s">
        <v>4311</v>
      </c>
      <c r="B1162" s="4" t="str">
        <f ca="1">IFERROR(__xludf.DUMMYFUNCTION("IFERROR(GOOGLETRANSLATE(A1162,""ko"",""en""),)"),"You finished eating, right?")</f>
        <v>You finished eating, right?</v>
      </c>
    </row>
    <row r="1163" spans="1:2" ht="18">
      <c r="A1163" s="3" t="s">
        <v>4312</v>
      </c>
      <c r="B1163" s="4" t="str">
        <f ca="1">IFERROR(__xludf.DUMMYFUNCTION("IFERROR(GOOGLETRANSLATE(A1163,""ko"",""en""),)"),"Then let's have some coffee.")</f>
        <v>Then let's have some coffee.</v>
      </c>
    </row>
    <row r="1164" spans="1:2" ht="18">
      <c r="A1164" s="3" t="s">
        <v>4313</v>
      </c>
      <c r="B1164" s="4" t="str">
        <f ca="1">IFERROR(__xludf.DUMMYFUNCTION("IFERROR(GOOGLETRANSLATE(A1164,""ko"",""en""),)"),"Do well on your exam.")</f>
        <v>Do well on your exam.</v>
      </c>
    </row>
    <row r="1165" spans="1:2" ht="18">
      <c r="A1165" s="3" t="s">
        <v>4314</v>
      </c>
      <c r="B1165" s="4" t="str">
        <f ca="1">IFERROR(__xludf.DUMMYFUNCTION("IFERROR(GOOGLETRANSLATE(A1165,""ko"",""en""),)"),"I did well on the exam.")</f>
        <v>I did well on the exam.</v>
      </c>
    </row>
    <row r="1166" spans="1:2" ht="18">
      <c r="A1166" s="3" t="s">
        <v>4316</v>
      </c>
      <c r="B1166" s="4" t="str">
        <f ca="1">IFERROR(__xludf.DUMMYFUNCTION("IFERROR(GOOGLETRANSLATE(A1166,""ko"",""en""),)"),"I didn't do well on the test.")</f>
        <v>I didn't do well on the test.</v>
      </c>
    </row>
    <row r="1167" spans="1:2" ht="18">
      <c r="A1167" s="3" t="s">
        <v>4317</v>
      </c>
      <c r="B1167" s="4" t="str">
        <f ca="1">IFERROR(__xludf.DUMMYFUNCTION("IFERROR(GOOGLETRANSLATE(A1167,""ko"",""en""),)"),"I didn't take the exam.")</f>
        <v>I didn't take the exam.</v>
      </c>
    </row>
    <row r="1168" spans="1:2" ht="18">
      <c r="A1168" s="3" t="s">
        <v>4318</v>
      </c>
      <c r="B1168" s="4" t="str">
        <f ca="1">IFERROR(__xludf.DUMMYFUNCTION("IFERROR(GOOGLETRANSLATE(A1168,""ko"",""en""),)"),"What I know")</f>
        <v>What I know</v>
      </c>
    </row>
    <row r="1169" spans="1:2" ht="18">
      <c r="A1169" s="3" t="s">
        <v>4319</v>
      </c>
      <c r="B1169" s="4" t="str">
        <f ca="1">IFERROR(__xludf.DUMMYFUNCTION("IFERROR(GOOGLETRANSLATE(A1169,""ko"",""en""),)"),"All Koreans eat spicy food well.")</f>
        <v>All Koreans eat spicy food well.</v>
      </c>
    </row>
    <row r="1170" spans="1:2" ht="18">
      <c r="A1170" s="3" t="s">
        <v>4320</v>
      </c>
      <c r="B1170" s="4" t="str">
        <f ca="1">IFERROR(__xludf.DUMMYFUNCTION("IFERROR(GOOGLETRANSLATE(A1170,""ko"",""en""),)"),"Teacher, Koreans all eat spicy food well, don't they?")</f>
        <v>Teacher, Koreans all eat spicy food well, don't they?</v>
      </c>
    </row>
    <row r="1171" spans="1:2" ht="18">
      <c r="A1171" s="3" t="s">
        <v>4322</v>
      </c>
      <c r="B1171" s="4" t="str">
        <f ca="1">IFERROR(__xludf.DUMMYFUNCTION("IFERROR(GOOGLETRANSLATE(A1171,""ko"",""en""),)"),"Korea has four seasons.")</f>
        <v>Korea has four seasons.</v>
      </c>
    </row>
    <row r="1172" spans="1:2" ht="18">
      <c r="A1172" s="3" t="s">
        <v>4323</v>
      </c>
      <c r="B1172" s="4" t="str">
        <f ca="1">IFERROR(__xludf.DUMMYFUNCTION("IFERROR(GOOGLETRANSLATE(A1172,""ko"",""en""),)"),"Korea has four seasons, doesn't it?")</f>
        <v>Korea has four seasons, doesn't it?</v>
      </c>
    </row>
    <row r="1173" spans="1:2" ht="18">
      <c r="A1173" s="3" t="s">
        <v>4324</v>
      </c>
      <c r="B1173" s="4" t="str">
        <f ca="1">IFERROR(__xludf.DUMMYFUNCTION("IFERROR(GOOGLETRANSLATE(A1173,""ko"",""en""),)"),"Korea has many traditional markets.")</f>
        <v>Korea has many traditional markets.</v>
      </c>
    </row>
    <row r="1174" spans="1:2" ht="18">
      <c r="A1174" s="3" t="s">
        <v>4325</v>
      </c>
      <c r="B1174" s="4" t="str">
        <f ca="1">IFERROR(__xludf.DUMMYFUNCTION("IFERROR(GOOGLETRANSLATE(A1174,""ko"",""en""),)"),"Korea has many traditional markets, doesn't it?")</f>
        <v>Korea has many traditional markets, doesn't it?</v>
      </c>
    </row>
    <row r="1175" spans="1:2" ht="18">
      <c r="A1175" s="3" t="s">
        <v>4327</v>
      </c>
      <c r="B1175" s="4" t="str">
        <f ca="1">IFERROR(__xludf.DUMMYFUNCTION("IFERROR(GOOGLETRANSLATE(A1175,""ko"",""en""),)"),"All Koreans like kimchi, don't they?")</f>
        <v>All Koreans like kimchi, don't they?</v>
      </c>
    </row>
    <row r="1176" spans="1:2" ht="18">
      <c r="A1176" s="3" t="s">
        <v>4328</v>
      </c>
      <c r="B1176" s="4" t="str">
        <f ca="1">IFERROR(__xludf.DUMMYFUNCTION("IFERROR(GOOGLETRANSLATE(A1176,""ko"",""en""),)"),"Almost all Koreans like kimchi and eat it well.")</f>
        <v>Almost all Koreans like kimchi and eat it well.</v>
      </c>
    </row>
    <row r="1177" spans="1:2" ht="18">
      <c r="A1177" s="3" t="s">
        <v>4329</v>
      </c>
      <c r="B1177" s="4" t="str">
        <f ca="1">IFERROR(__xludf.DUMMYFUNCTION("IFERROR(GOOGLETRANSLATE(A1177,""ko"",""en""),)"),"Korean summers are very hot, aren't they?")</f>
        <v>Korean summers are very hot, aren't they?</v>
      </c>
    </row>
    <row r="1178" spans="1:2" ht="18">
      <c r="A1178" s="3" t="s">
        <v>4330</v>
      </c>
      <c r="B1178" s="4" t="str">
        <f ca="1">IFERROR(__xludf.DUMMYFUNCTION("IFERROR(GOOGLETRANSLATE(A1178,""ko"",""en""),)"),"Yes. That's right. Korean summers are very hot and humid.")</f>
        <v>Yes. That's right. Korean summers are very hot and humid.</v>
      </c>
    </row>
    <row r="1179" spans="1:2" ht="18">
      <c r="A1179" s="3" t="s">
        <v>4331</v>
      </c>
      <c r="B1179" s="4" t="str">
        <f ca="1">IFERROR(__xludf.DUMMYFUNCTION("IFERROR(GOOGLETRANSLATE(A1179,""ko"",""en""),)"),"It's okay because the weather is dry.")</f>
        <v>It's okay because the weather is dry.</v>
      </c>
    </row>
    <row r="1180" spans="1:2" ht="18">
      <c r="A1180" s="3" t="s">
        <v>4333</v>
      </c>
      <c r="B1180" s="4" t="str">
        <f ca="1">IFERROR(__xludf.DUMMYFUNCTION("IFERROR(GOOGLETRANSLATE(A1180,""ko"",""en""),)"),"Yes. Like Australia, Korea also has four seasons.")</f>
        <v>Yes. Like Australia, Korea also has four seasons.</v>
      </c>
    </row>
    <row r="1181" spans="1:2" ht="18">
      <c r="A1181" s="3" t="s">
        <v>4334</v>
      </c>
      <c r="B1181" s="4" t="str">
        <f ca="1">IFERROR(__xludf.DUMMYFUNCTION("IFERROR(GOOGLETRANSLATE(A1181,""ko"",""en""),)"),"But the seasons are opposite.")</f>
        <v>But the seasons are opposite.</v>
      </c>
    </row>
    <row r="1182" spans="1:2" ht="18">
      <c r="A1182" s="3" t="s">
        <v>4335</v>
      </c>
      <c r="B1182" s="4" t="str">
        <f ca="1">IFERROR(__xludf.DUMMYFUNCTION("IFERROR(GOOGLETRANSLATE(A1182,""ko"",""en""),)"),"Koreans all like sports and outdoor activities, don't they?")</f>
        <v>Koreans all like sports and outdoor activities, don't they?</v>
      </c>
    </row>
    <row r="1183" spans="1:2" ht="18">
      <c r="A1183" s="3" t="s">
        <v>4336</v>
      </c>
      <c r="B1183" s="4" t="str">
        <f ca="1">IFERROR(__xludf.DUMMYFUNCTION("IFERROR(GOOGLETRANSLATE(A1183,""ko"",""en""),)"),"You know BTS, right?")</f>
        <v>You know BTS, right?</v>
      </c>
    </row>
    <row r="1184" spans="1:2" ht="18">
      <c r="A1184" s="3" t="s">
        <v>4337</v>
      </c>
      <c r="B1184" s="4" t="str">
        <f ca="1">IFERROR(__xludf.DUMMYFUNCTION("IFERROR(GOOGLETRANSLATE(A1184,""ko"",""en""),)"),"Yes. If you don't know BTS, you aren't Korean.")</f>
        <v>Yes. If you don't know BTS, you aren't Korean.</v>
      </c>
    </row>
    <row r="1185" spans="1:2" ht="18">
      <c r="A1185" s="3" t="s">
        <v>4339</v>
      </c>
      <c r="B1185" s="4" t="str">
        <f ca="1">IFERROR(__xludf.DUMMYFUNCTION("IFERROR(GOOGLETRANSLATE(A1185,""ko"",""en""),)"),"Koreans all take good care of their skin, don't they?")</f>
        <v>Koreans all take good care of their skin, don't they?</v>
      </c>
    </row>
    <row r="1186" spans="1:2" ht="18">
      <c r="A1186" s="3" t="s">
        <v>4340</v>
      </c>
      <c r="B1186" s="4" t="str">
        <f ca="1">IFERROR(__xludf.DUMMYFUNCTION("IFERROR(GOOGLETRANSLATE(A1186,""ko"",""en""),)"),"Then am I Australian?")</f>
        <v>Then am I Australian?</v>
      </c>
    </row>
    <row r="1187" spans="1:2" ht="18">
      <c r="A1187" s="3" t="s">
        <v>4341</v>
      </c>
      <c r="B1187" s="4" t="str">
        <f ca="1">IFERROR(__xludf.DUMMYFUNCTION("IFERROR(GOOGLETRANSLATE(A1187,""ko"",""en""),)"),"These days, men take better care of their skin.")</f>
        <v>These days, men take better care of their skin.</v>
      </c>
    </row>
    <row r="1188" spans="1:2" ht="18">
      <c r="A1188" s="3" t="s">
        <v>4342</v>
      </c>
      <c r="B1188" s="4" t="str">
        <f ca="1">IFERROR(__xludf.DUMMYFUNCTION("IFERROR(GOOGLETRANSLATE(A1188,""ko"",""en""),)"),"All elementary school students in Korea learn English at school, right?")</f>
        <v>All elementary school students in Korea learn English at school, right?</v>
      </c>
    </row>
    <row r="1189" spans="1:2" ht="18">
      <c r="A1189" s="3" t="s">
        <v>4343</v>
      </c>
      <c r="B1189" s="4" t="str">
        <f ca="1">IFERROR(__xludf.DUMMYFUNCTION("IFERROR(GOOGLETRANSLATE(A1189,""ko"",""en""),)"),"I attend English academies a lot.")</f>
        <v>I attend English academies a lot.</v>
      </c>
    </row>
    <row r="1190" spans="1:2" ht="18">
      <c r="A1190" s="3" t="s">
        <v>4345</v>
      </c>
      <c r="B1190" s="4" t="str">
        <f ca="1">IFERROR(__xludf.DUMMYFUNCTION("IFERROR(GOOGLETRANSLATE(A1190,""ko"",""en""),)"),"It snows a lot in Korea during the winter, doesn't it?")</f>
        <v>It snows a lot in Korea during the winter, doesn't it?</v>
      </c>
    </row>
    <row r="1191" spans="1:2" ht="18">
      <c r="A1191" s="3" t="s">
        <v>4346</v>
      </c>
      <c r="B1191" s="4" t="str">
        <f ca="1">IFERROR(__xludf.DUMMYFUNCTION("IFERROR(GOOGLETRANSLATE(A1191,""ko"",""en""),)"),"Koreans always do things quickly, don't they?")</f>
        <v>Koreans always do things quickly, don't they?</v>
      </c>
    </row>
    <row r="1192" spans="1:2" ht="18">
      <c r="A1192" s="3" t="s">
        <v>4347</v>
      </c>
      <c r="B1192" s="4" t="str">
        <f ca="1">IFERROR(__xludf.DUMMYFUNCTION("IFERROR(GOOGLETRANSLATE(A1192,""ko"",""en""),)"),"Wi-Fi speeds are fast in Korea, right?")</f>
        <v>Wi-Fi speeds are fast in Korea, right?</v>
      </c>
    </row>
    <row r="1193" spans="1:2" ht="18">
      <c r="A1193" s="3" t="s">
        <v>4348</v>
      </c>
      <c r="B1193" s="4" t="str">
        <f ca="1">IFERROR(__xludf.DUMMYFUNCTION("IFERROR(GOOGLETRANSLATE(A1193,""ko"",""en""),)"),"It's the fastest in the world.")</f>
        <v>It's the fastest in the world.</v>
      </c>
    </row>
    <row r="1194" spans="1:2" ht="18">
      <c r="A1194" s="3" t="s">
        <v>4350</v>
      </c>
      <c r="B1194" s="4" t="str">
        <f ca="1">IFERROR(__xludf.DUMMYFUNCTION("IFERROR(GOOGLETRANSLATE(A1194,""ko"",""en""),)"),"College entrance exams are important in Korea, aren't they?")</f>
        <v>College entrance exams are important in Korea, aren't they?</v>
      </c>
    </row>
    <row r="1195" spans="1:2" ht="18">
      <c r="A1195" s="3" t="s">
        <v>4351</v>
      </c>
      <c r="B1195" s="4" t="str">
        <f ca="1">IFERROR(__xludf.DUMMYFUNCTION("IFERROR(GOOGLETRANSLATE(A1195,""ko"",""en""),)"),"Entrance exam")</f>
        <v>Entrance exam</v>
      </c>
    </row>
    <row r="1196" spans="1:2" ht="18">
      <c r="A1196" s="21" t="s">
        <v>4352</v>
      </c>
      <c r="B1196" s="4" t="str">
        <f ca="1">IFERROR(__xludf.DUMMYFUNCTION("IFERROR(GOOGLETRANSLATE(A1196,""ko"",""en""),)"),"CSAT")</f>
        <v>CSAT</v>
      </c>
    </row>
    <row r="1197" spans="1:2" ht="18">
      <c r="A1197" s="3" t="s">
        <v>4354</v>
      </c>
      <c r="B1197" s="4" t="str">
        <f ca="1">IFERROR(__xludf.DUMMYFUNCTION("IFERROR(GOOGLETRANSLATE(A1197,""ko"",""en""),)"),"Tomorrow is the CSAT.")</f>
        <v>Tomorrow is the CSAT.</v>
      </c>
    </row>
    <row r="1198" spans="1:2" ht="18">
      <c r="A1198" s="3" t="s">
        <v>4355</v>
      </c>
      <c r="B1198" s="4" t="str">
        <f ca="1">IFERROR(__xludf.DUMMYFUNCTION("IFERROR(GOOGLETRANSLATE(A1198,""ko"",""en""),)"),"There are many entrance exam academies in Gangnam.")</f>
        <v>There are many entrance exam academies in Gangnam.</v>
      </c>
    </row>
    <row r="1199" spans="1:2" ht="18">
      <c r="A1199" s="3" t="s">
        <v>4357</v>
      </c>
      <c r="B1199" s="4" t="str">
        <f ca="1">IFERROR(__xludf.DUMMYFUNCTION("IFERROR(GOOGLETRANSLATE(A1199,""ko"",""en""),)"),"That hat is pretty, isn't it?")</f>
        <v>That hat is pretty, isn't it?</v>
      </c>
    </row>
    <row r="1200" spans="1:2" ht="18">
      <c r="A1200" s="3" t="s">
        <v>4358</v>
      </c>
      <c r="B1200" s="4" t="str">
        <f ca="1">IFERROR(__xludf.DUMMYFUNCTION("IFERROR(GOOGLETRANSLATE(A1200,""ko"",""en""),)"),"Yes. It's really pretty.")</f>
        <v>Yes. It's really pretty.</v>
      </c>
    </row>
    <row r="1201" spans="1:2" ht="18">
      <c r="A1201" s="3" t="s">
        <v>4359</v>
      </c>
      <c r="B1201" s="4" t="str">
        <f ca="1">IFERROR(__xludf.DUMMYFUNCTION("IFERROR(GOOGLETRANSLATE(A1201,""ko"",""en""),)"),"That movie was fun, wasn't it?")</f>
        <v>That movie was fun, wasn't it?</v>
      </c>
    </row>
    <row r="1202" spans="1:2" ht="18">
      <c r="A1202" s="3" t="s">
        <v>4360</v>
      </c>
      <c r="B1202" s="4" t="str">
        <f ca="1">IFERROR(__xludf.DUMMYFUNCTION("IFERROR(GOOGLETRANSLATE(A1202,""ko"",""en""),)"),"Yes. It was really fun.")</f>
        <v>Yes. It was really fun.</v>
      </c>
    </row>
    <row r="1203" spans="1:2" ht="18">
      <c r="A1203" s="3" t="s">
        <v>4361</v>
      </c>
      <c r="B1203" s="4" t="str">
        <f ca="1">IFERROR(__xludf.DUMMYFUNCTION("IFERROR(GOOGLETRANSLATE(A1203,""ko"",""en""),)"),"You know Anna, right?")</f>
        <v>You know Anna, right?</v>
      </c>
    </row>
    <row r="1204" spans="1:2" ht="18">
      <c r="A1204" s="3" t="s">
        <v>4363</v>
      </c>
      <c r="B1204" s="4" t="str">
        <f ca="1">IFERROR(__xludf.DUMMYFUNCTION("IFERROR(GOOGLETRANSLATE(A1204,""ko"",""en""),)"),"Yes, I know her well. Anna is my friend.")</f>
        <v>Yes, I know her well. Anna is my friend.</v>
      </c>
    </row>
    <row r="1205" spans="1:2" ht="18">
      <c r="A1205" s="3" t="s">
        <v>4287</v>
      </c>
      <c r="B1205" s="4" t="str">
        <f ca="1">IFERROR(__xludf.DUMMYFUNCTION("IFERROR(GOOGLETRANSLATE(A1205,""ko"",""en""),)"),"Are you going to Korea this vacation?")</f>
        <v>Are you going to Korea this vacation?</v>
      </c>
    </row>
    <row r="1206" spans="1:2" ht="18">
      <c r="A1206" s="3" t="s">
        <v>4364</v>
      </c>
      <c r="B1206" s="4" t="str">
        <f ca="1">IFERROR(__xludf.DUMMYFUNCTION("IFERROR(GOOGLETRANSLATE(A1206,""ko"",""en""),)"),"Yes. I am planning to go to Korea to meet a friend.")</f>
        <v>Yes. I am planning to go to Korea to meet a friend.</v>
      </c>
    </row>
    <row r="1207" spans="1:2" ht="18">
      <c r="A1207" s="3" t="s">
        <v>4365</v>
      </c>
      <c r="B1207" s="4" t="str">
        <f ca="1">IFERROR(__xludf.DUMMYFUNCTION("IFERROR(GOOGLETRANSLATE(A1207,""ko"",""en""),)"),"Yujin, your phone number is 010 1562 9122, right?")</f>
        <v>Yujin, your phone number is 010 1562 9122, right?</v>
      </c>
    </row>
    <row r="1208" spans="1:2" ht="18">
      <c r="A1208" s="3" t="s">
        <v>4367</v>
      </c>
      <c r="B1208" s="4" t="str">
        <f ca="1">IFERROR(__xludf.DUMMYFUNCTION("IFERROR(GOOGLETRANSLATE(A1208,""ko"",""en""),)"),"yes that's right.")</f>
        <v>yes that's right.</v>
      </c>
    </row>
    <row r="1209" spans="1:2" ht="18">
      <c r="A1209" s="3" t="s">
        <v>4368</v>
      </c>
      <c r="B1209" s="4" t="str">
        <f ca="1">IFERROR(__xludf.DUMMYFUNCTION("IFERROR(GOOGLETRANSLATE(A1209,""ko"",""en""),)"),"Yujin, your favorite food is bulgogi, right?")</f>
        <v>Yujin, your favorite food is bulgogi, right?</v>
      </c>
    </row>
    <row r="1210" spans="1:2" ht="18">
      <c r="A1210" s="3" t="s">
        <v>4369</v>
      </c>
      <c r="B1210" s="4" t="str">
        <f ca="1">IFERROR(__xludf.DUMMYFUNCTION("IFERROR(GOOGLETRANSLATE(A1210,""ko"",""en""),)"),"Yujin, you like bulgogi, don't you?")</f>
        <v>Yujin, you like bulgogi, don't you?</v>
      </c>
    </row>
    <row r="1211" spans="1:2" ht="18">
      <c r="A1211" s="3" t="s">
        <v>4370</v>
      </c>
      <c r="B1211" s="4" t="str">
        <f ca="1">IFERROR(__xludf.DUMMYFUNCTION("IFERROR(GOOGLETRANSLATE(A1211,""ko"",""en""),)"),"Yes. That's right. I like bulgogi.")</f>
        <v>Yes. That's right. I like bulgogi.</v>
      </c>
    </row>
    <row r="1212" spans="1:2" ht="18">
      <c r="A1212" s="3" t="s">
        <v>4371</v>
      </c>
      <c r="B1212" s="4" t="str">
        <f ca="1">IFERROR(__xludf.DUMMYFUNCTION("IFERROR(GOOGLETRANSLATE(A1212,""ko"",""en""),)"),"Yujin, you like games, don't you?")</f>
        <v>Yujin, you like games, don't you?</v>
      </c>
    </row>
    <row r="1213" spans="1:2" ht="18">
      <c r="A1213" s="3" t="s">
        <v>4373</v>
      </c>
      <c r="B1213" s="4" t="str">
        <f ca="1">IFERROR(__xludf.DUMMYFUNCTION("IFERROR(GOOGLETRANSLATE(A1213,""ko"",""en""),)"),"Yes, I play games whenever I have time.")</f>
        <v>Yes, I play games whenever I have time.</v>
      </c>
    </row>
    <row r="1214" spans="1:2" ht="18">
      <c r="A1214" s="3" t="s">
        <v>4374</v>
      </c>
      <c r="B1214" s="4" t="str">
        <f ca="1">IFERROR(__xludf.DUMMYFUNCTION("IFERROR(GOOGLETRANSLATE(A1214,""ko"",""en""),)"),"Let's talk about cafes.")</f>
        <v>Let's talk about cafes.</v>
      </c>
    </row>
    <row r="1215" spans="1:2" ht="18">
      <c r="A1215" s="3" t="s">
        <v>4375</v>
      </c>
      <c r="B1215" s="4" t="str">
        <f ca="1">IFERROR(__xludf.DUMMYFUNCTION("IFERROR(GOOGLETRANSLATE(A1215,""ko"",""en""),)"),"Wow, the atmosphere at this cafe is really nice.")</f>
        <v>Wow, the atmosphere at this cafe is really nice.</v>
      </c>
    </row>
    <row r="1216" spans="1:2" ht="18">
      <c r="A1216" s="3" t="s">
        <v>4376</v>
      </c>
      <c r="B1216" s="4" t="str">
        <f ca="1">IFERROR(__xludf.DUMMYFUNCTION("IFERROR(GOOGLETRANSLATE(A1216,""ko"",""en""),)"),"Sometimes when I'm bored, I also read magazines lying around.")</f>
        <v>Sometimes when I'm bored, I also read magazines lying around.</v>
      </c>
    </row>
    <row r="1217" spans="1:2" ht="18">
      <c r="A1217" s="3" t="s">
        <v>4378</v>
      </c>
      <c r="B1217" s="4" t="str">
        <f ca="1">IFERROR(__xludf.DUMMYFUNCTION("IFERROR(GOOGLETRANSLATE(A1217,""ko"",""en""),)"),"I'm bored")</f>
        <v>I'm bored</v>
      </c>
    </row>
    <row r="1218" spans="1:2" ht="18">
      <c r="A1218" s="3" t="s">
        <v>3575</v>
      </c>
      <c r="B1218" s="4" t="str">
        <f ca="1">IFERROR(__xludf.DUMMYFUNCTION("IFERROR(GOOGLETRANSLATE(A1218,""ko"",""en""),)"),"boring")</f>
        <v>boring</v>
      </c>
    </row>
    <row r="1219" spans="1:2" ht="18">
      <c r="A1219" s="3" t="s">
        <v>4379</v>
      </c>
      <c r="B1219" s="4" t="str">
        <f ca="1">IFERROR(__xludf.DUMMYFUNCTION("IFERROR(GOOGLETRANSLATE(A1219,""ko"",""en""),)"),"I go to a cafe when I want to rest.")</f>
        <v>I go to a cafe when I want to rest.</v>
      </c>
    </row>
    <row r="1220" spans="1:2" ht="18">
      <c r="A1220" s="3"/>
      <c r="B1220" s="4" t="str">
        <f ca="1">IFERROR(__xludf.DUMMYFUNCTION("IFERROR(GOOGLETRANSLATE(A1220,""ko"",""en""),)"),"")</f>
        <v/>
      </c>
    </row>
    <row r="1221" spans="1:2" ht="18">
      <c r="A1221" s="3" t="s">
        <v>4381</v>
      </c>
      <c r="B1221" s="4" t="str">
        <f ca="1">IFERROR(__xludf.DUMMYFUNCTION("IFERROR(GOOGLETRANSLATE(A1221,""ko"",""en""),)"),"I'm going to put pork in the kimchi stew.")</f>
        <v>I'm going to put pork in the kimchi stew.</v>
      </c>
    </row>
    <row r="1222" spans="1:2" ht="18">
      <c r="A1222" s="3" t="s">
        <v>4382</v>
      </c>
      <c r="B1222" s="4" t="str">
        <f ca="1">IFERROR(__xludf.DUMMYFUNCTION("IFERROR(GOOGLETRANSLATE(A1222,""ko"",""en""),)"),"It's bland. Add salt to the soup.")</f>
        <v>It's bland. Add salt to the soup.</v>
      </c>
    </row>
    <row r="1223" spans="1:2" ht="18">
      <c r="A1223" s="3" t="s">
        <v>4383</v>
      </c>
      <c r="B1223" s="4" t="str">
        <f ca="1">IFERROR(__xludf.DUMMYFUNCTION("IFERROR(GOOGLETRANSLATE(A1223,""ko"",""en""),)"),"This stew is too salty.")</f>
        <v>This stew is too salty.</v>
      </c>
    </row>
    <row r="1224" spans="1:2" ht="18">
      <c r="A1224" s="3" t="s">
        <v>4384</v>
      </c>
      <c r="B1224" s="4" t="str">
        <f ca="1">IFERROR(__xludf.DUMMYFUNCTION("IFERROR(GOOGLETRANSLATE(A1224,""ko"",""en""),)"),"Please add some water to the stew.")</f>
        <v>Please add some water to the stew.</v>
      </c>
    </row>
    <row r="1225" spans="1:2" ht="18">
      <c r="A1225" s="3" t="s">
        <v>4386</v>
      </c>
      <c r="B1225" s="4" t="str">
        <f ca="1">IFERROR(__xludf.DUMMYFUNCTION("IFERROR(GOOGLETRANSLATE(A1225,""ko"",""en""),)"),"How is your room right now? It's messy.")</f>
        <v>How is your room right now? It's messy.</v>
      </c>
    </row>
    <row r="1226" spans="1:2" ht="18">
      <c r="A1226" s="3" t="s">
        <v>4387</v>
      </c>
      <c r="B1226" s="4" t="str">
        <f ca="1">IFERROR(__xludf.DUMMYFUNCTION("IFERROR(GOOGLETRANSLATE(A1226,""ko"",""en""),)"),"It's messy, so I want to buy a bookshelf.")</f>
        <v>It's messy, so I want to buy a bookshelf.</v>
      </c>
    </row>
    <row r="1227" spans="1:2" ht="18">
      <c r="A1227" s="3" t="s">
        <v>4388</v>
      </c>
      <c r="B1227" s="4" t="str">
        <f ca="1">IFERROR(__xludf.DUMMYFUNCTION("IFERROR(GOOGLETRANSLATE(A1227,""ko"",""en""),)"),"There aren't many.")</f>
        <v>There aren't many.</v>
      </c>
    </row>
    <row r="1228" spans="1:2" ht="18">
      <c r="A1228" s="3" t="s">
        <v>4389</v>
      </c>
      <c r="B1228" s="4" t="str">
        <f ca="1">IFERROR(__xludf.DUMMYFUNCTION("IFERROR(GOOGLETRANSLATE(A1228,""ko"",""en""),)"),"There isn't any at all.")</f>
        <v>There isn't any at all.</v>
      </c>
    </row>
    <row r="1229" spans="1:2" ht="18">
      <c r="A1229" s="3" t="s">
        <v>4390</v>
      </c>
      <c r="B1229" s="4" t="str">
        <f ca="1">IFERROR(__xludf.DUMMYFUNCTION("IFERROR(GOOGLETRANSLATE(A1229,""ko"",""en""),)"),"I don't eat it at all.")</f>
        <v>I don't eat it at all.</v>
      </c>
    </row>
    <row r="1230" spans="1:2" ht="18">
      <c r="A1230" s="3" t="s">
        <v>4392</v>
      </c>
      <c r="B1230" s="4" t="str">
        <f ca="1">IFERROR(__xludf.DUMMYFUNCTION("IFERROR(GOOGLETRANSLATE(A1230,""ko"",""en""),)"),"I don't eat it at all.")</f>
        <v>I don't eat it at all.</v>
      </c>
    </row>
    <row r="1231" spans="1:2" ht="18">
      <c r="A1231" s="3" t="s">
        <v>4393</v>
      </c>
      <c r="B1231" s="4" t="str">
        <f ca="1">IFERROR(__xludf.DUMMYFUNCTION("IFERROR(GOOGLETRANSLATE(A1231,""ko"",""en""),)"),"The kitchen is spacious, so it's great for cooking.")</f>
        <v>The kitchen is spacious, so it's great for cooking.</v>
      </c>
    </row>
    <row r="1232" spans="1:2" ht="18">
      <c r="A1232" s="3" t="s">
        <v>4394</v>
      </c>
      <c r="B1232" s="4" t="str">
        <f ca="1">IFERROR(__xludf.DUMMYFUNCTION("IFERROR(GOOGLETRANSLATE(A1232,""ko"",""en""),)"),"The library was quiet, so it was good for reading books.")</f>
        <v>The library was quiet, so it was good for reading books.</v>
      </c>
    </row>
    <row r="1233" spans="1:2" ht="18">
      <c r="A1233" s="3" t="s">
        <v>4395</v>
      </c>
      <c r="B1233" s="4" t="str">
        <f ca="1">IFERROR(__xludf.DUMMYFUNCTION("IFERROR(GOOGLETRANSLATE(A1233,""ko"",""en""),)"),"Wow, the road is really narrow.")</f>
        <v>Wow, the road is really narrow.</v>
      </c>
    </row>
    <row r="1234" spans="1:2" ht="18">
      <c r="A1234" s="3" t="s">
        <v>4396</v>
      </c>
      <c r="B1234" s="4" t="str">
        <f ca="1">IFERROR(__xludf.DUMMYFUNCTION("IFERROR(GOOGLETRANSLATE(A1234,""ko"",""en""),)"),"Yes. So it's not good for taking a walk.")</f>
        <v>Yes. So it's not good for taking a walk.</v>
      </c>
    </row>
    <row r="1235" spans="1:2" ht="18">
      <c r="A1235" s="3" t="s">
        <v>4398</v>
      </c>
      <c r="B1235" s="4" t="str">
        <f ca="1">IFERROR(__xludf.DUMMYFUNCTION("IFERROR(GOOGLETRANSLATE(A1235,""ko"",""en""),)"),"It's sunny today, so it's a good day to do laundry.")</f>
        <v>It's sunny today, so it's a good day to do laundry.</v>
      </c>
    </row>
    <row r="1236" spans="1:2" ht="18">
      <c r="A1236" s="3" t="s">
        <v>4399</v>
      </c>
      <c r="B1236" s="4" t="str">
        <f ca="1">IFERROR(__xludf.DUMMYFUNCTION("IFERROR(GOOGLETRANSLATE(A1236,""ko"",""en""),)"),"It's cloudy today, so it's not good for doing laundry.")</f>
        <v>It's cloudy today, so it's not good for doing laundry.</v>
      </c>
    </row>
    <row r="1237" spans="1:2" ht="18">
      <c r="A1237" s="3" t="s">
        <v>4401</v>
      </c>
      <c r="B1237" s="4" t="str">
        <f ca="1">IFERROR(__xludf.DUMMYFUNCTION("IFERROR(GOOGLETRANSLATE(A1237,""ko"",""en""),)"),"Anna cleans every day, so the room isn't very messy.")</f>
        <v>Anna cleans every day, so the room isn't very messy.</v>
      </c>
    </row>
    <row r="1238" spans="1:2" ht="18">
      <c r="A1238" s="3" t="s">
        <v>4402</v>
      </c>
      <c r="B1238" s="4" t="str">
        <f ca="1">IFERROR(__xludf.DUMMYFUNCTION("IFERROR(GOOGLETRANSLATE(A1238,""ko"",""en""),)"),"Anna cleans every day, so the room isn't messy.")</f>
        <v>Anna cleans every day, so the room isn't messy.</v>
      </c>
    </row>
    <row r="1239" spans="1:2" ht="18">
      <c r="A1239" s="3" t="s">
        <v>4403</v>
      </c>
      <c r="B1239" s="4" t="str">
        <f ca="1">IFERROR(__xludf.DUMMYFUNCTION("IFERROR(GOOGLETRANSLATE(A1239,""ko"",""en""),)"),"This person is my teacher.")</f>
        <v>This person is my teacher.</v>
      </c>
    </row>
    <row r="1240" spans="1:2" ht="18">
      <c r="A1240" s="3" t="s">
        <v>4404</v>
      </c>
      <c r="B1240" s="4" t="str">
        <f ca="1">IFERROR(__xludf.DUMMYFUNCTION("IFERROR(GOOGLETRANSLATE(A1240,""ko"",""en""),)"),"I read magazines placed here and there.")</f>
        <v>I read magazines placed here and there.</v>
      </c>
    </row>
    <row r="1241" spans="1:2" ht="18">
      <c r="A1241" s="3" t="s">
        <v>4405</v>
      </c>
      <c r="B1241" s="4" t="str">
        <f ca="1">IFERROR(__xludf.DUMMYFUNCTION("IFERROR(GOOGLETRANSLATE(A1241,""ko"",""en""),)"),"Right?")</f>
        <v>Right?</v>
      </c>
    </row>
    <row r="1242" spans="1:2" ht="18">
      <c r="A1242" s="3"/>
      <c r="B1242" s="4" t="str">
        <f ca="1">IFERROR(__xludf.DUMMYFUNCTION("IFERROR(GOOGLETRANSLATE(A1242,""ko"",""en""),)"),"")</f>
        <v/>
      </c>
    </row>
    <row r="1243" spans="1:2" ht="18">
      <c r="A1243" s="3"/>
      <c r="B1243" s="4" t="str">
        <f ca="1">IFERROR(__xludf.DUMMYFUNCTION("IFERROR(GOOGLETRANSLATE(A1243,""ko"",""en""),)"),"")</f>
        <v/>
      </c>
    </row>
    <row r="1244" spans="1:2" ht="18">
      <c r="A1244" s="3"/>
      <c r="B1244" s="4" t="str">
        <f ca="1">IFERROR(__xludf.DUMMYFUNCTION("IFERROR(GOOGLETRANSLATE(A1244,""ko"",""en""),)"),"")</f>
        <v/>
      </c>
    </row>
    <row r="1245" spans="1:2" ht="18">
      <c r="A1245" s="3"/>
      <c r="B1245" s="4" t="str">
        <f ca="1">IFERROR(__xludf.DUMMYFUNCTION("IFERROR(GOOGLETRANSLATE(A1245,""ko"",""en""),)"),"")</f>
        <v/>
      </c>
    </row>
    <row r="1246" spans="1:2" ht="18">
      <c r="A1246" s="3"/>
      <c r="B1246" s="4" t="str">
        <f ca="1">IFERROR(__xludf.DUMMYFUNCTION("IFERROR(GOOGLETRANSLATE(A1246,""ko"",""en""),)"),"")</f>
        <v/>
      </c>
    </row>
    <row r="1247" spans="1:2" ht="18">
      <c r="A1247" s="3"/>
      <c r="B1247" s="4" t="str">
        <f ca="1">IFERROR(__xludf.DUMMYFUNCTION("IFERROR(GOOGLETRANSLATE(A1247,""ko"",""en""),)"),"")</f>
        <v/>
      </c>
    </row>
    <row r="1248" spans="1:2" ht="18">
      <c r="A1248" s="3"/>
      <c r="B1248" s="4" t="str">
        <f ca="1">IFERROR(__xludf.DUMMYFUNCTION("IFERROR(GOOGLETRANSLATE(A1248,""ko"",""en""),)"),"")</f>
        <v/>
      </c>
    </row>
    <row r="1249" spans="1:2" ht="18">
      <c r="A1249" s="3"/>
      <c r="B1249" s="4" t="str">
        <f ca="1">IFERROR(__xludf.DUMMYFUNCTION("IFERROR(GOOGLETRANSLATE(A1249,""ko"",""en""),)"),"")</f>
        <v/>
      </c>
    </row>
    <row r="1250" spans="1:2" ht="18">
      <c r="A1250" s="3"/>
      <c r="B1250" s="4" t="str">
        <f ca="1">IFERROR(__xludf.DUMMYFUNCTION("IFERROR(GOOGLETRANSLATE(A1250,""ko"",""en""),)"),"")</f>
        <v/>
      </c>
    </row>
    <row r="1251" spans="1:2" ht="18">
      <c r="A1251" s="3"/>
      <c r="B1251" s="4" t="str">
        <f ca="1">IFERROR(__xludf.DUMMYFUNCTION("IFERROR(GOOGLETRANSLATE(A1251,""ko"",""en""),)"),"")</f>
        <v/>
      </c>
    </row>
    <row r="1252" spans="1:2" ht="18">
      <c r="A1252" s="3"/>
      <c r="B1252" s="4" t="str">
        <f ca="1">IFERROR(__xludf.DUMMYFUNCTION("IFERROR(GOOGLETRANSLATE(A1252,""ko"",""en""),)"),"")</f>
        <v/>
      </c>
    </row>
    <row r="1253" spans="1:2" ht="18">
      <c r="A1253" s="3"/>
      <c r="B1253" s="4" t="str">
        <f ca="1">IFERROR(__xludf.DUMMYFUNCTION("IFERROR(GOOGLETRANSLATE(A1253,""ko"",""en""),)"),"")</f>
        <v/>
      </c>
    </row>
    <row r="1254" spans="1:2" ht="18">
      <c r="A1254" s="3"/>
      <c r="B1254" s="4" t="str">
        <f ca="1">IFERROR(__xludf.DUMMYFUNCTION("IFERROR(GOOGLETRANSLATE(A1254,""ko"",""en""),)"),"")</f>
        <v/>
      </c>
    </row>
    <row r="1255" spans="1:2" ht="18">
      <c r="A1255" s="3"/>
      <c r="B1255" s="4" t="str">
        <f ca="1">IFERROR(__xludf.DUMMYFUNCTION("IFERROR(GOOGLETRANSLATE(A1255,""ko"",""en""),)"),"")</f>
        <v/>
      </c>
    </row>
    <row r="1256" spans="1:2" ht="18">
      <c r="A1256" s="3"/>
      <c r="B1256" s="4" t="str">
        <f ca="1">IFERROR(__xludf.DUMMYFUNCTION("IFERROR(GOOGLETRANSLATE(A1256,""ko"",""en""),)"),"")</f>
        <v/>
      </c>
    </row>
    <row r="1257" spans="1:2" ht="18">
      <c r="A1257" s="3"/>
      <c r="B1257" s="4" t="str">
        <f ca="1">IFERROR(__xludf.DUMMYFUNCTION("IFERROR(GOOGLETRANSLATE(A1257,""ko"",""en""),)"),"")</f>
        <v/>
      </c>
    </row>
    <row r="1258" spans="1:2" ht="18">
      <c r="A1258" s="3"/>
      <c r="B1258" s="4" t="str">
        <f ca="1">IFERROR(__xludf.DUMMYFUNCTION("IFERROR(GOOGLETRANSLATE(A1258,""ko"",""en""),)"),"")</f>
        <v/>
      </c>
    </row>
    <row r="1259" spans="1:2" ht="18">
      <c r="A1259" s="3"/>
      <c r="B1259" s="4" t="str">
        <f ca="1">IFERROR(__xludf.DUMMYFUNCTION("IFERROR(GOOGLETRANSLATE(A1259,""ko"",""en""),)"),"")</f>
        <v/>
      </c>
    </row>
    <row r="1260" spans="1:2" ht="18">
      <c r="A1260" s="3"/>
      <c r="B1260" s="4" t="str">
        <f ca="1">IFERROR(__xludf.DUMMYFUNCTION("IFERROR(GOOGLETRANSLATE(A1260,""ko"",""en""),)"),"")</f>
        <v/>
      </c>
    </row>
    <row r="1261" spans="1:2" ht="18">
      <c r="A1261" s="3"/>
      <c r="B1261" s="4" t="str">
        <f ca="1">IFERROR(__xludf.DUMMYFUNCTION("IFERROR(GOOGLETRANSLATE(A1261,""ko"",""en""),)"),"")</f>
        <v/>
      </c>
    </row>
    <row r="1262" spans="1:2" ht="18">
      <c r="A1262" s="3"/>
      <c r="B1262" s="4" t="str">
        <f ca="1">IFERROR(__xludf.DUMMYFUNCTION("IFERROR(GOOGLETRANSLATE(A1262,""ko"",""en""),)"),"")</f>
        <v/>
      </c>
    </row>
    <row r="1263" spans="1:2" ht="18">
      <c r="A1263" s="3"/>
      <c r="B1263" s="4" t="str">
        <f ca="1">IFERROR(__xludf.DUMMYFUNCTION("IFERROR(GOOGLETRANSLATE(A1263,""ko"",""en""),)"),"")</f>
        <v/>
      </c>
    </row>
    <row r="1264" spans="1:2" ht="18">
      <c r="A1264" s="3"/>
      <c r="B1264" s="4" t="str">
        <f ca="1">IFERROR(__xludf.DUMMYFUNCTION("IFERROR(GOOGLETRANSLATE(A1264,""ko"",""en""),)"),"")</f>
        <v/>
      </c>
    </row>
    <row r="1265" spans="1:2" ht="18">
      <c r="A1265" s="3"/>
      <c r="B1265" s="4" t="str">
        <f ca="1">IFERROR(__xludf.DUMMYFUNCTION("IFERROR(GOOGLETRANSLATE(A1265,""ko"",""en""),)"),"")</f>
        <v/>
      </c>
    </row>
    <row r="1266" spans="1:2" ht="18">
      <c r="A1266" s="3"/>
      <c r="B1266" s="4" t="str">
        <f ca="1">IFERROR(__xludf.DUMMYFUNCTION("IFERROR(GOOGLETRANSLATE(A1266,""ko"",""en""),)"),"")</f>
        <v/>
      </c>
    </row>
    <row r="1267" spans="1:2" ht="18">
      <c r="A1267" s="3"/>
      <c r="B1267" s="4" t="str">
        <f ca="1">IFERROR(__xludf.DUMMYFUNCTION("IFERROR(GOOGLETRANSLATE(A1267,""ko"",""en""),)"),"")</f>
        <v/>
      </c>
    </row>
    <row r="1268" spans="1:2" ht="18">
      <c r="A1268" s="3"/>
      <c r="B1268" s="4" t="str">
        <f ca="1">IFERROR(__xludf.DUMMYFUNCTION("IFERROR(GOOGLETRANSLATE(A1268,""ko"",""en""),)"),"")</f>
        <v/>
      </c>
    </row>
    <row r="1269" spans="1:2" ht="18">
      <c r="A1269" s="3"/>
      <c r="B1269" s="4" t="str">
        <f ca="1">IFERROR(__xludf.DUMMYFUNCTION("IFERROR(GOOGLETRANSLATE(A1269,""ko"",""en""),)"),"")</f>
        <v/>
      </c>
    </row>
    <row r="1270" spans="1:2" ht="18">
      <c r="A1270" s="3"/>
      <c r="B1270" s="4" t="str">
        <f ca="1">IFERROR(__xludf.DUMMYFUNCTION("IFERROR(GOOGLETRANSLATE(A1270,""ko"",""en""),)"),"")</f>
        <v/>
      </c>
    </row>
    <row r="1271" spans="1:2" ht="18">
      <c r="A1271" s="3"/>
      <c r="B1271" s="4" t="str">
        <f ca="1">IFERROR(__xludf.DUMMYFUNCTION("IFERROR(GOOGLETRANSLATE(A1271,""ko"",""en""),)"),"")</f>
        <v/>
      </c>
    </row>
    <row r="1272" spans="1:2" ht="18">
      <c r="A1272" s="3"/>
      <c r="B1272" s="4" t="str">
        <f ca="1">IFERROR(__xludf.DUMMYFUNCTION("IFERROR(GOOGLETRANSLATE(A1272,""ko"",""en""),)"),"")</f>
        <v/>
      </c>
    </row>
    <row r="1273" spans="1:2" ht="18">
      <c r="A1273" s="3"/>
      <c r="B1273" s="4" t="str">
        <f ca="1">IFERROR(__xludf.DUMMYFUNCTION("IFERROR(GOOGLETRANSLATE(A1273,""ko"",""en""),)"),"")</f>
        <v/>
      </c>
    </row>
    <row r="1274" spans="1:2" ht="18">
      <c r="A1274" s="3"/>
      <c r="B1274" s="4" t="str">
        <f ca="1">IFERROR(__xludf.DUMMYFUNCTION("IFERROR(GOOGLETRANSLATE(A1274,""ko"",""en""),)"),"")</f>
        <v/>
      </c>
    </row>
    <row r="1275" spans="1:2" ht="18">
      <c r="A1275" s="3"/>
      <c r="B1275" s="4" t="str">
        <f ca="1">IFERROR(__xludf.DUMMYFUNCTION("IFERROR(GOOGLETRANSLATE(A1275,""ko"",""en""),)"),"")</f>
        <v/>
      </c>
    </row>
    <row r="1276" spans="1:2" ht="18">
      <c r="A1276" s="3"/>
      <c r="B1276" s="4" t="str">
        <f ca="1">IFERROR(__xludf.DUMMYFUNCTION("IFERROR(GOOGLETRANSLATE(A1276,""ko"",""en""),)"),"")</f>
        <v/>
      </c>
    </row>
    <row r="1277" spans="1:2" ht="18">
      <c r="A1277" s="3"/>
      <c r="B1277" s="4" t="str">
        <f ca="1">IFERROR(__xludf.DUMMYFUNCTION("IFERROR(GOOGLETRANSLATE(A1277,""ko"",""en""),)"),"")</f>
        <v/>
      </c>
    </row>
    <row r="1278" spans="1:2" ht="18">
      <c r="A1278" s="3"/>
      <c r="B1278" s="4" t="str">
        <f ca="1">IFERROR(__xludf.DUMMYFUNCTION("IFERROR(GOOGLETRANSLATE(A1278,""ko"",""en""),)"),"")</f>
        <v/>
      </c>
    </row>
    <row r="1279" spans="1:2" ht="18">
      <c r="A1279" s="3"/>
      <c r="B1279" s="4" t="str">
        <f ca="1">IFERROR(__xludf.DUMMYFUNCTION("IFERROR(GOOGLETRANSLATE(A1279,""ko"",""en""),)"),"")</f>
        <v/>
      </c>
    </row>
    <row r="1280" spans="1:2" ht="18">
      <c r="A1280" s="3"/>
      <c r="B1280" s="4" t="str">
        <f ca="1">IFERROR(__xludf.DUMMYFUNCTION("IFERROR(GOOGLETRANSLATE(A1280,""ko"",""en""),)"),"")</f>
        <v/>
      </c>
    </row>
    <row r="1281" spans="1:2" ht="18">
      <c r="A1281" s="3"/>
      <c r="B1281" s="4" t="str">
        <f ca="1">IFERROR(__xludf.DUMMYFUNCTION("IFERROR(GOOGLETRANSLATE(A1281,""ko"",""en""),)"),"")</f>
        <v/>
      </c>
    </row>
    <row r="1282" spans="1:2" ht="18">
      <c r="A1282" s="3"/>
      <c r="B1282" s="4" t="str">
        <f ca="1">IFERROR(__xludf.DUMMYFUNCTION("IFERROR(GOOGLETRANSLATE(A1282,""ko"",""en""),)"),"")</f>
        <v/>
      </c>
    </row>
    <row r="1283" spans="1:2" ht="18">
      <c r="A1283" s="3"/>
      <c r="B1283" s="4" t="str">
        <f ca="1">IFERROR(__xludf.DUMMYFUNCTION("IFERROR(GOOGLETRANSLATE(A1283,""ko"",""en""),)"),"")</f>
        <v/>
      </c>
    </row>
    <row r="1284" spans="1:2" ht="18">
      <c r="A1284" s="3"/>
      <c r="B1284" s="4" t="str">
        <f ca="1">IFERROR(__xludf.DUMMYFUNCTION("IFERROR(GOOGLETRANSLATE(A1284,""ko"",""en""),)"),"")</f>
        <v/>
      </c>
    </row>
    <row r="1285" spans="1:2" ht="18">
      <c r="A1285" s="3"/>
      <c r="B1285" s="4" t="str">
        <f ca="1">IFERROR(__xludf.DUMMYFUNCTION("IFERROR(GOOGLETRANSLATE(A1285,""ko"",""en""),)"),"")</f>
        <v/>
      </c>
    </row>
    <row r="1286" spans="1:2" ht="18">
      <c r="A1286" s="3"/>
      <c r="B1286" s="4" t="str">
        <f ca="1">IFERROR(__xludf.DUMMYFUNCTION("IFERROR(GOOGLETRANSLATE(A1286,""ko"",""en""),)"),"")</f>
        <v/>
      </c>
    </row>
    <row r="1287" spans="1:2" ht="18">
      <c r="A1287" s="3"/>
      <c r="B1287" s="4" t="str">
        <f ca="1">IFERROR(__xludf.DUMMYFUNCTION("IFERROR(GOOGLETRANSLATE(A1287,""ko"",""en""),)"),"")</f>
        <v/>
      </c>
    </row>
    <row r="1288" spans="1:2" ht="18">
      <c r="A1288" s="3"/>
      <c r="B1288" s="4" t="str">
        <f ca="1">IFERROR(__xludf.DUMMYFUNCTION("IFERROR(GOOGLETRANSLATE(A1288,""ko"",""en""),)"),"")</f>
        <v/>
      </c>
    </row>
    <row r="1289" spans="1:2" ht="18">
      <c r="A1289" s="3"/>
      <c r="B1289" s="4" t="str">
        <f ca="1">IFERROR(__xludf.DUMMYFUNCTION("IFERROR(GOOGLETRANSLATE(A1289,""ko"",""en""),)"),"")</f>
        <v/>
      </c>
    </row>
    <row r="1290" spans="1:2" ht="18">
      <c r="A1290" s="3"/>
      <c r="B1290" s="4" t="str">
        <f ca="1">IFERROR(__xludf.DUMMYFUNCTION("IFERROR(GOOGLETRANSLATE(A1290,""ko"",""en""),)"),"")</f>
        <v/>
      </c>
    </row>
    <row r="1291" spans="1:2" ht="18">
      <c r="A1291" s="3"/>
      <c r="B1291" s="4" t="str">
        <f ca="1">IFERROR(__xludf.DUMMYFUNCTION("IFERROR(GOOGLETRANSLATE(A1291,""ko"",""en""),)"),"")</f>
        <v/>
      </c>
    </row>
    <row r="1292" spans="1:2" ht="18">
      <c r="A1292" s="3"/>
      <c r="B1292" s="4" t="str">
        <f ca="1">IFERROR(__xludf.DUMMYFUNCTION("IFERROR(GOOGLETRANSLATE(A1292,""ko"",""en""),)"),"")</f>
        <v/>
      </c>
    </row>
    <row r="1293" spans="1:2" ht="18">
      <c r="A1293" s="3"/>
      <c r="B1293" s="4" t="str">
        <f ca="1">IFERROR(__xludf.DUMMYFUNCTION("IFERROR(GOOGLETRANSLATE(A1293,""ko"",""en""),)"),"")</f>
        <v/>
      </c>
    </row>
    <row r="1294" spans="1:2" ht="18">
      <c r="A1294" s="3"/>
      <c r="B1294" s="4" t="str">
        <f ca="1">IFERROR(__xludf.DUMMYFUNCTION("IFERROR(GOOGLETRANSLATE(A1294,""ko"",""en""),)"),"")</f>
        <v/>
      </c>
    </row>
    <row r="1295" spans="1:2" ht="18">
      <c r="A1295" s="3"/>
      <c r="B1295" s="4" t="str">
        <f ca="1">IFERROR(__xludf.DUMMYFUNCTION("IFERROR(GOOGLETRANSLATE(A1295,""ko"",""en""),)"),"")</f>
        <v/>
      </c>
    </row>
    <row r="1296" spans="1:2" ht="18">
      <c r="A1296" s="3"/>
      <c r="B1296" s="4" t="str">
        <f ca="1">IFERROR(__xludf.DUMMYFUNCTION("IFERROR(GOOGLETRANSLATE(A1296,""ko"",""en""),)"),"")</f>
        <v/>
      </c>
    </row>
    <row r="1297" spans="1:2" ht="18">
      <c r="A1297" s="3"/>
      <c r="B1297" s="4" t="str">
        <f ca="1">IFERROR(__xludf.DUMMYFUNCTION("IFERROR(GOOGLETRANSLATE(A1297,""ko"",""en""),)"),"")</f>
        <v/>
      </c>
    </row>
    <row r="1298" spans="1:2" ht="18">
      <c r="A1298" s="3"/>
      <c r="B1298" s="4" t="str">
        <f ca="1">IFERROR(__xludf.DUMMYFUNCTION("IFERROR(GOOGLETRANSLATE(A1298,""ko"",""en""),)"),"")</f>
        <v/>
      </c>
    </row>
    <row r="1299" spans="1:2" ht="18">
      <c r="A1299" s="3"/>
      <c r="B1299" s="4" t="str">
        <f ca="1">IFERROR(__xludf.DUMMYFUNCTION("IFERROR(GOOGLETRANSLATE(A1299,""ko"",""en""),)"),"")</f>
        <v/>
      </c>
    </row>
    <row r="1300" spans="1:2" ht="18">
      <c r="A1300" s="3"/>
      <c r="B1300" s="4" t="str">
        <f ca="1">IFERROR(__xludf.DUMMYFUNCTION("IFERROR(GOOGLETRANSLATE(A1300,""ko"",""en""),)"),"")</f>
        <v/>
      </c>
    </row>
    <row r="1301" spans="1:2" ht="18">
      <c r="A1301" s="3"/>
      <c r="B1301" s="4" t="str">
        <f ca="1">IFERROR(__xludf.DUMMYFUNCTION("IFERROR(GOOGLETRANSLATE(A1301,""ko"",""en""),)"),"")</f>
        <v/>
      </c>
    </row>
    <row r="1302" spans="1:2" ht="18">
      <c r="A1302" s="3"/>
      <c r="B1302" s="4" t="str">
        <f ca="1">IFERROR(__xludf.DUMMYFUNCTION("IFERROR(GOOGLETRANSLATE(A1302,""ko"",""en""),)"),"")</f>
        <v/>
      </c>
    </row>
    <row r="1303" spans="1:2" ht="18">
      <c r="A1303" s="3"/>
      <c r="B1303" s="4" t="str">
        <f ca="1">IFERROR(__xludf.DUMMYFUNCTION("IFERROR(GOOGLETRANSLATE(A1303,""ko"",""en""),)"),"")</f>
        <v/>
      </c>
    </row>
    <row r="1304" spans="1:2" ht="18">
      <c r="A1304" s="3"/>
      <c r="B1304" s="4" t="str">
        <f ca="1">IFERROR(__xludf.DUMMYFUNCTION("IFERROR(GOOGLETRANSLATE(A1304,""ko"",""en""),)"),"")</f>
        <v/>
      </c>
    </row>
    <row r="1305" spans="1:2" ht="18">
      <c r="A1305" s="3"/>
      <c r="B1305" s="4" t="str">
        <f ca="1">IFERROR(__xludf.DUMMYFUNCTION("IFERROR(GOOGLETRANSLATE(A1305,""ko"",""en""),)"),"")</f>
        <v/>
      </c>
    </row>
    <row r="1306" spans="1:2" ht="18">
      <c r="A1306" s="3"/>
      <c r="B1306" s="4" t="str">
        <f ca="1">IFERROR(__xludf.DUMMYFUNCTION("IFERROR(GOOGLETRANSLATE(A1306,""ko"",""en""),)"),"")</f>
        <v/>
      </c>
    </row>
    <row r="1307" spans="1:2" ht="18">
      <c r="A1307" s="3"/>
      <c r="B1307" s="4" t="str">
        <f ca="1">IFERROR(__xludf.DUMMYFUNCTION("IFERROR(GOOGLETRANSLATE(A1307,""ko"",""en""),)"),"")</f>
        <v/>
      </c>
    </row>
    <row r="1308" spans="1:2" ht="18">
      <c r="A1308" s="3"/>
      <c r="B1308" s="4" t="str">
        <f ca="1">IFERROR(__xludf.DUMMYFUNCTION("IFERROR(GOOGLETRANSLATE(A1308,""ko"",""en""),)"),"")</f>
        <v/>
      </c>
    </row>
    <row r="1309" spans="1:2" ht="18">
      <c r="A1309" s="3"/>
      <c r="B1309" s="4" t="str">
        <f ca="1">IFERROR(__xludf.DUMMYFUNCTION("IFERROR(GOOGLETRANSLATE(A1309,""ko"",""en""),)"),"")</f>
        <v/>
      </c>
    </row>
    <row r="1310" spans="1:2" ht="18">
      <c r="A1310" s="3"/>
      <c r="B1310" s="4" t="str">
        <f ca="1">IFERROR(__xludf.DUMMYFUNCTION("IFERROR(GOOGLETRANSLATE(A1310,""ko"",""en""),)"),"")</f>
        <v/>
      </c>
    </row>
    <row r="1311" spans="1:2" ht="18">
      <c r="A1311" s="3"/>
      <c r="B1311" s="4" t="str">
        <f ca="1">IFERROR(__xludf.DUMMYFUNCTION("IFERROR(GOOGLETRANSLATE(A1311,""ko"",""en""),)"),"")</f>
        <v/>
      </c>
    </row>
    <row r="1312" spans="1:2" ht="18">
      <c r="A1312" s="3"/>
      <c r="B1312" s="4" t="str">
        <f ca="1">IFERROR(__xludf.DUMMYFUNCTION("IFERROR(GOOGLETRANSLATE(A1312,""ko"",""en""),)"),"")</f>
        <v/>
      </c>
    </row>
    <row r="1313" spans="1:2" ht="18">
      <c r="A1313" s="3"/>
      <c r="B1313" s="4" t="str">
        <f ca="1">IFERROR(__xludf.DUMMYFUNCTION("IFERROR(GOOGLETRANSLATE(A1313,""ko"",""en""),)"),"")</f>
        <v/>
      </c>
    </row>
    <row r="1314" spans="1:2" ht="18">
      <c r="A1314" s="3"/>
      <c r="B1314" s="4" t="str">
        <f ca="1">IFERROR(__xludf.DUMMYFUNCTION("IFERROR(GOOGLETRANSLATE(A1314,""ko"",""en""),)"),"")</f>
        <v/>
      </c>
    </row>
    <row r="1315" spans="1:2" ht="18">
      <c r="A1315" s="3"/>
      <c r="B1315" s="4" t="str">
        <f ca="1">IFERROR(__xludf.DUMMYFUNCTION("IFERROR(GOOGLETRANSLATE(A1315,""ko"",""en""),)"),"")</f>
        <v/>
      </c>
    </row>
    <row r="1316" spans="1:2" ht="18">
      <c r="A1316" s="3"/>
      <c r="B1316" s="4" t="str">
        <f ca="1">IFERROR(__xludf.DUMMYFUNCTION("IFERROR(GOOGLETRANSLATE(A1316,""ko"",""en""),)"),"")</f>
        <v/>
      </c>
    </row>
    <row r="1317" spans="1:2" ht="18">
      <c r="A1317" s="3"/>
      <c r="B1317" s="4" t="str">
        <f ca="1">IFERROR(__xludf.DUMMYFUNCTION("IFERROR(GOOGLETRANSLATE(A1317,""ko"",""en""),)"),"")</f>
        <v/>
      </c>
    </row>
    <row r="1318" spans="1:2" ht="18">
      <c r="A1318" s="3"/>
      <c r="B1318" s="4" t="str">
        <f ca="1">IFERROR(__xludf.DUMMYFUNCTION("IFERROR(GOOGLETRANSLATE(A1318,""ko"",""en""),)"),"")</f>
        <v/>
      </c>
    </row>
    <row r="1319" spans="1:2" ht="18">
      <c r="A1319" s="3"/>
      <c r="B1319" s="4" t="str">
        <f ca="1">IFERROR(__xludf.DUMMYFUNCTION("IFERROR(GOOGLETRANSLATE(A1319,""ko"",""en""),)"),"")</f>
        <v/>
      </c>
    </row>
    <row r="1320" spans="1:2" ht="18">
      <c r="A1320" s="3"/>
      <c r="B1320" s="4" t="str">
        <f ca="1">IFERROR(__xludf.DUMMYFUNCTION("IFERROR(GOOGLETRANSLATE(A1320,""ko"",""en""),)"),"")</f>
        <v/>
      </c>
    </row>
    <row r="1321" spans="1:2" ht="18">
      <c r="A1321" s="3"/>
      <c r="B1321" s="4" t="str">
        <f ca="1">IFERROR(__xludf.DUMMYFUNCTION("IFERROR(GOOGLETRANSLATE(A1321,""ko"",""en""),)"),"")</f>
        <v/>
      </c>
    </row>
    <row r="1322" spans="1:2" ht="18">
      <c r="A1322" s="3"/>
      <c r="B1322" s="4" t="str">
        <f ca="1">IFERROR(__xludf.DUMMYFUNCTION("IFERROR(GOOGLETRANSLATE(A1322,""ko"",""en""),)"),"")</f>
        <v/>
      </c>
    </row>
    <row r="1323" spans="1:2" ht="18">
      <c r="A1323" s="3"/>
      <c r="B1323" s="4" t="str">
        <f ca="1">IFERROR(__xludf.DUMMYFUNCTION("IFERROR(GOOGLETRANSLATE(A1323,""ko"",""en""),)"),"")</f>
        <v/>
      </c>
    </row>
    <row r="1324" spans="1:2" ht="18">
      <c r="A1324" s="3"/>
      <c r="B1324" s="4" t="str">
        <f ca="1">IFERROR(__xludf.DUMMYFUNCTION("IFERROR(GOOGLETRANSLATE(A1324,""ko"",""en""),)"),"")</f>
        <v/>
      </c>
    </row>
    <row r="1325" spans="1:2" ht="18">
      <c r="A1325" s="3"/>
      <c r="B1325" s="4" t="str">
        <f ca="1">IFERROR(__xludf.DUMMYFUNCTION("IFERROR(GOOGLETRANSLATE(A1325,""ko"",""en""),)"),"")</f>
        <v/>
      </c>
    </row>
    <row r="1326" spans="1:2" ht="18">
      <c r="A1326" s="3"/>
      <c r="B1326" s="4" t="str">
        <f ca="1">IFERROR(__xludf.DUMMYFUNCTION("IFERROR(GOOGLETRANSLATE(A1326,""ko"",""en""),)"),"")</f>
        <v/>
      </c>
    </row>
    <row r="1327" spans="1:2" ht="18">
      <c r="A1327" s="3"/>
      <c r="B1327" s="4" t="str">
        <f ca="1">IFERROR(__xludf.DUMMYFUNCTION("IFERROR(GOOGLETRANSLATE(A1327,""ko"",""en""),)"),"")</f>
        <v/>
      </c>
    </row>
    <row r="1328" spans="1:2" ht="18">
      <c r="A1328" s="3"/>
      <c r="B1328" s="4" t="str">
        <f ca="1">IFERROR(__xludf.DUMMYFUNCTION("IFERROR(GOOGLETRANSLATE(A1328,""ko"",""en""),)"),"")</f>
        <v/>
      </c>
    </row>
    <row r="1329" spans="1:2" ht="18">
      <c r="A1329" s="3"/>
      <c r="B1329" s="4" t="str">
        <f ca="1">IFERROR(__xludf.DUMMYFUNCTION("IFERROR(GOOGLETRANSLATE(A1329,""ko"",""en""),)"),"")</f>
        <v/>
      </c>
    </row>
    <row r="1330" spans="1:2" ht="18">
      <c r="A1330" s="3"/>
      <c r="B1330" s="4" t="str">
        <f ca="1">IFERROR(__xludf.DUMMYFUNCTION("IFERROR(GOOGLETRANSLATE(A1330,""ko"",""en""),)"),"")</f>
        <v/>
      </c>
    </row>
    <row r="1331" spans="1:2" ht="18">
      <c r="A1331" s="3"/>
      <c r="B1331" s="4" t="str">
        <f ca="1">IFERROR(__xludf.DUMMYFUNCTION("IFERROR(GOOGLETRANSLATE(A1331,""ko"",""en""),)"),"")</f>
        <v/>
      </c>
    </row>
    <row r="1332" spans="1:2" ht="18">
      <c r="A1332" s="3"/>
      <c r="B1332" s="4" t="str">
        <f ca="1">IFERROR(__xludf.DUMMYFUNCTION("IFERROR(GOOGLETRANSLATE(A1332,""ko"",""en""),)"),"")</f>
        <v/>
      </c>
    </row>
    <row r="1333" spans="1:2" ht="18">
      <c r="A1333" s="3"/>
      <c r="B1333" s="4" t="str">
        <f ca="1">IFERROR(__xludf.DUMMYFUNCTION("IFERROR(GOOGLETRANSLATE(A1333,""ko"",""en""),)"),"")</f>
        <v/>
      </c>
    </row>
    <row r="1334" spans="1:2" ht="18">
      <c r="A1334" s="3"/>
      <c r="B1334" s="4" t="str">
        <f ca="1">IFERROR(__xludf.DUMMYFUNCTION("IFERROR(GOOGLETRANSLATE(A1334,""ko"",""en""),)"),"")</f>
        <v/>
      </c>
    </row>
    <row r="1335" spans="1:2" ht="18">
      <c r="A1335" s="3"/>
      <c r="B1335" s="4" t="str">
        <f ca="1">IFERROR(__xludf.DUMMYFUNCTION("IFERROR(GOOGLETRANSLATE(A1335,""ko"",""en""),)"),"")</f>
        <v/>
      </c>
    </row>
    <row r="1336" spans="1:2" ht="18">
      <c r="A1336" s="3"/>
      <c r="B1336" s="4" t="str">
        <f ca="1">IFERROR(__xludf.DUMMYFUNCTION("IFERROR(GOOGLETRANSLATE(A1336,""ko"",""en""),)"),"")</f>
        <v/>
      </c>
    </row>
    <row r="1337" spans="1:2" ht="18">
      <c r="A1337" s="3"/>
      <c r="B1337" s="4" t="str">
        <f ca="1">IFERROR(__xludf.DUMMYFUNCTION("IFERROR(GOOGLETRANSLATE(A1337,""ko"",""en""),)"),"")</f>
        <v/>
      </c>
    </row>
    <row r="1338" spans="1:2" ht="18">
      <c r="A1338" s="3"/>
      <c r="B1338" s="4" t="str">
        <f ca="1">IFERROR(__xludf.DUMMYFUNCTION("IFERROR(GOOGLETRANSLATE(A1338,""ko"",""en""),)"),"")</f>
        <v/>
      </c>
    </row>
    <row r="1339" spans="1:2" ht="18">
      <c r="A1339" s="3"/>
      <c r="B1339" s="4" t="str">
        <f ca="1">IFERROR(__xludf.DUMMYFUNCTION("IFERROR(GOOGLETRANSLATE(A1339,""ko"",""en""),)"),"")</f>
        <v/>
      </c>
    </row>
    <row r="1340" spans="1:2" ht="18">
      <c r="A1340" s="3"/>
      <c r="B1340" s="4" t="str">
        <f ca="1">IFERROR(__xludf.DUMMYFUNCTION("IFERROR(GOOGLETRANSLATE(A1340,""ko"",""en""),)"),"")</f>
        <v/>
      </c>
    </row>
    <row r="1341" spans="1:2" ht="18">
      <c r="A1341" s="3"/>
      <c r="B1341" s="4" t="str">
        <f ca="1">IFERROR(__xludf.DUMMYFUNCTION("IFERROR(GOOGLETRANSLATE(A1341,""ko"",""en""),)"),"")</f>
        <v/>
      </c>
    </row>
    <row r="1342" spans="1:2" ht="18">
      <c r="A1342" s="3"/>
      <c r="B1342" s="4" t="str">
        <f ca="1">IFERROR(__xludf.DUMMYFUNCTION("IFERROR(GOOGLETRANSLATE(A1342,""ko"",""en""),)"),"")</f>
        <v/>
      </c>
    </row>
    <row r="1343" spans="1:2" ht="18">
      <c r="A1343" s="3"/>
      <c r="B1343" s="4" t="str">
        <f ca="1">IFERROR(__xludf.DUMMYFUNCTION("IFERROR(GOOGLETRANSLATE(A1343,""ko"",""en""),)"),"")</f>
        <v/>
      </c>
    </row>
    <row r="1344" spans="1:2" ht="18">
      <c r="A1344" s="3"/>
      <c r="B1344" s="4" t="str">
        <f ca="1">IFERROR(__xludf.DUMMYFUNCTION("IFERROR(GOOGLETRANSLATE(A1344,""ko"",""en""),)"),"")</f>
        <v/>
      </c>
    </row>
    <row r="1345" spans="1:2" ht="18">
      <c r="A1345" s="3"/>
      <c r="B1345" s="4" t="str">
        <f ca="1">IFERROR(__xludf.DUMMYFUNCTION("IFERROR(GOOGLETRANSLATE(A1345,""ko"",""en""),)"),"")</f>
        <v/>
      </c>
    </row>
    <row r="1346" spans="1:2" ht="18">
      <c r="A1346" s="3"/>
      <c r="B1346" s="4" t="str">
        <f ca="1">IFERROR(__xludf.DUMMYFUNCTION("IFERROR(GOOGLETRANSLATE(A1346,""ko"",""en""),)"),"")</f>
        <v/>
      </c>
    </row>
    <row r="1347" spans="1:2" ht="18">
      <c r="A1347" s="3"/>
      <c r="B1347" s="4" t="str">
        <f ca="1">IFERROR(__xludf.DUMMYFUNCTION("IFERROR(GOOGLETRANSLATE(A1347,""ko"",""en""),)"),"")</f>
        <v/>
      </c>
    </row>
    <row r="1348" spans="1:2" ht="18">
      <c r="A1348" s="3"/>
      <c r="B1348" s="4" t="str">
        <f ca="1">IFERROR(__xludf.DUMMYFUNCTION("IFERROR(GOOGLETRANSLATE(A1348,""ko"",""en""),)"),"")</f>
        <v/>
      </c>
    </row>
    <row r="1349" spans="1:2" ht="18">
      <c r="A1349" s="3"/>
      <c r="B1349" s="4" t="str">
        <f ca="1">IFERROR(__xludf.DUMMYFUNCTION("IFERROR(GOOGLETRANSLATE(A1349,""ko"",""en""),)"),"")</f>
        <v/>
      </c>
    </row>
    <row r="1350" spans="1:2" ht="18">
      <c r="A1350" s="3"/>
      <c r="B1350" s="4" t="str">
        <f ca="1">IFERROR(__xludf.DUMMYFUNCTION("IFERROR(GOOGLETRANSLATE(A1350,""ko"",""en""),)"),"")</f>
        <v/>
      </c>
    </row>
    <row r="1351" spans="1:2" ht="18">
      <c r="A1351" s="3"/>
      <c r="B1351" s="4" t="str">
        <f ca="1">IFERROR(__xludf.DUMMYFUNCTION("IFERROR(GOOGLETRANSLATE(A1351,""ko"",""en""),)"),"")</f>
        <v/>
      </c>
    </row>
    <row r="1352" spans="1:2" ht="18">
      <c r="A1352" s="3"/>
      <c r="B1352" s="4" t="str">
        <f ca="1">IFERROR(__xludf.DUMMYFUNCTION("IFERROR(GOOGLETRANSLATE(A1352,""ko"",""en""),)"),"")</f>
        <v/>
      </c>
    </row>
    <row r="1353" spans="1:2" ht="18">
      <c r="A1353" s="3"/>
      <c r="B1353" s="4" t="str">
        <f ca="1">IFERROR(__xludf.DUMMYFUNCTION("IFERROR(GOOGLETRANSLATE(A1353,""ko"",""en""),)"),"")</f>
        <v/>
      </c>
    </row>
    <row r="1354" spans="1:2" ht="18">
      <c r="A1354" s="3"/>
      <c r="B1354" s="4" t="str">
        <f ca="1">IFERROR(__xludf.DUMMYFUNCTION("IFERROR(GOOGLETRANSLATE(A1354,""ko"",""en""),)"),"")</f>
        <v/>
      </c>
    </row>
    <row r="1355" spans="1:2" ht="18">
      <c r="A1355" s="3"/>
      <c r="B1355" s="4" t="str">
        <f ca="1">IFERROR(__xludf.DUMMYFUNCTION("IFERROR(GOOGLETRANSLATE(A1355,""ko"",""en""),)"),"")</f>
        <v/>
      </c>
    </row>
    <row r="1356" spans="1:2" ht="18">
      <c r="A1356" s="3"/>
      <c r="B1356" s="4" t="str">
        <f ca="1">IFERROR(__xludf.DUMMYFUNCTION("IFERROR(GOOGLETRANSLATE(A1356,""ko"",""en""),)"),"")</f>
        <v/>
      </c>
    </row>
    <row r="1357" spans="1:2" ht="18">
      <c r="A1357" s="3"/>
      <c r="B1357" s="4" t="str">
        <f ca="1">IFERROR(__xludf.DUMMYFUNCTION("IFERROR(GOOGLETRANSLATE(A1357,""ko"",""en""),)"),"")</f>
        <v/>
      </c>
    </row>
    <row r="1358" spans="1:2" ht="18">
      <c r="A1358" s="3"/>
      <c r="B1358" s="4" t="str">
        <f ca="1">IFERROR(__xludf.DUMMYFUNCTION("IFERROR(GOOGLETRANSLATE(A1358,""ko"",""en""),)"),"")</f>
        <v/>
      </c>
    </row>
    <row r="1359" spans="1:2" ht="18">
      <c r="A1359" s="3"/>
      <c r="B1359" s="4" t="str">
        <f ca="1">IFERROR(__xludf.DUMMYFUNCTION("IFERROR(GOOGLETRANSLATE(A1359,""ko"",""en""),)"),"")</f>
        <v/>
      </c>
    </row>
    <row r="1360" spans="1:2" ht="18">
      <c r="A1360" s="3"/>
      <c r="B1360" s="4" t="str">
        <f ca="1">IFERROR(__xludf.DUMMYFUNCTION("IFERROR(GOOGLETRANSLATE(A1360,""ko"",""en""),)"),"")</f>
        <v/>
      </c>
    </row>
    <row r="1361" spans="1:2" ht="18">
      <c r="A1361" s="3"/>
      <c r="B1361" s="4" t="str">
        <f ca="1">IFERROR(__xludf.DUMMYFUNCTION("IFERROR(GOOGLETRANSLATE(A1361,""ko"",""en""),)"),"")</f>
        <v/>
      </c>
    </row>
    <row r="1362" spans="1:2" ht="18">
      <c r="A1362" s="3"/>
      <c r="B1362" s="4" t="str">
        <f ca="1">IFERROR(__xludf.DUMMYFUNCTION("IFERROR(GOOGLETRANSLATE(A1362,""ko"",""en""),)"),"")</f>
        <v/>
      </c>
    </row>
    <row r="1363" spans="1:2" ht="18">
      <c r="A1363" s="3"/>
      <c r="B1363" s="4" t="str">
        <f ca="1">IFERROR(__xludf.DUMMYFUNCTION("IFERROR(GOOGLETRANSLATE(A1363,""ko"",""en""),)"),"")</f>
        <v/>
      </c>
    </row>
    <row r="1364" spans="1:2" ht="18">
      <c r="A1364" s="3"/>
      <c r="B1364" s="4" t="str">
        <f ca="1">IFERROR(__xludf.DUMMYFUNCTION("IFERROR(GOOGLETRANSLATE(A1364,""ko"",""en""),)"),"")</f>
        <v/>
      </c>
    </row>
    <row r="1365" spans="1:2" ht="18">
      <c r="A1365" s="3"/>
      <c r="B1365" s="4" t="str">
        <f ca="1">IFERROR(__xludf.DUMMYFUNCTION("IFERROR(GOOGLETRANSLATE(A1365,""ko"",""en""),)"),"")</f>
        <v/>
      </c>
    </row>
    <row r="1366" spans="1:2" ht="18">
      <c r="A1366" s="3"/>
      <c r="B1366" s="4" t="str">
        <f ca="1">IFERROR(__xludf.DUMMYFUNCTION("IFERROR(GOOGLETRANSLATE(A1366,""ko"",""en""),)"),"")</f>
        <v/>
      </c>
    </row>
    <row r="1367" spans="1:2" ht="18">
      <c r="A1367" s="3"/>
      <c r="B1367" s="4" t="str">
        <f ca="1">IFERROR(__xludf.DUMMYFUNCTION("IFERROR(GOOGLETRANSLATE(A1367,""ko"",""en""),)"),"")</f>
        <v/>
      </c>
    </row>
    <row r="1368" spans="1:2" ht="18">
      <c r="A1368" s="3"/>
      <c r="B1368" s="4" t="str">
        <f ca="1">IFERROR(__xludf.DUMMYFUNCTION("IFERROR(GOOGLETRANSLATE(A1368,""ko"",""en""),)"),"")</f>
        <v/>
      </c>
    </row>
    <row r="1369" spans="1:2" ht="18">
      <c r="A1369" s="3"/>
      <c r="B1369" s="4" t="str">
        <f ca="1">IFERROR(__xludf.DUMMYFUNCTION("IFERROR(GOOGLETRANSLATE(A1369,""ko"",""en""),)"),"")</f>
        <v/>
      </c>
    </row>
    <row r="1370" spans="1:2" ht="18">
      <c r="A1370" s="3"/>
      <c r="B1370" s="4" t="str">
        <f ca="1">IFERROR(__xludf.DUMMYFUNCTION("IFERROR(GOOGLETRANSLATE(A1370,""ko"",""en""),)"),"")</f>
        <v/>
      </c>
    </row>
    <row r="1371" spans="1:2" ht="18">
      <c r="A1371" s="3"/>
      <c r="B1371" s="4" t="str">
        <f ca="1">IFERROR(__xludf.DUMMYFUNCTION("IFERROR(GOOGLETRANSLATE(A1371,""ko"",""en""),)"),"")</f>
        <v/>
      </c>
    </row>
    <row r="1372" spans="1:2" ht="18">
      <c r="A1372" s="3"/>
      <c r="B1372" s="4" t="str">
        <f ca="1">IFERROR(__xludf.DUMMYFUNCTION("IFERROR(GOOGLETRANSLATE(A1372,""ko"",""en""),)"),"")</f>
        <v/>
      </c>
    </row>
    <row r="1373" spans="1:2" ht="18">
      <c r="A1373" s="3"/>
      <c r="B1373" s="4" t="str">
        <f ca="1">IFERROR(__xludf.DUMMYFUNCTION("IFERROR(GOOGLETRANSLATE(A1373,""ko"",""en""),)"),"")</f>
        <v/>
      </c>
    </row>
    <row r="1374" spans="1:2" ht="18">
      <c r="A1374" s="3"/>
      <c r="B1374" s="4" t="str">
        <f ca="1">IFERROR(__xludf.DUMMYFUNCTION("IFERROR(GOOGLETRANSLATE(A1374,""ko"",""en""),)"),"")</f>
        <v/>
      </c>
    </row>
    <row r="1375" spans="1:2" ht="18">
      <c r="A1375" s="3"/>
      <c r="B1375" s="4" t="str">
        <f ca="1">IFERROR(__xludf.DUMMYFUNCTION("IFERROR(GOOGLETRANSLATE(A1375,""ko"",""en""),)"),"")</f>
        <v/>
      </c>
    </row>
    <row r="1376" spans="1:2" ht="18">
      <c r="A1376" s="3"/>
      <c r="B1376" s="4" t="str">
        <f ca="1">IFERROR(__xludf.DUMMYFUNCTION("IFERROR(GOOGLETRANSLATE(A1376,""ko"",""en""),)"),"")</f>
        <v/>
      </c>
    </row>
    <row r="1377" spans="1:2" ht="18">
      <c r="A1377" s="3"/>
      <c r="B1377" s="4" t="str">
        <f ca="1">IFERROR(__xludf.DUMMYFUNCTION("IFERROR(GOOGLETRANSLATE(A1377,""ko"",""en""),)"),"")</f>
        <v/>
      </c>
    </row>
    <row r="1378" spans="1:2" ht="18">
      <c r="A1378" s="3"/>
      <c r="B1378" s="4" t="str">
        <f ca="1">IFERROR(__xludf.DUMMYFUNCTION("IFERROR(GOOGLETRANSLATE(A1378,""ko"",""en""),)"),"")</f>
        <v/>
      </c>
    </row>
    <row r="1379" spans="1:2" ht="18">
      <c r="A1379" s="3"/>
      <c r="B1379" s="4" t="str">
        <f ca="1">IFERROR(__xludf.DUMMYFUNCTION("IFERROR(GOOGLETRANSLATE(A1379,""ko"",""en""),)"),"")</f>
        <v/>
      </c>
    </row>
    <row r="1380" spans="1:2" ht="18">
      <c r="A1380" s="3"/>
      <c r="B1380" s="4" t="str">
        <f ca="1">IFERROR(__xludf.DUMMYFUNCTION("IFERROR(GOOGLETRANSLATE(A1380,""ko"",""en""),)"),"")</f>
        <v/>
      </c>
    </row>
    <row r="1381" spans="1:2" ht="18">
      <c r="A1381" s="3"/>
      <c r="B1381" s="4" t="str">
        <f ca="1">IFERROR(__xludf.DUMMYFUNCTION("IFERROR(GOOGLETRANSLATE(A1381,""ko"",""en""),)"),"")</f>
        <v/>
      </c>
    </row>
    <row r="1382" spans="1:2" ht="18">
      <c r="A1382" s="3"/>
      <c r="B1382" s="4" t="str">
        <f ca="1">IFERROR(__xludf.DUMMYFUNCTION("IFERROR(GOOGLETRANSLATE(A1382,""ko"",""en""),)"),"")</f>
        <v/>
      </c>
    </row>
    <row r="1383" spans="1:2" ht="18">
      <c r="A1383" s="3"/>
      <c r="B1383" s="4" t="str">
        <f ca="1">IFERROR(__xludf.DUMMYFUNCTION("IFERROR(GOOGLETRANSLATE(A1383,""ko"",""en""),)"),"")</f>
        <v/>
      </c>
    </row>
    <row r="1384" spans="1:2" ht="18">
      <c r="A1384" s="3"/>
      <c r="B1384" s="4" t="str">
        <f ca="1">IFERROR(__xludf.DUMMYFUNCTION("IFERROR(GOOGLETRANSLATE(A1384,""ko"",""en""),)"),"")</f>
        <v/>
      </c>
    </row>
    <row r="1385" spans="1:2" ht="18">
      <c r="A1385" s="3"/>
      <c r="B1385" s="4" t="str">
        <f ca="1">IFERROR(__xludf.DUMMYFUNCTION("IFERROR(GOOGLETRANSLATE(A1385,""ko"",""en""),)"),"")</f>
        <v/>
      </c>
    </row>
    <row r="1386" spans="1:2" ht="18">
      <c r="A1386" s="3"/>
      <c r="B1386" s="4" t="str">
        <f ca="1">IFERROR(__xludf.DUMMYFUNCTION("IFERROR(GOOGLETRANSLATE(A1386,""ko"",""en""),)"),"")</f>
        <v/>
      </c>
    </row>
    <row r="1387" spans="1:2" ht="18">
      <c r="A1387" s="3"/>
      <c r="B1387" s="4" t="str">
        <f ca="1">IFERROR(__xludf.DUMMYFUNCTION("IFERROR(GOOGLETRANSLATE(A1387,""ko"",""en""),)"),"")</f>
        <v/>
      </c>
    </row>
    <row r="1388" spans="1:2" ht="18">
      <c r="A1388" s="3"/>
      <c r="B1388" s="4" t="str">
        <f ca="1">IFERROR(__xludf.DUMMYFUNCTION("IFERROR(GOOGLETRANSLATE(A1388,""ko"",""en""),)"),"")</f>
        <v/>
      </c>
    </row>
    <row r="1389" spans="1:2" ht="18">
      <c r="A1389" s="3"/>
      <c r="B1389" s="4" t="str">
        <f ca="1">IFERROR(__xludf.DUMMYFUNCTION("IFERROR(GOOGLETRANSLATE(A1389,""ko"",""en""),)"),"")</f>
        <v/>
      </c>
    </row>
    <row r="1390" spans="1:2" ht="18">
      <c r="A1390" s="3"/>
      <c r="B1390" s="4" t="str">
        <f ca="1">IFERROR(__xludf.DUMMYFUNCTION("IFERROR(GOOGLETRANSLATE(A1390,""ko"",""en""),)"),"")</f>
        <v/>
      </c>
    </row>
    <row r="1391" spans="1:2" ht="18">
      <c r="A1391" s="3"/>
      <c r="B1391" s="4" t="str">
        <f ca="1">IFERROR(__xludf.DUMMYFUNCTION("IFERROR(GOOGLETRANSLATE(A1391,""ko"",""en""),)"),"")</f>
        <v/>
      </c>
    </row>
    <row r="1392" spans="1:2" ht="18">
      <c r="A1392" s="3"/>
      <c r="B1392" s="4" t="str">
        <f ca="1">IFERROR(__xludf.DUMMYFUNCTION("IFERROR(GOOGLETRANSLATE(A1392,""ko"",""en""),)"),"")</f>
        <v/>
      </c>
    </row>
    <row r="1393" spans="1:2" ht="18">
      <c r="A1393" s="3"/>
      <c r="B1393" s="4" t="str">
        <f ca="1">IFERROR(__xludf.DUMMYFUNCTION("IFERROR(GOOGLETRANSLATE(A1393,""ko"",""en""),)"),"")</f>
        <v/>
      </c>
    </row>
    <row r="1394" spans="1:2" ht="18">
      <c r="A1394" s="3"/>
      <c r="B1394" s="4" t="str">
        <f ca="1">IFERROR(__xludf.DUMMYFUNCTION("IFERROR(GOOGLETRANSLATE(A1394,""ko"",""en""),)"),"")</f>
        <v/>
      </c>
    </row>
    <row r="1395" spans="1:2" ht="18">
      <c r="A1395" s="3"/>
      <c r="B1395" s="4" t="str">
        <f ca="1">IFERROR(__xludf.DUMMYFUNCTION("IFERROR(GOOGLETRANSLATE(A1395,""ko"",""en""),)"),"")</f>
        <v/>
      </c>
    </row>
    <row r="1396" spans="1:2" ht="18">
      <c r="A1396" s="3"/>
      <c r="B1396" s="4" t="str">
        <f ca="1">IFERROR(__xludf.DUMMYFUNCTION("IFERROR(GOOGLETRANSLATE(A1396,""ko"",""en""),)"),"")</f>
        <v/>
      </c>
    </row>
    <row r="1397" spans="1:2" ht="18">
      <c r="A1397" s="3"/>
      <c r="B1397" s="4" t="str">
        <f ca="1">IFERROR(__xludf.DUMMYFUNCTION("IFERROR(GOOGLETRANSLATE(A1397,""ko"",""en""),)"),"")</f>
        <v/>
      </c>
    </row>
    <row r="1398" spans="1:2" ht="18">
      <c r="A1398" s="3"/>
      <c r="B1398" s="4" t="str">
        <f ca="1">IFERROR(__xludf.DUMMYFUNCTION("IFERROR(GOOGLETRANSLATE(A1398,""ko"",""en""),)"),"")</f>
        <v/>
      </c>
    </row>
    <row r="1399" spans="1:2" ht="18">
      <c r="A1399" s="3"/>
      <c r="B1399" s="4" t="str">
        <f ca="1">IFERROR(__xludf.DUMMYFUNCTION("IFERROR(GOOGLETRANSLATE(A1399,""ko"",""en""),)"),"")</f>
        <v/>
      </c>
    </row>
    <row r="1400" spans="1:2" ht="18">
      <c r="A1400" s="3"/>
      <c r="B1400" s="4" t="str">
        <f ca="1">IFERROR(__xludf.DUMMYFUNCTION("IFERROR(GOOGLETRANSLATE(A1400,""ko"",""en""),)"),"")</f>
        <v/>
      </c>
    </row>
    <row r="1401" spans="1:2" ht="18">
      <c r="A1401" s="3"/>
      <c r="B1401" s="4" t="str">
        <f ca="1">IFERROR(__xludf.DUMMYFUNCTION("IFERROR(GOOGLETRANSLATE(A1401,""ko"",""en""),)"),"")</f>
        <v/>
      </c>
    </row>
    <row r="1402" spans="1:2" ht="18">
      <c r="A1402" s="3"/>
      <c r="B1402" s="4" t="str">
        <f ca="1">IFERROR(__xludf.DUMMYFUNCTION("IFERROR(GOOGLETRANSLATE(A1402,""ko"",""en""),)"),"")</f>
        <v/>
      </c>
    </row>
    <row r="1403" spans="1:2" ht="18">
      <c r="A1403" s="3"/>
      <c r="B1403" s="4" t="str">
        <f ca="1">IFERROR(__xludf.DUMMYFUNCTION("IFERROR(GOOGLETRANSLATE(A1403,""ko"",""en""),)"),"")</f>
        <v/>
      </c>
    </row>
    <row r="1404" spans="1:2" ht="18">
      <c r="A1404" s="3"/>
      <c r="B1404" s="4" t="str">
        <f ca="1">IFERROR(__xludf.DUMMYFUNCTION("IFERROR(GOOGLETRANSLATE(A1404,""ko"",""en""),)"),"")</f>
        <v/>
      </c>
    </row>
    <row r="1405" spans="1:2" ht="18">
      <c r="A1405" s="3"/>
      <c r="B1405" s="4" t="str">
        <f ca="1">IFERROR(__xludf.DUMMYFUNCTION("IFERROR(GOOGLETRANSLATE(A1405,""ko"",""en""),)"),"")</f>
        <v/>
      </c>
    </row>
    <row r="1406" spans="1:2" ht="18">
      <c r="A1406" s="3"/>
      <c r="B1406" s="4" t="str">
        <f ca="1">IFERROR(__xludf.DUMMYFUNCTION("IFERROR(GOOGLETRANSLATE(A1406,""ko"",""en""),)"),"")</f>
        <v/>
      </c>
    </row>
    <row r="1407" spans="1:2" ht="18">
      <c r="A1407" s="3"/>
      <c r="B1407" s="4" t="str">
        <f ca="1">IFERROR(__xludf.DUMMYFUNCTION("IFERROR(GOOGLETRANSLATE(A1407,""ko"",""en""),)"),"")</f>
        <v/>
      </c>
    </row>
    <row r="1408" spans="1:2" ht="18">
      <c r="A1408" s="3"/>
      <c r="B1408" s="4" t="str">
        <f ca="1">IFERROR(__xludf.DUMMYFUNCTION("IFERROR(GOOGLETRANSLATE(A1408,""ko"",""en""),)"),"")</f>
        <v/>
      </c>
    </row>
    <row r="1409" spans="1:2" ht="18">
      <c r="A1409" s="3"/>
      <c r="B1409" s="4" t="str">
        <f ca="1">IFERROR(__xludf.DUMMYFUNCTION("IFERROR(GOOGLETRANSLATE(A1409,""ko"",""en""),)"),"")</f>
        <v/>
      </c>
    </row>
    <row r="1410" spans="1:2" ht="18">
      <c r="A1410" s="3"/>
      <c r="B1410" s="4" t="str">
        <f ca="1">IFERROR(__xludf.DUMMYFUNCTION("IFERROR(GOOGLETRANSLATE(A1410,""ko"",""en""),)"),"")</f>
        <v/>
      </c>
    </row>
    <row r="1411" spans="1:2" ht="18">
      <c r="A1411" s="3"/>
      <c r="B1411" s="4" t="str">
        <f ca="1">IFERROR(__xludf.DUMMYFUNCTION("IFERROR(GOOGLETRANSLATE(A1411,""ko"",""en""),)"),"")</f>
        <v/>
      </c>
    </row>
    <row r="1412" spans="1:2" ht="18">
      <c r="A1412" s="3"/>
      <c r="B1412" s="4" t="str">
        <f ca="1">IFERROR(__xludf.DUMMYFUNCTION("IFERROR(GOOGLETRANSLATE(A1412,""ko"",""en""),)"),"")</f>
        <v/>
      </c>
    </row>
    <row r="1413" spans="1:2" ht="18">
      <c r="A1413" s="3"/>
      <c r="B1413" s="4" t="str">
        <f ca="1">IFERROR(__xludf.DUMMYFUNCTION("IFERROR(GOOGLETRANSLATE(A1413,""ko"",""en""),)"),"")</f>
        <v/>
      </c>
    </row>
    <row r="1414" spans="1:2" ht="18">
      <c r="A1414" s="3"/>
      <c r="B1414" s="4" t="str">
        <f ca="1">IFERROR(__xludf.DUMMYFUNCTION("IFERROR(GOOGLETRANSLATE(A1414,""ko"",""en""),)"),"")</f>
        <v/>
      </c>
    </row>
    <row r="1415" spans="1:2" ht="18">
      <c r="A1415" s="3"/>
      <c r="B1415" s="4" t="str">
        <f ca="1">IFERROR(__xludf.DUMMYFUNCTION("IFERROR(GOOGLETRANSLATE(A1415,""ko"",""en""),)"),"")</f>
        <v/>
      </c>
    </row>
    <row r="1416" spans="1:2" ht="18">
      <c r="A1416" s="3"/>
      <c r="B1416" s="4" t="str">
        <f ca="1">IFERROR(__xludf.DUMMYFUNCTION("IFERROR(GOOGLETRANSLATE(A1416,""ko"",""en""),)"),"")</f>
        <v/>
      </c>
    </row>
    <row r="1417" spans="1:2" ht="18">
      <c r="A1417" s="3"/>
      <c r="B1417" s="4" t="str">
        <f ca="1">IFERROR(__xludf.DUMMYFUNCTION("IFERROR(GOOGLETRANSLATE(A1417,""ko"",""en""),)"),"")</f>
        <v/>
      </c>
    </row>
    <row r="1418" spans="1:2" ht="18">
      <c r="A1418" s="3"/>
      <c r="B1418" s="4" t="str">
        <f ca="1">IFERROR(__xludf.DUMMYFUNCTION("IFERROR(GOOGLETRANSLATE(A1418,""ko"",""en""),)"),"")</f>
        <v/>
      </c>
    </row>
    <row r="1419" spans="1:2" ht="18">
      <c r="A1419" s="3"/>
      <c r="B1419" s="4" t="str">
        <f ca="1">IFERROR(__xludf.DUMMYFUNCTION("IFERROR(GOOGLETRANSLATE(A1419,""ko"",""en""),)"),"")</f>
        <v/>
      </c>
    </row>
    <row r="1420" spans="1:2" ht="18">
      <c r="A1420" s="3"/>
      <c r="B1420" s="4" t="str">
        <f ca="1">IFERROR(__xludf.DUMMYFUNCTION("IFERROR(GOOGLETRANSLATE(A1420,""ko"",""en""),)"),"")</f>
        <v/>
      </c>
    </row>
    <row r="1421" spans="1:2" ht="18">
      <c r="A1421" s="3"/>
      <c r="B1421" s="4" t="str">
        <f ca="1">IFERROR(__xludf.DUMMYFUNCTION("IFERROR(GOOGLETRANSLATE(A1421,""ko"",""en""),)"),"")</f>
        <v/>
      </c>
    </row>
    <row r="1422" spans="1:2" ht="18">
      <c r="A1422" s="3"/>
      <c r="B1422" s="4" t="str">
        <f ca="1">IFERROR(__xludf.DUMMYFUNCTION("IFERROR(GOOGLETRANSLATE(A1422,""ko"",""en""),)"),"")</f>
        <v/>
      </c>
    </row>
    <row r="1423" spans="1:2" ht="18">
      <c r="A1423" s="3"/>
      <c r="B1423" s="4" t="str">
        <f ca="1">IFERROR(__xludf.DUMMYFUNCTION("IFERROR(GOOGLETRANSLATE(A1423,""ko"",""en""),)"),"")</f>
        <v/>
      </c>
    </row>
    <row r="1424" spans="1:2" ht="18">
      <c r="A1424" s="3"/>
      <c r="B1424" s="4" t="str">
        <f ca="1">IFERROR(__xludf.DUMMYFUNCTION("IFERROR(GOOGLETRANSLATE(A1424,""ko"",""en""),)"),"")</f>
        <v/>
      </c>
    </row>
    <row r="1425" spans="1:2" ht="18">
      <c r="A1425" s="3"/>
      <c r="B1425" s="4" t="str">
        <f ca="1">IFERROR(__xludf.DUMMYFUNCTION("IFERROR(GOOGLETRANSLATE(A1425,""ko"",""en""),)"),"")</f>
        <v/>
      </c>
    </row>
    <row r="1426" spans="1:2" ht="18">
      <c r="A1426" s="3"/>
      <c r="B1426" s="4" t="str">
        <f ca="1">IFERROR(__xludf.DUMMYFUNCTION("IFERROR(GOOGLETRANSLATE(A1426,""ko"",""en""),)"),"")</f>
        <v/>
      </c>
    </row>
    <row r="1427" spans="1:2" ht="18">
      <c r="A1427" s="3"/>
      <c r="B1427" s="4" t="str">
        <f ca="1">IFERROR(__xludf.DUMMYFUNCTION("IFERROR(GOOGLETRANSLATE(A1427,""ko"",""en""),)"),"")</f>
        <v/>
      </c>
    </row>
    <row r="1428" spans="1:2" ht="18">
      <c r="A1428" s="3"/>
      <c r="B1428" s="4" t="str">
        <f ca="1">IFERROR(__xludf.DUMMYFUNCTION("IFERROR(GOOGLETRANSLATE(A1428,""ko"",""en""),)"),"")</f>
        <v/>
      </c>
    </row>
    <row r="1429" spans="1:2" ht="18">
      <c r="A1429" s="3"/>
      <c r="B1429" s="4" t="str">
        <f ca="1">IFERROR(__xludf.DUMMYFUNCTION("IFERROR(GOOGLETRANSLATE(A1429,""ko"",""en""),)"),"")</f>
        <v/>
      </c>
    </row>
    <row r="1430" spans="1:2" ht="18">
      <c r="A1430" s="3"/>
      <c r="B1430" s="4" t="str">
        <f ca="1">IFERROR(__xludf.DUMMYFUNCTION("IFERROR(GOOGLETRANSLATE(A1430,""ko"",""en""),)"),"")</f>
        <v/>
      </c>
    </row>
    <row r="1431" spans="1:2" ht="18">
      <c r="A1431" s="3"/>
      <c r="B1431" s="4" t="str">
        <f ca="1">IFERROR(__xludf.DUMMYFUNCTION("IFERROR(GOOGLETRANSLATE(A1431,""ko"",""en""),)"),"")</f>
        <v/>
      </c>
    </row>
    <row r="1432" spans="1:2" ht="18">
      <c r="A1432" s="3"/>
      <c r="B1432" s="4" t="str">
        <f ca="1">IFERROR(__xludf.DUMMYFUNCTION("IFERROR(GOOGLETRANSLATE(A1432,""ko"",""en""),)"),"")</f>
        <v/>
      </c>
    </row>
    <row r="1433" spans="1:2" ht="18">
      <c r="A1433" s="3"/>
      <c r="B1433" s="4" t="str">
        <f ca="1">IFERROR(__xludf.DUMMYFUNCTION("IFERROR(GOOGLETRANSLATE(A1433,""ko"",""en""),)"),"")</f>
        <v/>
      </c>
    </row>
    <row r="1434" spans="1:2" ht="18">
      <c r="A1434" s="3"/>
      <c r="B1434" s="4" t="str">
        <f ca="1">IFERROR(__xludf.DUMMYFUNCTION("IFERROR(GOOGLETRANSLATE(A1434,""ko"",""en""),)"),"")</f>
        <v/>
      </c>
    </row>
    <row r="1435" spans="1:2" ht="18">
      <c r="A1435" s="3"/>
      <c r="B1435" s="4" t="str">
        <f ca="1">IFERROR(__xludf.DUMMYFUNCTION("IFERROR(GOOGLETRANSLATE(A1435,""ko"",""en""),)"),"")</f>
        <v/>
      </c>
    </row>
    <row r="1436" spans="1:2" ht="18">
      <c r="A1436" s="3"/>
      <c r="B1436" s="4" t="str">
        <f ca="1">IFERROR(__xludf.DUMMYFUNCTION("IFERROR(GOOGLETRANSLATE(A1436,""ko"",""en""),)"),"")</f>
        <v/>
      </c>
    </row>
    <row r="1437" spans="1:2" ht="18">
      <c r="A1437" s="3"/>
      <c r="B1437" s="4" t="str">
        <f ca="1">IFERROR(__xludf.DUMMYFUNCTION("IFERROR(GOOGLETRANSLATE(A1437,""ko"",""en""),)"),"")</f>
        <v/>
      </c>
    </row>
    <row r="1438" spans="1:2" ht="18">
      <c r="A1438" s="3"/>
      <c r="B1438" s="4" t="str">
        <f ca="1">IFERROR(__xludf.DUMMYFUNCTION("IFERROR(GOOGLETRANSLATE(A1438,""ko"",""en""),)"),"")</f>
        <v/>
      </c>
    </row>
    <row r="1439" spans="1:2" ht="18">
      <c r="A1439" s="3"/>
      <c r="B1439" s="4" t="str">
        <f ca="1">IFERROR(__xludf.DUMMYFUNCTION("IFERROR(GOOGLETRANSLATE(A1439,""ko"",""en""),)"),"")</f>
        <v/>
      </c>
    </row>
    <row r="1440" spans="1:2" ht="18">
      <c r="A1440" s="3"/>
      <c r="B1440" s="4" t="str">
        <f ca="1">IFERROR(__xludf.DUMMYFUNCTION("IFERROR(GOOGLETRANSLATE(A1440,""ko"",""en""),)"),"")</f>
        <v/>
      </c>
    </row>
    <row r="1441" spans="1:2" ht="18">
      <c r="A1441" s="3"/>
      <c r="B1441" s="4" t="str">
        <f ca="1">IFERROR(__xludf.DUMMYFUNCTION("IFERROR(GOOGLETRANSLATE(A1441,""ko"",""en""),)"),"")</f>
        <v/>
      </c>
    </row>
    <row r="1442" spans="1:2" ht="18">
      <c r="A1442" s="3"/>
      <c r="B1442" s="4" t="str">
        <f ca="1">IFERROR(__xludf.DUMMYFUNCTION("IFERROR(GOOGLETRANSLATE(A1442,""ko"",""en""),)"),"")</f>
        <v/>
      </c>
    </row>
    <row r="1443" spans="1:2" ht="18">
      <c r="A1443" s="3"/>
      <c r="B1443" s="4" t="str">
        <f ca="1">IFERROR(__xludf.DUMMYFUNCTION("IFERROR(GOOGLETRANSLATE(A1443,""ko"",""en""),)"),"")</f>
        <v/>
      </c>
    </row>
    <row r="1444" spans="1:2" ht="18">
      <c r="A1444" s="3"/>
      <c r="B1444" s="4" t="str">
        <f ca="1">IFERROR(__xludf.DUMMYFUNCTION("IFERROR(GOOGLETRANSLATE(A1444,""ko"",""en""),)"),"")</f>
        <v/>
      </c>
    </row>
    <row r="1445" spans="1:2" ht="18">
      <c r="A1445" s="3"/>
      <c r="B1445" s="4" t="str">
        <f ca="1">IFERROR(__xludf.DUMMYFUNCTION("IFERROR(GOOGLETRANSLATE(A1445,""ko"",""en""),)"),"")</f>
        <v/>
      </c>
    </row>
    <row r="1446" spans="1:2" ht="18">
      <c r="A1446" s="3"/>
      <c r="B1446" s="4" t="str">
        <f ca="1">IFERROR(__xludf.DUMMYFUNCTION("IFERROR(GOOGLETRANSLATE(A1446,""ko"",""en""),)"),"")</f>
        <v/>
      </c>
    </row>
    <row r="1447" spans="1:2" ht="18">
      <c r="A1447" s="3"/>
      <c r="B1447" s="4" t="str">
        <f ca="1">IFERROR(__xludf.DUMMYFUNCTION("IFERROR(GOOGLETRANSLATE(A1447,""ko"",""en""),)"),"")</f>
        <v/>
      </c>
    </row>
    <row r="1448" spans="1:2" ht="18">
      <c r="A1448" s="3"/>
      <c r="B1448" s="4" t="str">
        <f ca="1">IFERROR(__xludf.DUMMYFUNCTION("IFERROR(GOOGLETRANSLATE(A1448,""ko"",""en""),)"),"")</f>
        <v/>
      </c>
    </row>
    <row r="1449" spans="1:2" ht="18">
      <c r="A1449" s="3"/>
      <c r="B1449" s="4" t="str">
        <f ca="1">IFERROR(__xludf.DUMMYFUNCTION("IFERROR(GOOGLETRANSLATE(A1449,""ko"",""en""),)"),"")</f>
        <v/>
      </c>
    </row>
    <row r="1450" spans="1:2" ht="18">
      <c r="A1450" s="3"/>
      <c r="B1450" s="4" t="str">
        <f ca="1">IFERROR(__xludf.DUMMYFUNCTION("IFERROR(GOOGLETRANSLATE(A1450,""ko"",""en""),)"),"")</f>
        <v/>
      </c>
    </row>
    <row r="1451" spans="1:2" ht="18">
      <c r="A1451" s="3"/>
      <c r="B1451" s="4" t="str">
        <f ca="1">IFERROR(__xludf.DUMMYFUNCTION("IFERROR(GOOGLETRANSLATE(A1451,""ko"",""en""),)"),"")</f>
        <v/>
      </c>
    </row>
    <row r="1452" spans="1:2" ht="18">
      <c r="A1452" s="3"/>
      <c r="B1452" s="4" t="str">
        <f ca="1">IFERROR(__xludf.DUMMYFUNCTION("IFERROR(GOOGLETRANSLATE(A1452,""ko"",""en""),)"),"")</f>
        <v/>
      </c>
    </row>
    <row r="1453" spans="1:2" ht="18">
      <c r="A1453" s="3"/>
      <c r="B1453" s="4" t="str">
        <f ca="1">IFERROR(__xludf.DUMMYFUNCTION("IFERROR(GOOGLETRANSLATE(A1453,""ko"",""en""),)"),"")</f>
        <v/>
      </c>
    </row>
    <row r="1454" spans="1:2" ht="18">
      <c r="A1454" s="3"/>
      <c r="B1454" s="4" t="str">
        <f ca="1">IFERROR(__xludf.DUMMYFUNCTION("IFERROR(GOOGLETRANSLATE(A1454,""ko"",""en""),)"),"")</f>
        <v/>
      </c>
    </row>
    <row r="1455" spans="1:2" ht="18">
      <c r="A1455" s="3"/>
      <c r="B1455" s="4" t="str">
        <f ca="1">IFERROR(__xludf.DUMMYFUNCTION("IFERROR(GOOGLETRANSLATE(A1455,""ko"",""en""),)"),"")</f>
        <v/>
      </c>
    </row>
    <row r="1456" spans="1:2" ht="18">
      <c r="A1456" s="3"/>
      <c r="B1456" s="4" t="str">
        <f ca="1">IFERROR(__xludf.DUMMYFUNCTION("IFERROR(GOOGLETRANSLATE(A1456,""ko"",""en""),)"),"")</f>
        <v/>
      </c>
    </row>
    <row r="1457" spans="1:2" ht="18">
      <c r="A1457" s="3"/>
      <c r="B1457" s="4" t="str">
        <f ca="1">IFERROR(__xludf.DUMMYFUNCTION("IFERROR(GOOGLETRANSLATE(A1457,""ko"",""en""),)"),"")</f>
        <v/>
      </c>
    </row>
    <row r="1458" spans="1:2" ht="18">
      <c r="A1458" s="3"/>
      <c r="B1458" s="4" t="str">
        <f ca="1">IFERROR(__xludf.DUMMYFUNCTION("IFERROR(GOOGLETRANSLATE(A1458,""ko"",""en""),)"),"")</f>
        <v/>
      </c>
    </row>
    <row r="1459" spans="1:2" ht="18">
      <c r="A1459" s="3"/>
      <c r="B1459" s="4" t="str">
        <f ca="1">IFERROR(__xludf.DUMMYFUNCTION("IFERROR(GOOGLETRANSLATE(A1459,""ko"",""en""),)"),"")</f>
        <v/>
      </c>
    </row>
    <row r="1460" spans="1:2" ht="18">
      <c r="A1460" s="3"/>
      <c r="B1460" s="4" t="str">
        <f ca="1">IFERROR(__xludf.DUMMYFUNCTION("IFERROR(GOOGLETRANSLATE(A1460,""ko"",""en""),)"),"")</f>
        <v/>
      </c>
    </row>
    <row r="1461" spans="1:2" ht="18">
      <c r="A1461" s="3"/>
      <c r="B1461" s="4" t="str">
        <f ca="1">IFERROR(__xludf.DUMMYFUNCTION("IFERROR(GOOGLETRANSLATE(A1461,""ko"",""en""),)"),"")</f>
        <v/>
      </c>
    </row>
    <row r="1462" spans="1:2" ht="18">
      <c r="A1462" s="3"/>
      <c r="B1462" s="4" t="str">
        <f ca="1">IFERROR(__xludf.DUMMYFUNCTION("IFERROR(GOOGLETRANSLATE(A1462,""ko"",""en""),)"),"")</f>
        <v/>
      </c>
    </row>
    <row r="1463" spans="1:2" ht="18">
      <c r="A1463" s="3"/>
      <c r="B1463" s="4" t="str">
        <f ca="1">IFERROR(__xludf.DUMMYFUNCTION("IFERROR(GOOGLETRANSLATE(A1463,""ko"",""en""),)"),"")</f>
        <v/>
      </c>
    </row>
    <row r="1464" spans="1:2" ht="18">
      <c r="A1464" s="3"/>
      <c r="B1464" s="4" t="str">
        <f ca="1">IFERROR(__xludf.DUMMYFUNCTION("IFERROR(GOOGLETRANSLATE(A1464,""ko"",""en""),)"),"")</f>
        <v/>
      </c>
    </row>
    <row r="1465" spans="1:2" ht="18">
      <c r="A1465" s="3"/>
      <c r="B1465" s="4" t="str">
        <f ca="1">IFERROR(__xludf.DUMMYFUNCTION("IFERROR(GOOGLETRANSLATE(A1465,""ko"",""en""),)"),"")</f>
        <v/>
      </c>
    </row>
    <row r="1466" spans="1:2" ht="18">
      <c r="A1466" s="3"/>
      <c r="B1466" s="4" t="str">
        <f ca="1">IFERROR(__xludf.DUMMYFUNCTION("IFERROR(GOOGLETRANSLATE(A1466,""ko"",""en""),)"),"")</f>
        <v/>
      </c>
    </row>
    <row r="1467" spans="1:2" ht="18">
      <c r="A1467" s="3"/>
      <c r="B1467" s="4" t="str">
        <f ca="1">IFERROR(__xludf.DUMMYFUNCTION("IFERROR(GOOGLETRANSLATE(A1467,""ko"",""en""),)"),"")</f>
        <v/>
      </c>
    </row>
    <row r="1468" spans="1:2" ht="18">
      <c r="A1468" s="3"/>
      <c r="B1468" s="4" t="str">
        <f ca="1">IFERROR(__xludf.DUMMYFUNCTION("IFERROR(GOOGLETRANSLATE(A1468,""ko"",""en""),)"),"")</f>
        <v/>
      </c>
    </row>
    <row r="1469" spans="1:2" ht="18">
      <c r="A1469" s="3"/>
      <c r="B1469" s="4" t="str">
        <f ca="1">IFERROR(__xludf.DUMMYFUNCTION("IFERROR(GOOGLETRANSLATE(A1469,""ko"",""en""),)"),"")</f>
        <v/>
      </c>
    </row>
    <row r="1470" spans="1:2" ht="18">
      <c r="A1470" s="3"/>
      <c r="B1470" s="4" t="str">
        <f ca="1">IFERROR(__xludf.DUMMYFUNCTION("IFERROR(GOOGLETRANSLATE(A1470,""ko"",""en""),)"),"")</f>
        <v/>
      </c>
    </row>
    <row r="1471" spans="1:2" ht="18">
      <c r="A1471" s="3"/>
      <c r="B1471" s="4" t="str">
        <f ca="1">IFERROR(__xludf.DUMMYFUNCTION("IFERROR(GOOGLETRANSLATE(A1471,""ko"",""en""),)"),"")</f>
        <v/>
      </c>
    </row>
    <row r="1472" spans="1:2" ht="18">
      <c r="A1472" s="3"/>
      <c r="B1472" s="4" t="str">
        <f ca="1">IFERROR(__xludf.DUMMYFUNCTION("IFERROR(GOOGLETRANSLATE(A1472,""ko"",""en""),)"),"")</f>
        <v/>
      </c>
    </row>
    <row r="1473" spans="1:2" ht="18">
      <c r="A1473" s="3"/>
      <c r="B1473" s="4" t="str">
        <f ca="1">IFERROR(__xludf.DUMMYFUNCTION("IFERROR(GOOGLETRANSLATE(A1473,""ko"",""en""),)"),"")</f>
        <v/>
      </c>
    </row>
    <row r="1474" spans="1:2" ht="18">
      <c r="A1474" s="3"/>
      <c r="B1474" s="4" t="str">
        <f ca="1">IFERROR(__xludf.DUMMYFUNCTION("IFERROR(GOOGLETRANSLATE(A1474,""ko"",""en""),)"),"")</f>
        <v/>
      </c>
    </row>
    <row r="1475" spans="1:2" ht="18">
      <c r="A1475" s="3"/>
      <c r="B1475" s="4" t="str">
        <f ca="1">IFERROR(__xludf.DUMMYFUNCTION("IFERROR(GOOGLETRANSLATE(A1475,""ko"",""en""),)"),"")</f>
        <v/>
      </c>
    </row>
    <row r="1476" spans="1:2" ht="18">
      <c r="A1476" s="3"/>
      <c r="B1476" s="4" t="str">
        <f ca="1">IFERROR(__xludf.DUMMYFUNCTION("IFERROR(GOOGLETRANSLATE(A1476,""ko"",""en""),)"),"")</f>
        <v/>
      </c>
    </row>
    <row r="1477" spans="1:2" ht="18">
      <c r="A1477" s="3"/>
      <c r="B1477" s="4" t="str">
        <f ca="1">IFERROR(__xludf.DUMMYFUNCTION("IFERROR(GOOGLETRANSLATE(A1477,""ko"",""en""),)"),"")</f>
        <v/>
      </c>
    </row>
    <row r="1478" spans="1:2" ht="18">
      <c r="A1478" s="3"/>
      <c r="B1478" s="4" t="str">
        <f ca="1">IFERROR(__xludf.DUMMYFUNCTION("IFERROR(GOOGLETRANSLATE(A1478,""ko"",""en""),)"),"")</f>
        <v/>
      </c>
    </row>
    <row r="1479" spans="1:2" ht="18">
      <c r="A1479" s="3"/>
      <c r="B1479" s="4" t="str">
        <f ca="1">IFERROR(__xludf.DUMMYFUNCTION("IFERROR(GOOGLETRANSLATE(A1479,""ko"",""en""),)"),"")</f>
        <v/>
      </c>
    </row>
    <row r="1480" spans="1:2" ht="18">
      <c r="A1480" s="3"/>
      <c r="B1480" s="4" t="str">
        <f ca="1">IFERROR(__xludf.DUMMYFUNCTION("IFERROR(GOOGLETRANSLATE(A1480,""ko"",""en""),)"),"")</f>
        <v/>
      </c>
    </row>
    <row r="1481" spans="1:2" ht="18">
      <c r="A1481" s="3"/>
      <c r="B1481" s="4" t="str">
        <f ca="1">IFERROR(__xludf.DUMMYFUNCTION("IFERROR(GOOGLETRANSLATE(A1481,""ko"",""en""),)"),"")</f>
        <v/>
      </c>
    </row>
    <row r="1482" spans="1:2" ht="18">
      <c r="A1482" s="3"/>
      <c r="B1482" s="4" t="str">
        <f ca="1">IFERROR(__xludf.DUMMYFUNCTION("IFERROR(GOOGLETRANSLATE(A1482,""ko"",""en""),)"),"")</f>
        <v/>
      </c>
    </row>
    <row r="1483" spans="1:2" ht="18">
      <c r="A1483" s="3"/>
      <c r="B1483" s="4" t="str">
        <f ca="1">IFERROR(__xludf.DUMMYFUNCTION("IFERROR(GOOGLETRANSLATE(A1483,""ko"",""en""),)"),"")</f>
        <v/>
      </c>
    </row>
    <row r="1484" spans="1:2" ht="18">
      <c r="A1484" s="3"/>
      <c r="B1484" s="4" t="str">
        <f ca="1">IFERROR(__xludf.DUMMYFUNCTION("IFERROR(GOOGLETRANSLATE(A1484,""ko"",""en""),)"),"")</f>
        <v/>
      </c>
    </row>
    <row r="1485" spans="1:2" ht="18">
      <c r="A1485" s="3"/>
      <c r="B1485" s="4" t="str">
        <f ca="1">IFERROR(__xludf.DUMMYFUNCTION("IFERROR(GOOGLETRANSLATE(A1485,""ko"",""en""),)"),"")</f>
        <v/>
      </c>
    </row>
    <row r="1486" spans="1:2" ht="18">
      <c r="A1486" s="3"/>
      <c r="B1486" s="4" t="str">
        <f ca="1">IFERROR(__xludf.DUMMYFUNCTION("IFERROR(GOOGLETRANSLATE(A1486,""ko"",""en""),)"),"")</f>
        <v/>
      </c>
    </row>
    <row r="1487" spans="1:2" ht="18">
      <c r="A1487" s="3"/>
      <c r="B1487" s="4" t="str">
        <f ca="1">IFERROR(__xludf.DUMMYFUNCTION("IFERROR(GOOGLETRANSLATE(A1487,""ko"",""en""),)"),"")</f>
        <v/>
      </c>
    </row>
    <row r="1488" spans="1:2" ht="18">
      <c r="A1488" s="3"/>
      <c r="B1488" s="4" t="str">
        <f ca="1">IFERROR(__xludf.DUMMYFUNCTION("IFERROR(GOOGLETRANSLATE(A1488,""ko"",""en""),)"),"")</f>
        <v/>
      </c>
    </row>
    <row r="1489" spans="1:2" ht="18">
      <c r="A1489" s="3"/>
      <c r="B1489" s="4" t="str">
        <f ca="1">IFERROR(__xludf.DUMMYFUNCTION("IFERROR(GOOGLETRANSLATE(A1489,""ko"",""en""),)"),"")</f>
        <v/>
      </c>
    </row>
    <row r="1490" spans="1:2" ht="18">
      <c r="A1490" s="3"/>
      <c r="B1490" s="4" t="str">
        <f ca="1">IFERROR(__xludf.DUMMYFUNCTION("IFERROR(GOOGLETRANSLATE(A1490,""ko"",""en""),)"),"")</f>
        <v/>
      </c>
    </row>
    <row r="1491" spans="1:2" ht="18">
      <c r="A1491" s="3"/>
      <c r="B1491" s="4" t="str">
        <f ca="1">IFERROR(__xludf.DUMMYFUNCTION("IFERROR(GOOGLETRANSLATE(A1491,""ko"",""en""),)"),"")</f>
        <v/>
      </c>
    </row>
    <row r="1492" spans="1:2" ht="18">
      <c r="A1492" s="3"/>
      <c r="B1492" s="4" t="str">
        <f ca="1">IFERROR(__xludf.DUMMYFUNCTION("IFERROR(GOOGLETRANSLATE(A1492,""ko"",""en""),)"),"")</f>
        <v/>
      </c>
    </row>
    <row r="1493" spans="1:2" ht="18">
      <c r="A1493" s="3"/>
      <c r="B1493" s="4" t="str">
        <f ca="1">IFERROR(__xludf.DUMMYFUNCTION("IFERROR(GOOGLETRANSLATE(A1493,""ko"",""en""),)"),"")</f>
        <v/>
      </c>
    </row>
    <row r="1494" spans="1:2" ht="18">
      <c r="A1494" s="3"/>
      <c r="B1494" s="4" t="str">
        <f ca="1">IFERROR(__xludf.DUMMYFUNCTION("IFERROR(GOOGLETRANSLATE(A1494,""ko"",""en""),)"),"")</f>
        <v/>
      </c>
    </row>
    <row r="1495" spans="1:2" ht="18">
      <c r="A1495" s="3"/>
      <c r="B1495" s="4" t="str">
        <f ca="1">IFERROR(__xludf.DUMMYFUNCTION("IFERROR(GOOGLETRANSLATE(A1495,""ko"",""en""),)"),"")</f>
        <v/>
      </c>
    </row>
    <row r="1496" spans="1:2" ht="18">
      <c r="A1496" s="3"/>
      <c r="B1496" s="4" t="str">
        <f ca="1">IFERROR(__xludf.DUMMYFUNCTION("IFERROR(GOOGLETRANSLATE(A1496,""ko"",""en""),)"),"")</f>
        <v/>
      </c>
    </row>
    <row r="1497" spans="1:2" ht="18">
      <c r="A1497" s="3"/>
      <c r="B1497" s="4" t="str">
        <f ca="1">IFERROR(__xludf.DUMMYFUNCTION("IFERROR(GOOGLETRANSLATE(A1497,""ko"",""en""),)"),"")</f>
        <v/>
      </c>
    </row>
    <row r="1498" spans="1:2" ht="18">
      <c r="A1498" s="3"/>
      <c r="B1498" s="4" t="str">
        <f ca="1">IFERROR(__xludf.DUMMYFUNCTION("IFERROR(GOOGLETRANSLATE(A1498,""ko"",""en""),)"),"")</f>
        <v/>
      </c>
    </row>
    <row r="1499" spans="1:2" ht="18">
      <c r="A1499" s="3"/>
      <c r="B1499" s="4" t="str">
        <f ca="1">IFERROR(__xludf.DUMMYFUNCTION("IFERROR(GOOGLETRANSLATE(A1499,""ko"",""en""),)"),"")</f>
        <v/>
      </c>
    </row>
    <row r="1500" spans="1:2" ht="18">
      <c r="A1500" s="3"/>
      <c r="B1500" s="4" t="str">
        <f ca="1">IFERROR(__xludf.DUMMYFUNCTION("IFERROR(GOOGLETRANSLATE(A1500,""ko"",""en""),)"),"")</f>
        <v/>
      </c>
    </row>
    <row r="1501" spans="1:2" ht="18">
      <c r="A1501" s="3"/>
      <c r="B1501" s="4" t="str">
        <f ca="1">IFERROR(__xludf.DUMMYFUNCTION("IFERROR(GOOGLETRANSLATE(A1501,""ko"",""en""),)"),"")</f>
        <v/>
      </c>
    </row>
    <row r="1502" spans="1:2" ht="18">
      <c r="A1502" s="3"/>
      <c r="B1502" s="4" t="str">
        <f ca="1">IFERROR(__xludf.DUMMYFUNCTION("IFERROR(GOOGLETRANSLATE(A1502,""ko"",""en""),)"),"")</f>
        <v/>
      </c>
    </row>
    <row r="1503" spans="1:2" ht="18">
      <c r="A1503" s="3"/>
      <c r="B1503" s="4" t="str">
        <f ca="1">IFERROR(__xludf.DUMMYFUNCTION("IFERROR(GOOGLETRANSLATE(A1503,""ko"",""en""),)"),"")</f>
        <v/>
      </c>
    </row>
    <row r="1504" spans="1:2" ht="18">
      <c r="A1504" s="3"/>
      <c r="B1504" s="4" t="str">
        <f ca="1">IFERROR(__xludf.DUMMYFUNCTION("IFERROR(GOOGLETRANSLATE(A1504,""ko"",""en""),)"),"")</f>
        <v/>
      </c>
    </row>
    <row r="1505" spans="1:2" ht="18">
      <c r="A1505" s="3"/>
      <c r="B1505" s="4" t="str">
        <f ca="1">IFERROR(__xludf.DUMMYFUNCTION("IFERROR(GOOGLETRANSLATE(A1505,""ko"",""en""),)"),"")</f>
        <v/>
      </c>
    </row>
    <row r="1506" spans="1:2" ht="18">
      <c r="A1506" s="3"/>
      <c r="B1506" s="4" t="str">
        <f ca="1">IFERROR(__xludf.DUMMYFUNCTION("IFERROR(GOOGLETRANSLATE(A1506,""ko"",""en""),)"),"")</f>
        <v/>
      </c>
    </row>
    <row r="1507" spans="1:2" ht="18">
      <c r="A1507" s="3"/>
      <c r="B1507" s="4" t="str">
        <f ca="1">IFERROR(__xludf.DUMMYFUNCTION("IFERROR(GOOGLETRANSLATE(A1507,""ko"",""en""),)"),"")</f>
        <v/>
      </c>
    </row>
    <row r="1508" spans="1:2" ht="18">
      <c r="A1508" s="3"/>
      <c r="B1508" s="4" t="str">
        <f ca="1">IFERROR(__xludf.DUMMYFUNCTION("IFERROR(GOOGLETRANSLATE(A1508,""ko"",""en""),)"),"")</f>
        <v/>
      </c>
    </row>
    <row r="1509" spans="1:2" ht="18">
      <c r="A1509" s="3"/>
      <c r="B1509" s="4" t="str">
        <f ca="1">IFERROR(__xludf.DUMMYFUNCTION("IFERROR(GOOGLETRANSLATE(A1509,""ko"",""en""),)"),"")</f>
        <v/>
      </c>
    </row>
    <row r="1510" spans="1:2" ht="18">
      <c r="A1510" s="3"/>
      <c r="B1510" s="4" t="str">
        <f ca="1">IFERROR(__xludf.DUMMYFUNCTION("IFERROR(GOOGLETRANSLATE(A1510,""ko"",""en""),)"),"")</f>
        <v/>
      </c>
    </row>
    <row r="1511" spans="1:2" ht="18">
      <c r="A1511" s="3"/>
      <c r="B1511" s="4" t="str">
        <f ca="1">IFERROR(__xludf.DUMMYFUNCTION("IFERROR(GOOGLETRANSLATE(A1511,""ko"",""en""),)"),"")</f>
        <v/>
      </c>
    </row>
    <row r="1512" spans="1:2" ht="18">
      <c r="A1512" s="3"/>
      <c r="B1512" s="4" t="str">
        <f ca="1">IFERROR(__xludf.DUMMYFUNCTION("IFERROR(GOOGLETRANSLATE(A1512,""ko"",""en""),)"),"")</f>
        <v/>
      </c>
    </row>
    <row r="1513" spans="1:2" ht="18">
      <c r="A1513" s="3"/>
      <c r="B1513" s="4" t="str">
        <f ca="1">IFERROR(__xludf.DUMMYFUNCTION("IFERROR(GOOGLETRANSLATE(A1513,""ko"",""en""),)"),"")</f>
        <v/>
      </c>
    </row>
    <row r="1514" spans="1:2" ht="18">
      <c r="A1514" s="3"/>
      <c r="B1514" s="4" t="str">
        <f ca="1">IFERROR(__xludf.DUMMYFUNCTION("IFERROR(GOOGLETRANSLATE(A1514,""ko"",""en""),)"),"")</f>
        <v/>
      </c>
    </row>
    <row r="1515" spans="1:2" ht="18">
      <c r="A1515" s="3"/>
      <c r="B1515" s="4" t="str">
        <f ca="1">IFERROR(__xludf.DUMMYFUNCTION("IFERROR(GOOGLETRANSLATE(A1515,""ko"",""en""),)"),"")</f>
        <v/>
      </c>
    </row>
    <row r="1516" spans="1:2" ht="18">
      <c r="A1516" s="3"/>
      <c r="B1516" s="4" t="str">
        <f ca="1">IFERROR(__xludf.DUMMYFUNCTION("IFERROR(GOOGLETRANSLATE(A1516,""ko"",""en""),)"),"")</f>
        <v/>
      </c>
    </row>
    <row r="1517" spans="1:2" ht="18">
      <c r="A1517" s="3"/>
      <c r="B1517" s="4" t="str">
        <f ca="1">IFERROR(__xludf.DUMMYFUNCTION("IFERROR(GOOGLETRANSLATE(A1517,""ko"",""en""),)"),"")</f>
        <v/>
      </c>
    </row>
    <row r="1518" spans="1:2" ht="18">
      <c r="A1518" s="3"/>
      <c r="B1518" s="4" t="str">
        <f ca="1">IFERROR(__xludf.DUMMYFUNCTION("IFERROR(GOOGLETRANSLATE(A1518,""ko"",""en""),)"),"")</f>
        <v/>
      </c>
    </row>
    <row r="1519" spans="1:2" ht="18">
      <c r="A1519" s="3"/>
      <c r="B1519" s="4" t="str">
        <f ca="1">IFERROR(__xludf.DUMMYFUNCTION("IFERROR(GOOGLETRANSLATE(A1519,""ko"",""en""),)"),"")</f>
        <v/>
      </c>
    </row>
    <row r="1520" spans="1:2" ht="18">
      <c r="A1520" s="3"/>
      <c r="B1520" s="4" t="str">
        <f ca="1">IFERROR(__xludf.DUMMYFUNCTION("IFERROR(GOOGLETRANSLATE(A1520,""ko"",""en""),)"),"")</f>
        <v/>
      </c>
    </row>
    <row r="1521" spans="1:2" ht="18">
      <c r="A1521" s="3"/>
      <c r="B1521" s="4" t="str">
        <f ca="1">IFERROR(__xludf.DUMMYFUNCTION("IFERROR(GOOGLETRANSLATE(A1521,""ko"",""en""),)"),"")</f>
        <v/>
      </c>
    </row>
    <row r="1522" spans="1:2" ht="18">
      <c r="A1522" s="3"/>
      <c r="B1522" s="4" t="str">
        <f ca="1">IFERROR(__xludf.DUMMYFUNCTION("IFERROR(GOOGLETRANSLATE(A1522,""ko"",""en""),)"),"")</f>
        <v/>
      </c>
    </row>
    <row r="1523" spans="1:2" ht="18">
      <c r="A1523" s="3"/>
      <c r="B1523" s="4" t="str">
        <f ca="1">IFERROR(__xludf.DUMMYFUNCTION("IFERROR(GOOGLETRANSLATE(A1523,""ko"",""en""),)"),"")</f>
        <v/>
      </c>
    </row>
    <row r="1524" spans="1:2" ht="18">
      <c r="A1524" s="3"/>
      <c r="B1524" s="4" t="str">
        <f ca="1">IFERROR(__xludf.DUMMYFUNCTION("IFERROR(GOOGLETRANSLATE(A1524,""ko"",""en""),)"),"")</f>
        <v/>
      </c>
    </row>
    <row r="1525" spans="1:2" ht="18">
      <c r="A1525" s="3"/>
      <c r="B1525" s="4" t="str">
        <f ca="1">IFERROR(__xludf.DUMMYFUNCTION("IFERROR(GOOGLETRANSLATE(A1525,""ko"",""en""),)"),"")</f>
        <v/>
      </c>
    </row>
    <row r="1526" spans="1:2" ht="18">
      <c r="A1526" s="3"/>
      <c r="B1526" s="4" t="str">
        <f ca="1">IFERROR(__xludf.DUMMYFUNCTION("IFERROR(GOOGLETRANSLATE(A1526,""ko"",""en""),)"),"")</f>
        <v/>
      </c>
    </row>
    <row r="1527" spans="1:2" ht="18">
      <c r="A1527" s="3"/>
      <c r="B1527" s="4" t="str">
        <f ca="1">IFERROR(__xludf.DUMMYFUNCTION("IFERROR(GOOGLETRANSLATE(A1527,""ko"",""en""),)"),"")</f>
        <v/>
      </c>
    </row>
    <row r="1528" spans="1:2" ht="18">
      <c r="A1528" s="3"/>
      <c r="B1528" s="4" t="str">
        <f ca="1">IFERROR(__xludf.DUMMYFUNCTION("IFERROR(GOOGLETRANSLATE(A1528,""ko"",""en""),)"),"")</f>
        <v/>
      </c>
    </row>
    <row r="1529" spans="1:2" ht="18">
      <c r="A1529" s="3"/>
      <c r="B1529" s="4" t="str">
        <f ca="1">IFERROR(__xludf.DUMMYFUNCTION("IFERROR(GOOGLETRANSLATE(A1529,""ko"",""en""),)"),"")</f>
        <v/>
      </c>
    </row>
    <row r="1530" spans="1:2" ht="18">
      <c r="A1530" s="3"/>
      <c r="B1530" s="4" t="str">
        <f ca="1">IFERROR(__xludf.DUMMYFUNCTION("IFERROR(GOOGLETRANSLATE(A1530,""ko"",""en""),)"),"")</f>
        <v/>
      </c>
    </row>
    <row r="1531" spans="1:2" ht="18">
      <c r="A1531" s="3"/>
      <c r="B1531" s="4" t="str">
        <f ca="1">IFERROR(__xludf.DUMMYFUNCTION("IFERROR(GOOGLETRANSLATE(A1531,""ko"",""en""),)"),"")</f>
        <v/>
      </c>
    </row>
    <row r="1532" spans="1:2" ht="18">
      <c r="A1532" s="3"/>
      <c r="B1532" s="4" t="str">
        <f ca="1">IFERROR(__xludf.DUMMYFUNCTION("IFERROR(GOOGLETRANSLATE(A1532,""ko"",""en""),)"),"")</f>
        <v/>
      </c>
    </row>
    <row r="1533" spans="1:2" ht="18">
      <c r="A1533" s="3"/>
      <c r="B1533" s="4" t="str">
        <f ca="1">IFERROR(__xludf.DUMMYFUNCTION("IFERROR(GOOGLETRANSLATE(A1533,""ko"",""en""),)"),"")</f>
        <v/>
      </c>
    </row>
    <row r="1534" spans="1:2" ht="18">
      <c r="A1534" s="3"/>
      <c r="B1534" s="4" t="str">
        <f ca="1">IFERROR(__xludf.DUMMYFUNCTION("IFERROR(GOOGLETRANSLATE(A1534,""ko"",""en""),)"),"")</f>
        <v/>
      </c>
    </row>
    <row r="1535" spans="1:2" ht="18">
      <c r="A1535" s="3"/>
      <c r="B1535" s="4" t="str">
        <f ca="1">IFERROR(__xludf.DUMMYFUNCTION("IFERROR(GOOGLETRANSLATE(A1535,""ko"",""en""),)"),"")</f>
        <v/>
      </c>
    </row>
    <row r="1536" spans="1:2" ht="18">
      <c r="A1536" s="3"/>
      <c r="B1536" s="4" t="str">
        <f ca="1">IFERROR(__xludf.DUMMYFUNCTION("IFERROR(GOOGLETRANSLATE(A1536,""ko"",""en""),)"),"")</f>
        <v/>
      </c>
    </row>
    <row r="1537" spans="1:2" ht="18">
      <c r="A1537" s="3"/>
      <c r="B1537" s="4" t="str">
        <f ca="1">IFERROR(__xludf.DUMMYFUNCTION("IFERROR(GOOGLETRANSLATE(A1537,""ko"",""en""),)"),"")</f>
        <v/>
      </c>
    </row>
    <row r="1538" spans="1:2" ht="18">
      <c r="A1538" s="3"/>
      <c r="B1538" s="4" t="str">
        <f ca="1">IFERROR(__xludf.DUMMYFUNCTION("IFERROR(GOOGLETRANSLATE(A1538,""ko"",""en""),)"),"")</f>
        <v/>
      </c>
    </row>
    <row r="1539" spans="1:2" ht="18">
      <c r="A1539" s="3"/>
      <c r="B1539" s="4" t="str">
        <f ca="1">IFERROR(__xludf.DUMMYFUNCTION("IFERROR(GOOGLETRANSLATE(A1539,""ko"",""en""),)"),"")</f>
        <v/>
      </c>
    </row>
    <row r="1540" spans="1:2" ht="18">
      <c r="A1540" s="3"/>
      <c r="B1540" s="4" t="str">
        <f ca="1">IFERROR(__xludf.DUMMYFUNCTION("IFERROR(GOOGLETRANSLATE(A1540,""ko"",""en""),)"),"")</f>
        <v/>
      </c>
    </row>
    <row r="1541" spans="1:2" ht="18">
      <c r="A1541" s="3"/>
      <c r="B1541" s="4" t="str">
        <f ca="1">IFERROR(__xludf.DUMMYFUNCTION("IFERROR(GOOGLETRANSLATE(A1541,""ko"",""en""),)"),"")</f>
        <v/>
      </c>
    </row>
    <row r="1542" spans="1:2" ht="18">
      <c r="A1542" s="3"/>
      <c r="B1542" s="4" t="str">
        <f ca="1">IFERROR(__xludf.DUMMYFUNCTION("IFERROR(GOOGLETRANSLATE(A1542,""ko"",""en""),)"),"")</f>
        <v/>
      </c>
    </row>
    <row r="1543" spans="1:2" ht="18">
      <c r="A1543" s="3"/>
      <c r="B1543" s="4" t="str">
        <f ca="1">IFERROR(__xludf.DUMMYFUNCTION("IFERROR(GOOGLETRANSLATE(A1543,""ko"",""en""),)"),"")</f>
        <v/>
      </c>
    </row>
    <row r="1544" spans="1:2" ht="18">
      <c r="A1544" s="3"/>
      <c r="B1544" s="4" t="str">
        <f ca="1">IFERROR(__xludf.DUMMYFUNCTION("IFERROR(GOOGLETRANSLATE(A1544,""ko"",""en""),)"),"")</f>
        <v/>
      </c>
    </row>
    <row r="1545" spans="1:2" ht="18">
      <c r="A1545" s="3"/>
      <c r="B1545" s="4" t="str">
        <f ca="1">IFERROR(__xludf.DUMMYFUNCTION("IFERROR(GOOGLETRANSLATE(A1545,""ko"",""en""),)"),"")</f>
        <v/>
      </c>
    </row>
    <row r="1546" spans="1:2" ht="18">
      <c r="A1546" s="3"/>
      <c r="B1546" s="4" t="str">
        <f ca="1">IFERROR(__xludf.DUMMYFUNCTION("IFERROR(GOOGLETRANSLATE(A1546,""ko"",""en""),)"),"")</f>
        <v/>
      </c>
    </row>
    <row r="1547" spans="1:2" ht="18">
      <c r="A1547" s="3"/>
      <c r="B1547" s="4" t="str">
        <f ca="1">IFERROR(__xludf.DUMMYFUNCTION("IFERROR(GOOGLETRANSLATE(A1547,""ko"",""en""),)"),"")</f>
        <v/>
      </c>
    </row>
    <row r="1548" spans="1:2" ht="18">
      <c r="A1548" s="3"/>
      <c r="B1548" s="4" t="str">
        <f ca="1">IFERROR(__xludf.DUMMYFUNCTION("IFERROR(GOOGLETRANSLATE(A1548,""ko"",""en""),)"),"")</f>
        <v/>
      </c>
    </row>
    <row r="1549" spans="1:2" ht="18">
      <c r="A1549" s="3"/>
      <c r="B1549" s="4" t="str">
        <f ca="1">IFERROR(__xludf.DUMMYFUNCTION("IFERROR(GOOGLETRANSLATE(A1549,""ko"",""en""),)"),"")</f>
        <v/>
      </c>
    </row>
    <row r="1550" spans="1:2" ht="18">
      <c r="A1550" s="3"/>
      <c r="B1550" s="4" t="str">
        <f ca="1">IFERROR(__xludf.DUMMYFUNCTION("IFERROR(GOOGLETRANSLATE(A1550,""ko"",""en""),)"),"")</f>
        <v/>
      </c>
    </row>
    <row r="1551" spans="1:2" ht="18">
      <c r="A1551" s="3"/>
      <c r="B1551" s="4" t="str">
        <f ca="1">IFERROR(__xludf.DUMMYFUNCTION("IFERROR(GOOGLETRANSLATE(A1551,""ko"",""en""),)"),"")</f>
        <v/>
      </c>
    </row>
    <row r="1552" spans="1:2" ht="18">
      <c r="A1552" s="3"/>
      <c r="B1552" s="4" t="str">
        <f ca="1">IFERROR(__xludf.DUMMYFUNCTION("IFERROR(GOOGLETRANSLATE(A1552,""ko"",""en""),)"),"")</f>
        <v/>
      </c>
    </row>
    <row r="1553" spans="1:2" ht="18">
      <c r="A1553" s="3"/>
      <c r="B1553" s="4" t="str">
        <f ca="1">IFERROR(__xludf.DUMMYFUNCTION("IFERROR(GOOGLETRANSLATE(A1553,""ko"",""en""),)"),"")</f>
        <v/>
      </c>
    </row>
    <row r="1554" spans="1:2" ht="18">
      <c r="A1554" s="3"/>
      <c r="B1554" s="4" t="str">
        <f ca="1">IFERROR(__xludf.DUMMYFUNCTION("IFERROR(GOOGLETRANSLATE(A1554,""ko"",""en""),)"),"")</f>
        <v/>
      </c>
    </row>
    <row r="1555" spans="1:2" ht="18">
      <c r="A1555" s="3"/>
      <c r="B1555" s="4" t="str">
        <f ca="1">IFERROR(__xludf.DUMMYFUNCTION("IFERROR(GOOGLETRANSLATE(A1555,""ko"",""en""),)"),"")</f>
        <v/>
      </c>
    </row>
    <row r="1556" spans="1:2" ht="18">
      <c r="A1556" s="3"/>
      <c r="B1556" s="4" t="str">
        <f ca="1">IFERROR(__xludf.DUMMYFUNCTION("IFERROR(GOOGLETRANSLATE(A1556,""ko"",""en""),)"),"")</f>
        <v/>
      </c>
    </row>
    <row r="1557" spans="1:2" ht="18">
      <c r="A1557" s="3"/>
      <c r="B1557" s="4" t="str">
        <f ca="1">IFERROR(__xludf.DUMMYFUNCTION("IFERROR(GOOGLETRANSLATE(A1557,""ko"",""en""),)"),"")</f>
        <v/>
      </c>
    </row>
    <row r="1558" spans="1:2" ht="18">
      <c r="A1558" s="3"/>
      <c r="B1558" s="4" t="str">
        <f ca="1">IFERROR(__xludf.DUMMYFUNCTION("IFERROR(GOOGLETRANSLATE(A1558,""ko"",""en""),)"),"")</f>
        <v/>
      </c>
    </row>
    <row r="1559" spans="1:2" ht="18">
      <c r="A1559" s="3"/>
      <c r="B1559" s="4" t="str">
        <f ca="1">IFERROR(__xludf.DUMMYFUNCTION("IFERROR(GOOGLETRANSLATE(A1559,""ko"",""en""),)"),"")</f>
        <v/>
      </c>
    </row>
    <row r="1560" spans="1:2" ht="18">
      <c r="A1560" s="3"/>
      <c r="B1560" s="4" t="str">
        <f ca="1">IFERROR(__xludf.DUMMYFUNCTION("IFERROR(GOOGLETRANSLATE(A1560,""ko"",""en""),)"),"")</f>
        <v/>
      </c>
    </row>
    <row r="1561" spans="1:2" ht="18">
      <c r="A1561" s="3"/>
      <c r="B1561" s="4" t="str">
        <f ca="1">IFERROR(__xludf.DUMMYFUNCTION("IFERROR(GOOGLETRANSLATE(A1561,""ko"",""en""),)"),"")</f>
        <v/>
      </c>
    </row>
    <row r="1562" spans="1:2" ht="18">
      <c r="A1562" s="3"/>
      <c r="B1562" s="4" t="str">
        <f ca="1">IFERROR(__xludf.DUMMYFUNCTION("IFERROR(GOOGLETRANSLATE(A1562,""ko"",""en""),)"),"")</f>
        <v/>
      </c>
    </row>
    <row r="1563" spans="1:2" ht="18">
      <c r="A1563" s="3"/>
      <c r="B1563" s="4" t="str">
        <f ca="1">IFERROR(__xludf.DUMMYFUNCTION("IFERROR(GOOGLETRANSLATE(A1563,""ko"",""en""),)"),"")</f>
        <v/>
      </c>
    </row>
    <row r="1564" spans="1:2" ht="18">
      <c r="A1564" s="3"/>
      <c r="B1564" s="4" t="str">
        <f ca="1">IFERROR(__xludf.DUMMYFUNCTION("IFERROR(GOOGLETRANSLATE(A1564,""ko"",""en""),)"),"")</f>
        <v/>
      </c>
    </row>
    <row r="1565" spans="1:2" ht="18">
      <c r="A1565" s="3"/>
      <c r="B1565" s="4" t="str">
        <f ca="1">IFERROR(__xludf.DUMMYFUNCTION("IFERROR(GOOGLETRANSLATE(A1565,""ko"",""en""),)"),"")</f>
        <v/>
      </c>
    </row>
    <row r="1566" spans="1:2" ht="18">
      <c r="A1566" s="3"/>
      <c r="B1566" s="4" t="str">
        <f ca="1">IFERROR(__xludf.DUMMYFUNCTION("IFERROR(GOOGLETRANSLATE(A1566,""ko"",""en""),)"),"")</f>
        <v/>
      </c>
    </row>
    <row r="1567" spans="1:2" ht="18">
      <c r="A1567" s="3"/>
      <c r="B1567" s="4" t="str">
        <f ca="1">IFERROR(__xludf.DUMMYFUNCTION("IFERROR(GOOGLETRANSLATE(A1567,""ko"",""en""),)"),"")</f>
        <v/>
      </c>
    </row>
    <row r="1568" spans="1:2" ht="18">
      <c r="A1568" s="3"/>
      <c r="B1568" s="4" t="str">
        <f ca="1">IFERROR(__xludf.DUMMYFUNCTION("IFERROR(GOOGLETRANSLATE(A1568,""ko"",""en""),)"),"")</f>
        <v/>
      </c>
    </row>
    <row r="1569" spans="1:2" ht="18">
      <c r="A1569" s="3"/>
      <c r="B1569" s="4" t="str">
        <f ca="1">IFERROR(__xludf.DUMMYFUNCTION("IFERROR(GOOGLETRANSLATE(A1569,""ko"",""en""),)"),"")</f>
        <v/>
      </c>
    </row>
    <row r="1570" spans="1:2" ht="18">
      <c r="A1570" s="3"/>
      <c r="B1570" s="4" t="str">
        <f ca="1">IFERROR(__xludf.DUMMYFUNCTION("IFERROR(GOOGLETRANSLATE(A1570,""ko"",""en""),)"),"")</f>
        <v/>
      </c>
    </row>
    <row r="1571" spans="1:2" ht="18">
      <c r="A1571" s="3"/>
      <c r="B1571" s="4" t="str">
        <f ca="1">IFERROR(__xludf.DUMMYFUNCTION("IFERROR(GOOGLETRANSLATE(A1571,""ko"",""en""),)"),"")</f>
        <v/>
      </c>
    </row>
    <row r="1572" spans="1:2" ht="18">
      <c r="A1572" s="3"/>
      <c r="B1572" s="4" t="str">
        <f ca="1">IFERROR(__xludf.DUMMYFUNCTION("IFERROR(GOOGLETRANSLATE(A1572,""ko"",""en""),)"),"")</f>
        <v/>
      </c>
    </row>
    <row r="1573" spans="1:2" ht="18">
      <c r="A1573" s="3"/>
      <c r="B1573" s="4" t="str">
        <f ca="1">IFERROR(__xludf.DUMMYFUNCTION("IFERROR(GOOGLETRANSLATE(A1573,""ko"",""en""),)"),"")</f>
        <v/>
      </c>
    </row>
    <row r="1574" spans="1:2" ht="18">
      <c r="A1574" s="3"/>
      <c r="B1574" s="4" t="str">
        <f ca="1">IFERROR(__xludf.DUMMYFUNCTION("IFERROR(GOOGLETRANSLATE(A1574,""ko"",""en""),)"),"")</f>
        <v/>
      </c>
    </row>
    <row r="1575" spans="1:2" ht="18">
      <c r="A1575" s="3"/>
      <c r="B1575" s="4" t="str">
        <f ca="1">IFERROR(__xludf.DUMMYFUNCTION("IFERROR(GOOGLETRANSLATE(A1575,""ko"",""en""),)"),"")</f>
        <v/>
      </c>
    </row>
    <row r="1576" spans="1:2" ht="18">
      <c r="A1576" s="3"/>
      <c r="B1576" s="4" t="str">
        <f ca="1">IFERROR(__xludf.DUMMYFUNCTION("IFERROR(GOOGLETRANSLATE(A1576,""ko"",""en""),)"),"")</f>
        <v/>
      </c>
    </row>
    <row r="1577" spans="1:2" ht="18">
      <c r="A1577" s="3"/>
      <c r="B1577" s="4" t="str">
        <f ca="1">IFERROR(__xludf.DUMMYFUNCTION("IFERROR(GOOGLETRANSLATE(A1577,""ko"",""en""),)"),"")</f>
        <v/>
      </c>
    </row>
    <row r="1578" spans="1:2" ht="18">
      <c r="A1578" s="3"/>
      <c r="B1578" s="4" t="str">
        <f ca="1">IFERROR(__xludf.DUMMYFUNCTION("IFERROR(GOOGLETRANSLATE(A1578,""ko"",""en""),)"),"")</f>
        <v/>
      </c>
    </row>
    <row r="1579" spans="1:2" ht="18">
      <c r="A1579" s="3"/>
      <c r="B1579" s="4" t="str">
        <f ca="1">IFERROR(__xludf.DUMMYFUNCTION("IFERROR(GOOGLETRANSLATE(A1579,""ko"",""en""),)"),"")</f>
        <v/>
      </c>
    </row>
    <row r="1580" spans="1:2" ht="18">
      <c r="A1580" s="3"/>
      <c r="B1580" s="4" t="str">
        <f ca="1">IFERROR(__xludf.DUMMYFUNCTION("IFERROR(GOOGLETRANSLATE(A1580,""ko"",""en""),)"),"")</f>
        <v/>
      </c>
    </row>
    <row r="1581" spans="1:2" ht="18">
      <c r="A1581" s="3"/>
      <c r="B1581" s="4" t="str">
        <f ca="1">IFERROR(__xludf.DUMMYFUNCTION("IFERROR(GOOGLETRANSLATE(A1581,""ko"",""en""),)"),"")</f>
        <v/>
      </c>
    </row>
    <row r="1582" spans="1:2" ht="18">
      <c r="A1582" s="3"/>
      <c r="B1582" s="4" t="str">
        <f ca="1">IFERROR(__xludf.DUMMYFUNCTION("IFERROR(GOOGLETRANSLATE(A1582,""ko"",""en""),)"),"")</f>
        <v/>
      </c>
    </row>
    <row r="1583" spans="1:2" ht="18">
      <c r="A1583" s="3"/>
      <c r="B1583" s="4" t="str">
        <f ca="1">IFERROR(__xludf.DUMMYFUNCTION("IFERROR(GOOGLETRANSLATE(A1583,""ko"",""en""),)"),"")</f>
        <v/>
      </c>
    </row>
    <row r="1584" spans="1:2" ht="18">
      <c r="A1584" s="3"/>
      <c r="B1584" s="4" t="str">
        <f ca="1">IFERROR(__xludf.DUMMYFUNCTION("IFERROR(GOOGLETRANSLATE(A1584,""ko"",""en""),)"),"")</f>
        <v/>
      </c>
    </row>
    <row r="1585" spans="1:2" ht="18">
      <c r="A1585" s="3"/>
      <c r="B1585" s="4" t="str">
        <f ca="1">IFERROR(__xludf.DUMMYFUNCTION("IFERROR(GOOGLETRANSLATE(A1585,""ko"",""en""),)"),"")</f>
        <v/>
      </c>
    </row>
    <row r="1586" spans="1:2" ht="18">
      <c r="A1586" s="3"/>
      <c r="B1586" s="4" t="str">
        <f ca="1">IFERROR(__xludf.DUMMYFUNCTION("IFERROR(GOOGLETRANSLATE(A1586,""ko"",""en""),)"),"")</f>
        <v/>
      </c>
    </row>
    <row r="1587" spans="1:2" ht="18">
      <c r="A1587" s="3"/>
      <c r="B1587" s="4" t="str">
        <f ca="1">IFERROR(__xludf.DUMMYFUNCTION("IFERROR(GOOGLETRANSLATE(A1587,""ko"",""en""),)"),"")</f>
        <v/>
      </c>
    </row>
    <row r="1588" spans="1:2" ht="18">
      <c r="A1588" s="3"/>
      <c r="B1588" s="4" t="str">
        <f ca="1">IFERROR(__xludf.DUMMYFUNCTION("IFERROR(GOOGLETRANSLATE(A1588,""ko"",""en""),)"),"")</f>
        <v/>
      </c>
    </row>
    <row r="1589" spans="1:2" ht="18">
      <c r="A1589" s="3"/>
      <c r="B1589" s="4" t="str">
        <f ca="1">IFERROR(__xludf.DUMMYFUNCTION("IFERROR(GOOGLETRANSLATE(A1589,""ko"",""en""),)"),"")</f>
        <v/>
      </c>
    </row>
    <row r="1590" spans="1:2" ht="18">
      <c r="A1590" s="3"/>
      <c r="B1590" s="4" t="str">
        <f ca="1">IFERROR(__xludf.DUMMYFUNCTION("IFERROR(GOOGLETRANSLATE(A1590,""ko"",""en""),)"),"")</f>
        <v/>
      </c>
    </row>
    <row r="1591" spans="1:2" ht="18">
      <c r="A1591" s="3"/>
      <c r="B1591" s="4" t="str">
        <f ca="1">IFERROR(__xludf.DUMMYFUNCTION("IFERROR(GOOGLETRANSLATE(A1591,""ko"",""en""),)"),"")</f>
        <v/>
      </c>
    </row>
    <row r="1592" spans="1:2" ht="18">
      <c r="A1592" s="3"/>
      <c r="B1592" s="4" t="str">
        <f ca="1">IFERROR(__xludf.DUMMYFUNCTION("IFERROR(GOOGLETRANSLATE(A1592,""ko"",""en""),)"),"")</f>
        <v/>
      </c>
    </row>
    <row r="1593" spans="1:2" ht="18">
      <c r="A1593" s="3"/>
      <c r="B1593" s="4" t="str">
        <f ca="1">IFERROR(__xludf.DUMMYFUNCTION("IFERROR(GOOGLETRANSLATE(A1593,""ko"",""en""),)"),"")</f>
        <v/>
      </c>
    </row>
    <row r="1594" spans="1:2" ht="18">
      <c r="A1594" s="3"/>
      <c r="B1594" s="4" t="str">
        <f ca="1">IFERROR(__xludf.DUMMYFUNCTION("IFERROR(GOOGLETRANSLATE(A1594,""ko"",""en""),)"),"")</f>
        <v/>
      </c>
    </row>
    <row r="1595" spans="1:2" ht="18">
      <c r="A1595" s="3"/>
      <c r="B1595" s="4" t="str">
        <f ca="1">IFERROR(__xludf.DUMMYFUNCTION("IFERROR(GOOGLETRANSLATE(A1595,""ko"",""en""),)"),"")</f>
        <v/>
      </c>
    </row>
    <row r="1596" spans="1:2" ht="18">
      <c r="A1596" s="3"/>
      <c r="B1596" s="4" t="str">
        <f ca="1">IFERROR(__xludf.DUMMYFUNCTION("IFERROR(GOOGLETRANSLATE(A1596,""ko"",""en""),)"),"")</f>
        <v/>
      </c>
    </row>
    <row r="1597" spans="1:2" ht="18">
      <c r="A1597" s="3"/>
      <c r="B1597" s="4" t="str">
        <f ca="1">IFERROR(__xludf.DUMMYFUNCTION("IFERROR(GOOGLETRANSLATE(A1597,""ko"",""en""),)"),"")</f>
        <v/>
      </c>
    </row>
    <row r="1598" spans="1:2" ht="18">
      <c r="A1598" s="3"/>
      <c r="B1598" s="4" t="str">
        <f ca="1">IFERROR(__xludf.DUMMYFUNCTION("IFERROR(GOOGLETRANSLATE(A1598,""ko"",""en""),)"),"")</f>
        <v/>
      </c>
    </row>
    <row r="1599" spans="1:2" ht="18">
      <c r="A1599" s="3"/>
      <c r="B1599" s="4" t="str">
        <f ca="1">IFERROR(__xludf.DUMMYFUNCTION("IFERROR(GOOGLETRANSLATE(A1599,""ko"",""en""),)"),"")</f>
        <v/>
      </c>
    </row>
    <row r="1600" spans="1:2" ht="18">
      <c r="A1600" s="3"/>
      <c r="B1600" s="4" t="str">
        <f ca="1">IFERROR(__xludf.DUMMYFUNCTION("IFERROR(GOOGLETRANSLATE(A1600,""ko"",""en""),)"),"")</f>
        <v/>
      </c>
    </row>
    <row r="1601" spans="1:2" ht="18">
      <c r="A1601" s="3"/>
      <c r="B1601" s="4" t="str">
        <f ca="1">IFERROR(__xludf.DUMMYFUNCTION("IFERROR(GOOGLETRANSLATE(A1601,""ko"",""en""),)"),"")</f>
        <v/>
      </c>
    </row>
    <row r="1602" spans="1:2" ht="18">
      <c r="A1602" s="3"/>
      <c r="B1602" s="4" t="str">
        <f ca="1">IFERROR(__xludf.DUMMYFUNCTION("IFERROR(GOOGLETRANSLATE(A1602,""ko"",""en""),)"),"")</f>
        <v/>
      </c>
    </row>
    <row r="1603" spans="1:2" ht="18">
      <c r="A1603" s="3"/>
      <c r="B1603" s="4" t="str">
        <f ca="1">IFERROR(__xludf.DUMMYFUNCTION("IFERROR(GOOGLETRANSLATE(A1603,""ko"",""en""),)"),"")</f>
        <v/>
      </c>
    </row>
    <row r="1604" spans="1:2" ht="18">
      <c r="A1604" s="3"/>
      <c r="B1604" s="4" t="str">
        <f ca="1">IFERROR(__xludf.DUMMYFUNCTION("IFERROR(GOOGLETRANSLATE(A1604,""ko"",""en""),)"),"")</f>
        <v/>
      </c>
    </row>
    <row r="1605" spans="1:2" ht="18">
      <c r="A1605" s="3"/>
      <c r="B1605" s="4" t="str">
        <f ca="1">IFERROR(__xludf.DUMMYFUNCTION("IFERROR(GOOGLETRANSLATE(A1605,""ko"",""en""),)"),"")</f>
        <v/>
      </c>
    </row>
    <row r="1606" spans="1:2" ht="18">
      <c r="A1606" s="3"/>
      <c r="B1606" s="4" t="str">
        <f ca="1">IFERROR(__xludf.DUMMYFUNCTION("IFERROR(GOOGLETRANSLATE(A1606,""ko"",""en""),)"),"")</f>
        <v/>
      </c>
    </row>
    <row r="1607" spans="1:2" ht="18">
      <c r="A1607" s="3"/>
      <c r="B1607" s="4" t="str">
        <f ca="1">IFERROR(__xludf.DUMMYFUNCTION("IFERROR(GOOGLETRANSLATE(A1607,""ko"",""en""),)"),"")</f>
        <v/>
      </c>
    </row>
    <row r="1608" spans="1:2" ht="18">
      <c r="A1608" s="3"/>
      <c r="B1608" s="4" t="str">
        <f ca="1">IFERROR(__xludf.DUMMYFUNCTION("IFERROR(GOOGLETRANSLATE(A1608,""ko"",""en""),)"),"")</f>
        <v/>
      </c>
    </row>
    <row r="1609" spans="1:2" ht="18">
      <c r="A1609" s="3"/>
      <c r="B1609" s="4" t="str">
        <f ca="1">IFERROR(__xludf.DUMMYFUNCTION("IFERROR(GOOGLETRANSLATE(A1609,""ko"",""en""),)"),"")</f>
        <v/>
      </c>
    </row>
    <row r="1610" spans="1:2" ht="18">
      <c r="A1610" s="3"/>
      <c r="B1610" s="4" t="str">
        <f ca="1">IFERROR(__xludf.DUMMYFUNCTION("IFERROR(GOOGLETRANSLATE(A1610,""ko"",""en""),)"),"")</f>
        <v/>
      </c>
    </row>
    <row r="1611" spans="1:2" ht="18">
      <c r="A1611" s="3"/>
      <c r="B1611" s="4" t="str">
        <f ca="1">IFERROR(__xludf.DUMMYFUNCTION("IFERROR(GOOGLETRANSLATE(A1611,""ko"",""en""),)"),"")</f>
        <v/>
      </c>
    </row>
    <row r="1612" spans="1:2" ht="18">
      <c r="A1612" s="3"/>
      <c r="B1612" s="4" t="str">
        <f ca="1">IFERROR(__xludf.DUMMYFUNCTION("IFERROR(GOOGLETRANSLATE(A1612,""ko"",""en""),)"),"")</f>
        <v/>
      </c>
    </row>
    <row r="1613" spans="1:2" ht="18">
      <c r="A1613" s="3"/>
      <c r="B1613" s="4" t="str">
        <f ca="1">IFERROR(__xludf.DUMMYFUNCTION("IFERROR(GOOGLETRANSLATE(A1613,""ko"",""en""),)"),"")</f>
        <v/>
      </c>
    </row>
    <row r="1614" spans="1:2" ht="18">
      <c r="A1614" s="3"/>
      <c r="B1614" s="4" t="str">
        <f ca="1">IFERROR(__xludf.DUMMYFUNCTION("IFERROR(GOOGLETRANSLATE(A1614,""ko"",""en""),)"),"")</f>
        <v/>
      </c>
    </row>
    <row r="1615" spans="1:2" ht="18">
      <c r="A1615" s="3"/>
      <c r="B1615" s="4" t="str">
        <f ca="1">IFERROR(__xludf.DUMMYFUNCTION("IFERROR(GOOGLETRANSLATE(A1615,""ko"",""en""),)"),"")</f>
        <v/>
      </c>
    </row>
    <row r="1616" spans="1:2" ht="18">
      <c r="A1616" s="3"/>
      <c r="B1616" s="4" t="str">
        <f ca="1">IFERROR(__xludf.DUMMYFUNCTION("IFERROR(GOOGLETRANSLATE(A1616,""ko"",""en""),)"),"")</f>
        <v/>
      </c>
    </row>
    <row r="1617" spans="1:2" ht="18">
      <c r="A1617" s="3"/>
      <c r="B1617" s="4" t="str">
        <f ca="1">IFERROR(__xludf.DUMMYFUNCTION("IFERROR(GOOGLETRANSLATE(A1617,""ko"",""en""),)"),"")</f>
        <v/>
      </c>
    </row>
    <row r="1618" spans="1:2" ht="18">
      <c r="A1618" s="3"/>
      <c r="B1618" s="4" t="str">
        <f ca="1">IFERROR(__xludf.DUMMYFUNCTION("IFERROR(GOOGLETRANSLATE(A1618,""ko"",""en""),)"),"")</f>
        <v/>
      </c>
    </row>
    <row r="1619" spans="1:2" ht="18">
      <c r="A1619" s="3"/>
      <c r="B1619" s="4" t="str">
        <f ca="1">IFERROR(__xludf.DUMMYFUNCTION("IFERROR(GOOGLETRANSLATE(A1619,""ko"",""en""),)"),"")</f>
        <v/>
      </c>
    </row>
    <row r="1620" spans="1:2" ht="18">
      <c r="A1620" s="3"/>
      <c r="B1620" s="4" t="str">
        <f ca="1">IFERROR(__xludf.DUMMYFUNCTION("IFERROR(GOOGLETRANSLATE(A1620,""ko"",""en""),)"),"")</f>
        <v/>
      </c>
    </row>
    <row r="1621" spans="1:2" ht="18">
      <c r="A1621" s="3"/>
      <c r="B1621" s="4" t="str">
        <f ca="1">IFERROR(__xludf.DUMMYFUNCTION("IFERROR(GOOGLETRANSLATE(A1621,""ko"",""en""),)"),"")</f>
        <v/>
      </c>
    </row>
    <row r="1622" spans="1:2" ht="18">
      <c r="A1622" s="3"/>
      <c r="B1622" s="4" t="str">
        <f ca="1">IFERROR(__xludf.DUMMYFUNCTION("IFERROR(GOOGLETRANSLATE(A1622,""ko"",""en""),)"),"")</f>
        <v/>
      </c>
    </row>
    <row r="1623" spans="1:2" ht="18">
      <c r="A1623" s="3"/>
      <c r="B1623" s="4" t="str">
        <f ca="1">IFERROR(__xludf.DUMMYFUNCTION("IFERROR(GOOGLETRANSLATE(A1623,""ko"",""en""),)"),"")</f>
        <v/>
      </c>
    </row>
    <row r="1624" spans="1:2" ht="18">
      <c r="A1624" s="3"/>
      <c r="B1624" s="4" t="str">
        <f ca="1">IFERROR(__xludf.DUMMYFUNCTION("IFERROR(GOOGLETRANSLATE(A1624,""ko"",""en""),)"),"")</f>
        <v/>
      </c>
    </row>
    <row r="1625" spans="1:2" ht="18">
      <c r="A1625" s="3"/>
      <c r="B1625" s="4" t="str">
        <f ca="1">IFERROR(__xludf.DUMMYFUNCTION("IFERROR(GOOGLETRANSLATE(A1625,""ko"",""en""),)"),"")</f>
        <v/>
      </c>
    </row>
    <row r="1626" spans="1:2" ht="18">
      <c r="A1626" s="3"/>
      <c r="B1626" s="4" t="str">
        <f ca="1">IFERROR(__xludf.DUMMYFUNCTION("IFERROR(GOOGLETRANSLATE(A1626,""ko"",""en""),)"),"")</f>
        <v/>
      </c>
    </row>
    <row r="1627" spans="1:2" ht="18">
      <c r="A1627" s="3"/>
      <c r="B1627" s="4" t="str">
        <f ca="1">IFERROR(__xludf.DUMMYFUNCTION("IFERROR(GOOGLETRANSLATE(A1627,""ko"",""en""),)"),"")</f>
        <v/>
      </c>
    </row>
    <row r="1628" spans="1:2" ht="18">
      <c r="A1628" s="3"/>
      <c r="B1628" s="4" t="str">
        <f ca="1">IFERROR(__xludf.DUMMYFUNCTION("IFERROR(GOOGLETRANSLATE(A1628,""ko"",""en""),)"),"")</f>
        <v/>
      </c>
    </row>
    <row r="1629" spans="1:2" ht="18">
      <c r="A1629" s="3"/>
      <c r="B1629" s="4" t="str">
        <f ca="1">IFERROR(__xludf.DUMMYFUNCTION("IFERROR(GOOGLETRANSLATE(A1629,""ko"",""en""),)"),"")</f>
        <v/>
      </c>
    </row>
    <row r="1630" spans="1:2" ht="18">
      <c r="A1630" s="3"/>
      <c r="B1630" s="4" t="str">
        <f ca="1">IFERROR(__xludf.DUMMYFUNCTION("IFERROR(GOOGLETRANSLATE(A1630,""ko"",""en""),)"),"")</f>
        <v/>
      </c>
    </row>
    <row r="1631" spans="1:2" ht="18">
      <c r="A1631" s="3"/>
      <c r="B1631" s="4" t="str">
        <f ca="1">IFERROR(__xludf.DUMMYFUNCTION("IFERROR(GOOGLETRANSLATE(A1631,""ko"",""en""),)"),"")</f>
        <v/>
      </c>
    </row>
    <row r="1632" spans="1:2" ht="18">
      <c r="A1632" s="3"/>
      <c r="B1632" s="4" t="str">
        <f ca="1">IFERROR(__xludf.DUMMYFUNCTION("IFERROR(GOOGLETRANSLATE(A1632,""ko"",""en""),)"),"")</f>
        <v/>
      </c>
    </row>
    <row r="1633" spans="1:2" ht="18">
      <c r="A1633" s="3"/>
      <c r="B1633" s="4" t="str">
        <f ca="1">IFERROR(__xludf.DUMMYFUNCTION("IFERROR(GOOGLETRANSLATE(A1633,""ko"",""en""),)"),"")</f>
        <v/>
      </c>
    </row>
    <row r="1634" spans="1:2" ht="18">
      <c r="A1634" s="3"/>
      <c r="B1634" s="4" t="str">
        <f ca="1">IFERROR(__xludf.DUMMYFUNCTION("IFERROR(GOOGLETRANSLATE(A1634,""ko"",""en""),)"),"")</f>
        <v/>
      </c>
    </row>
    <row r="1635" spans="1:2" ht="18">
      <c r="A1635" s="3"/>
      <c r="B1635" s="4" t="str">
        <f ca="1">IFERROR(__xludf.DUMMYFUNCTION("IFERROR(GOOGLETRANSLATE(A1635,""ko"",""en""),)"),"")</f>
        <v/>
      </c>
    </row>
    <row r="1636" spans="1:2" ht="18">
      <c r="A1636" s="3"/>
      <c r="B1636" s="4" t="str">
        <f ca="1">IFERROR(__xludf.DUMMYFUNCTION("IFERROR(GOOGLETRANSLATE(A1636,""ko"",""en""),)"),"")</f>
        <v/>
      </c>
    </row>
    <row r="1637" spans="1:2" ht="18">
      <c r="A1637" s="3"/>
      <c r="B1637" s="4" t="str">
        <f ca="1">IFERROR(__xludf.DUMMYFUNCTION("IFERROR(GOOGLETRANSLATE(A1637,""ko"",""en""),)"),"")</f>
        <v/>
      </c>
    </row>
    <row r="1638" spans="1:2" ht="18">
      <c r="A1638" s="3"/>
      <c r="B1638" s="4" t="str">
        <f ca="1">IFERROR(__xludf.DUMMYFUNCTION("IFERROR(GOOGLETRANSLATE(A1638,""ko"",""en""),)"),"")</f>
        <v/>
      </c>
    </row>
    <row r="1639" spans="1:2" ht="18">
      <c r="A1639" s="3"/>
      <c r="B1639" s="4" t="str">
        <f ca="1">IFERROR(__xludf.DUMMYFUNCTION("IFERROR(GOOGLETRANSLATE(A1639,""ko"",""en""),)"),"")</f>
        <v/>
      </c>
    </row>
    <row r="1640" spans="1:2" ht="18">
      <c r="A1640" s="3"/>
      <c r="B1640" s="4" t="str">
        <f ca="1">IFERROR(__xludf.DUMMYFUNCTION("IFERROR(GOOGLETRANSLATE(A1640,""ko"",""en""),)"),"")</f>
        <v/>
      </c>
    </row>
    <row r="1641" spans="1:2" ht="18">
      <c r="A1641" s="3"/>
      <c r="B1641" s="4" t="str">
        <f ca="1">IFERROR(__xludf.DUMMYFUNCTION("IFERROR(GOOGLETRANSLATE(A1641,""ko"",""en""),)"),"")</f>
        <v/>
      </c>
    </row>
    <row r="1642" spans="1:2" ht="18">
      <c r="A1642" s="3"/>
      <c r="B1642" s="4" t="str">
        <f ca="1">IFERROR(__xludf.DUMMYFUNCTION("IFERROR(GOOGLETRANSLATE(A1642,""ko"",""en""),)"),"")</f>
        <v/>
      </c>
    </row>
    <row r="1643" spans="1:2" ht="18">
      <c r="A1643" s="3"/>
      <c r="B1643" s="4" t="str">
        <f ca="1">IFERROR(__xludf.DUMMYFUNCTION("IFERROR(GOOGLETRANSLATE(A1643,""ko"",""en""),)"),"")</f>
        <v/>
      </c>
    </row>
    <row r="1644" spans="1:2" ht="18">
      <c r="A1644" s="3"/>
      <c r="B1644" s="4" t="str">
        <f ca="1">IFERROR(__xludf.DUMMYFUNCTION("IFERROR(GOOGLETRANSLATE(A1644,""ko"",""en""),)"),"")</f>
        <v/>
      </c>
    </row>
    <row r="1645" spans="1:2" ht="18">
      <c r="A1645" s="3"/>
      <c r="B1645" s="4" t="str">
        <f ca="1">IFERROR(__xludf.DUMMYFUNCTION("IFERROR(GOOGLETRANSLATE(A1645,""ko"",""en""),)"),"")</f>
        <v/>
      </c>
    </row>
    <row r="1646" spans="1:2" ht="18">
      <c r="A1646" s="3"/>
      <c r="B1646" s="4" t="str">
        <f ca="1">IFERROR(__xludf.DUMMYFUNCTION("IFERROR(GOOGLETRANSLATE(A1646,""ko"",""en""),)"),"")</f>
        <v/>
      </c>
    </row>
    <row r="1647" spans="1:2" ht="18">
      <c r="A1647" s="3"/>
      <c r="B1647" s="4" t="str">
        <f ca="1">IFERROR(__xludf.DUMMYFUNCTION("IFERROR(GOOGLETRANSLATE(A1647,""ko"",""en""),)"),"")</f>
        <v/>
      </c>
    </row>
    <row r="1648" spans="1:2" ht="18">
      <c r="A1648" s="3"/>
      <c r="B1648" s="4" t="str">
        <f ca="1">IFERROR(__xludf.DUMMYFUNCTION("IFERROR(GOOGLETRANSLATE(A1648,""ko"",""en""),)"),"")</f>
        <v/>
      </c>
    </row>
    <row r="1649" spans="1:2" ht="18">
      <c r="A1649" s="3"/>
      <c r="B1649" s="4" t="str">
        <f ca="1">IFERROR(__xludf.DUMMYFUNCTION("IFERROR(GOOGLETRANSLATE(A1649,""ko"",""en""),)"),"")</f>
        <v/>
      </c>
    </row>
    <row r="1650" spans="1:2" ht="18">
      <c r="A1650" s="3"/>
      <c r="B1650" s="4" t="str">
        <f ca="1">IFERROR(__xludf.DUMMYFUNCTION("IFERROR(GOOGLETRANSLATE(A1650,""ko"",""en""),)"),"")</f>
        <v/>
      </c>
    </row>
    <row r="1651" spans="1:2" ht="18">
      <c r="A1651" s="3"/>
      <c r="B1651" s="4" t="str">
        <f ca="1">IFERROR(__xludf.DUMMYFUNCTION("IFERROR(GOOGLETRANSLATE(A1651,""ko"",""en""),)"),"")</f>
        <v/>
      </c>
    </row>
    <row r="1652" spans="1:2" ht="18">
      <c r="A1652" s="3"/>
      <c r="B1652" s="4" t="str">
        <f ca="1">IFERROR(__xludf.DUMMYFUNCTION("IFERROR(GOOGLETRANSLATE(A1652,""ko"",""en""),)"),"")</f>
        <v/>
      </c>
    </row>
    <row r="1653" spans="1:2" ht="18">
      <c r="A1653" s="3"/>
      <c r="B1653" s="4" t="str">
        <f ca="1">IFERROR(__xludf.DUMMYFUNCTION("IFERROR(GOOGLETRANSLATE(A1653,""ko"",""en""),)"),"")</f>
        <v/>
      </c>
    </row>
    <row r="1654" spans="1:2" ht="18">
      <c r="A1654" s="3"/>
      <c r="B1654" s="4" t="str">
        <f ca="1">IFERROR(__xludf.DUMMYFUNCTION("IFERROR(GOOGLETRANSLATE(A1654,""ko"",""en""),)"),"")</f>
        <v/>
      </c>
    </row>
    <row r="1655" spans="1:2" ht="18">
      <c r="A1655" s="3"/>
      <c r="B1655" s="4" t="str">
        <f ca="1">IFERROR(__xludf.DUMMYFUNCTION("IFERROR(GOOGLETRANSLATE(A1655,""ko"",""en""),)"),"")</f>
        <v/>
      </c>
    </row>
    <row r="1656" spans="1:2" ht="18">
      <c r="A1656" s="3"/>
      <c r="B1656" s="4" t="str">
        <f ca="1">IFERROR(__xludf.DUMMYFUNCTION("IFERROR(GOOGLETRANSLATE(A1656,""ko"",""en""),)"),"")</f>
        <v/>
      </c>
    </row>
    <row r="1657" spans="1:2" ht="18">
      <c r="A1657" s="3"/>
      <c r="B1657" s="4" t="str">
        <f ca="1">IFERROR(__xludf.DUMMYFUNCTION("IFERROR(GOOGLETRANSLATE(A1657,""ko"",""en""),)"),"")</f>
        <v/>
      </c>
    </row>
    <row r="1658" spans="1:2" ht="18">
      <c r="A1658" s="3"/>
      <c r="B1658" s="4" t="str">
        <f ca="1">IFERROR(__xludf.DUMMYFUNCTION("IFERROR(GOOGLETRANSLATE(A1658,""ko"",""en""),)"),"")</f>
        <v/>
      </c>
    </row>
    <row r="1659" spans="1:2" ht="18">
      <c r="A1659" s="3"/>
      <c r="B1659" s="4" t="str">
        <f ca="1">IFERROR(__xludf.DUMMYFUNCTION("IFERROR(GOOGLETRANSLATE(A1659,""ko"",""en""),)"),"")</f>
        <v/>
      </c>
    </row>
    <row r="1660" spans="1:2" ht="18">
      <c r="A1660" s="3"/>
      <c r="B1660" s="4" t="str">
        <f ca="1">IFERROR(__xludf.DUMMYFUNCTION("IFERROR(GOOGLETRANSLATE(A1660,""ko"",""en""),)"),"")</f>
        <v/>
      </c>
    </row>
    <row r="1661" spans="1:2" ht="18">
      <c r="A1661" s="3"/>
      <c r="B1661" s="4" t="str">
        <f ca="1">IFERROR(__xludf.DUMMYFUNCTION("IFERROR(GOOGLETRANSLATE(A1661,""ko"",""en""),)"),"")</f>
        <v/>
      </c>
    </row>
    <row r="1662" spans="1:2" ht="18">
      <c r="A1662" s="3"/>
      <c r="B1662" s="4" t="str">
        <f ca="1">IFERROR(__xludf.DUMMYFUNCTION("IFERROR(GOOGLETRANSLATE(A1662,""ko"",""en""),)"),"")</f>
        <v/>
      </c>
    </row>
    <row r="1663" spans="1:2" ht="18">
      <c r="A1663" s="3"/>
      <c r="B1663" s="4" t="str">
        <f ca="1">IFERROR(__xludf.DUMMYFUNCTION("IFERROR(GOOGLETRANSLATE(A1663,""ko"",""en""),)"),"")</f>
        <v/>
      </c>
    </row>
    <row r="1664" spans="1:2" ht="18">
      <c r="A1664" s="3"/>
      <c r="B1664" s="4" t="str">
        <f ca="1">IFERROR(__xludf.DUMMYFUNCTION("IFERROR(GOOGLETRANSLATE(A1664,""ko"",""en""),)"),"")</f>
        <v/>
      </c>
    </row>
    <row r="1665" spans="1:2" ht="18">
      <c r="A1665" s="3"/>
      <c r="B1665" s="4" t="str">
        <f ca="1">IFERROR(__xludf.DUMMYFUNCTION("IFERROR(GOOGLETRANSLATE(A1665,""ko"",""en""),)"),"")</f>
        <v/>
      </c>
    </row>
    <row r="1666" spans="1:2" ht="18">
      <c r="A1666" s="3"/>
      <c r="B1666" s="4" t="str">
        <f ca="1">IFERROR(__xludf.DUMMYFUNCTION("IFERROR(GOOGLETRANSLATE(A1666,""ko"",""en""),)"),"")</f>
        <v/>
      </c>
    </row>
    <row r="1667" spans="1:2" ht="18">
      <c r="A1667" s="3"/>
      <c r="B1667" s="4" t="str">
        <f ca="1">IFERROR(__xludf.DUMMYFUNCTION("IFERROR(GOOGLETRANSLATE(A1667,""ko"",""en""),)"),"")</f>
        <v/>
      </c>
    </row>
    <row r="1668" spans="1:2" ht="18">
      <c r="A1668" s="3"/>
      <c r="B1668" s="4" t="str">
        <f ca="1">IFERROR(__xludf.DUMMYFUNCTION("IFERROR(GOOGLETRANSLATE(A1668,""ko"",""en""),)"),"")</f>
        <v/>
      </c>
    </row>
    <row r="1669" spans="1:2" ht="18">
      <c r="A1669" s="3"/>
      <c r="B1669" s="4" t="str">
        <f ca="1">IFERROR(__xludf.DUMMYFUNCTION("IFERROR(GOOGLETRANSLATE(A1669,""ko"",""en""),)"),"")</f>
        <v/>
      </c>
    </row>
    <row r="1670" spans="1:2" ht="18">
      <c r="A1670" s="3"/>
      <c r="B1670" s="4" t="str">
        <f ca="1">IFERROR(__xludf.DUMMYFUNCTION("IFERROR(GOOGLETRANSLATE(A1670,""ko"",""en""),)"),"")</f>
        <v/>
      </c>
    </row>
    <row r="1671" spans="1:2" ht="18">
      <c r="A1671" s="3"/>
      <c r="B1671" s="4" t="str">
        <f ca="1">IFERROR(__xludf.DUMMYFUNCTION("IFERROR(GOOGLETRANSLATE(A1671,""ko"",""en""),)"),"")</f>
        <v/>
      </c>
    </row>
    <row r="1672" spans="1:2" ht="18">
      <c r="A1672" s="3"/>
      <c r="B1672" s="4" t="str">
        <f ca="1">IFERROR(__xludf.DUMMYFUNCTION("IFERROR(GOOGLETRANSLATE(A1672,""ko"",""en""),)"),"")</f>
        <v/>
      </c>
    </row>
    <row r="1673" spans="1:2" ht="18">
      <c r="A1673" s="3"/>
      <c r="B1673" s="4" t="str">
        <f ca="1">IFERROR(__xludf.DUMMYFUNCTION("IFERROR(GOOGLETRANSLATE(A1673,""ko"",""en""),)"),"")</f>
        <v/>
      </c>
    </row>
    <row r="1674" spans="1:2" ht="18">
      <c r="A1674" s="3"/>
      <c r="B1674" s="4" t="str">
        <f ca="1">IFERROR(__xludf.DUMMYFUNCTION("IFERROR(GOOGLETRANSLATE(A1674,""ko"",""en""),)"),"")</f>
        <v/>
      </c>
    </row>
    <row r="1675" spans="1:2" ht="18">
      <c r="A1675" s="3"/>
      <c r="B1675" s="4" t="str">
        <f ca="1">IFERROR(__xludf.DUMMYFUNCTION("IFERROR(GOOGLETRANSLATE(A1675,""ko"",""en""),)"),"")</f>
        <v/>
      </c>
    </row>
    <row r="1676" spans="1:2" ht="18">
      <c r="A1676" s="3"/>
      <c r="B1676" s="4" t="str">
        <f ca="1">IFERROR(__xludf.DUMMYFUNCTION("IFERROR(GOOGLETRANSLATE(A1676,""ko"",""en""),)"),"")</f>
        <v/>
      </c>
    </row>
    <row r="1677" spans="1:2" ht="18">
      <c r="A1677" s="3"/>
      <c r="B1677" s="4" t="str">
        <f ca="1">IFERROR(__xludf.DUMMYFUNCTION("IFERROR(GOOGLETRANSLATE(A1677,""ko"",""en""),)"),"")</f>
        <v/>
      </c>
    </row>
    <row r="1678" spans="1:2" ht="18">
      <c r="A1678" s="3"/>
      <c r="B1678" s="4" t="str">
        <f ca="1">IFERROR(__xludf.DUMMYFUNCTION("IFERROR(GOOGLETRANSLATE(A1678,""ko"",""en""),)"),"")</f>
        <v/>
      </c>
    </row>
    <row r="1679" spans="1:2" ht="18">
      <c r="A1679" s="3"/>
      <c r="B1679" s="4" t="str">
        <f ca="1">IFERROR(__xludf.DUMMYFUNCTION("IFERROR(GOOGLETRANSLATE(A1679,""ko"",""en""),)"),"")</f>
        <v/>
      </c>
    </row>
    <row r="1680" spans="1:2" ht="18">
      <c r="A1680" s="3"/>
      <c r="B1680" s="4" t="str">
        <f ca="1">IFERROR(__xludf.DUMMYFUNCTION("IFERROR(GOOGLETRANSLATE(A1680,""ko"",""en""),)"),"")</f>
        <v/>
      </c>
    </row>
    <row r="1681" spans="1:2" ht="18">
      <c r="A1681" s="3"/>
      <c r="B1681" s="4" t="str">
        <f ca="1">IFERROR(__xludf.DUMMYFUNCTION("IFERROR(GOOGLETRANSLATE(A1681,""ko"",""en""),)"),"")</f>
        <v/>
      </c>
    </row>
    <row r="1682" spans="1:2" ht="18">
      <c r="A1682" s="3"/>
      <c r="B1682" s="4" t="str">
        <f ca="1">IFERROR(__xludf.DUMMYFUNCTION("IFERROR(GOOGLETRANSLATE(A1682,""ko"",""en""),)"),"")</f>
        <v/>
      </c>
    </row>
    <row r="1683" spans="1:2" ht="18">
      <c r="A1683" s="3"/>
      <c r="B1683" s="4" t="str">
        <f ca="1">IFERROR(__xludf.DUMMYFUNCTION("IFERROR(GOOGLETRANSLATE(A1683,""ko"",""en""),)"),"")</f>
        <v/>
      </c>
    </row>
    <row r="1684" spans="1:2" ht="18">
      <c r="A1684" s="3"/>
      <c r="B1684" s="4" t="str">
        <f ca="1">IFERROR(__xludf.DUMMYFUNCTION("IFERROR(GOOGLETRANSLATE(A1684,""ko"",""en""),)"),"")</f>
        <v/>
      </c>
    </row>
    <row r="1685" spans="1:2" ht="18">
      <c r="A1685" s="3"/>
      <c r="B1685" s="4" t="str">
        <f ca="1">IFERROR(__xludf.DUMMYFUNCTION("IFERROR(GOOGLETRANSLATE(A1685,""ko"",""en""),)"),"")</f>
        <v/>
      </c>
    </row>
    <row r="1686" spans="1:2" ht="18">
      <c r="A1686" s="3"/>
      <c r="B1686" s="4" t="str">
        <f ca="1">IFERROR(__xludf.DUMMYFUNCTION("IFERROR(GOOGLETRANSLATE(A1686,""ko"",""en""),)"),"")</f>
        <v/>
      </c>
    </row>
    <row r="1687" spans="1:2" ht="18">
      <c r="A1687" s="3"/>
      <c r="B1687" s="4" t="str">
        <f ca="1">IFERROR(__xludf.DUMMYFUNCTION("IFERROR(GOOGLETRANSLATE(A1687,""ko"",""en""),)"),"")</f>
        <v/>
      </c>
    </row>
    <row r="1688" spans="1:2" ht="18">
      <c r="A1688" s="3"/>
      <c r="B1688" s="4" t="str">
        <f ca="1">IFERROR(__xludf.DUMMYFUNCTION("IFERROR(GOOGLETRANSLATE(A1688,""ko"",""en""),)"),"")</f>
        <v/>
      </c>
    </row>
    <row r="1689" spans="1:2" ht="18">
      <c r="A1689" s="3"/>
      <c r="B1689" s="4" t="str">
        <f ca="1">IFERROR(__xludf.DUMMYFUNCTION("IFERROR(GOOGLETRANSLATE(A1689,""ko"",""en""),)"),"")</f>
        <v/>
      </c>
    </row>
    <row r="1690" spans="1:2" ht="18">
      <c r="A1690" s="3"/>
      <c r="B1690" s="4" t="str">
        <f ca="1">IFERROR(__xludf.DUMMYFUNCTION("IFERROR(GOOGLETRANSLATE(A1690,""ko"",""en""),)"),"")</f>
        <v/>
      </c>
    </row>
    <row r="1691" spans="1:2" ht="18">
      <c r="A1691" s="3"/>
      <c r="B1691" s="4" t="str">
        <f ca="1">IFERROR(__xludf.DUMMYFUNCTION("IFERROR(GOOGLETRANSLATE(A1691,""ko"",""en""),)"),"")</f>
        <v/>
      </c>
    </row>
    <row r="1692" spans="1:2" ht="18">
      <c r="A1692" s="3"/>
      <c r="B1692" s="4" t="str">
        <f ca="1">IFERROR(__xludf.DUMMYFUNCTION("IFERROR(GOOGLETRANSLATE(A1692,""ko"",""en""),)"),"")</f>
        <v/>
      </c>
    </row>
    <row r="1693" spans="1:2" ht="18">
      <c r="A1693" s="3"/>
      <c r="B1693" s="4" t="str">
        <f ca="1">IFERROR(__xludf.DUMMYFUNCTION("IFERROR(GOOGLETRANSLATE(A1693,""ko"",""en""),)"),"")</f>
        <v/>
      </c>
    </row>
    <row r="1694" spans="1:2" ht="18">
      <c r="A1694" s="3"/>
      <c r="B1694" s="4" t="str">
        <f ca="1">IFERROR(__xludf.DUMMYFUNCTION("IFERROR(GOOGLETRANSLATE(A1694,""ko"",""en""),)"),"")</f>
        <v/>
      </c>
    </row>
    <row r="1695" spans="1:2" ht="18">
      <c r="A1695" s="3"/>
      <c r="B1695" s="4" t="str">
        <f ca="1">IFERROR(__xludf.DUMMYFUNCTION("IFERROR(GOOGLETRANSLATE(A1695,""ko"",""en""),)"),"")</f>
        <v/>
      </c>
    </row>
    <row r="1696" spans="1:2" ht="18">
      <c r="A1696" s="3"/>
      <c r="B1696" s="4" t="str">
        <f ca="1">IFERROR(__xludf.DUMMYFUNCTION("IFERROR(GOOGLETRANSLATE(A1696,""ko"",""en""),)"),"")</f>
        <v/>
      </c>
    </row>
    <row r="1697" spans="1:2" ht="18">
      <c r="A1697" s="3"/>
      <c r="B1697" s="4" t="str">
        <f ca="1">IFERROR(__xludf.DUMMYFUNCTION("IFERROR(GOOGLETRANSLATE(A1697,""ko"",""en""),)"),"")</f>
        <v/>
      </c>
    </row>
    <row r="1698" spans="1:2" ht="18">
      <c r="A1698" s="3"/>
      <c r="B1698" s="4" t="str">
        <f ca="1">IFERROR(__xludf.DUMMYFUNCTION("IFERROR(GOOGLETRANSLATE(A1698,""ko"",""en""),)"),"")</f>
        <v/>
      </c>
    </row>
    <row r="1699" spans="1:2" ht="18">
      <c r="A1699" s="3"/>
      <c r="B1699" s="4" t="str">
        <f ca="1">IFERROR(__xludf.DUMMYFUNCTION("IFERROR(GOOGLETRANSLATE(A1699,""ko"",""en""),)"),"")</f>
        <v/>
      </c>
    </row>
    <row r="1700" spans="1:2" ht="18">
      <c r="A1700" s="3"/>
      <c r="B1700" s="4" t="str">
        <f ca="1">IFERROR(__xludf.DUMMYFUNCTION("IFERROR(GOOGLETRANSLATE(A1700,""ko"",""en""),)"),"")</f>
        <v/>
      </c>
    </row>
    <row r="1701" spans="1:2" ht="18">
      <c r="A1701" s="3"/>
      <c r="B1701" s="4" t="str">
        <f ca="1">IFERROR(__xludf.DUMMYFUNCTION("IFERROR(GOOGLETRANSLATE(A1701,""ko"",""en""),)"),"")</f>
        <v/>
      </c>
    </row>
    <row r="1702" spans="1:2" ht="18">
      <c r="A1702" s="3"/>
      <c r="B1702" s="4" t="str">
        <f ca="1">IFERROR(__xludf.DUMMYFUNCTION("IFERROR(GOOGLETRANSLATE(A1702,""ko"",""en""),)"),"")</f>
        <v/>
      </c>
    </row>
    <row r="1703" spans="1:2" ht="18">
      <c r="A1703" s="3"/>
      <c r="B1703" s="4" t="str">
        <f ca="1">IFERROR(__xludf.DUMMYFUNCTION("IFERROR(GOOGLETRANSLATE(A1703,""ko"",""en""),)"),"")</f>
        <v/>
      </c>
    </row>
    <row r="1704" spans="1:2" ht="18">
      <c r="A1704" s="3"/>
      <c r="B1704" s="4" t="str">
        <f ca="1">IFERROR(__xludf.DUMMYFUNCTION("IFERROR(GOOGLETRANSLATE(A1704,""ko"",""en""),)"),"")</f>
        <v/>
      </c>
    </row>
    <row r="1705" spans="1:2" ht="18">
      <c r="A1705" s="3"/>
      <c r="B1705" s="4" t="str">
        <f ca="1">IFERROR(__xludf.DUMMYFUNCTION("IFERROR(GOOGLETRANSLATE(A1705,""ko"",""en""),)"),"")</f>
        <v/>
      </c>
    </row>
    <row r="1706" spans="1:2" ht="18">
      <c r="A1706" s="3"/>
      <c r="B1706" s="4" t="str">
        <f ca="1">IFERROR(__xludf.DUMMYFUNCTION("IFERROR(GOOGLETRANSLATE(A1706,""ko"",""en""),)"),"")</f>
        <v/>
      </c>
    </row>
    <row r="1707" spans="1:2" ht="18">
      <c r="A1707" s="3"/>
      <c r="B1707" s="4" t="str">
        <f ca="1">IFERROR(__xludf.DUMMYFUNCTION("IFERROR(GOOGLETRANSLATE(A1707,""ko"",""en""),)"),"")</f>
        <v/>
      </c>
    </row>
    <row r="1708" spans="1:2" ht="18">
      <c r="A1708" s="3"/>
      <c r="B1708" s="4" t="str">
        <f ca="1">IFERROR(__xludf.DUMMYFUNCTION("IFERROR(GOOGLETRANSLATE(A1708,""ko"",""en""),)"),"")</f>
        <v/>
      </c>
    </row>
    <row r="1709" spans="1:2" ht="18">
      <c r="A1709" s="3"/>
      <c r="B1709" s="4" t="str">
        <f ca="1">IFERROR(__xludf.DUMMYFUNCTION("IFERROR(GOOGLETRANSLATE(A1709,""ko"",""en""),)"),"")</f>
        <v/>
      </c>
    </row>
    <row r="1710" spans="1:2" ht="18">
      <c r="A1710" s="3"/>
      <c r="B1710" s="4" t="str">
        <f ca="1">IFERROR(__xludf.DUMMYFUNCTION("IFERROR(GOOGLETRANSLATE(A1710,""ko"",""en""),)"),"")</f>
        <v/>
      </c>
    </row>
    <row r="1711" spans="1:2" ht="18">
      <c r="A1711" s="3"/>
      <c r="B1711" s="4" t="str">
        <f ca="1">IFERROR(__xludf.DUMMYFUNCTION("IFERROR(GOOGLETRANSLATE(A1711,""ko"",""en""),)"),"")</f>
        <v/>
      </c>
    </row>
    <row r="1712" spans="1:2" ht="18">
      <c r="A1712" s="3"/>
      <c r="B1712" s="4" t="str">
        <f ca="1">IFERROR(__xludf.DUMMYFUNCTION("IFERROR(GOOGLETRANSLATE(A1712,""ko"",""en""),)"),"")</f>
        <v/>
      </c>
    </row>
    <row r="1713" spans="1:2" ht="18">
      <c r="A1713" s="3"/>
      <c r="B1713" s="4" t="str">
        <f ca="1">IFERROR(__xludf.DUMMYFUNCTION("IFERROR(GOOGLETRANSLATE(A1713,""ko"",""en""),)"),"")</f>
        <v/>
      </c>
    </row>
    <row r="1714" spans="1:2" ht="18">
      <c r="A1714" s="3"/>
      <c r="B1714" s="4" t="str">
        <f ca="1">IFERROR(__xludf.DUMMYFUNCTION("IFERROR(GOOGLETRANSLATE(A1714,""ko"",""en""),)"),"")</f>
        <v/>
      </c>
    </row>
    <row r="1715" spans="1:2" ht="18">
      <c r="A1715" s="3"/>
      <c r="B1715" s="4" t="str">
        <f ca="1">IFERROR(__xludf.DUMMYFUNCTION("IFERROR(GOOGLETRANSLATE(A1715,""ko"",""en""),)"),"")</f>
        <v/>
      </c>
    </row>
    <row r="1716" spans="1:2" ht="18">
      <c r="A1716" s="3"/>
      <c r="B1716" s="4" t="str">
        <f ca="1">IFERROR(__xludf.DUMMYFUNCTION("IFERROR(GOOGLETRANSLATE(A1716,""ko"",""en""),)"),"")</f>
        <v/>
      </c>
    </row>
    <row r="1717" spans="1:2" ht="18">
      <c r="A1717" s="3"/>
      <c r="B1717" s="4" t="str">
        <f ca="1">IFERROR(__xludf.DUMMYFUNCTION("IFERROR(GOOGLETRANSLATE(A1717,""ko"",""en""),)"),"")</f>
        <v/>
      </c>
    </row>
    <row r="1718" spans="1:2" ht="18">
      <c r="A1718" s="3"/>
      <c r="B1718" s="4" t="str">
        <f ca="1">IFERROR(__xludf.DUMMYFUNCTION("IFERROR(GOOGLETRANSLATE(A1718,""ko"",""en""),)"),"")</f>
        <v/>
      </c>
    </row>
    <row r="1719" spans="1:2" ht="18">
      <c r="A1719" s="3"/>
      <c r="B1719" s="4" t="str">
        <f ca="1">IFERROR(__xludf.DUMMYFUNCTION("IFERROR(GOOGLETRANSLATE(A1719,""ko"",""en""),)"),"")</f>
        <v/>
      </c>
    </row>
    <row r="1720" spans="1:2" ht="18">
      <c r="A1720" s="3"/>
      <c r="B1720" s="4" t="str">
        <f ca="1">IFERROR(__xludf.DUMMYFUNCTION("IFERROR(GOOGLETRANSLATE(A1720,""ko"",""en""),)"),"")</f>
        <v/>
      </c>
    </row>
    <row r="1721" spans="1:2" ht="18">
      <c r="A1721" s="3"/>
      <c r="B1721" s="4" t="str">
        <f ca="1">IFERROR(__xludf.DUMMYFUNCTION("IFERROR(GOOGLETRANSLATE(A1721,""ko"",""en""),)"),"")</f>
        <v/>
      </c>
    </row>
    <row r="1722" spans="1:2" ht="18">
      <c r="A1722" s="3"/>
      <c r="B1722" s="4" t="str">
        <f ca="1">IFERROR(__xludf.DUMMYFUNCTION("IFERROR(GOOGLETRANSLATE(A1722,""ko"",""en""),)"),"")</f>
        <v/>
      </c>
    </row>
    <row r="1723" spans="1:2" ht="18">
      <c r="A1723" s="3"/>
      <c r="B1723" s="4" t="str">
        <f ca="1">IFERROR(__xludf.DUMMYFUNCTION("IFERROR(GOOGLETRANSLATE(A1723,""ko"",""en""),)"),"")</f>
        <v/>
      </c>
    </row>
    <row r="1724" spans="1:2" ht="18">
      <c r="A1724" s="3"/>
      <c r="B1724" s="4" t="str">
        <f ca="1">IFERROR(__xludf.DUMMYFUNCTION("IFERROR(GOOGLETRANSLATE(A1724,""ko"",""en""),)"),"")</f>
        <v/>
      </c>
    </row>
    <row r="1725" spans="1:2" ht="18">
      <c r="A1725" s="3"/>
      <c r="B1725" s="4" t="str">
        <f ca="1">IFERROR(__xludf.DUMMYFUNCTION("IFERROR(GOOGLETRANSLATE(A1725,""ko"",""en""),)"),"")</f>
        <v/>
      </c>
    </row>
    <row r="1726" spans="1:2" ht="18">
      <c r="A1726" s="3"/>
      <c r="B1726" s="4" t="str">
        <f ca="1">IFERROR(__xludf.DUMMYFUNCTION("IFERROR(GOOGLETRANSLATE(A1726,""ko"",""en""),)"),"")</f>
        <v/>
      </c>
    </row>
    <row r="1727" spans="1:2" ht="18">
      <c r="A1727" s="3"/>
      <c r="B1727" s="4" t="str">
        <f ca="1">IFERROR(__xludf.DUMMYFUNCTION("IFERROR(GOOGLETRANSLATE(A1727,""ko"",""en""),)"),"")</f>
        <v/>
      </c>
    </row>
    <row r="1728" spans="1:2" ht="18">
      <c r="A1728" s="3"/>
      <c r="B1728" s="4" t="str">
        <f ca="1">IFERROR(__xludf.DUMMYFUNCTION("IFERROR(GOOGLETRANSLATE(A1728,""ko"",""en""),)"),"")</f>
        <v/>
      </c>
    </row>
    <row r="1729" spans="1:2" ht="18">
      <c r="A1729" s="3"/>
      <c r="B1729" s="4" t="str">
        <f ca="1">IFERROR(__xludf.DUMMYFUNCTION("IFERROR(GOOGLETRANSLATE(A1729,""ko"",""en""),)"),"")</f>
        <v/>
      </c>
    </row>
    <row r="1730" spans="1:2" ht="18">
      <c r="A1730" s="3"/>
      <c r="B1730" s="4" t="str">
        <f ca="1">IFERROR(__xludf.DUMMYFUNCTION("IFERROR(GOOGLETRANSLATE(A1730,""ko"",""en""),)"),"")</f>
        <v/>
      </c>
    </row>
    <row r="1731" spans="1:2" ht="18">
      <c r="A1731" s="3"/>
      <c r="B1731" s="4" t="str">
        <f ca="1">IFERROR(__xludf.DUMMYFUNCTION("IFERROR(GOOGLETRANSLATE(A1731,""ko"",""en""),)"),"")</f>
        <v/>
      </c>
    </row>
    <row r="1732" spans="1:2" ht="18">
      <c r="A1732" s="3"/>
      <c r="B1732" s="4" t="str">
        <f ca="1">IFERROR(__xludf.DUMMYFUNCTION("IFERROR(GOOGLETRANSLATE(A1732,""ko"",""en""),)"),"")</f>
        <v/>
      </c>
    </row>
    <row r="1733" spans="1:2" ht="18">
      <c r="A1733" s="3"/>
      <c r="B1733" s="4" t="str">
        <f ca="1">IFERROR(__xludf.DUMMYFUNCTION("IFERROR(GOOGLETRANSLATE(A1733,""ko"",""en""),)"),"")</f>
        <v/>
      </c>
    </row>
    <row r="1734" spans="1:2" ht="18">
      <c r="A1734" s="3"/>
      <c r="B1734" s="4" t="str">
        <f ca="1">IFERROR(__xludf.DUMMYFUNCTION("IFERROR(GOOGLETRANSLATE(A1734,""ko"",""en""),)"),"")</f>
        <v/>
      </c>
    </row>
    <row r="1735" spans="1:2" ht="18">
      <c r="A1735" s="3"/>
      <c r="B1735" s="4" t="str">
        <f ca="1">IFERROR(__xludf.DUMMYFUNCTION("IFERROR(GOOGLETRANSLATE(A1735,""ko"",""en""),)"),"")</f>
        <v/>
      </c>
    </row>
    <row r="1736" spans="1:2" ht="18">
      <c r="A1736" s="3"/>
      <c r="B1736" s="4" t="str">
        <f ca="1">IFERROR(__xludf.DUMMYFUNCTION("IFERROR(GOOGLETRANSLATE(A1736,""ko"",""en""),)"),"")</f>
        <v/>
      </c>
    </row>
    <row r="1737" spans="1:2" ht="18">
      <c r="A1737" s="3"/>
      <c r="B1737" s="4" t="str">
        <f ca="1">IFERROR(__xludf.DUMMYFUNCTION("IFERROR(GOOGLETRANSLATE(A1737,""ko"",""en""),)"),"")</f>
        <v/>
      </c>
    </row>
    <row r="1738" spans="1:2" ht="18">
      <c r="A1738" s="3"/>
      <c r="B1738" s="4" t="str">
        <f ca="1">IFERROR(__xludf.DUMMYFUNCTION("IFERROR(GOOGLETRANSLATE(A1738,""ko"",""en""),)"),"")</f>
        <v/>
      </c>
    </row>
    <row r="1739" spans="1:2" ht="18">
      <c r="A1739" s="3"/>
      <c r="B1739" s="4" t="str">
        <f ca="1">IFERROR(__xludf.DUMMYFUNCTION("IFERROR(GOOGLETRANSLATE(A1739,""ko"",""en""),)"),"")</f>
        <v/>
      </c>
    </row>
    <row r="1740" spans="1:2" ht="18">
      <c r="A1740" s="3"/>
      <c r="B1740" s="4" t="str">
        <f ca="1">IFERROR(__xludf.DUMMYFUNCTION("IFERROR(GOOGLETRANSLATE(A1740,""ko"",""en""),)"),"")</f>
        <v/>
      </c>
    </row>
    <row r="1741" spans="1:2" ht="18">
      <c r="A1741" s="3"/>
      <c r="B1741" s="4" t="str">
        <f ca="1">IFERROR(__xludf.DUMMYFUNCTION("IFERROR(GOOGLETRANSLATE(A1741,""ko"",""en""),)"),"")</f>
        <v/>
      </c>
    </row>
    <row r="1742" spans="1:2" ht="18">
      <c r="A1742" s="3"/>
      <c r="B1742" s="4" t="str">
        <f ca="1">IFERROR(__xludf.DUMMYFUNCTION("IFERROR(GOOGLETRANSLATE(A1742,""ko"",""en""),)"),"")</f>
        <v/>
      </c>
    </row>
    <row r="1743" spans="1:2" ht="18">
      <c r="A1743" s="3"/>
      <c r="B1743" s="4" t="str">
        <f ca="1">IFERROR(__xludf.DUMMYFUNCTION("IFERROR(GOOGLETRANSLATE(A1743,""ko"",""en""),)"),"")</f>
        <v/>
      </c>
    </row>
    <row r="1744" spans="1:2" ht="18">
      <c r="A1744" s="3"/>
      <c r="B1744" s="4" t="str">
        <f ca="1">IFERROR(__xludf.DUMMYFUNCTION("IFERROR(GOOGLETRANSLATE(A1744,""ko"",""en""),)"),"")</f>
        <v/>
      </c>
    </row>
    <row r="1745" spans="1:2" ht="18">
      <c r="A1745" s="3"/>
      <c r="B1745" s="4" t="str">
        <f ca="1">IFERROR(__xludf.DUMMYFUNCTION("IFERROR(GOOGLETRANSLATE(A1745,""ko"",""en""),)"),"")</f>
        <v/>
      </c>
    </row>
    <row r="1746" spans="1:2" ht="18">
      <c r="A1746" s="3"/>
      <c r="B1746" s="4" t="str">
        <f ca="1">IFERROR(__xludf.DUMMYFUNCTION("IFERROR(GOOGLETRANSLATE(A1746,""ko"",""en""),)"),"")</f>
        <v/>
      </c>
    </row>
    <row r="1747" spans="1:2" ht="18">
      <c r="A1747" s="3"/>
      <c r="B1747" s="4" t="str">
        <f ca="1">IFERROR(__xludf.DUMMYFUNCTION("IFERROR(GOOGLETRANSLATE(A1747,""ko"",""en""),)"),"")</f>
        <v/>
      </c>
    </row>
    <row r="1748" spans="1:2" ht="18">
      <c r="A1748" s="3"/>
      <c r="B1748" s="4" t="str">
        <f ca="1">IFERROR(__xludf.DUMMYFUNCTION("IFERROR(GOOGLETRANSLATE(A1748,""ko"",""en""),)"),"")</f>
        <v/>
      </c>
    </row>
    <row r="1749" spans="1:2" ht="18">
      <c r="A1749" s="3"/>
      <c r="B1749" s="4" t="str">
        <f ca="1">IFERROR(__xludf.DUMMYFUNCTION("IFERROR(GOOGLETRANSLATE(A1749,""ko"",""en""),)"),"")</f>
        <v/>
      </c>
    </row>
    <row r="1750" spans="1:2" ht="18">
      <c r="A1750" s="3"/>
      <c r="B1750" s="4" t="str">
        <f ca="1">IFERROR(__xludf.DUMMYFUNCTION("IFERROR(GOOGLETRANSLATE(A1750,""ko"",""en""),)"),"")</f>
        <v/>
      </c>
    </row>
    <row r="1751" spans="1:2" ht="18">
      <c r="A1751" s="3"/>
      <c r="B1751" s="4" t="str">
        <f ca="1">IFERROR(__xludf.DUMMYFUNCTION("IFERROR(GOOGLETRANSLATE(A1751,""ko"",""en""),)"),"")</f>
        <v/>
      </c>
    </row>
    <row r="1752" spans="1:2" ht="18">
      <c r="A1752" s="3"/>
      <c r="B1752" s="4" t="str">
        <f ca="1">IFERROR(__xludf.DUMMYFUNCTION("IFERROR(GOOGLETRANSLATE(A1752,""ko"",""en""),)"),"")</f>
        <v/>
      </c>
    </row>
    <row r="1753" spans="1:2" ht="18">
      <c r="A1753" s="3"/>
      <c r="B1753" s="4" t="str">
        <f ca="1">IFERROR(__xludf.DUMMYFUNCTION("IFERROR(GOOGLETRANSLATE(A1753,""ko"",""en""),)"),"")</f>
        <v/>
      </c>
    </row>
    <row r="1754" spans="1:2" ht="18">
      <c r="A1754" s="3"/>
      <c r="B1754" s="4" t="str">
        <f ca="1">IFERROR(__xludf.DUMMYFUNCTION("IFERROR(GOOGLETRANSLATE(A1754,""ko"",""en""),)"),"")</f>
        <v/>
      </c>
    </row>
    <row r="1755" spans="1:2" ht="18">
      <c r="A1755" s="3"/>
      <c r="B1755" s="4" t="str">
        <f ca="1">IFERROR(__xludf.DUMMYFUNCTION("IFERROR(GOOGLETRANSLATE(A1755,""ko"",""en""),)"),"")</f>
        <v/>
      </c>
    </row>
    <row r="1756" spans="1:2" ht="18">
      <c r="A1756" s="3"/>
      <c r="B1756" s="4" t="str">
        <f ca="1">IFERROR(__xludf.DUMMYFUNCTION("IFERROR(GOOGLETRANSLATE(A1756,""ko"",""en""),)"),"")</f>
        <v/>
      </c>
    </row>
    <row r="1757" spans="1:2" ht="18">
      <c r="A1757" s="3"/>
      <c r="B1757" s="4" t="str">
        <f ca="1">IFERROR(__xludf.DUMMYFUNCTION("IFERROR(GOOGLETRANSLATE(A1757,""ko"",""en""),)"),"")</f>
        <v/>
      </c>
    </row>
    <row r="1758" spans="1:2" ht="18">
      <c r="A1758" s="3"/>
      <c r="B1758" s="4" t="str">
        <f ca="1">IFERROR(__xludf.DUMMYFUNCTION("IFERROR(GOOGLETRANSLATE(A1758,""ko"",""en""),)"),"")</f>
        <v/>
      </c>
    </row>
    <row r="1759" spans="1:2" ht="18">
      <c r="A1759" s="3"/>
      <c r="B1759" s="4" t="str">
        <f ca="1">IFERROR(__xludf.DUMMYFUNCTION("IFERROR(GOOGLETRANSLATE(A1759,""ko"",""en""),)"),"")</f>
        <v/>
      </c>
    </row>
    <row r="1760" spans="1:2" ht="18">
      <c r="A1760" s="3"/>
      <c r="B1760" s="4" t="str">
        <f ca="1">IFERROR(__xludf.DUMMYFUNCTION("IFERROR(GOOGLETRANSLATE(A1760,""ko"",""en""),)"),"")</f>
        <v/>
      </c>
    </row>
    <row r="1761" spans="1:2" ht="18">
      <c r="A1761" s="3"/>
      <c r="B1761" s="4" t="str">
        <f ca="1">IFERROR(__xludf.DUMMYFUNCTION("IFERROR(GOOGLETRANSLATE(A1761,""ko"",""en""),)"),"")</f>
        <v/>
      </c>
    </row>
    <row r="1762" spans="1:2" ht="18">
      <c r="A1762" s="3"/>
      <c r="B1762" s="4" t="str">
        <f ca="1">IFERROR(__xludf.DUMMYFUNCTION("IFERROR(GOOGLETRANSLATE(A1762,""ko"",""en""),)"),"")</f>
        <v/>
      </c>
    </row>
    <row r="1763" spans="1:2" ht="18">
      <c r="A1763" s="3"/>
      <c r="B1763" s="4" t="str">
        <f ca="1">IFERROR(__xludf.DUMMYFUNCTION("IFERROR(GOOGLETRANSLATE(A1763,""ko"",""en""),)"),"")</f>
        <v/>
      </c>
    </row>
    <row r="1764" spans="1:2" ht="18">
      <c r="A1764" s="3"/>
      <c r="B1764" s="4" t="str">
        <f ca="1">IFERROR(__xludf.DUMMYFUNCTION("IFERROR(GOOGLETRANSLATE(A1764,""ko"",""en""),)"),"")</f>
        <v/>
      </c>
    </row>
    <row r="1765" spans="1:2" ht="18">
      <c r="A1765" s="3"/>
      <c r="B1765" s="4" t="str">
        <f ca="1">IFERROR(__xludf.DUMMYFUNCTION("IFERROR(GOOGLETRANSLATE(A1765,""ko"",""en""),)"),"")</f>
        <v/>
      </c>
    </row>
    <row r="1766" spans="1:2" ht="18">
      <c r="A1766" s="3"/>
      <c r="B1766" s="4" t="str">
        <f ca="1">IFERROR(__xludf.DUMMYFUNCTION("IFERROR(GOOGLETRANSLATE(A1766,""ko"",""en""),)"),"")</f>
        <v/>
      </c>
    </row>
    <row r="1767" spans="1:2" ht="18">
      <c r="A1767" s="3"/>
      <c r="B1767" s="4" t="str">
        <f ca="1">IFERROR(__xludf.DUMMYFUNCTION("IFERROR(GOOGLETRANSLATE(A1767,""ko"",""en""),)"),"")</f>
        <v/>
      </c>
    </row>
    <row r="1768" spans="1:2" ht="18">
      <c r="A1768" s="3"/>
      <c r="B1768" s="4" t="str">
        <f ca="1">IFERROR(__xludf.DUMMYFUNCTION("IFERROR(GOOGLETRANSLATE(A1768,""ko"",""en""),)"),"")</f>
        <v/>
      </c>
    </row>
    <row r="1769" spans="1:2" ht="18">
      <c r="A1769" s="3"/>
      <c r="B1769" s="4" t="str">
        <f ca="1">IFERROR(__xludf.DUMMYFUNCTION("IFERROR(GOOGLETRANSLATE(A1769,""ko"",""en""),)"),"")</f>
        <v/>
      </c>
    </row>
    <row r="1770" spans="1:2" ht="18">
      <c r="A1770" s="3"/>
      <c r="B1770" s="4" t="str">
        <f ca="1">IFERROR(__xludf.DUMMYFUNCTION("IFERROR(GOOGLETRANSLATE(A1770,""ko"",""en""),)"),"")</f>
        <v/>
      </c>
    </row>
    <row r="1771" spans="1:2" ht="18">
      <c r="A1771" s="3"/>
      <c r="B1771" s="4" t="str">
        <f ca="1">IFERROR(__xludf.DUMMYFUNCTION("IFERROR(GOOGLETRANSLATE(A1771,""ko"",""en""),)"),"")</f>
        <v/>
      </c>
    </row>
    <row r="1772" spans="1:2" ht="18">
      <c r="A1772" s="3"/>
      <c r="B1772" s="4" t="str">
        <f ca="1">IFERROR(__xludf.DUMMYFUNCTION("IFERROR(GOOGLETRANSLATE(A1772,""ko"",""en""),)"),"")</f>
        <v/>
      </c>
    </row>
    <row r="1773" spans="1:2" ht="18">
      <c r="A1773" s="3"/>
      <c r="B1773" s="4" t="str">
        <f ca="1">IFERROR(__xludf.DUMMYFUNCTION("IFERROR(GOOGLETRANSLATE(A1773,""ko"",""en""),)"),"")</f>
        <v/>
      </c>
    </row>
    <row r="1774" spans="1:2" ht="18">
      <c r="A1774" s="3"/>
      <c r="B1774" s="4" t="str">
        <f ca="1">IFERROR(__xludf.DUMMYFUNCTION("IFERROR(GOOGLETRANSLATE(A1774,""ko"",""en""),)"),"")</f>
        <v/>
      </c>
    </row>
    <row r="1775" spans="1:2" ht="18">
      <c r="A1775" s="3"/>
      <c r="B1775" s="4" t="str">
        <f ca="1">IFERROR(__xludf.DUMMYFUNCTION("IFERROR(GOOGLETRANSLATE(A1775,""ko"",""en""),)"),"")</f>
        <v/>
      </c>
    </row>
    <row r="1776" spans="1:2" ht="18">
      <c r="A1776" s="3"/>
      <c r="B1776" s="4" t="str">
        <f ca="1">IFERROR(__xludf.DUMMYFUNCTION("IFERROR(GOOGLETRANSLATE(A1776,""ko"",""en""),)"),"")</f>
        <v/>
      </c>
    </row>
    <row r="1777" spans="1:2" ht="18">
      <c r="A1777" s="3"/>
      <c r="B1777" s="4" t="str">
        <f ca="1">IFERROR(__xludf.DUMMYFUNCTION("IFERROR(GOOGLETRANSLATE(A1777,""ko"",""en""),)"),"")</f>
        <v/>
      </c>
    </row>
    <row r="1778" spans="1:2" ht="18">
      <c r="A1778" s="3"/>
      <c r="B1778" s="4" t="str">
        <f ca="1">IFERROR(__xludf.DUMMYFUNCTION("IFERROR(GOOGLETRANSLATE(A1778,""ko"",""en""),)"),"")</f>
        <v/>
      </c>
    </row>
    <row r="1779" spans="1:2" ht="18">
      <c r="A1779" s="3"/>
      <c r="B1779" s="4" t="str">
        <f ca="1">IFERROR(__xludf.DUMMYFUNCTION("IFERROR(GOOGLETRANSLATE(A1779,""ko"",""en""),)"),"")</f>
        <v/>
      </c>
    </row>
    <row r="1780" spans="1:2" ht="18">
      <c r="A1780" s="3"/>
      <c r="B1780" s="4" t="str">
        <f ca="1">IFERROR(__xludf.DUMMYFUNCTION("IFERROR(GOOGLETRANSLATE(A1780,""ko"",""en""),)"),"")</f>
        <v/>
      </c>
    </row>
    <row r="1781" spans="1:2" ht="18">
      <c r="A1781" s="3"/>
      <c r="B1781" s="4" t="str">
        <f ca="1">IFERROR(__xludf.DUMMYFUNCTION("IFERROR(GOOGLETRANSLATE(A1781,""ko"",""en""),)"),"")</f>
        <v/>
      </c>
    </row>
    <row r="1782" spans="1:2" ht="18">
      <c r="A1782" s="3"/>
      <c r="B1782" s="4" t="str">
        <f ca="1">IFERROR(__xludf.DUMMYFUNCTION("IFERROR(GOOGLETRANSLATE(A1782,""ko"",""en""),)"),"")</f>
        <v/>
      </c>
    </row>
    <row r="1783" spans="1:2" ht="18">
      <c r="A1783" s="3"/>
      <c r="B1783" s="4" t="str">
        <f ca="1">IFERROR(__xludf.DUMMYFUNCTION("IFERROR(GOOGLETRANSLATE(A1783,""ko"",""en""),)"),"")</f>
        <v/>
      </c>
    </row>
    <row r="1784" spans="1:2" ht="18">
      <c r="A1784" s="3"/>
      <c r="B1784" s="4" t="str">
        <f ca="1">IFERROR(__xludf.DUMMYFUNCTION("IFERROR(GOOGLETRANSLATE(A1784,""ko"",""en""),)"),"")</f>
        <v/>
      </c>
    </row>
    <row r="1785" spans="1:2" ht="18">
      <c r="A1785" s="3"/>
      <c r="B1785" s="4" t="str">
        <f ca="1">IFERROR(__xludf.DUMMYFUNCTION("IFERROR(GOOGLETRANSLATE(A1785,""ko"",""en""),)"),"")</f>
        <v/>
      </c>
    </row>
    <row r="1786" spans="1:2" ht="18">
      <c r="A1786" s="3"/>
      <c r="B1786" s="4" t="str">
        <f ca="1">IFERROR(__xludf.DUMMYFUNCTION("IFERROR(GOOGLETRANSLATE(A1786,""ko"",""en""),)"),"")</f>
        <v/>
      </c>
    </row>
    <row r="1787" spans="1:2" ht="18">
      <c r="A1787" s="3"/>
      <c r="B1787" s="4" t="str">
        <f ca="1">IFERROR(__xludf.DUMMYFUNCTION("IFERROR(GOOGLETRANSLATE(A1787,""ko"",""en""),)"),"")</f>
        <v/>
      </c>
    </row>
    <row r="1788" spans="1:2" ht="18">
      <c r="A1788" s="3"/>
      <c r="B1788" s="4" t="str">
        <f ca="1">IFERROR(__xludf.DUMMYFUNCTION("IFERROR(GOOGLETRANSLATE(A1788,""ko"",""en""),)"),"")</f>
        <v/>
      </c>
    </row>
    <row r="1789" spans="1:2" ht="18">
      <c r="A1789" s="3"/>
      <c r="B1789" s="4" t="str">
        <f ca="1">IFERROR(__xludf.DUMMYFUNCTION("IFERROR(GOOGLETRANSLATE(A1789,""ko"",""en""),)"),"")</f>
        <v/>
      </c>
    </row>
    <row r="1790" spans="1:2" ht="18">
      <c r="A1790" s="3"/>
      <c r="B1790" s="4" t="str">
        <f ca="1">IFERROR(__xludf.DUMMYFUNCTION("IFERROR(GOOGLETRANSLATE(A1790,""ko"",""en""),)"),"")</f>
        <v/>
      </c>
    </row>
    <row r="1791" spans="1:2" ht="18">
      <c r="A1791" s="3"/>
      <c r="B1791" s="4" t="str">
        <f ca="1">IFERROR(__xludf.DUMMYFUNCTION("IFERROR(GOOGLETRANSLATE(A1791,""ko"",""en""),)"),"")</f>
        <v/>
      </c>
    </row>
    <row r="1792" spans="1:2" ht="18">
      <c r="A1792" s="3"/>
      <c r="B1792" s="4" t="str">
        <f ca="1">IFERROR(__xludf.DUMMYFUNCTION("IFERROR(GOOGLETRANSLATE(A1792,""ko"",""en""),)"),"")</f>
        <v/>
      </c>
    </row>
    <row r="1793" spans="1:2" ht="18">
      <c r="A1793" s="3"/>
      <c r="B1793" s="4" t="str">
        <f ca="1">IFERROR(__xludf.DUMMYFUNCTION("IFERROR(GOOGLETRANSLATE(A1793,""ko"",""en""),)"),"")</f>
        <v/>
      </c>
    </row>
    <row r="1794" spans="1:2" ht="18">
      <c r="A1794" s="3"/>
      <c r="B1794" s="4" t="str">
        <f ca="1">IFERROR(__xludf.DUMMYFUNCTION("IFERROR(GOOGLETRANSLATE(A1794,""ko"",""en""),)"),"")</f>
        <v/>
      </c>
    </row>
    <row r="1795" spans="1:2" ht="18">
      <c r="A1795" s="3"/>
      <c r="B1795" s="4" t="str">
        <f ca="1">IFERROR(__xludf.DUMMYFUNCTION("IFERROR(GOOGLETRANSLATE(A1795,""ko"",""en""),)"),"")</f>
        <v/>
      </c>
    </row>
    <row r="1796" spans="1:2" ht="18">
      <c r="A1796" s="3"/>
      <c r="B1796" s="4" t="str">
        <f ca="1">IFERROR(__xludf.DUMMYFUNCTION("IFERROR(GOOGLETRANSLATE(A1796,""ko"",""en""),)"),"")</f>
        <v/>
      </c>
    </row>
    <row r="1797" spans="1:2" ht="18">
      <c r="A1797" s="3"/>
      <c r="B1797" s="4" t="str">
        <f ca="1">IFERROR(__xludf.DUMMYFUNCTION("IFERROR(GOOGLETRANSLATE(A1797,""ko"",""en""),)"),"")</f>
        <v/>
      </c>
    </row>
    <row r="1798" spans="1:2" ht="18">
      <c r="A1798" s="3"/>
      <c r="B1798" s="4" t="str">
        <f ca="1">IFERROR(__xludf.DUMMYFUNCTION("IFERROR(GOOGLETRANSLATE(A1798,""ko"",""en""),)"),"")</f>
        <v/>
      </c>
    </row>
    <row r="1799" spans="1:2" ht="18">
      <c r="A1799" s="3"/>
      <c r="B1799" s="4" t="str">
        <f ca="1">IFERROR(__xludf.DUMMYFUNCTION("IFERROR(GOOGLETRANSLATE(A1799,""ko"",""en""),)"),"")</f>
        <v/>
      </c>
    </row>
    <row r="1800" spans="1:2" ht="18">
      <c r="A1800" s="3"/>
      <c r="B1800" s="4" t="str">
        <f ca="1">IFERROR(__xludf.DUMMYFUNCTION("IFERROR(GOOGLETRANSLATE(A1800,""ko"",""en""),)"),"")</f>
        <v/>
      </c>
    </row>
    <row r="1801" spans="1:2" ht="18">
      <c r="A1801" s="3"/>
      <c r="B1801" s="4" t="str">
        <f ca="1">IFERROR(__xludf.DUMMYFUNCTION("IFERROR(GOOGLETRANSLATE(A1801,""ko"",""en""),)"),"")</f>
        <v/>
      </c>
    </row>
    <row r="1802" spans="1:2" ht="18">
      <c r="A1802" s="3"/>
      <c r="B1802" s="4" t="str">
        <f ca="1">IFERROR(__xludf.DUMMYFUNCTION("IFERROR(GOOGLETRANSLATE(A1802,""ko"",""en""),)"),"")</f>
        <v/>
      </c>
    </row>
    <row r="1803" spans="1:2" ht="18">
      <c r="A1803" s="3"/>
      <c r="B1803" s="4" t="str">
        <f ca="1">IFERROR(__xludf.DUMMYFUNCTION("IFERROR(GOOGLETRANSLATE(A1803,""ko"",""en""),)"),"")</f>
        <v/>
      </c>
    </row>
    <row r="1804" spans="1:2" ht="18">
      <c r="A1804" s="3"/>
      <c r="B1804" s="4" t="str">
        <f ca="1">IFERROR(__xludf.DUMMYFUNCTION("IFERROR(GOOGLETRANSLATE(A1804,""ko"",""en""),)"),"")</f>
        <v/>
      </c>
    </row>
    <row r="1805" spans="1:2" ht="18">
      <c r="A1805" s="3"/>
      <c r="B1805" s="4" t="str">
        <f ca="1">IFERROR(__xludf.DUMMYFUNCTION("IFERROR(GOOGLETRANSLATE(A1805,""ko"",""en""),)"),"")</f>
        <v/>
      </c>
    </row>
    <row r="1806" spans="1:2" ht="18">
      <c r="A1806" s="3"/>
      <c r="B1806" s="4" t="str">
        <f ca="1">IFERROR(__xludf.DUMMYFUNCTION("IFERROR(GOOGLETRANSLATE(A1806,""ko"",""en""),)"),"")</f>
        <v/>
      </c>
    </row>
    <row r="1807" spans="1:2" ht="18">
      <c r="A1807" s="3"/>
      <c r="B1807" s="4" t="str">
        <f ca="1">IFERROR(__xludf.DUMMYFUNCTION("IFERROR(GOOGLETRANSLATE(A1807,""ko"",""en""),)"),"")</f>
        <v/>
      </c>
    </row>
    <row r="1808" spans="1:2" ht="18">
      <c r="A1808" s="3"/>
      <c r="B1808" s="4" t="str">
        <f ca="1">IFERROR(__xludf.DUMMYFUNCTION("IFERROR(GOOGLETRANSLATE(A1808,""ko"",""en""),)"),"")</f>
        <v/>
      </c>
    </row>
    <row r="1809" spans="1:2" ht="18">
      <c r="A1809" s="3"/>
      <c r="B1809" s="4" t="str">
        <f ca="1">IFERROR(__xludf.DUMMYFUNCTION("IFERROR(GOOGLETRANSLATE(A1809,""ko"",""en""),)"),"")</f>
        <v/>
      </c>
    </row>
    <row r="1810" spans="1:2" ht="18">
      <c r="A1810" s="3"/>
      <c r="B1810" s="4" t="str">
        <f ca="1">IFERROR(__xludf.DUMMYFUNCTION("IFERROR(GOOGLETRANSLATE(A1810,""ko"",""en""),)"),"")</f>
        <v/>
      </c>
    </row>
    <row r="1811" spans="1:2" ht="18">
      <c r="A1811" s="3"/>
      <c r="B1811" s="4" t="str">
        <f ca="1">IFERROR(__xludf.DUMMYFUNCTION("IFERROR(GOOGLETRANSLATE(A1811,""ko"",""en""),)"),"")</f>
        <v/>
      </c>
    </row>
    <row r="1812" spans="1:2" ht="18">
      <c r="A1812" s="3"/>
      <c r="B1812" s="4" t="str">
        <f ca="1">IFERROR(__xludf.DUMMYFUNCTION("IFERROR(GOOGLETRANSLATE(A1812,""ko"",""en""),)"),"")</f>
        <v/>
      </c>
    </row>
    <row r="1813" spans="1:2" ht="18">
      <c r="A1813" s="3"/>
      <c r="B1813" s="4" t="str">
        <f ca="1">IFERROR(__xludf.DUMMYFUNCTION("IFERROR(GOOGLETRANSLATE(A1813,""ko"",""en""),)"),"")</f>
        <v/>
      </c>
    </row>
    <row r="1814" spans="1:2" ht="18">
      <c r="A1814" s="3"/>
      <c r="B1814" s="4" t="str">
        <f ca="1">IFERROR(__xludf.DUMMYFUNCTION("IFERROR(GOOGLETRANSLATE(A1814,""ko"",""en""),)"),"")</f>
        <v/>
      </c>
    </row>
    <row r="1815" spans="1:2" ht="18">
      <c r="A1815" s="3"/>
      <c r="B1815" s="4" t="str">
        <f ca="1">IFERROR(__xludf.DUMMYFUNCTION("IFERROR(GOOGLETRANSLATE(A1815,""ko"",""en""),)"),"")</f>
        <v/>
      </c>
    </row>
    <row r="1816" spans="1:2" ht="18">
      <c r="A1816" s="3"/>
      <c r="B1816" s="4" t="str">
        <f ca="1">IFERROR(__xludf.DUMMYFUNCTION("IFERROR(GOOGLETRANSLATE(A1816,""ko"",""en""),)"),"")</f>
        <v/>
      </c>
    </row>
    <row r="1817" spans="1:2" ht="18">
      <c r="A1817" s="3"/>
      <c r="B1817" s="4" t="str">
        <f ca="1">IFERROR(__xludf.DUMMYFUNCTION("IFERROR(GOOGLETRANSLATE(A1817,""ko"",""en""),)"),"")</f>
        <v/>
      </c>
    </row>
    <row r="1818" spans="1:2" ht="18">
      <c r="A1818" s="3"/>
      <c r="B1818" s="4" t="str">
        <f ca="1">IFERROR(__xludf.DUMMYFUNCTION("IFERROR(GOOGLETRANSLATE(A1818,""ko"",""en""),)"),"")</f>
        <v/>
      </c>
    </row>
    <row r="1819" spans="1:2" ht="18">
      <c r="A1819" s="3"/>
      <c r="B1819" s="4" t="str">
        <f ca="1">IFERROR(__xludf.DUMMYFUNCTION("IFERROR(GOOGLETRANSLATE(A1819,""ko"",""en""),)"),"")</f>
        <v/>
      </c>
    </row>
    <row r="1820" spans="1:2" ht="18">
      <c r="A1820" s="3"/>
      <c r="B1820" s="4" t="str">
        <f ca="1">IFERROR(__xludf.DUMMYFUNCTION("IFERROR(GOOGLETRANSLATE(A1820,""ko"",""en""),)"),"")</f>
        <v/>
      </c>
    </row>
    <row r="1821" spans="1:2" ht="18">
      <c r="A1821" s="3"/>
      <c r="B1821" s="4" t="str">
        <f ca="1">IFERROR(__xludf.DUMMYFUNCTION("IFERROR(GOOGLETRANSLATE(A1821,""ko"",""en""),)"),"")</f>
        <v/>
      </c>
    </row>
    <row r="1822" spans="1:2" ht="18">
      <c r="A1822" s="3"/>
      <c r="B1822" s="4" t="str">
        <f ca="1">IFERROR(__xludf.DUMMYFUNCTION("IFERROR(GOOGLETRANSLATE(A1822,""ko"",""en""),)"),"")</f>
        <v/>
      </c>
    </row>
    <row r="1823" spans="1:2" ht="18">
      <c r="A1823" s="3"/>
      <c r="B1823" s="4" t="str">
        <f ca="1">IFERROR(__xludf.DUMMYFUNCTION("IFERROR(GOOGLETRANSLATE(A1823,""ko"",""en""),)"),"")</f>
        <v/>
      </c>
    </row>
    <row r="1824" spans="1:2" ht="18">
      <c r="A1824" s="3"/>
      <c r="B1824" s="4" t="str">
        <f ca="1">IFERROR(__xludf.DUMMYFUNCTION("IFERROR(GOOGLETRANSLATE(A1824,""ko"",""en""),)"),"")</f>
        <v/>
      </c>
    </row>
    <row r="1825" spans="1:2" ht="18">
      <c r="A1825" s="3"/>
      <c r="B1825" s="4" t="str">
        <f ca="1">IFERROR(__xludf.DUMMYFUNCTION("IFERROR(GOOGLETRANSLATE(A1825,""ko"",""en""),)"),"")</f>
        <v/>
      </c>
    </row>
    <row r="1826" spans="1:2" ht="18">
      <c r="A1826" s="3"/>
      <c r="B1826" s="4" t="str">
        <f ca="1">IFERROR(__xludf.DUMMYFUNCTION("IFERROR(GOOGLETRANSLATE(A1826,""ko"",""en""),)"),"")</f>
        <v/>
      </c>
    </row>
    <row r="1827" spans="1:2" ht="18">
      <c r="A1827" s="3"/>
      <c r="B1827" s="4" t="str">
        <f ca="1">IFERROR(__xludf.DUMMYFUNCTION("IFERROR(GOOGLETRANSLATE(A1827,""ko"",""en""),)"),"")</f>
        <v/>
      </c>
    </row>
    <row r="1828" spans="1:2" ht="18">
      <c r="A1828" s="3"/>
      <c r="B1828" s="4" t="str">
        <f ca="1">IFERROR(__xludf.DUMMYFUNCTION("IFERROR(GOOGLETRANSLATE(A1828,""ko"",""en""),)"),"")</f>
        <v/>
      </c>
    </row>
    <row r="1829" spans="1:2" ht="18">
      <c r="A1829" s="3"/>
      <c r="B1829" s="4" t="str">
        <f ca="1">IFERROR(__xludf.DUMMYFUNCTION("IFERROR(GOOGLETRANSLATE(A1829,""ko"",""en""),)"),"")</f>
        <v/>
      </c>
    </row>
    <row r="1830" spans="1:2" ht="18">
      <c r="A1830" s="3"/>
      <c r="B1830" s="4" t="str">
        <f ca="1">IFERROR(__xludf.DUMMYFUNCTION("IFERROR(GOOGLETRANSLATE(A1830,""ko"",""en""),)"),"")</f>
        <v/>
      </c>
    </row>
    <row r="1831" spans="1:2" ht="18">
      <c r="A1831" s="3"/>
      <c r="B1831" s="4" t="str">
        <f ca="1">IFERROR(__xludf.DUMMYFUNCTION("IFERROR(GOOGLETRANSLATE(A1831,""ko"",""en""),)"),"")</f>
        <v/>
      </c>
    </row>
    <row r="1832" spans="1:2" ht="18">
      <c r="A1832" s="3"/>
      <c r="B1832" s="4" t="str">
        <f ca="1">IFERROR(__xludf.DUMMYFUNCTION("IFERROR(GOOGLETRANSLATE(A1832,""ko"",""en""),)"),"")</f>
        <v/>
      </c>
    </row>
    <row r="1833" spans="1:2" ht="18">
      <c r="A1833" s="3"/>
      <c r="B1833" s="4" t="str">
        <f ca="1">IFERROR(__xludf.DUMMYFUNCTION("IFERROR(GOOGLETRANSLATE(A1833,""ko"",""en""),)"),"")</f>
        <v/>
      </c>
    </row>
    <row r="1834" spans="1:2" ht="18">
      <c r="A1834" s="3"/>
      <c r="B1834" s="4" t="str">
        <f ca="1">IFERROR(__xludf.DUMMYFUNCTION("IFERROR(GOOGLETRANSLATE(A1834,""ko"",""en""),)"),"")</f>
        <v/>
      </c>
    </row>
    <row r="1835" spans="1:2" ht="18">
      <c r="A1835" s="3"/>
      <c r="B1835" s="4" t="str">
        <f ca="1">IFERROR(__xludf.DUMMYFUNCTION("IFERROR(GOOGLETRANSLATE(A1835,""ko"",""en""),)"),"")</f>
        <v/>
      </c>
    </row>
    <row r="1836" spans="1:2" ht="18">
      <c r="A1836" s="3"/>
      <c r="B1836" s="4" t="str">
        <f ca="1">IFERROR(__xludf.DUMMYFUNCTION("IFERROR(GOOGLETRANSLATE(A1836,""ko"",""en""),)"),"")</f>
        <v/>
      </c>
    </row>
    <row r="1837" spans="1:2" ht="18">
      <c r="A1837" s="3"/>
      <c r="B1837" s="4" t="str">
        <f ca="1">IFERROR(__xludf.DUMMYFUNCTION("IFERROR(GOOGLETRANSLATE(A1837,""ko"",""en""),)"),"")</f>
        <v/>
      </c>
    </row>
    <row r="1838" spans="1:2" ht="18">
      <c r="A1838" s="3"/>
      <c r="B1838" s="4" t="str">
        <f ca="1">IFERROR(__xludf.DUMMYFUNCTION("IFERROR(GOOGLETRANSLATE(A1838,""ko"",""en""),)"),"")</f>
        <v/>
      </c>
    </row>
    <row r="1839" spans="1:2" ht="18">
      <c r="A1839" s="3"/>
      <c r="B1839" s="4" t="str">
        <f ca="1">IFERROR(__xludf.DUMMYFUNCTION("IFERROR(GOOGLETRANSLATE(A1839,""ko"",""en""),)"),"")</f>
        <v/>
      </c>
    </row>
    <row r="1840" spans="1:2" ht="18">
      <c r="A1840" s="3"/>
      <c r="B1840" s="4" t="str">
        <f ca="1">IFERROR(__xludf.DUMMYFUNCTION("IFERROR(GOOGLETRANSLATE(A1840,""ko"",""en""),)"),"")</f>
        <v/>
      </c>
    </row>
    <row r="1841" spans="1:2" ht="18">
      <c r="A1841" s="3"/>
      <c r="B1841" s="4" t="str">
        <f ca="1">IFERROR(__xludf.DUMMYFUNCTION("IFERROR(GOOGLETRANSLATE(A1841,""ko"",""en""),)"),"")</f>
        <v/>
      </c>
    </row>
    <row r="1842" spans="1:2" ht="18">
      <c r="A1842" s="3"/>
      <c r="B1842" s="4" t="str">
        <f ca="1">IFERROR(__xludf.DUMMYFUNCTION("IFERROR(GOOGLETRANSLATE(A1842,""ko"",""en""),)"),"")</f>
        <v/>
      </c>
    </row>
    <row r="1843" spans="1:2" ht="18">
      <c r="A1843" s="3"/>
      <c r="B1843" s="4" t="str">
        <f ca="1">IFERROR(__xludf.DUMMYFUNCTION("IFERROR(GOOGLETRANSLATE(A1843,""ko"",""en""),)"),"")</f>
        <v/>
      </c>
    </row>
    <row r="1844" spans="1:2" ht="18">
      <c r="A1844" s="3"/>
      <c r="B1844" s="4" t="str">
        <f ca="1">IFERROR(__xludf.DUMMYFUNCTION("IFERROR(GOOGLETRANSLATE(A1844,""ko"",""en""),)"),"")</f>
        <v/>
      </c>
    </row>
    <row r="1845" spans="1:2" ht="18">
      <c r="A1845" s="3"/>
      <c r="B1845" s="4" t="str">
        <f ca="1">IFERROR(__xludf.DUMMYFUNCTION("IFERROR(GOOGLETRANSLATE(A1845,""ko"",""en""),)"),"")</f>
        <v/>
      </c>
    </row>
    <row r="1846" spans="1:2" ht="18">
      <c r="A1846" s="3"/>
      <c r="B1846" s="4" t="str">
        <f ca="1">IFERROR(__xludf.DUMMYFUNCTION("IFERROR(GOOGLETRANSLATE(A1846,""ko"",""en""),)"),"")</f>
        <v/>
      </c>
    </row>
    <row r="1847" spans="1:2" ht="18">
      <c r="A1847" s="3"/>
      <c r="B1847" s="4" t="str">
        <f ca="1">IFERROR(__xludf.DUMMYFUNCTION("IFERROR(GOOGLETRANSLATE(A1847,""ko"",""en""),)"),"")</f>
        <v/>
      </c>
    </row>
    <row r="1848" spans="1:2" ht="18">
      <c r="A1848" s="3"/>
      <c r="B1848" s="4" t="str">
        <f ca="1">IFERROR(__xludf.DUMMYFUNCTION("IFERROR(GOOGLETRANSLATE(A1848,""ko"",""en""),)"),"")</f>
        <v/>
      </c>
    </row>
    <row r="1849" spans="1:2" ht="18">
      <c r="A1849" s="3"/>
      <c r="B1849" s="4" t="str">
        <f ca="1">IFERROR(__xludf.DUMMYFUNCTION("IFERROR(GOOGLETRANSLATE(A1849,""ko"",""en""),)"),"")</f>
        <v/>
      </c>
    </row>
    <row r="1850" spans="1:2" ht="18">
      <c r="A1850" s="3"/>
      <c r="B1850" s="4" t="str">
        <f ca="1">IFERROR(__xludf.DUMMYFUNCTION("IFERROR(GOOGLETRANSLATE(A1850,""ko"",""en""),)"),"")</f>
        <v/>
      </c>
    </row>
    <row r="1851" spans="1:2" ht="18">
      <c r="A1851" s="3"/>
      <c r="B1851" s="4" t="str">
        <f ca="1">IFERROR(__xludf.DUMMYFUNCTION("IFERROR(GOOGLETRANSLATE(A1851,""ko"",""en""),)"),"")</f>
        <v/>
      </c>
    </row>
    <row r="1852" spans="1:2" ht="18">
      <c r="A1852" s="3"/>
      <c r="B1852" s="4" t="str">
        <f ca="1">IFERROR(__xludf.DUMMYFUNCTION("IFERROR(GOOGLETRANSLATE(A1852,""ko"",""en""),)"),"")</f>
        <v/>
      </c>
    </row>
    <row r="1853" spans="1:2" ht="18">
      <c r="A1853" s="3"/>
      <c r="B1853" s="4" t="str">
        <f ca="1">IFERROR(__xludf.DUMMYFUNCTION("IFERROR(GOOGLETRANSLATE(A1853,""ko"",""en""),)"),"")</f>
        <v/>
      </c>
    </row>
    <row r="1854" spans="1:2" ht="18">
      <c r="A1854" s="3"/>
      <c r="B1854" s="4" t="str">
        <f ca="1">IFERROR(__xludf.DUMMYFUNCTION("IFERROR(GOOGLETRANSLATE(A1854,""ko"",""en""),)"),"")</f>
        <v/>
      </c>
    </row>
    <row r="1855" spans="1:2" ht="18">
      <c r="A1855" s="3"/>
      <c r="B1855" s="4" t="str">
        <f ca="1">IFERROR(__xludf.DUMMYFUNCTION("IFERROR(GOOGLETRANSLATE(A1855,""ko"",""en""),)"),"")</f>
        <v/>
      </c>
    </row>
    <row r="1856" spans="1:2" ht="18">
      <c r="A1856" s="3"/>
      <c r="B1856" s="4" t="str">
        <f ca="1">IFERROR(__xludf.DUMMYFUNCTION("IFERROR(GOOGLETRANSLATE(A1856,""ko"",""en""),)"),"")</f>
        <v/>
      </c>
    </row>
    <row r="1857" spans="1:2" ht="18">
      <c r="A1857" s="3"/>
      <c r="B1857" s="4" t="str">
        <f ca="1">IFERROR(__xludf.DUMMYFUNCTION("IFERROR(GOOGLETRANSLATE(A1857,""ko"",""en""),)"),"")</f>
        <v/>
      </c>
    </row>
    <row r="1858" spans="1:2" ht="18">
      <c r="A1858" s="3"/>
      <c r="B1858" s="4" t="str">
        <f ca="1">IFERROR(__xludf.DUMMYFUNCTION("IFERROR(GOOGLETRANSLATE(A1858,""ko"",""en""),)"),"")</f>
        <v/>
      </c>
    </row>
    <row r="1859" spans="1:2" ht="18">
      <c r="A1859" s="3"/>
      <c r="B1859" s="4" t="str">
        <f ca="1">IFERROR(__xludf.DUMMYFUNCTION("IFERROR(GOOGLETRANSLATE(A1859,""ko"",""en""),)"),"")</f>
        <v/>
      </c>
    </row>
    <row r="1860" spans="1:2" ht="18">
      <c r="A1860" s="3"/>
      <c r="B1860" s="4" t="str">
        <f ca="1">IFERROR(__xludf.DUMMYFUNCTION("IFERROR(GOOGLETRANSLATE(A1860,""ko"",""en""),)"),"")</f>
        <v/>
      </c>
    </row>
    <row r="1861" spans="1:2" ht="18">
      <c r="A1861" s="3"/>
      <c r="B1861" s="4" t="str">
        <f ca="1">IFERROR(__xludf.DUMMYFUNCTION("IFERROR(GOOGLETRANSLATE(A1861,""ko"",""en""),)"),"")</f>
        <v/>
      </c>
    </row>
    <row r="1862" spans="1:2" ht="18">
      <c r="A1862" s="3"/>
      <c r="B1862" s="4" t="str">
        <f ca="1">IFERROR(__xludf.DUMMYFUNCTION("IFERROR(GOOGLETRANSLATE(A1862,""ko"",""en""),)"),"")</f>
        <v/>
      </c>
    </row>
    <row r="1863" spans="1:2" ht="18">
      <c r="A1863" s="3"/>
      <c r="B1863" s="4" t="str">
        <f ca="1">IFERROR(__xludf.DUMMYFUNCTION("IFERROR(GOOGLETRANSLATE(A1863,""ko"",""en""),)"),"")</f>
        <v/>
      </c>
    </row>
    <row r="1864" spans="1:2" ht="18">
      <c r="A1864" s="3"/>
      <c r="B1864" s="4" t="str">
        <f ca="1">IFERROR(__xludf.DUMMYFUNCTION("IFERROR(GOOGLETRANSLATE(A1864,""ko"",""en""),)"),"")</f>
        <v/>
      </c>
    </row>
    <row r="1865" spans="1:2" ht="18">
      <c r="A1865" s="3"/>
      <c r="B1865" s="4" t="str">
        <f ca="1">IFERROR(__xludf.DUMMYFUNCTION("IFERROR(GOOGLETRANSLATE(A1865,""ko"",""en""),)"),"")</f>
        <v/>
      </c>
    </row>
    <row r="1866" spans="1:2" ht="18">
      <c r="A1866" s="3"/>
      <c r="B1866" s="4" t="str">
        <f ca="1">IFERROR(__xludf.DUMMYFUNCTION("IFERROR(GOOGLETRANSLATE(A1866,""ko"",""en""),)"),"")</f>
        <v/>
      </c>
    </row>
    <row r="1867" spans="1:2" ht="18">
      <c r="A1867" s="3"/>
      <c r="B1867" s="4" t="str">
        <f ca="1">IFERROR(__xludf.DUMMYFUNCTION("IFERROR(GOOGLETRANSLATE(A1867,""ko"",""en""),)"),"")</f>
        <v/>
      </c>
    </row>
    <row r="1868" spans="1:2" ht="18">
      <c r="A1868" s="3"/>
      <c r="B1868" s="4" t="str">
        <f ca="1">IFERROR(__xludf.DUMMYFUNCTION("IFERROR(GOOGLETRANSLATE(A1868,""ko"",""en""),)"),"")</f>
        <v/>
      </c>
    </row>
    <row r="1869" spans="1:2" ht="18">
      <c r="A1869" s="3"/>
      <c r="B1869" s="4" t="str">
        <f ca="1">IFERROR(__xludf.DUMMYFUNCTION("IFERROR(GOOGLETRANSLATE(A1869,""ko"",""en""),)"),"")</f>
        <v/>
      </c>
    </row>
    <row r="1870" spans="1:2" ht="18">
      <c r="A1870" s="3"/>
      <c r="B1870" s="4" t="str">
        <f ca="1">IFERROR(__xludf.DUMMYFUNCTION("IFERROR(GOOGLETRANSLATE(A1870,""ko"",""en""),)"),"")</f>
        <v/>
      </c>
    </row>
    <row r="1871" spans="1:2" ht="18">
      <c r="A1871" s="3"/>
      <c r="B1871" s="4" t="str">
        <f ca="1">IFERROR(__xludf.DUMMYFUNCTION("IFERROR(GOOGLETRANSLATE(A1871,""ko"",""en""),)"),"")</f>
        <v/>
      </c>
    </row>
    <row r="1872" spans="1:2" ht="18">
      <c r="A1872" s="3"/>
      <c r="B1872" s="4" t="str">
        <f ca="1">IFERROR(__xludf.DUMMYFUNCTION("IFERROR(GOOGLETRANSLATE(A1872,""ko"",""en""),)"),"")</f>
        <v/>
      </c>
    </row>
    <row r="1873" spans="1:2" ht="18">
      <c r="A1873" s="3"/>
      <c r="B1873" s="4" t="str">
        <f ca="1">IFERROR(__xludf.DUMMYFUNCTION("IFERROR(GOOGLETRANSLATE(A1873,""ko"",""en""),)"),"")</f>
        <v/>
      </c>
    </row>
    <row r="1874" spans="1:2" ht="18">
      <c r="A1874" s="3"/>
      <c r="B1874" s="4" t="str">
        <f ca="1">IFERROR(__xludf.DUMMYFUNCTION("IFERROR(GOOGLETRANSLATE(A1874,""ko"",""en""),)"),"")</f>
        <v/>
      </c>
    </row>
    <row r="1875" spans="1:2" ht="18">
      <c r="A1875" s="3"/>
      <c r="B1875" s="4" t="str">
        <f ca="1">IFERROR(__xludf.DUMMYFUNCTION("IFERROR(GOOGLETRANSLATE(A1875,""ko"",""en""),)"),"")</f>
        <v/>
      </c>
    </row>
    <row r="1876" spans="1:2" ht="18">
      <c r="A1876" s="3"/>
      <c r="B1876" s="4" t="str">
        <f ca="1">IFERROR(__xludf.DUMMYFUNCTION("IFERROR(GOOGLETRANSLATE(A1876,""ko"",""en""),)"),"")</f>
        <v/>
      </c>
    </row>
    <row r="1877" spans="1:2" ht="18">
      <c r="A1877" s="3"/>
      <c r="B1877" s="4" t="str">
        <f ca="1">IFERROR(__xludf.DUMMYFUNCTION("IFERROR(GOOGLETRANSLATE(A1877,""ko"",""en""),)"),"")</f>
        <v/>
      </c>
    </row>
    <row r="1878" spans="1:2" ht="18">
      <c r="A1878" s="3"/>
      <c r="B1878" s="4" t="str">
        <f ca="1">IFERROR(__xludf.DUMMYFUNCTION("IFERROR(GOOGLETRANSLATE(A1878,""ko"",""en""),)"),"")</f>
        <v/>
      </c>
    </row>
    <row r="1879" spans="1:2" ht="18">
      <c r="A1879" s="3"/>
      <c r="B1879" s="4" t="str">
        <f ca="1">IFERROR(__xludf.DUMMYFUNCTION("IFERROR(GOOGLETRANSLATE(A1879,""ko"",""en""),)"),"")</f>
        <v/>
      </c>
    </row>
    <row r="1880" spans="1:2" ht="18">
      <c r="A1880" s="3"/>
      <c r="B1880" s="4" t="str">
        <f ca="1">IFERROR(__xludf.DUMMYFUNCTION("IFERROR(GOOGLETRANSLATE(A1880,""ko"",""en""),)"),"")</f>
        <v/>
      </c>
    </row>
    <row r="1881" spans="1:2" ht="18">
      <c r="A1881" s="3"/>
      <c r="B1881" s="4" t="str">
        <f ca="1">IFERROR(__xludf.DUMMYFUNCTION("IFERROR(GOOGLETRANSLATE(A1881,""ko"",""en""),)"),"")</f>
        <v/>
      </c>
    </row>
    <row r="1882" spans="1:2" ht="18">
      <c r="A1882" s="3"/>
      <c r="B1882" s="4" t="str">
        <f ca="1">IFERROR(__xludf.DUMMYFUNCTION("IFERROR(GOOGLETRANSLATE(A1882,""ko"",""en""),)"),"")</f>
        <v/>
      </c>
    </row>
    <row r="1883" spans="1:2" ht="18">
      <c r="A1883" s="3"/>
      <c r="B1883" s="4" t="str">
        <f ca="1">IFERROR(__xludf.DUMMYFUNCTION("IFERROR(GOOGLETRANSLATE(A1883,""ko"",""en""),)"),"")</f>
        <v/>
      </c>
    </row>
    <row r="1884" spans="1:2" ht="18">
      <c r="A1884" s="3"/>
      <c r="B1884" s="4" t="str">
        <f ca="1">IFERROR(__xludf.DUMMYFUNCTION("IFERROR(GOOGLETRANSLATE(A1884,""ko"",""en""),)"),"")</f>
        <v/>
      </c>
    </row>
    <row r="1885" spans="1:2" ht="18">
      <c r="A1885" s="3"/>
      <c r="B1885" s="4" t="str">
        <f ca="1">IFERROR(__xludf.DUMMYFUNCTION("IFERROR(GOOGLETRANSLATE(A1885,""ko"",""en""),)"),"")</f>
        <v/>
      </c>
    </row>
    <row r="1886" spans="1:2" ht="18">
      <c r="A1886" s="3"/>
      <c r="B1886" s="4" t="str">
        <f ca="1">IFERROR(__xludf.DUMMYFUNCTION("IFERROR(GOOGLETRANSLATE(A1886,""ko"",""en""),)"),"")</f>
        <v/>
      </c>
    </row>
    <row r="1887" spans="1:2" ht="18">
      <c r="A1887" s="3"/>
      <c r="B1887" s="4" t="str">
        <f ca="1">IFERROR(__xludf.DUMMYFUNCTION("IFERROR(GOOGLETRANSLATE(A1887,""ko"",""en""),)"),"")</f>
        <v/>
      </c>
    </row>
    <row r="1888" spans="1:2" ht="18">
      <c r="A1888" s="3"/>
      <c r="B1888" s="4" t="str">
        <f ca="1">IFERROR(__xludf.DUMMYFUNCTION("IFERROR(GOOGLETRANSLATE(A1888,""ko"",""en""),)"),"")</f>
        <v/>
      </c>
    </row>
    <row r="1889" spans="1:2" ht="18">
      <c r="A1889" s="3"/>
      <c r="B1889" s="4" t="str">
        <f ca="1">IFERROR(__xludf.DUMMYFUNCTION("IFERROR(GOOGLETRANSLATE(A1889,""ko"",""en""),)"),"")</f>
        <v/>
      </c>
    </row>
    <row r="1890" spans="1:2" ht="18">
      <c r="A1890" s="3"/>
      <c r="B1890" s="4" t="str">
        <f ca="1">IFERROR(__xludf.DUMMYFUNCTION("IFERROR(GOOGLETRANSLATE(A1890,""ko"",""en""),)"),"")</f>
        <v/>
      </c>
    </row>
    <row r="1891" spans="1:2" ht="18">
      <c r="A1891" s="3"/>
      <c r="B1891" s="4" t="str">
        <f ca="1">IFERROR(__xludf.DUMMYFUNCTION("IFERROR(GOOGLETRANSLATE(A1891,""ko"",""en""),)"),"")</f>
        <v/>
      </c>
    </row>
    <row r="1892" spans="1:2" ht="18">
      <c r="A1892" s="3"/>
      <c r="B1892" s="4" t="str">
        <f ca="1">IFERROR(__xludf.DUMMYFUNCTION("IFERROR(GOOGLETRANSLATE(A1892,""ko"",""en""),)"),"")</f>
        <v/>
      </c>
    </row>
    <row r="1893" spans="1:2" ht="18">
      <c r="A1893" s="3"/>
      <c r="B1893" s="4" t="str">
        <f ca="1">IFERROR(__xludf.DUMMYFUNCTION("IFERROR(GOOGLETRANSLATE(A1893,""ko"",""en""),)"),"")</f>
        <v/>
      </c>
    </row>
    <row r="1894" spans="1:2" ht="18">
      <c r="A1894" s="3"/>
      <c r="B1894" s="4" t="str">
        <f ca="1">IFERROR(__xludf.DUMMYFUNCTION("IFERROR(GOOGLETRANSLATE(A1894,""ko"",""en""),)"),"")</f>
        <v/>
      </c>
    </row>
    <row r="1895" spans="1:2" ht="18">
      <c r="A1895" s="3"/>
      <c r="B1895" s="4" t="str">
        <f ca="1">IFERROR(__xludf.DUMMYFUNCTION("IFERROR(GOOGLETRANSLATE(A1895,""ko"",""en""),)"),"")</f>
        <v/>
      </c>
    </row>
    <row r="1896" spans="1:2" ht="18">
      <c r="A1896" s="3"/>
      <c r="B1896" s="4" t="str">
        <f ca="1">IFERROR(__xludf.DUMMYFUNCTION("IFERROR(GOOGLETRANSLATE(A1896,""ko"",""en""),)"),"")</f>
        <v/>
      </c>
    </row>
    <row r="1897" spans="1:2" ht="18">
      <c r="A1897" s="3"/>
      <c r="B1897" s="4" t="str">
        <f ca="1">IFERROR(__xludf.DUMMYFUNCTION("IFERROR(GOOGLETRANSLATE(A1897,""ko"",""en""),)"),"")</f>
        <v/>
      </c>
    </row>
    <row r="1898" spans="1:2" ht="18">
      <c r="A1898" s="3"/>
      <c r="B1898" s="4" t="str">
        <f ca="1">IFERROR(__xludf.DUMMYFUNCTION("IFERROR(GOOGLETRANSLATE(A1898,""ko"",""en""),)"),"")</f>
        <v/>
      </c>
    </row>
    <row r="1899" spans="1:2" ht="18">
      <c r="A1899" s="3"/>
      <c r="B1899" s="4" t="str">
        <f ca="1">IFERROR(__xludf.DUMMYFUNCTION("IFERROR(GOOGLETRANSLATE(A1899,""ko"",""en""),)"),"")</f>
        <v/>
      </c>
    </row>
    <row r="1900" spans="1:2" ht="18">
      <c r="A1900" s="3"/>
      <c r="B1900" s="4" t="str">
        <f ca="1">IFERROR(__xludf.DUMMYFUNCTION("IFERROR(GOOGLETRANSLATE(A1900,""ko"",""en""),)"),"")</f>
        <v/>
      </c>
    </row>
    <row r="1901" spans="1:2" ht="18">
      <c r="A1901" s="3"/>
      <c r="B1901" s="4" t="str">
        <f ca="1">IFERROR(__xludf.DUMMYFUNCTION("IFERROR(GOOGLETRANSLATE(A1901,""ko"",""en""),)"),"")</f>
        <v/>
      </c>
    </row>
    <row r="1902" spans="1:2" ht="18">
      <c r="A1902" s="3"/>
      <c r="B1902" s="4" t="str">
        <f ca="1">IFERROR(__xludf.DUMMYFUNCTION("IFERROR(GOOGLETRANSLATE(A1902,""ko"",""en""),)"),"")</f>
        <v/>
      </c>
    </row>
    <row r="1903" spans="1:2" ht="18">
      <c r="A1903" s="3"/>
      <c r="B1903" s="4" t="str">
        <f ca="1">IFERROR(__xludf.DUMMYFUNCTION("IFERROR(GOOGLETRANSLATE(A1903,""ko"",""en""),)"),"")</f>
        <v/>
      </c>
    </row>
    <row r="1904" spans="1:2" ht="18">
      <c r="A1904" s="3"/>
      <c r="B1904" s="4" t="str">
        <f ca="1">IFERROR(__xludf.DUMMYFUNCTION("IFERROR(GOOGLETRANSLATE(A1904,""ko"",""en""),)"),"")</f>
        <v/>
      </c>
    </row>
    <row r="1905" spans="1:2" ht="18">
      <c r="A1905" s="3"/>
      <c r="B1905" s="4" t="str">
        <f ca="1">IFERROR(__xludf.DUMMYFUNCTION("IFERROR(GOOGLETRANSLATE(A1905,""ko"",""en""),)"),"")</f>
        <v/>
      </c>
    </row>
    <row r="1906" spans="1:2" ht="18">
      <c r="A1906" s="3"/>
      <c r="B1906" s="4" t="str">
        <f ca="1">IFERROR(__xludf.DUMMYFUNCTION("IFERROR(GOOGLETRANSLATE(A1906,""ko"",""en""),)"),"")</f>
        <v/>
      </c>
    </row>
    <row r="1907" spans="1:2" ht="18">
      <c r="A1907" s="3"/>
      <c r="B1907" s="4" t="str">
        <f ca="1">IFERROR(__xludf.DUMMYFUNCTION("IFERROR(GOOGLETRANSLATE(A1907,""ko"",""en""),)"),"")</f>
        <v/>
      </c>
    </row>
    <row r="1908" spans="1:2" ht="18">
      <c r="A1908" s="3"/>
      <c r="B1908" s="4" t="str">
        <f ca="1">IFERROR(__xludf.DUMMYFUNCTION("IFERROR(GOOGLETRANSLATE(A1908,""ko"",""en""),)"),"")</f>
        <v/>
      </c>
    </row>
    <row r="1909" spans="1:2" ht="18">
      <c r="A1909" s="3"/>
      <c r="B1909" s="4" t="str">
        <f ca="1">IFERROR(__xludf.DUMMYFUNCTION("IFERROR(GOOGLETRANSLATE(A1909,""ko"",""en""),)"),"")</f>
        <v/>
      </c>
    </row>
    <row r="1910" spans="1:2" ht="18">
      <c r="A1910" s="3"/>
      <c r="B1910" s="4" t="str">
        <f ca="1">IFERROR(__xludf.DUMMYFUNCTION("IFERROR(GOOGLETRANSLATE(A1910,""ko"",""en""),)"),"")</f>
        <v/>
      </c>
    </row>
    <row r="1911" spans="1:2" ht="18">
      <c r="A1911" s="3"/>
      <c r="B1911" s="4" t="str">
        <f ca="1">IFERROR(__xludf.DUMMYFUNCTION("IFERROR(GOOGLETRANSLATE(A1911,""ko"",""en""),)"),"")</f>
        <v/>
      </c>
    </row>
    <row r="1912" spans="1:2" ht="18">
      <c r="A1912" s="3"/>
      <c r="B1912" s="4" t="str">
        <f ca="1">IFERROR(__xludf.DUMMYFUNCTION("IFERROR(GOOGLETRANSLATE(A1912,""ko"",""en""),)"),"")</f>
        <v/>
      </c>
    </row>
    <row r="1913" spans="1:2" ht="18">
      <c r="A1913" s="3"/>
      <c r="B1913" s="4" t="str">
        <f ca="1">IFERROR(__xludf.DUMMYFUNCTION("IFERROR(GOOGLETRANSLATE(A1913,""ko"",""en""),)"),"")</f>
        <v/>
      </c>
    </row>
    <row r="1914" spans="1:2" ht="18">
      <c r="A1914" s="3"/>
      <c r="B1914" s="4" t="str">
        <f ca="1">IFERROR(__xludf.DUMMYFUNCTION("IFERROR(GOOGLETRANSLATE(A1914,""ko"",""en""),)"),"")</f>
        <v/>
      </c>
    </row>
    <row r="1915" spans="1:2" ht="18">
      <c r="A1915" s="3"/>
      <c r="B1915" s="4" t="str">
        <f ca="1">IFERROR(__xludf.DUMMYFUNCTION("IFERROR(GOOGLETRANSLATE(A1915,""ko"",""en""),)"),"")</f>
        <v/>
      </c>
    </row>
    <row r="1916" spans="1:2" ht="18">
      <c r="A1916" s="3"/>
      <c r="B1916" s="4" t="str">
        <f ca="1">IFERROR(__xludf.DUMMYFUNCTION("IFERROR(GOOGLETRANSLATE(A1916,""ko"",""en""),)"),"")</f>
        <v/>
      </c>
    </row>
    <row r="1917" spans="1:2" ht="18">
      <c r="A1917" s="3"/>
      <c r="B1917" s="4" t="str">
        <f ca="1">IFERROR(__xludf.DUMMYFUNCTION("IFERROR(GOOGLETRANSLATE(A1917,""ko"",""en""),)"),"")</f>
        <v/>
      </c>
    </row>
    <row r="1918" spans="1:2" ht="18">
      <c r="A1918" s="3"/>
      <c r="B1918" s="4" t="str">
        <f ca="1">IFERROR(__xludf.DUMMYFUNCTION("IFERROR(GOOGLETRANSLATE(A1918,""ko"",""en""),)"),"")</f>
        <v/>
      </c>
    </row>
    <row r="1919" spans="1:2" ht="18">
      <c r="A1919" s="3"/>
      <c r="B1919" s="4" t="str">
        <f ca="1">IFERROR(__xludf.DUMMYFUNCTION("IFERROR(GOOGLETRANSLATE(A1919,""ko"",""en""),)"),"")</f>
        <v/>
      </c>
    </row>
    <row r="1920" spans="1:2" ht="18">
      <c r="A1920" s="3"/>
      <c r="B1920" s="4" t="str">
        <f ca="1">IFERROR(__xludf.DUMMYFUNCTION("IFERROR(GOOGLETRANSLATE(A1920,""ko"",""en""),)"),"")</f>
        <v/>
      </c>
    </row>
    <row r="1921" spans="1:2" ht="18">
      <c r="A1921" s="3"/>
      <c r="B1921" s="4" t="str">
        <f ca="1">IFERROR(__xludf.DUMMYFUNCTION("IFERROR(GOOGLETRANSLATE(A1921,""ko"",""en""),)"),"")</f>
        <v/>
      </c>
    </row>
    <row r="1922" spans="1:2" ht="18">
      <c r="A1922" s="3"/>
      <c r="B1922" s="4" t="str">
        <f ca="1">IFERROR(__xludf.DUMMYFUNCTION("IFERROR(GOOGLETRANSLATE(A1922,""ko"",""en""),)"),"")</f>
        <v/>
      </c>
    </row>
    <row r="1923" spans="1:2" ht="18">
      <c r="A1923" s="3"/>
      <c r="B1923" s="4" t="str">
        <f ca="1">IFERROR(__xludf.DUMMYFUNCTION("IFERROR(GOOGLETRANSLATE(A1923,""ko"",""en""),)"),"")</f>
        <v/>
      </c>
    </row>
    <row r="1924" spans="1:2" ht="18">
      <c r="A1924" s="3"/>
      <c r="B1924" s="4" t="str">
        <f ca="1">IFERROR(__xludf.DUMMYFUNCTION("IFERROR(GOOGLETRANSLATE(A1924,""ko"",""en""),)"),"")</f>
        <v/>
      </c>
    </row>
    <row r="1925" spans="1:2" ht="18">
      <c r="A1925" s="3"/>
      <c r="B1925" s="4" t="str">
        <f ca="1">IFERROR(__xludf.DUMMYFUNCTION("IFERROR(GOOGLETRANSLATE(A1925,""ko"",""en""),)"),"")</f>
        <v/>
      </c>
    </row>
    <row r="1926" spans="1:2" ht="18">
      <c r="A1926" s="3"/>
      <c r="B1926" s="4" t="str">
        <f ca="1">IFERROR(__xludf.DUMMYFUNCTION("IFERROR(GOOGLETRANSLATE(A1926,""ko"",""en""),)"),"")</f>
        <v/>
      </c>
    </row>
    <row r="1927" spans="1:2" ht="18">
      <c r="A1927" s="3"/>
      <c r="B1927" s="4" t="str">
        <f ca="1">IFERROR(__xludf.DUMMYFUNCTION("IFERROR(GOOGLETRANSLATE(A1927,""ko"",""en""),)"),"")</f>
        <v/>
      </c>
    </row>
    <row r="1928" spans="1:2" ht="18">
      <c r="A1928" s="3"/>
      <c r="B1928" s="4" t="str">
        <f ca="1">IFERROR(__xludf.DUMMYFUNCTION("IFERROR(GOOGLETRANSLATE(A1928,""ko"",""en""),)"),"")</f>
        <v/>
      </c>
    </row>
    <row r="1929" spans="1:2" ht="18">
      <c r="A1929" s="3"/>
      <c r="B1929" s="4" t="str">
        <f ca="1">IFERROR(__xludf.DUMMYFUNCTION("IFERROR(GOOGLETRANSLATE(A1929,""ko"",""en""),)"),"")</f>
        <v/>
      </c>
    </row>
    <row r="1930" spans="1:2" ht="18">
      <c r="A1930" s="3"/>
      <c r="B1930" s="4" t="str">
        <f ca="1">IFERROR(__xludf.DUMMYFUNCTION("IFERROR(GOOGLETRANSLATE(A1930,""ko"",""en""),)"),"")</f>
        <v/>
      </c>
    </row>
    <row r="1931" spans="1:2" ht="18">
      <c r="A1931" s="3"/>
      <c r="B1931" s="4" t="str">
        <f ca="1">IFERROR(__xludf.DUMMYFUNCTION("IFERROR(GOOGLETRANSLATE(A1931,""ko"",""en""),)"),"")</f>
        <v/>
      </c>
    </row>
    <row r="1932" spans="1:2" ht="18">
      <c r="A1932" s="3"/>
      <c r="B1932" s="4" t="str">
        <f ca="1">IFERROR(__xludf.DUMMYFUNCTION("IFERROR(GOOGLETRANSLATE(A1932,""ko"",""en""),)"),"")</f>
        <v/>
      </c>
    </row>
    <row r="1933" spans="1:2" ht="18">
      <c r="A1933" s="3"/>
      <c r="B1933" s="4" t="str">
        <f ca="1">IFERROR(__xludf.DUMMYFUNCTION("IFERROR(GOOGLETRANSLATE(A1933,""ko"",""en""),)"),"")</f>
        <v/>
      </c>
    </row>
    <row r="1934" spans="1:2" ht="18">
      <c r="A1934" s="3"/>
      <c r="B1934" s="4" t="str">
        <f ca="1">IFERROR(__xludf.DUMMYFUNCTION("IFERROR(GOOGLETRANSLATE(A1934,""ko"",""en""),)"),"")</f>
        <v/>
      </c>
    </row>
    <row r="1935" spans="1:2" ht="18">
      <c r="A1935" s="3"/>
      <c r="B1935" s="4" t="str">
        <f ca="1">IFERROR(__xludf.DUMMYFUNCTION("IFERROR(GOOGLETRANSLATE(A1935,""ko"",""en""),)"),"")</f>
        <v/>
      </c>
    </row>
    <row r="1936" spans="1:2" ht="18">
      <c r="A1936" s="3"/>
      <c r="B1936" s="4" t="str">
        <f ca="1">IFERROR(__xludf.DUMMYFUNCTION("IFERROR(GOOGLETRANSLATE(A1936,""ko"",""en""),)"),"")</f>
        <v/>
      </c>
    </row>
    <row r="1937" spans="1:2" ht="18">
      <c r="A1937" s="3"/>
      <c r="B1937" s="4" t="str">
        <f ca="1">IFERROR(__xludf.DUMMYFUNCTION("IFERROR(GOOGLETRANSLATE(A1937,""ko"",""en""),)"),"")</f>
        <v/>
      </c>
    </row>
    <row r="1938" spans="1:2" ht="18">
      <c r="A1938" s="3"/>
      <c r="B1938" s="4" t="str">
        <f ca="1">IFERROR(__xludf.DUMMYFUNCTION("IFERROR(GOOGLETRANSLATE(A1938,""ko"",""en""),)"),"")</f>
        <v/>
      </c>
    </row>
    <row r="1939" spans="1:2" ht="18">
      <c r="A1939" s="3"/>
      <c r="B1939" s="4" t="str">
        <f ca="1">IFERROR(__xludf.DUMMYFUNCTION("IFERROR(GOOGLETRANSLATE(A1939,""ko"",""en""),)"),"")</f>
        <v/>
      </c>
    </row>
    <row r="1940" spans="1:2" ht="18">
      <c r="A1940" s="3"/>
      <c r="B1940" s="4" t="str">
        <f ca="1">IFERROR(__xludf.DUMMYFUNCTION("IFERROR(GOOGLETRANSLATE(A1940,""ko"",""en""),)"),"")</f>
        <v/>
      </c>
    </row>
    <row r="1941" spans="1:2" ht="18">
      <c r="A1941" s="3"/>
      <c r="B1941" s="4" t="str">
        <f ca="1">IFERROR(__xludf.DUMMYFUNCTION("IFERROR(GOOGLETRANSLATE(A1941,""ko"",""en""),)"),"")</f>
        <v/>
      </c>
    </row>
    <row r="1942" spans="1:2" ht="18">
      <c r="A1942" s="3"/>
      <c r="B1942" s="4" t="str">
        <f ca="1">IFERROR(__xludf.DUMMYFUNCTION("IFERROR(GOOGLETRANSLATE(A1942,""ko"",""en""),)"),"")</f>
        <v/>
      </c>
    </row>
    <row r="1943" spans="1:2" ht="18">
      <c r="A1943" s="3"/>
      <c r="B1943" s="4" t="str">
        <f ca="1">IFERROR(__xludf.DUMMYFUNCTION("IFERROR(GOOGLETRANSLATE(A1943,""ko"",""en""),)"),"")</f>
        <v/>
      </c>
    </row>
    <row r="1944" spans="1:2" ht="18">
      <c r="A1944" s="3"/>
      <c r="B1944" s="4" t="str">
        <f ca="1">IFERROR(__xludf.DUMMYFUNCTION("IFERROR(GOOGLETRANSLATE(A1944,""ko"",""en""),)"),"")</f>
        <v/>
      </c>
    </row>
    <row r="1945" spans="1:2" ht="18">
      <c r="A1945" s="3"/>
      <c r="B1945" s="4" t="str">
        <f ca="1">IFERROR(__xludf.DUMMYFUNCTION("IFERROR(GOOGLETRANSLATE(A1945,""ko"",""en""),)"),"")</f>
        <v/>
      </c>
    </row>
    <row r="1946" spans="1:2" ht="18">
      <c r="A1946" s="3"/>
      <c r="B1946" s="4" t="str">
        <f ca="1">IFERROR(__xludf.DUMMYFUNCTION("IFERROR(GOOGLETRANSLATE(A1946,""ko"",""en""),)"),"")</f>
        <v/>
      </c>
    </row>
    <row r="1947" spans="1:2" ht="18">
      <c r="A1947" s="3"/>
      <c r="B1947" s="4" t="str">
        <f ca="1">IFERROR(__xludf.DUMMYFUNCTION("IFERROR(GOOGLETRANSLATE(A1947,""ko"",""en""),)"),"")</f>
        <v/>
      </c>
    </row>
    <row r="1948" spans="1:2" ht="18">
      <c r="A1948" s="3"/>
      <c r="B1948" s="4" t="str">
        <f ca="1">IFERROR(__xludf.DUMMYFUNCTION("IFERROR(GOOGLETRANSLATE(A1948,""ko"",""en""),)"),"")</f>
        <v/>
      </c>
    </row>
    <row r="1949" spans="1:2" ht="18">
      <c r="A1949" s="3"/>
      <c r="B1949" s="4" t="str">
        <f ca="1">IFERROR(__xludf.DUMMYFUNCTION("IFERROR(GOOGLETRANSLATE(A1949,""ko"",""en""),)"),"")</f>
        <v/>
      </c>
    </row>
    <row r="1950" spans="1:2" ht="18">
      <c r="A1950" s="3"/>
      <c r="B1950" s="4" t="str">
        <f ca="1">IFERROR(__xludf.DUMMYFUNCTION("IFERROR(GOOGLETRANSLATE(A1950,""ko"",""en""),)"),"")</f>
        <v/>
      </c>
    </row>
    <row r="1951" spans="1:2" ht="18">
      <c r="A1951" s="3"/>
      <c r="B1951" s="4" t="str">
        <f ca="1">IFERROR(__xludf.DUMMYFUNCTION("IFERROR(GOOGLETRANSLATE(A1951,""ko"",""en""),)"),"")</f>
        <v/>
      </c>
    </row>
    <row r="1952" spans="1:2" ht="18">
      <c r="A1952" s="3"/>
      <c r="B1952" s="4" t="str">
        <f ca="1">IFERROR(__xludf.DUMMYFUNCTION("IFERROR(GOOGLETRANSLATE(A1952,""ko"",""en""),)"),"")</f>
        <v/>
      </c>
    </row>
    <row r="1953" spans="1:2" ht="18">
      <c r="A1953" s="3"/>
      <c r="B1953" s="4" t="str">
        <f ca="1">IFERROR(__xludf.DUMMYFUNCTION("IFERROR(GOOGLETRANSLATE(A1953,""ko"",""en""),)"),"")</f>
        <v/>
      </c>
    </row>
    <row r="1954" spans="1:2" ht="18">
      <c r="A1954" s="3"/>
      <c r="B1954" s="4" t="str">
        <f ca="1">IFERROR(__xludf.DUMMYFUNCTION("IFERROR(GOOGLETRANSLATE(A1954,""ko"",""en""),)"),"")</f>
        <v/>
      </c>
    </row>
    <row r="1955" spans="1:2" ht="18">
      <c r="A1955" s="3"/>
      <c r="B1955" s="4" t="str">
        <f ca="1">IFERROR(__xludf.DUMMYFUNCTION("IFERROR(GOOGLETRANSLATE(A1955,""ko"",""en""),)"),"")</f>
        <v/>
      </c>
    </row>
    <row r="1956" spans="1:2" ht="18">
      <c r="A1956" s="3"/>
      <c r="B1956" s="4" t="str">
        <f ca="1">IFERROR(__xludf.DUMMYFUNCTION("IFERROR(GOOGLETRANSLATE(A1956,""ko"",""en""),)"),"")</f>
        <v/>
      </c>
    </row>
    <row r="1957" spans="1:2" ht="18">
      <c r="A1957" s="3"/>
      <c r="B1957" s="4" t="str">
        <f ca="1">IFERROR(__xludf.DUMMYFUNCTION("IFERROR(GOOGLETRANSLATE(A1957,""ko"",""en""),)"),"")</f>
        <v/>
      </c>
    </row>
    <row r="1958" spans="1:2" ht="18">
      <c r="A1958" s="3"/>
      <c r="B1958" s="4" t="str">
        <f ca="1">IFERROR(__xludf.DUMMYFUNCTION("IFERROR(GOOGLETRANSLATE(A1958,""ko"",""en""),)"),"")</f>
        <v/>
      </c>
    </row>
    <row r="1959" spans="1:2" ht="18">
      <c r="A1959" s="3"/>
      <c r="B1959" s="4" t="str">
        <f ca="1">IFERROR(__xludf.DUMMYFUNCTION("IFERROR(GOOGLETRANSLATE(A1959,""ko"",""en""),)"),"")</f>
        <v/>
      </c>
    </row>
    <row r="1960" spans="1:2" ht="18">
      <c r="A1960" s="3"/>
      <c r="B1960" s="4" t="str">
        <f ca="1">IFERROR(__xludf.DUMMYFUNCTION("IFERROR(GOOGLETRANSLATE(A1960,""ko"",""en""),)"),"")</f>
        <v/>
      </c>
    </row>
    <row r="1961" spans="1:2" ht="18">
      <c r="A1961" s="3"/>
      <c r="B1961" s="4" t="str">
        <f ca="1">IFERROR(__xludf.DUMMYFUNCTION("IFERROR(GOOGLETRANSLATE(A1961,""ko"",""en""),)"),"")</f>
        <v/>
      </c>
    </row>
    <row r="1962" spans="1:2" ht="18">
      <c r="A1962" s="3"/>
      <c r="B1962" s="4" t="str">
        <f ca="1">IFERROR(__xludf.DUMMYFUNCTION("IFERROR(GOOGLETRANSLATE(A1962,""ko"",""en""),)"),"")</f>
        <v/>
      </c>
    </row>
    <row r="1963" spans="1:2" ht="18">
      <c r="A1963" s="3"/>
      <c r="B1963" s="4" t="str">
        <f ca="1">IFERROR(__xludf.DUMMYFUNCTION("IFERROR(GOOGLETRANSLATE(A1963,""ko"",""en""),)"),"")</f>
        <v/>
      </c>
    </row>
    <row r="1964" spans="1:2" ht="18">
      <c r="A1964" s="3"/>
      <c r="B1964" s="4" t="str">
        <f ca="1">IFERROR(__xludf.DUMMYFUNCTION("IFERROR(GOOGLETRANSLATE(A1964,""ko"",""en""),)"),"")</f>
        <v/>
      </c>
    </row>
    <row r="1965" spans="1:2" ht="18">
      <c r="A1965" s="3"/>
      <c r="B1965" s="4" t="str">
        <f ca="1">IFERROR(__xludf.DUMMYFUNCTION("IFERROR(GOOGLETRANSLATE(A1965,""ko"",""en""),)"),"")</f>
        <v/>
      </c>
    </row>
    <row r="1966" spans="1:2" ht="18">
      <c r="A1966" s="3"/>
      <c r="B1966" s="4" t="str">
        <f ca="1">IFERROR(__xludf.DUMMYFUNCTION("IFERROR(GOOGLETRANSLATE(A1966,""ko"",""en""),)"),"")</f>
        <v/>
      </c>
    </row>
    <row r="1967" spans="1:2" ht="18">
      <c r="A1967" s="3"/>
      <c r="B1967" s="4" t="str">
        <f ca="1">IFERROR(__xludf.DUMMYFUNCTION("IFERROR(GOOGLETRANSLATE(A1967,""ko"",""en""),)"),"")</f>
        <v/>
      </c>
    </row>
    <row r="1968" spans="1:2" ht="18">
      <c r="A1968" s="3"/>
      <c r="B1968" s="4" t="str">
        <f ca="1">IFERROR(__xludf.DUMMYFUNCTION("IFERROR(GOOGLETRANSLATE(A1968,""ko"",""en""),)"),"")</f>
        <v/>
      </c>
    </row>
    <row r="1969" spans="1:2" ht="18">
      <c r="A1969" s="3"/>
      <c r="B1969" s="4" t="str">
        <f ca="1">IFERROR(__xludf.DUMMYFUNCTION("IFERROR(GOOGLETRANSLATE(A1969,""ko"",""en""),)"),"")</f>
        <v/>
      </c>
    </row>
    <row r="1970" spans="1:2" ht="18">
      <c r="A1970" s="3"/>
      <c r="B1970" s="4" t="str">
        <f ca="1">IFERROR(__xludf.DUMMYFUNCTION("IFERROR(GOOGLETRANSLATE(A1970,""ko"",""en""),)"),"")</f>
        <v/>
      </c>
    </row>
    <row r="1971" spans="1:2" ht="18">
      <c r="A1971" s="3"/>
      <c r="B1971" s="4" t="str">
        <f ca="1">IFERROR(__xludf.DUMMYFUNCTION("IFERROR(GOOGLETRANSLATE(A1971,""ko"",""en""),)"),"")</f>
        <v/>
      </c>
    </row>
    <row r="1972" spans="1:2" ht="18">
      <c r="A1972" s="3"/>
      <c r="B1972" s="4" t="str">
        <f ca="1">IFERROR(__xludf.DUMMYFUNCTION("IFERROR(GOOGLETRANSLATE(A1972,""ko"",""en""),)"),"")</f>
        <v/>
      </c>
    </row>
    <row r="1973" spans="1:2" ht="18">
      <c r="A1973" s="3"/>
      <c r="B1973" s="4" t="str">
        <f ca="1">IFERROR(__xludf.DUMMYFUNCTION("IFERROR(GOOGLETRANSLATE(A1973,""ko"",""en""),)"),"")</f>
        <v/>
      </c>
    </row>
    <row r="1974" spans="1:2" ht="18">
      <c r="A1974" s="3"/>
      <c r="B1974" s="4" t="str">
        <f ca="1">IFERROR(__xludf.DUMMYFUNCTION("IFERROR(GOOGLETRANSLATE(A1974,""ko"",""en""),)"),"")</f>
        <v/>
      </c>
    </row>
    <row r="1975" spans="1:2" ht="18">
      <c r="A1975" s="3"/>
      <c r="B1975" s="4" t="str">
        <f ca="1">IFERROR(__xludf.DUMMYFUNCTION("IFERROR(GOOGLETRANSLATE(A1975,""ko"",""en""),)"),"")</f>
        <v/>
      </c>
    </row>
    <row r="1976" spans="1:2" ht="18">
      <c r="A1976" s="3"/>
      <c r="B1976" s="4" t="str">
        <f ca="1">IFERROR(__xludf.DUMMYFUNCTION("IFERROR(GOOGLETRANSLATE(A1976,""ko"",""en""),)"),"")</f>
        <v/>
      </c>
    </row>
    <row r="1977" spans="1:2" ht="18">
      <c r="A1977" s="3"/>
      <c r="B1977" s="4" t="str">
        <f ca="1">IFERROR(__xludf.DUMMYFUNCTION("IFERROR(GOOGLETRANSLATE(A1977,""ko"",""en""),)"),"")</f>
        <v/>
      </c>
    </row>
    <row r="1978" spans="1:2" ht="18">
      <c r="A1978" s="3"/>
      <c r="B1978" s="4" t="str">
        <f ca="1">IFERROR(__xludf.DUMMYFUNCTION("IFERROR(GOOGLETRANSLATE(A1978,""ko"",""en""),)"),"")</f>
        <v/>
      </c>
    </row>
    <row r="1979" spans="1:2" ht="18">
      <c r="A1979" s="3"/>
      <c r="B1979" s="4" t="str">
        <f ca="1">IFERROR(__xludf.DUMMYFUNCTION("IFERROR(GOOGLETRANSLATE(A1979,""ko"",""en""),)"),"")</f>
        <v/>
      </c>
    </row>
    <row r="1980" spans="1:2" ht="18">
      <c r="A1980" s="3"/>
      <c r="B1980" s="4" t="str">
        <f ca="1">IFERROR(__xludf.DUMMYFUNCTION("IFERROR(GOOGLETRANSLATE(A1980,""ko"",""en""),)"),"")</f>
        <v/>
      </c>
    </row>
    <row r="1981" spans="1:2" ht="18">
      <c r="A1981" s="3"/>
      <c r="B1981" s="4" t="str">
        <f ca="1">IFERROR(__xludf.DUMMYFUNCTION("IFERROR(GOOGLETRANSLATE(A1981,""ko"",""en""),)"),"")</f>
        <v/>
      </c>
    </row>
    <row r="1982" spans="1:2" ht="18">
      <c r="A1982" s="3"/>
      <c r="B1982" s="4" t="str">
        <f ca="1">IFERROR(__xludf.DUMMYFUNCTION("IFERROR(GOOGLETRANSLATE(A1982,""ko"",""en""),)"),"")</f>
        <v/>
      </c>
    </row>
    <row r="1983" spans="1:2" ht="18">
      <c r="A1983" s="3"/>
      <c r="B1983" s="4" t="str">
        <f ca="1">IFERROR(__xludf.DUMMYFUNCTION("IFERROR(GOOGLETRANSLATE(A1983,""ko"",""en""),)"),"")</f>
        <v/>
      </c>
    </row>
    <row r="1984" spans="1:2" ht="18">
      <c r="A1984" s="3"/>
      <c r="B1984" s="4" t="str">
        <f ca="1">IFERROR(__xludf.DUMMYFUNCTION("IFERROR(GOOGLETRANSLATE(A1984,""ko"",""en""),)"),"")</f>
        <v/>
      </c>
    </row>
    <row r="1985" spans="1:2" ht="18">
      <c r="A1985" s="3"/>
      <c r="B1985" s="4" t="str">
        <f ca="1">IFERROR(__xludf.DUMMYFUNCTION("IFERROR(GOOGLETRANSLATE(A1985,""ko"",""en""),)"),"")</f>
        <v/>
      </c>
    </row>
    <row r="1986" spans="1:2" ht="18">
      <c r="A1986" s="3"/>
      <c r="B1986" s="4" t="str">
        <f ca="1">IFERROR(__xludf.DUMMYFUNCTION("IFERROR(GOOGLETRANSLATE(A1986,""ko"",""en""),)"),"")</f>
        <v/>
      </c>
    </row>
    <row r="1987" spans="1:2" ht="18">
      <c r="A1987" s="3"/>
      <c r="B1987" s="4" t="str">
        <f ca="1">IFERROR(__xludf.DUMMYFUNCTION("IFERROR(GOOGLETRANSLATE(A1987,""ko"",""en""),)"),"")</f>
        <v/>
      </c>
    </row>
    <row r="1988" spans="1:2" ht="18">
      <c r="A1988" s="3"/>
      <c r="B1988" s="4" t="str">
        <f ca="1">IFERROR(__xludf.DUMMYFUNCTION("IFERROR(GOOGLETRANSLATE(A1988,""ko"",""en""),)"),"")</f>
        <v/>
      </c>
    </row>
    <row r="1989" spans="1:2" ht="18">
      <c r="A1989" s="3"/>
      <c r="B1989" s="4" t="str">
        <f ca="1">IFERROR(__xludf.DUMMYFUNCTION("IFERROR(GOOGLETRANSLATE(A1989,""ko"",""en""),)"),"")</f>
        <v/>
      </c>
    </row>
    <row r="1990" spans="1:2" ht="18">
      <c r="A1990" s="3"/>
      <c r="B1990" s="4" t="str">
        <f ca="1">IFERROR(__xludf.DUMMYFUNCTION("IFERROR(GOOGLETRANSLATE(A1990,""ko"",""en""),)"),"")</f>
        <v/>
      </c>
    </row>
    <row r="1991" spans="1:2" ht="18">
      <c r="A1991" s="3"/>
      <c r="B1991" s="4" t="str">
        <f ca="1">IFERROR(__xludf.DUMMYFUNCTION("IFERROR(GOOGLETRANSLATE(A1991,""ko"",""en""),)"),"")</f>
        <v/>
      </c>
    </row>
    <row r="1992" spans="1:2" ht="18">
      <c r="A1992" s="3"/>
      <c r="B1992" s="4" t="str">
        <f ca="1">IFERROR(__xludf.DUMMYFUNCTION("IFERROR(GOOGLETRANSLATE(A1992,""ko"",""en""),)"),"")</f>
        <v/>
      </c>
    </row>
    <row r="1993" spans="1:2" ht="18">
      <c r="A1993" s="3"/>
      <c r="B1993" s="4" t="str">
        <f ca="1">IFERROR(__xludf.DUMMYFUNCTION("IFERROR(GOOGLETRANSLATE(A1993,""ko"",""en""),)"),"")</f>
        <v/>
      </c>
    </row>
    <row r="1994" spans="1:2" ht="18">
      <c r="A1994" s="3"/>
      <c r="B1994" s="4" t="str">
        <f ca="1">IFERROR(__xludf.DUMMYFUNCTION("IFERROR(GOOGLETRANSLATE(A1994,""ko"",""en""),)"),"")</f>
        <v/>
      </c>
    </row>
    <row r="1995" spans="1:2" ht="18">
      <c r="A1995" s="3"/>
      <c r="B1995" s="4" t="str">
        <f ca="1">IFERROR(__xludf.DUMMYFUNCTION("IFERROR(GOOGLETRANSLATE(A1995,""ko"",""en""),)"),"")</f>
        <v/>
      </c>
    </row>
    <row r="1996" spans="1:2" ht="18">
      <c r="A1996" s="3"/>
      <c r="B1996" s="4" t="str">
        <f ca="1">IFERROR(__xludf.DUMMYFUNCTION("IFERROR(GOOGLETRANSLATE(A1996,""ko"",""en""),)"),"")</f>
        <v/>
      </c>
    </row>
    <row r="1997" spans="1:2" ht="18">
      <c r="A1997" s="3"/>
      <c r="B1997" s="4" t="str">
        <f ca="1">IFERROR(__xludf.DUMMYFUNCTION("IFERROR(GOOGLETRANSLATE(A1997,""ko"",""en""),)"),"")</f>
        <v/>
      </c>
    </row>
    <row r="1998" spans="1:2" ht="18">
      <c r="A1998" s="3"/>
      <c r="B1998" s="4" t="str">
        <f ca="1">IFERROR(__xludf.DUMMYFUNCTION("IFERROR(GOOGLETRANSLATE(A1998,""ko"",""en""),)"),"")</f>
        <v/>
      </c>
    </row>
    <row r="1999" spans="1:2" ht="18">
      <c r="A1999" s="3"/>
      <c r="B1999" s="4" t="str">
        <f ca="1">IFERROR(__xludf.DUMMYFUNCTION("IFERROR(GOOGLETRANSLATE(A1999,""ko"",""en""),)"),"")</f>
        <v/>
      </c>
    </row>
    <row r="2000" spans="1:2" ht="18">
      <c r="A2000" s="3"/>
      <c r="B2000" s="4" t="str">
        <f ca="1">IFERROR(__xludf.DUMMYFUNCTION("IFERROR(GOOGLETRANSLATE(A2000,""ko"",""en""),)"),"")</f>
        <v/>
      </c>
    </row>
    <row r="2001" spans="1:2" ht="18">
      <c r="A2001" s="3"/>
      <c r="B2001" s="4" t="str">
        <f ca="1">IFERROR(__xludf.DUMMYFUNCTION("IFERROR(GOOGLETRANSLATE(A2001,""ko"",""en""),)"),"")</f>
        <v/>
      </c>
    </row>
    <row r="2002" spans="1:2" ht="18">
      <c r="A2002" s="3"/>
      <c r="B2002" s="4" t="str">
        <f ca="1">IFERROR(__xludf.DUMMYFUNCTION("IFERROR(GOOGLETRANSLATE(A2002,""ko"",""en""),)"),"")</f>
        <v/>
      </c>
    </row>
    <row r="2003" spans="1:2" ht="18">
      <c r="A2003" s="3"/>
      <c r="B2003" s="4" t="str">
        <f ca="1">IFERROR(__xludf.DUMMYFUNCTION("IFERROR(GOOGLETRANSLATE(A2003,""ko"",""en""),)"),"")</f>
        <v/>
      </c>
    </row>
    <row r="2004" spans="1:2" ht="18">
      <c r="A2004" s="3"/>
      <c r="B2004" s="4" t="str">
        <f ca="1">IFERROR(__xludf.DUMMYFUNCTION("IFERROR(GOOGLETRANSLATE(A2004,""ko"",""en""),)"),"")</f>
        <v/>
      </c>
    </row>
    <row r="2005" spans="1:2" ht="18">
      <c r="A2005" s="3"/>
      <c r="B2005" s="4" t="str">
        <f ca="1">IFERROR(__xludf.DUMMYFUNCTION("IFERROR(GOOGLETRANSLATE(A2005,""ko"",""en""),)"),"")</f>
        <v/>
      </c>
    </row>
    <row r="2006" spans="1:2" ht="18">
      <c r="A2006" s="3"/>
      <c r="B2006" s="4" t="str">
        <f ca="1">IFERROR(__xludf.DUMMYFUNCTION("IFERROR(GOOGLETRANSLATE(A2006,""ko"",""en""),)"),"")</f>
        <v/>
      </c>
    </row>
    <row r="2007" spans="1:2" ht="18">
      <c r="A2007" s="3"/>
      <c r="B2007" s="4" t="str">
        <f ca="1">IFERROR(__xludf.DUMMYFUNCTION("IFERROR(GOOGLETRANSLATE(A2007,""ko"",""en""),)"),"")</f>
        <v/>
      </c>
    </row>
    <row r="2008" spans="1:2" ht="18">
      <c r="A2008" s="3"/>
      <c r="B2008" s="4" t="str">
        <f ca="1">IFERROR(__xludf.DUMMYFUNCTION("IFERROR(GOOGLETRANSLATE(A2008,""ko"",""en""),)"),"")</f>
        <v/>
      </c>
    </row>
    <row r="2009" spans="1:2" ht="18">
      <c r="A2009" s="3"/>
      <c r="B2009" s="4" t="str">
        <f ca="1">IFERROR(__xludf.DUMMYFUNCTION("IFERROR(GOOGLETRANSLATE(A2009,""ko"",""en""),)"),"")</f>
        <v/>
      </c>
    </row>
    <row r="2010" spans="1:2" ht="18">
      <c r="A2010" s="3"/>
      <c r="B2010" s="4" t="str">
        <f ca="1">IFERROR(__xludf.DUMMYFUNCTION("IFERROR(GOOGLETRANSLATE(A2010,""ko"",""en""),)"),"")</f>
        <v/>
      </c>
    </row>
    <row r="2011" spans="1:2" ht="18">
      <c r="A2011" s="3"/>
      <c r="B2011" s="4" t="str">
        <f ca="1">IFERROR(__xludf.DUMMYFUNCTION("IFERROR(GOOGLETRANSLATE(A2011,""ko"",""en""),)"),"")</f>
        <v/>
      </c>
    </row>
    <row r="2012" spans="1:2" ht="18">
      <c r="A2012" s="3"/>
      <c r="B2012" s="4" t="str">
        <f ca="1">IFERROR(__xludf.DUMMYFUNCTION("IFERROR(GOOGLETRANSLATE(A2012,""ko"",""en""),)"),"")</f>
        <v/>
      </c>
    </row>
    <row r="2013" spans="1:2" ht="18">
      <c r="A2013" s="3"/>
      <c r="B2013" s="4" t="str">
        <f ca="1">IFERROR(__xludf.DUMMYFUNCTION("IFERROR(GOOGLETRANSLATE(A2013,""ko"",""en""),)"),"")</f>
        <v/>
      </c>
    </row>
    <row r="2014" spans="1:2" ht="18">
      <c r="A2014" s="3"/>
      <c r="B2014" s="4" t="str">
        <f ca="1">IFERROR(__xludf.DUMMYFUNCTION("IFERROR(GOOGLETRANSLATE(A2014,""ko"",""en""),)"),"")</f>
        <v/>
      </c>
    </row>
    <row r="2015" spans="1:2" ht="18">
      <c r="A2015" s="3"/>
      <c r="B2015" s="4" t="str">
        <f ca="1">IFERROR(__xludf.DUMMYFUNCTION("IFERROR(GOOGLETRANSLATE(A2015,""ko"",""en""),)"),"")</f>
        <v/>
      </c>
    </row>
    <row r="2016" spans="1:2" ht="18">
      <c r="A2016" s="3"/>
      <c r="B2016" s="4" t="str">
        <f ca="1">IFERROR(__xludf.DUMMYFUNCTION("IFERROR(GOOGLETRANSLATE(A2016,""ko"",""en""),)"),"")</f>
        <v/>
      </c>
    </row>
    <row r="2017" spans="1:2" ht="18">
      <c r="A2017" s="3"/>
      <c r="B2017" s="4" t="str">
        <f ca="1">IFERROR(__xludf.DUMMYFUNCTION("IFERROR(GOOGLETRANSLATE(A2017,""ko"",""en""),)"),"")</f>
        <v/>
      </c>
    </row>
    <row r="2018" spans="1:2" ht="18">
      <c r="A2018" s="3"/>
      <c r="B2018" s="4" t="str">
        <f ca="1">IFERROR(__xludf.DUMMYFUNCTION("IFERROR(GOOGLETRANSLATE(A2018,""ko"",""en""),)"),"")</f>
        <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2013"/>
  <sheetViews>
    <sheetView tabSelected="1" topLeftCell="A602" workbookViewId="0">
      <selection activeCell="A635" sqref="A635"/>
    </sheetView>
  </sheetViews>
  <sheetFormatPr baseColWidth="10" defaultColWidth="12.6640625" defaultRowHeight="15.75" customHeight="1"/>
  <cols>
    <col min="1" max="1" width="83.6640625" customWidth="1"/>
    <col min="2" max="2" width="94.1640625" customWidth="1"/>
  </cols>
  <sheetData>
    <row r="1" spans="1:2" ht="16">
      <c r="A1" s="1" t="s">
        <v>0</v>
      </c>
      <c r="B1" s="1" t="s">
        <v>1</v>
      </c>
    </row>
    <row r="2" spans="1:2" ht="19">
      <c r="A2" s="3" t="s">
        <v>4439</v>
      </c>
      <c r="B2" s="17" t="str">
        <f ca="1">IFERROR(__xludf.DUMMYFUNCTION("IFERROR(GOOGLETRANSLATE(A4,""ko"",""en""),)"),"attempt")</f>
        <v>attempt</v>
      </c>
    </row>
    <row r="3" spans="1:2" ht="19">
      <c r="A3" s="3" t="s">
        <v>4441</v>
      </c>
      <c r="B3" s="17" t="str">
        <f ca="1">IFERROR(__xludf.DUMMYFUNCTION("IFERROR(GOOGLETRANSLATE(A5,""ko"",""en""),)"),"housewife")</f>
        <v>housewife</v>
      </c>
    </row>
    <row r="4" spans="1:2" ht="19">
      <c r="A4" s="3" t="s">
        <v>4442</v>
      </c>
      <c r="B4" s="17" t="str">
        <f ca="1">IFERROR(__xludf.DUMMYFUNCTION("IFERROR(GOOGLETRANSLATE(A6,""ko"",""en""),)"),"bank clerk")</f>
        <v>bank clerk</v>
      </c>
    </row>
    <row r="5" spans="1:2" ht="19">
      <c r="A5" s="3" t="s">
        <v>4443</v>
      </c>
      <c r="B5" s="17" t="str">
        <f ca="1">IFERROR(__xludf.DUMMYFUNCTION("IFERROR(GOOGLETRANSLATE(A7,""ko"",""en""),)"),"Taekwondo")</f>
        <v>Taekwondo</v>
      </c>
    </row>
    <row r="6" spans="1:2" ht="19">
      <c r="A6" s="3" t="s">
        <v>77</v>
      </c>
      <c r="B6" s="17" t="str">
        <f ca="1">IFERROR(__xludf.DUMMYFUNCTION("IFERROR(GOOGLETRANSLATE(A8,""ko"",""en""),)"),"nurse")</f>
        <v>nurse</v>
      </c>
    </row>
    <row r="7" spans="1:2" ht="19">
      <c r="A7" s="3" t="s">
        <v>4445</v>
      </c>
      <c r="B7" s="17" t="str">
        <f ca="1">IFERROR(__xludf.DUMMYFUNCTION("IFERROR(GOOGLETRANSLATE(A9,""ko"",""en""),)"),"Without subtitles")</f>
        <v>Without subtitles</v>
      </c>
    </row>
    <row r="8" spans="1:2" ht="19">
      <c r="A8" s="3" t="s">
        <v>4446</v>
      </c>
      <c r="B8" s="17" t="str">
        <f ca="1">IFERROR(__xludf.DUMMYFUNCTION("IFERROR(GOOGLETRANSLATE(A10,""ko"",""en""),)"),"Westride")</f>
        <v>Westride</v>
      </c>
    </row>
    <row r="9" spans="1:2" ht="19">
      <c r="A9" s="3" t="s">
        <v>2633</v>
      </c>
      <c r="B9" s="17" t="str">
        <f ca="1">IFERROR(__xludf.DUMMYFUNCTION("IFERROR(GOOGLETRANSLATE(A11,""ko"",""en""),)"),"librarian")</f>
        <v>librarian</v>
      </c>
    </row>
    <row r="10" spans="1:2" ht="19">
      <c r="A10" s="3" t="s">
        <v>4448</v>
      </c>
      <c r="B10" s="17" t="str">
        <f ca="1">IFERROR(__xludf.DUMMYFUNCTION("IFERROR(GOOGLETRANSLATE(A12,""ko"",""en""),)"),"entertainment programs")</f>
        <v>entertainment programs</v>
      </c>
    </row>
    <row r="11" spans="1:2" ht="19">
      <c r="A11" s="3" t="s">
        <v>4449</v>
      </c>
      <c r="B11" s="17" t="str">
        <f ca="1">IFERROR(__xludf.DUMMYFUNCTION("IFERROR(GOOGLETRANSLATE(A13,""ko"",""en""),)"),"Busan (Kyungsung University)")</f>
        <v>Busan (Kyungsung University)</v>
      </c>
    </row>
    <row r="12" spans="1:2" ht="19">
      <c r="A12" s="3"/>
      <c r="B12" s="17" t="str">
        <f ca="1">IFERROR(__xludf.DUMMYFUNCTION("IFERROR(GOOGLETRANSLATE(A15,""ko"",""en""),)"),"")</f>
        <v/>
      </c>
    </row>
    <row r="13" spans="1:2" ht="19">
      <c r="A13" s="3" t="s">
        <v>4451</v>
      </c>
      <c r="B13" s="17" t="str">
        <f ca="1">IFERROR(__xludf.DUMMYFUNCTION("IFERROR(GOOGLETRANSLATE(A16,""ko"",""en""),)"),"Stress symptoms")</f>
        <v>Stress symptoms</v>
      </c>
    </row>
    <row r="14" spans="1:2" ht="19">
      <c r="A14" s="3" t="s">
        <v>4452</v>
      </c>
      <c r="B14" s="17" t="str">
        <f ca="1">IFERROR(__xludf.DUMMYFUNCTION("IFERROR(GOOGLETRANSLATE(A17,""ko"",""en""),)"),"I feel tight in my chest when I'm stressed.")</f>
        <v>I feel tight in my chest when I'm stressed.</v>
      </c>
    </row>
    <row r="15" spans="1:2" ht="19">
      <c r="A15" s="3" t="s">
        <v>4454</v>
      </c>
      <c r="B15" s="17" t="str">
        <f ca="1">IFERROR(__xludf.DUMMYFUNCTION("IFERROR(GOOGLETRANSLATE(A18,""ko"",""en""),)"),"I feel frustrated.")</f>
        <v>I feel frustrated.</v>
      </c>
    </row>
    <row r="16" spans="1:2" ht="19">
      <c r="A16" s="3" t="s">
        <v>4455</v>
      </c>
      <c r="B16" s="17" t="str">
        <f ca="1">IFERROR(__xludf.DUMMYFUNCTION("IFERROR(GOOGLETRANSLATE(A19,""ko"",""en""),)"),"Survey")</f>
        <v>Survey</v>
      </c>
    </row>
    <row r="17" spans="1:2" ht="19">
      <c r="A17" s="3" t="s">
        <v>4456</v>
      </c>
      <c r="B17" s="17" t="s">
        <v>4457</v>
      </c>
    </row>
    <row r="18" spans="1:2" ht="19">
      <c r="A18" s="3" t="s">
        <v>4458</v>
      </c>
      <c r="B18" s="17" t="str">
        <f ca="1">IFERROR(__xludf.DUMMYFUNCTION("IFERROR(GOOGLETRANSLATE(A21,""ko"",""en""),)"),"Places where Korean people get stressed")</f>
        <v>Places where Korean people get stressed</v>
      </c>
    </row>
    <row r="19" spans="1:2" ht="19">
      <c r="A19" s="3" t="s">
        <v>4460</v>
      </c>
      <c r="B19" s="17" t="str">
        <f ca="1">IFERROR(__xludf.DUMMYFUNCTION("IFERROR(GOOGLETRANSLATE(A22,""ko"",""en""),)"),"daily life")</f>
        <v>daily life</v>
      </c>
    </row>
    <row r="20" spans="1:2" ht="19">
      <c r="A20" s="3" t="s">
        <v>4461</v>
      </c>
      <c r="B20" s="17" t="str">
        <f ca="1">IFERROR(__xludf.DUMMYFUNCTION("IFERROR(GOOGLETRANSLATE(A23,""ko"",""en""),)"),"68 percent")</f>
        <v>68 percent</v>
      </c>
    </row>
    <row r="21" spans="1:2" ht="19">
      <c r="A21" s="3" t="s">
        <v>4462</v>
      </c>
      <c r="B21" s="17" t="s">
        <v>4463</v>
      </c>
    </row>
    <row r="22" spans="1:2" ht="19">
      <c r="A22" s="3" t="s">
        <v>4464</v>
      </c>
      <c r="B22" s="17" t="s">
        <v>4465</v>
      </c>
    </row>
    <row r="23" spans="1:2" ht="19">
      <c r="A23" s="3" t="s">
        <v>4466</v>
      </c>
      <c r="B23" s="17" t="str">
        <f ca="1">IFERROR(__xludf.DUMMYFUNCTION("IFERROR(GOOGLETRANSLATE(A26,""ko"",""en""),)"),"Parenting stress")</f>
        <v>Parenting stress</v>
      </c>
    </row>
    <row r="24" spans="1:2" ht="19">
      <c r="A24" s="3" t="s">
        <v>4467</v>
      </c>
      <c r="B24" s="17" t="str">
        <f ca="1">IFERROR(__xludf.DUMMYFUNCTION("IFERROR(GOOGLETRANSLATE(A27,""ko"",""en""),)"),"Good husband")</f>
        <v>Good husband</v>
      </c>
    </row>
    <row r="25" spans="1:2" ht="19">
      <c r="A25" s="3" t="s">
        <v>4469</v>
      </c>
      <c r="B25" s="17" t="str">
        <f ca="1">IFERROR(__xludf.DUMMYFUNCTION("IFERROR(GOOGLETRANSLATE(A28,""ko"",""en""),)"),"caregiver")</f>
        <v>caregiver</v>
      </c>
    </row>
    <row r="26" spans="1:2" ht="19">
      <c r="A26" s="3" t="s">
        <v>4470</v>
      </c>
      <c r="B26" s="17" t="str">
        <f ca="1">IFERROR(__xludf.DUMMYFUNCTION("IFERROR(GOOGLETRANSLATE(A29,""ko"",""en""),)"),"caregiving")</f>
        <v>caregiving</v>
      </c>
    </row>
    <row r="27" spans="1:2" ht="19">
      <c r="A27" s="3" t="s">
        <v>4471</v>
      </c>
      <c r="B27" s="17" t="str">
        <f ca="1">IFERROR(__xludf.DUMMYFUNCTION("IFERROR(GOOGLETRANSLATE(A30,""ko"",""en""),)"),"family problems")</f>
        <v>family problems</v>
      </c>
    </row>
    <row r="28" spans="1:2" ht="19">
      <c r="A28" s="3" t="s">
        <v>4472</v>
      </c>
      <c r="B28" s="17" t="str">
        <f ca="1">IFERROR(__xludf.DUMMYFUNCTION("IFERROR(GOOGLETRANSLATE(A31,""ko"",""en""),)"),"colleague")</f>
        <v>colleague</v>
      </c>
    </row>
    <row r="29" spans="1:2" ht="19">
      <c r="A29" s="3" t="s">
        <v>4474</v>
      </c>
      <c r="B29" s="17" t="str">
        <f ca="1">IFERROR(__xludf.DUMMYFUNCTION("IFERROR(GOOGLETRANSLATE(A32,""ko"",""en""),)"),"I have a lot to study")</f>
        <v>I have a lot to study</v>
      </c>
    </row>
    <row r="30" spans="1:2" ht="19">
      <c r="A30" s="3" t="s">
        <v>4475</v>
      </c>
      <c r="B30" s="17" t="str">
        <f ca="1">IFERROR(__xludf.DUMMYFUNCTION("IFERROR(GOOGLETRANSLATE(A33,""ko"",""en""),)"),"My head is a mess")</f>
        <v>My head is a mess</v>
      </c>
    </row>
    <row r="31" spans="1:2" ht="19">
      <c r="A31" s="3" t="s">
        <v>4476</v>
      </c>
      <c r="B31" s="17" t="str">
        <f ca="1">IFERROR(__xludf.DUMMYFUNCTION("IFERROR(GOOGLETRANSLATE(A34,""ko"",""en""),)"),"I have an upset stomach")</f>
        <v>I have an upset stomach</v>
      </c>
    </row>
    <row r="32" spans="1:2" ht="19">
      <c r="A32" s="3" t="s">
        <v>4477</v>
      </c>
      <c r="B32" s="17" t="str">
        <f ca="1">IFERROR(__xludf.DUMMYFUNCTION("IFERROR(GOOGLETRANSLATE(A35,""ko"",""en""),)"),"Swollen face")</f>
        <v>Swollen face</v>
      </c>
    </row>
    <row r="33" spans="1:2" ht="19">
      <c r="A33" s="3" t="s">
        <v>4479</v>
      </c>
      <c r="B33" s="17" t="str">
        <f ca="1">IFERROR(__xludf.DUMMYFUNCTION("IFERROR(GOOGLETRANSLATE(A36,""ko"",""en""),)"),"swollen eyes")</f>
        <v>swollen eyes</v>
      </c>
    </row>
    <row r="34" spans="1:2" ht="19">
      <c r="A34" s="3" t="s">
        <v>4480</v>
      </c>
      <c r="B34" s="17" t="str">
        <f ca="1">IFERROR(__xludf.DUMMYFUNCTION("IFERROR(GOOGLETRANSLATE(A37,""ko"",""en""),)"),"I can't sleep")</f>
        <v>I can't sleep</v>
      </c>
    </row>
    <row r="35" spans="1:2" ht="19">
      <c r="A35" s="3" t="s">
        <v>4481</v>
      </c>
      <c r="B35" s="17" t="str">
        <f ca="1">IFERROR(__xludf.DUMMYFUNCTION("IFERROR(GOOGLETRANSLATE(A38,""ko"",""en""),)"),"Something appeared on my face")</f>
        <v>Something appeared on my face</v>
      </c>
    </row>
    <row r="36" spans="1:2" ht="19">
      <c r="A36" s="3" t="s">
        <v>4483</v>
      </c>
      <c r="B36" s="17" t="str">
        <f ca="1">IFERROR(__xludf.DUMMYFUNCTION("IFERROR(GOOGLETRANSLATE(A39,""ko"",""en""),)"),"I feel tight in my chest.")</f>
        <v>I feel tight in my chest.</v>
      </c>
    </row>
    <row r="37" spans="1:2" ht="19">
      <c r="A37" s="3" t="s">
        <v>4484</v>
      </c>
      <c r="B37" s="17" t="str">
        <f ca="1">IFERROR(__xludf.DUMMYFUNCTION("IFERROR(GOOGLETRANSLATE(A40,""ko"",""en""),)"),"Are you feeling unwell?")</f>
        <v>Are you feeling unwell?</v>
      </c>
    </row>
    <row r="38" spans="1:2" ht="19">
      <c r="A38" s="3" t="s">
        <v>4485</v>
      </c>
      <c r="B38" s="17" t="str">
        <f ca="1">IFERROR(__xludf.DUMMYFUNCTION("IFERROR(GOOGLETRANSLATE(A41,""ko"",""en""),)"),"Yes. My head is a mess.")</f>
        <v>Yes. My head is a mess.</v>
      </c>
    </row>
    <row r="39" spans="1:2" ht="19">
      <c r="A39" s="3" t="s">
        <v>4487</v>
      </c>
      <c r="B39" s="17" t="str">
        <f ca="1">IFERROR(__xludf.DUMMYFUNCTION("IFERROR(GOOGLETRANSLATE(A42,""ko"",""en""),)"),"Are you very tired?")</f>
        <v>Are you very tired?</v>
      </c>
    </row>
    <row r="40" spans="1:2" ht="19">
      <c r="A40" s="3" t="s">
        <v>4488</v>
      </c>
      <c r="B40" s="17" t="str">
        <f ca="1">IFERROR(__xludf.DUMMYFUNCTION("IFERROR(GOOGLETRANSLATE(A43,""ko"",""en""),)"),"Yes. I couldn't sleep yesterday, so I couldn't sleep.")</f>
        <v>Yes. I couldn't sleep yesterday, so I couldn't sleep.</v>
      </c>
    </row>
    <row r="41" spans="1:2" ht="18">
      <c r="A41" s="3" t="s">
        <v>4489</v>
      </c>
      <c r="B41" s="3" t="str">
        <f ca="1">IFERROR(__xludf.DUMMYFUNCTION("IFERROR(GOOGLETRANSLATE(A44,""ko"",""en""),)"),"Is something wrong?")</f>
        <v>Is something wrong?</v>
      </c>
    </row>
    <row r="42" spans="1:2" ht="18">
      <c r="A42" s="3" t="s">
        <v>4491</v>
      </c>
      <c r="B42" s="3" t="str">
        <f ca="1">IFERROR(__xludf.DUMMYFUNCTION("IFERROR(GOOGLETRANSLATE(A45,""ko"",""en""),)"),"I feel tight in my chest because I've been under a lot of stress lately.")</f>
        <v>I feel tight in my chest because I've been under a lot of stress lately.</v>
      </c>
    </row>
    <row r="43" spans="1:2" ht="18">
      <c r="A43" s="3" t="s">
        <v>4492</v>
      </c>
      <c r="B43" s="3" t="str">
        <f ca="1">IFERROR(__xludf.DUMMYFUNCTION("IFERROR(GOOGLETRANSLATE(A46,""ko"",""en""),)"),"I have a lot of work these days, so I'm under a lot of stress.")</f>
        <v>I have a lot of work these days, so I'm under a lot of stress.</v>
      </c>
    </row>
    <row r="44" spans="1:2" ht="18">
      <c r="A44" s="3" t="s">
        <v>4493</v>
      </c>
      <c r="B44" s="3" t="str">
        <f ca="1">IFERROR(__xludf.DUMMYFUNCTION("IFERROR(GOOGLETRANSLATE(A47,""ko"",""en""),)"),"I feel suffocated because I have so many worries.")</f>
        <v>I feel suffocated because I have so many worries.</v>
      </c>
    </row>
    <row r="45" spans="1:2" ht="18">
      <c r="A45" s="3" t="s">
        <v>4495</v>
      </c>
      <c r="B45" s="3" t="str">
        <f ca="1">IFERROR(__xludf.DUMMYFUNCTION("IFERROR(GOOGLETRANSLATE(A48,""ko"",""en""),)"),"My head is a mess because there is so much to think about.")</f>
        <v>My head is a mess because there is so much to think about.</v>
      </c>
    </row>
    <row r="46" spans="1:2" ht="18">
      <c r="A46" s="3" t="s">
        <v>4496</v>
      </c>
      <c r="B46" s="3" t="str">
        <f ca="1">IFERROR(__xludf.DUMMYFUNCTION("IFERROR(GOOGLETRANSLATE(A49,""ko"",""en""),)"),"My head is really a mess these days because of the exams.")</f>
        <v>My head is really a mess these days because of the exams.</v>
      </c>
    </row>
    <row r="47" spans="1:2" ht="18">
      <c r="A47" s="3" t="s">
        <v>4497</v>
      </c>
      <c r="B47" s="3" t="str">
        <f ca="1">IFERROR(__xludf.DUMMYFUNCTION("IFERROR(GOOGLETRANSLATE(A50,""ko"",""en""),)"),"I have an upset stomach because I ate something bad yesterday.")</f>
        <v>I have an upset stomach because I ate something bad yesterday.</v>
      </c>
    </row>
    <row r="48" spans="1:2" ht="18">
      <c r="A48" s="3" t="s">
        <v>4498</v>
      </c>
      <c r="B48" s="3" t="str">
        <f ca="1">IFERROR(__xludf.DUMMYFUNCTION("IFERROR(GOOGLETRANSLATE(A51,""ko"",""en""),)"),"My face is a bit swollen because I ate something salty yesterday.")</f>
        <v>My face is a bit swollen because I ate something salty yesterday.</v>
      </c>
    </row>
    <row r="49" spans="1:2" ht="18">
      <c r="A49" s="3" t="s">
        <v>4500</v>
      </c>
      <c r="B49" s="3" t="str">
        <f ca="1">IFERROR(__xludf.DUMMYFUNCTION("IFERROR(GOOGLETRANSLATE(A52,""ko"",""en""),)"),"My eyes are swollen from crying.")</f>
        <v>My eyes are swollen from crying.</v>
      </c>
    </row>
    <row r="50" spans="1:2" ht="18">
      <c r="A50" s="3" t="s">
        <v>4501</v>
      </c>
      <c r="B50" s="3" t="str">
        <f ca="1">IFERROR(__xludf.DUMMYFUNCTION("IFERROR(GOOGLETRANSLATE(A53,""ko"",""en""),)"),"I can't sleep well because I'm stressed.")</f>
        <v>I can't sleep well because I'm stressed.</v>
      </c>
    </row>
    <row r="51" spans="1:2" ht="18">
      <c r="A51" s="3" t="s">
        <v>4502</v>
      </c>
      <c r="B51" s="3" t="str">
        <f ca="1">IFERROR(__xludf.DUMMYFUNCTION("IFERROR(GOOGLETRANSLATE(A54,""ko"",""en""),)"),"I couldn't sleep at night because I had so many thoughts.")</f>
        <v>I couldn't sleep at night because I had so many thoughts.</v>
      </c>
    </row>
    <row r="52" spans="1:2" ht="18">
      <c r="A52" s="3" t="s">
        <v>4503</v>
      </c>
      <c r="B52" s="3" t="str">
        <f ca="1">IFERROR(__xludf.DUMMYFUNCTION("IFERROR(GOOGLETRANSLATE(A55,""ko"",""en""),)"),"I have breakouts on my face these days because of stress.")</f>
        <v>I have breakouts on my face these days because of stress.</v>
      </c>
    </row>
    <row r="53" spans="1:2" ht="18">
      <c r="A53" s="3" t="s">
        <v>4505</v>
      </c>
      <c r="B53" s="3" t="str">
        <f ca="1">IFERROR(__xludf.DUMMYFUNCTION("IFERROR(GOOGLETRANSLATE(A56,""ko"",""en""),)"),"If you eat a lot of chocolate, you will get breakouts on your face.")</f>
        <v>If you eat a lot of chocolate, you will get breakouts on your face.</v>
      </c>
    </row>
    <row r="54" spans="1:2" ht="18">
      <c r="A54" s="3" t="s">
        <v>4489</v>
      </c>
      <c r="B54" s="3" t="str">
        <f ca="1">IFERROR(__xludf.DUMMYFUNCTION("IFERROR(GOOGLETRANSLATE(A57,""ko"",""en""),)"),"Is something wrong?")</f>
        <v>Is something wrong?</v>
      </c>
    </row>
    <row r="55" spans="1:2" ht="18">
      <c r="A55" s="3" t="s">
        <v>4506</v>
      </c>
      <c r="B55" s="3" t="str">
        <f ca="1">IFERROR(__xludf.DUMMYFUNCTION("IFERROR(GOOGLETRANSLATE(A58,""ko"",""en""),)"),"I couldn't sleep yesterday, so my face is swollen and I feel sick.")</f>
        <v>I couldn't sleep yesterday, so my face is swollen and I feel sick.</v>
      </c>
    </row>
    <row r="56" spans="1:2" ht="18">
      <c r="A56" s="3" t="s">
        <v>4507</v>
      </c>
      <c r="B56" s="3" t="str">
        <f ca="1">IFERROR(__xludf.DUMMYFUNCTION("IFERROR(GOOGLETRANSLATE(A59,""ko"",""en""),)"),"How does your body feel when you are stressed?")</f>
        <v>How does your body feel when you are stressed?</v>
      </c>
    </row>
    <row r="57" spans="1:2" ht="18">
      <c r="A57" s="3" t="s">
        <v>4509</v>
      </c>
      <c r="B57" s="3" t="str">
        <f ca="1">IFERROR(__xludf.DUMMYFUNCTION("IFERROR(GOOGLETRANSLATE(A60,""ko"",""en""),)"),"I can't sleep when I'm stressed.")</f>
        <v>I can't sleep when I'm stressed.</v>
      </c>
    </row>
    <row r="58" spans="1:2" ht="18">
      <c r="A58" s="3" t="s">
        <v>4510</v>
      </c>
      <c r="B58" s="3" t="str">
        <f ca="1">IFERROR(__xludf.DUMMYFUNCTION("IFERROR(GOOGLETRANSLATE(A61,""ko"",""en""),)"),"What is wrong?")</f>
        <v>What is wrong?</v>
      </c>
    </row>
    <row r="59" spans="1:2" ht="18">
      <c r="A59" s="3" t="s">
        <v>4511</v>
      </c>
      <c r="B59" s="3" t="str">
        <f ca="1">IFERROR(__xludf.DUMMYFUNCTION("IFERROR(GOOGLETRANSLATE(A62,""ko"",""en""),)"),"I feel suffocated these days.")</f>
        <v>I feel suffocated these days.</v>
      </c>
    </row>
    <row r="60" spans="1:2" ht="18">
      <c r="A60" s="3" t="s">
        <v>1767</v>
      </c>
      <c r="B60" s="3" t="str">
        <f ca="1">IFERROR(__xludf.DUMMYFUNCTION("IFERROR(GOOGLETRANSLATE(A63,""ko"",""en""),)"),"Where are you going?")</f>
        <v>Where are you going?</v>
      </c>
    </row>
    <row r="61" spans="1:2" ht="18">
      <c r="A61" s="3" t="s">
        <v>4512</v>
      </c>
      <c r="B61" s="3" t="str">
        <f ca="1">IFERROR(__xludf.DUMMYFUNCTION("IFERROR(GOOGLETRANSLATE(A64,""ko"",""en""),)"),"I am going to the hospital because I have something on my face.")</f>
        <v>I am going to the hospital because I have something on my face.</v>
      </c>
    </row>
    <row r="62" spans="1:2" ht="18">
      <c r="A62" s="3" t="s">
        <v>2969</v>
      </c>
      <c r="B62" s="3" t="str">
        <f ca="1">IFERROR(__xludf.DUMMYFUNCTION("IFERROR(GOOGLETRANSLATE(A65,""ko"",""en""),)"),"What do you usually do on weekends?")</f>
        <v>What do you usually do on weekends?</v>
      </c>
    </row>
    <row r="63" spans="1:2" ht="18">
      <c r="A63" s="3" t="s">
        <v>4514</v>
      </c>
      <c r="B63" s="3" t="str">
        <f ca="1">IFERROR(__xludf.DUMMYFUNCTION("IFERROR(GOOGLETRANSLATE(A66,""ko"",""en""),)"),"I go to the mountains when the weather is nice.")</f>
        <v>I go to the mountains when the weather is nice.</v>
      </c>
    </row>
    <row r="64" spans="1:2" ht="18">
      <c r="A64" s="3" t="s">
        <v>4515</v>
      </c>
      <c r="B64" s="3" t="str">
        <f ca="1">IFERROR(__xludf.DUMMYFUNCTION("IFERROR(GOOGLETRANSLATE(A67,""ko"",""en""),)"),"If the weather is bad, stay home and rest.")</f>
        <v>If the weather is bad, stay home and rest.</v>
      </c>
    </row>
    <row r="65" spans="1:2" ht="18">
      <c r="A65" s="3" t="s">
        <v>4517</v>
      </c>
      <c r="B65" s="3" t="str">
        <f ca="1">IFERROR(__xludf.DUMMYFUNCTION("IFERROR(GOOGLETRANSLATE(A68,""ko"",""en""),)"),"If you eat")</f>
        <v>If you eat</v>
      </c>
    </row>
    <row r="66" spans="1:2" ht="18">
      <c r="A66" s="3" t="s">
        <v>4518</v>
      </c>
      <c r="B66" s="3" t="str">
        <f ca="1">IFERROR(__xludf.DUMMYFUNCTION("IFERROR(GOOGLETRANSLATE(A69,""ko"",""en""),)"),"If there are many")</f>
        <v>If there are many</v>
      </c>
    </row>
    <row r="67" spans="1:2" ht="18">
      <c r="A67" s="3" t="s">
        <v>4519</v>
      </c>
      <c r="B67" s="3" t="str">
        <f ca="1">IFERROR(__xludf.DUMMYFUNCTION("IFERROR(GOOGLETRANSLATE(A70,""ko"",""en""),)"),"If it's good")</f>
        <v>If it's good</v>
      </c>
    </row>
    <row r="68" spans="1:2" ht="18">
      <c r="A68" s="3" t="s">
        <v>4520</v>
      </c>
      <c r="B68" s="3" t="str">
        <f ca="1">IFERROR(__xludf.DUMMYFUNCTION("IFERROR(GOOGLETRANSLATE(A71,""ko"",""en""),)"),"If you listen")</f>
        <v>If you listen</v>
      </c>
    </row>
    <row r="69" spans="1:2" ht="18">
      <c r="A69" s="3" t="s">
        <v>4521</v>
      </c>
      <c r="B69" s="3" t="str">
        <f ca="1">IFERROR(__xludf.DUMMYFUNCTION("IFERROR(GOOGLETRANSLATE(A72,""ko"",""en""),)"),"If it's easy")</f>
        <v>If it's easy</v>
      </c>
    </row>
    <row r="70" spans="1:2" ht="18">
      <c r="A70" s="3" t="s">
        <v>4522</v>
      </c>
      <c r="B70" s="3" t="s">
        <v>4523</v>
      </c>
    </row>
    <row r="71" spans="1:2" ht="18">
      <c r="A71" s="3" t="s">
        <v>4524</v>
      </c>
      <c r="B71" s="3" t="str">
        <f ca="1">IFERROR(__xludf.DUMMYFUNCTION("IFERROR(GOOGLETRANSLATE(A74,""ko"",""en""),)"),"If you drink")</f>
        <v>If you drink</v>
      </c>
    </row>
    <row r="72" spans="1:2" ht="18">
      <c r="A72" s="3" t="s">
        <v>4525</v>
      </c>
      <c r="B72" s="3" t="str">
        <f ca="1">IFERROR(__xludf.DUMMYFUNCTION("IFERROR(GOOGLETRANSLATE(A75,""ko"",""en""),)"),"If it hurts")</f>
        <v>If it hurts</v>
      </c>
    </row>
    <row r="73" spans="1:2" ht="18">
      <c r="A73" s="3" t="s">
        <v>4527</v>
      </c>
      <c r="B73" s="3" t="str">
        <f ca="1">IFERROR(__xludf.DUMMYFUNCTION("IFERROR(GOOGLETRANSLATE(A76,""ko"",""en""),)"),"If you are tired")</f>
        <v>If you are tired</v>
      </c>
    </row>
    <row r="74" spans="1:2" ht="18">
      <c r="A74" s="3" t="s">
        <v>4528</v>
      </c>
      <c r="B74" s="3" t="str">
        <f ca="1">IFERROR(__xludf.DUMMYFUNCTION("IFERROR(GOOGLETRANSLATE(A77,""ko"",""en""),)"),"If it's hard")</f>
        <v>If it's hard</v>
      </c>
    </row>
    <row r="75" spans="1:2" ht="18">
      <c r="A75" s="3" t="s">
        <v>4529</v>
      </c>
      <c r="B75" s="3" t="str">
        <f ca="1">IFERROR(__xludf.DUMMYFUNCTION("IFERROR(GOOGLETRANSLATE(A78,""ko"",""en""),)"),"If it is difficult")</f>
        <v>If it is difficult</v>
      </c>
    </row>
    <row r="76" spans="1:2" ht="18">
      <c r="A76" s="3" t="s">
        <v>4530</v>
      </c>
      <c r="B76" s="3" t="str">
        <f ca="1">IFERROR(__xludf.DUMMYFUNCTION("IFERROR(GOOGLETRANSLATE(A79,""ko"",""en""),)"),"If you make it")</f>
        <v>If you make it</v>
      </c>
    </row>
    <row r="77" spans="1:2" ht="18">
      <c r="A77" s="3" t="s">
        <v>4531</v>
      </c>
      <c r="B77" s="3" t="str">
        <f ca="1">IFERROR(__xludf.DUMMYFUNCTION("IFERROR(GOOGLETRANSLATE(A80,""ko"",""en""),)"),"If it's cold")</f>
        <v>If it's cold</v>
      </c>
    </row>
    <row r="78" spans="1:2" ht="18">
      <c r="A78" s="3" t="s">
        <v>4532</v>
      </c>
      <c r="B78" s="3" t="str">
        <f ca="1">IFERROR(__xludf.DUMMYFUNCTION("IFERROR(GOOGLETRANSLATE(A81,""ko"",""en""),)"),"If you build")</f>
        <v>If you build</v>
      </c>
    </row>
    <row r="79" spans="1:2" ht="18">
      <c r="A79" s="3" t="s">
        <v>4534</v>
      </c>
      <c r="B79" s="3" t="str">
        <f ca="1">IFERROR(__xludf.DUMMYFUNCTION("IFERROR(GOOGLETRANSLATE(A82,""ko"",""en""),)"),"If you wear it")</f>
        <v>If you wear it</v>
      </c>
    </row>
    <row r="80" spans="1:2" ht="18">
      <c r="A80" s="3" t="s">
        <v>4535</v>
      </c>
      <c r="B80" s="3" t="str">
        <f ca="1">IFERROR(__xludf.DUMMYFUNCTION("IFERROR(GOOGLETRANSLATE(A83,""ko"",""en""),)"),"If you walk")</f>
        <v>If you walk</v>
      </c>
    </row>
    <row r="81" spans="1:2" ht="18">
      <c r="A81" s="3" t="s">
        <v>4536</v>
      </c>
      <c r="B81" s="3" t="str">
        <f ca="1">IFERROR(__xludf.DUMMYFUNCTION("IFERROR(GOOGLETRANSLATE(A84,""ko"",""en""),)"),"If you close")</f>
        <v>If you close</v>
      </c>
    </row>
    <row r="82" spans="1:2" ht="18">
      <c r="A82" s="3" t="s">
        <v>4537</v>
      </c>
      <c r="B82" s="3" t="str">
        <f ca="1">IFERROR(__xludf.DUMMYFUNCTION("IFERROR(GOOGLETRANSLATE(A85,""ko"",""en""),)"),"If you open it")</f>
        <v>If you open it</v>
      </c>
    </row>
    <row r="83" spans="1:2" ht="18">
      <c r="A83" s="3" t="s">
        <v>4539</v>
      </c>
      <c r="B83" s="3" t="str">
        <f ca="1">IFERROR(__xludf.DUMMYFUNCTION("IFERROR(GOOGLETRANSLATE(A86,""ko"",""en""),)"),"I have lunch with a friend after class.")</f>
        <v>I have lunch with a friend after class.</v>
      </c>
    </row>
    <row r="84" spans="1:2" ht="18">
      <c r="A84" s="3" t="s">
        <v>4540</v>
      </c>
      <c r="B84" s="3" t="str">
        <f ca="1">IFERROR(__xludf.DUMMYFUNCTION("IFERROR(GOOGLETRANSLATE(A87,""ko"",""en""),)"),"I watch a drama when I finish my homework.")</f>
        <v>I watch a drama when I finish my homework.</v>
      </c>
    </row>
    <row r="85" spans="1:2" ht="18">
      <c r="A85" s="3" t="s">
        <v>4541</v>
      </c>
      <c r="B85" s="3" t="str">
        <f ca="1">IFERROR(__xludf.DUMMYFUNCTION("IFERROR(GOOGLETRANSLATE(A88,""ko"",""en""),)"),"I ride my bike when the weather is nice.")</f>
        <v>I ride my bike when the weather is nice.</v>
      </c>
    </row>
    <row r="86" spans="1:2" ht="18">
      <c r="A86" s="3" t="s">
        <v>4542</v>
      </c>
      <c r="B86" s="3" t="str">
        <f ca="1">IFERROR(__xludf.DUMMYFUNCTION("IFERROR(GOOGLETRANSLATE(A89,""ko"",""en""),)"),"Walking in the park makes me feel good.")</f>
        <v>Walking in the park makes me feel good.</v>
      </c>
    </row>
    <row r="87" spans="1:2" ht="18">
      <c r="A87" s="3" t="s">
        <v>4544</v>
      </c>
      <c r="B87" s="3" t="str">
        <f ca="1">IFERROR(__xludf.DUMMYFUNCTION("IFERROR(GOOGLETRANSLATE(A90,""ko"",""en""),)"),"Drink warm tea when the weather is cold.")</f>
        <v>Drink warm tea when the weather is cold.</v>
      </c>
    </row>
    <row r="88" spans="1:2" ht="18">
      <c r="A88" s="3" t="s">
        <v>4545</v>
      </c>
      <c r="B88" s="3" t="str">
        <f ca="1">IFERROR(__xludf.DUMMYFUNCTION("IFERROR(GOOGLETRANSLATE(A91,""ko"",""en""),)"),"If it doesn't rain, I'm going hiking.")</f>
        <v>If it doesn't rain, I'm going hiking.</v>
      </c>
    </row>
    <row r="89" spans="1:2" ht="18">
      <c r="A89" s="3" t="s">
        <v>4546</v>
      </c>
      <c r="B89" s="3" t="str">
        <f ca="1">IFERROR(__xludf.DUMMYFUNCTION("IFERROR(GOOGLETRANSLATE(A92,""ko"",""en""),)"),"If the weather is hot, I will swim in the sea.")</f>
        <v>If the weather is hot, I will swim in the sea.</v>
      </c>
    </row>
    <row r="90" spans="1:2" ht="18">
      <c r="A90" s="3" t="s">
        <v>4548</v>
      </c>
      <c r="B90" s="3" t="str">
        <f ca="1">IFERROR(__xludf.DUMMYFUNCTION("IFERROR(GOOGLETRANSLATE(A93,""ko"",""en""),)"),"Eating sweet food makes me feel good.")</f>
        <v>Eating sweet food makes me feel good.</v>
      </c>
    </row>
    <row r="91" spans="1:2" ht="18">
      <c r="A91" s="3" t="s">
        <v>4549</v>
      </c>
      <c r="B91" s="3" t="str">
        <f ca="1">IFERROR(__xludf.DUMMYFUNCTION("IFERROR(GOOGLETRANSLATE(A94,""ko"",""en""),)"),"I sleep when my head hurts.")</f>
        <v>I sleep when my head hurts.</v>
      </c>
    </row>
    <row r="92" spans="1:2" ht="18">
      <c r="A92" s="3" t="s">
        <v>4550</v>
      </c>
      <c r="B92" s="3" t="str">
        <f ca="1">IFERROR(__xludf.DUMMYFUNCTION("IFERROR(GOOGLETRANSLATE(A95,""ko"",""en""),)"),"If the weather is cold, wear plenty of clothes.")</f>
        <v>If the weather is cold, wear plenty of clothes.</v>
      </c>
    </row>
    <row r="93" spans="1:2" ht="18">
      <c r="A93" s="3" t="s">
        <v>4551</v>
      </c>
      <c r="B93" s="3" t="str">
        <f ca="1">IFERROR(__xludf.DUMMYFUNCTION("IFERROR(GOOGLETRANSLATE(A96,""ko"",""en""),)"),"If I have time, I want to go on a trip.")</f>
        <v>If I have time, I want to go on a trip.</v>
      </c>
    </row>
    <row r="94" spans="1:2" ht="18">
      <c r="A94" s="3" t="s">
        <v>4553</v>
      </c>
      <c r="B94" s="3" t="str">
        <f ca="1">IFERROR(__xludf.DUMMYFUNCTION("IFERROR(GOOGLETRANSLATE(A97,""ko"",""en""),)"),"What are you going to do after class?")</f>
        <v>What are you going to do after class?</v>
      </c>
    </row>
    <row r="95" spans="1:2" ht="18">
      <c r="A95" s="3" t="s">
        <v>4554</v>
      </c>
      <c r="B95" s="3" t="str">
        <f ca="1">IFERROR(__xludf.DUMMYFUNCTION("IFERROR(GOOGLETRANSLATE(A98,""ko"",""en""),)"),"I'm going to have a meal with a friend after class.")</f>
        <v>I'm going to have a meal with a friend after class.</v>
      </c>
    </row>
    <row r="96" spans="1:2" ht="18">
      <c r="A96" s="3" t="s">
        <v>4553</v>
      </c>
      <c r="B96" s="3" t="str">
        <f ca="1">IFERROR(__xludf.DUMMYFUNCTION("IFERROR(GOOGLETRANSLATE(A99,""ko"",""en""),)"),"What are you going to do after class?")</f>
        <v>What are you going to do after class?</v>
      </c>
    </row>
    <row r="97" spans="1:2" ht="18">
      <c r="A97" s="3" t="s">
        <v>4554</v>
      </c>
      <c r="B97" s="3" t="str">
        <f ca="1">IFERROR(__xludf.DUMMYFUNCTION("IFERROR(GOOGLETRANSLATE(A100,""ko"",""en""),)"),"I'm going to have a meal with a friend after class.")</f>
        <v>I'm going to have a meal with a friend after class.</v>
      </c>
    </row>
    <row r="98" spans="1:2" ht="18">
      <c r="A98" s="3"/>
      <c r="B98" s="3" t="str">
        <f ca="1">IFERROR(__xludf.DUMMYFUNCTION("IFERROR(GOOGLETRANSLATE(A101,""ko"",""en""),)"),"")</f>
        <v/>
      </c>
    </row>
    <row r="99" spans="1:2" ht="18">
      <c r="A99" s="3" t="s">
        <v>4556</v>
      </c>
      <c r="B99" s="3" t="str">
        <f ca="1">IFERROR(__xludf.DUMMYFUNCTION("IFERROR(GOOGLETRANSLATE(A102,""ko"",""en""),)"),"My face is very swollen.")</f>
        <v>My face is very swollen.</v>
      </c>
    </row>
    <row r="100" spans="1:2" ht="18">
      <c r="A100" s="3" t="s">
        <v>4557</v>
      </c>
      <c r="B100" s="3" t="s">
        <v>4558</v>
      </c>
    </row>
    <row r="101" spans="1:2" ht="18">
      <c r="A101" s="3" t="s">
        <v>4559</v>
      </c>
      <c r="B101" s="3" t="s">
        <v>4560</v>
      </c>
    </row>
    <row r="102" spans="1:2" ht="18">
      <c r="A102" s="3" t="s">
        <v>4561</v>
      </c>
      <c r="B102" s="3" t="s">
        <v>4562</v>
      </c>
    </row>
    <row r="103" spans="1:2" ht="18">
      <c r="A103" s="3" t="s">
        <v>4564</v>
      </c>
      <c r="B103" s="3" t="str">
        <f ca="1">IFERROR(__xludf.DUMMYFUNCTION("IFERROR(GOOGLETRANSLATE(A106,""ko"",""en""),)"),"draw")</f>
        <v>draw</v>
      </c>
    </row>
    <row r="104" spans="1:2" ht="18">
      <c r="A104" s="3" t="s">
        <v>4565</v>
      </c>
      <c r="B104" s="3" t="str">
        <f ca="1">IFERROR(__xludf.DUMMYFUNCTION("IFERROR(GOOGLETRANSLATE(A107,""ko"",""en""),)"),"Give it a name")</f>
        <v>Give it a name</v>
      </c>
    </row>
    <row r="105" spans="1:2" ht="18">
      <c r="A105" s="3" t="s">
        <v>4566</v>
      </c>
      <c r="B105" s="3" t="str">
        <f ca="1">IFERROR(__xludf.DUMMYFUNCTION("IFERROR(GOOGLETRANSLATE(A108,""ko"",""en""),)"),"I build a house.")</f>
        <v>I build a house.</v>
      </c>
    </row>
    <row r="106" spans="1:2" ht="18">
      <c r="A106" s="21" t="s">
        <v>4568</v>
      </c>
      <c r="B106" s="3" t="str">
        <f ca="1">IFERROR(__xludf.DUMMYFUNCTION("IFERROR(GOOGLETRANSLATE(A109,""ko"",""en""),)"),"Build a school")</f>
        <v>Build a school</v>
      </c>
    </row>
    <row r="107" spans="1:2" ht="18">
      <c r="A107" s="3" t="s">
        <v>4569</v>
      </c>
      <c r="B107" s="3" t="str">
        <f ca="1">IFERROR(__xludf.DUMMYFUNCTION("IFERROR(GOOGLETRANSLATE(A110,""ko"",""en""),)"),"I cook rice.")</f>
        <v>I cook rice.</v>
      </c>
    </row>
    <row r="108" spans="1:2" ht="18">
      <c r="A108" s="3" t="s">
        <v>4570</v>
      </c>
      <c r="B108" s="3" t="str">
        <f ca="1">IFERROR(__xludf.DUMMYFUNCTION("IFERROR(GOOGLETRANSLATE(A111,""ko"",""en""),)"),"I'm better from my cold.")</f>
        <v>I'm better from my cold.</v>
      </c>
    </row>
    <row r="109" spans="1:2" ht="18">
      <c r="A109" s="3" t="s">
        <v>4572</v>
      </c>
      <c r="B109" s="3" t="str">
        <f ca="1">IFERROR(__xludf.DUMMYFUNCTION("IFERROR(GOOGLETRANSLATE(A112,""ko"",""en""),)"),"Draw a line")</f>
        <v>Draw a line</v>
      </c>
    </row>
    <row r="110" spans="1:2" ht="18">
      <c r="A110" s="3" t="s">
        <v>4574</v>
      </c>
      <c r="B110" s="3" t="str">
        <f ca="1">IFERROR(__xludf.DUMMYFUNCTION("IFERROR(GOOGLETRANSLATE(A113,""ko"",""en""),)"),"Underline it")</f>
        <v>Underline it</v>
      </c>
    </row>
    <row r="111" spans="1:2" ht="18">
      <c r="A111" s="3" t="s">
        <v>4575</v>
      </c>
      <c r="B111" s="3" t="str">
        <f ca="1">IFERROR(__xludf.DUMMYFUNCTION("IFERROR(GOOGLETRANSLATE(A114,""ko"",""en""),)"),"wash")</f>
        <v>wash</v>
      </c>
    </row>
    <row r="112" spans="1:2" ht="18">
      <c r="A112" s="3" t="s">
        <v>4576</v>
      </c>
      <c r="B112" s="3" t="str">
        <f ca="1">IFERROR(__xludf.DUMMYFUNCTION("IFERROR(GOOGLETRANSLATE(A115,""ko"",""en""),)"),"laugh")</f>
        <v>laugh</v>
      </c>
    </row>
    <row r="113" spans="1:2" ht="18">
      <c r="A113" s="3" t="s">
        <v>4578</v>
      </c>
      <c r="B113" s="3" t="str">
        <f ca="1">IFERROR(__xludf.DUMMYFUNCTION("IFERROR(GOOGLETRANSLATE(A116,""ko"",""en""),)"),"lay off")</f>
        <v>lay off</v>
      </c>
    </row>
    <row r="114" spans="1:2" ht="18">
      <c r="A114" s="5" t="s">
        <v>4579</v>
      </c>
      <c r="B114" s="3" t="str">
        <f ca="1">IFERROR(__xludf.DUMMYFUNCTION("IFERROR(GOOGLETRANSLATE(A117,""ko"",""en""),)"),"My eye is swollen from a mosquito bite.")</f>
        <v>My eye is swollen from a mosquito bite.</v>
      </c>
    </row>
    <row r="115" spans="1:2" ht="18">
      <c r="A115" s="3" t="s">
        <v>4580</v>
      </c>
      <c r="B115" s="3" t="str">
        <f ca="1">IFERROR(__xludf.DUMMYFUNCTION("IFERROR(GOOGLETRANSLATE(A118,""ko"",""en""),)"),"If you eat ramen now, your face will swell up tomorrow morning, so don't eat it.")</f>
        <v>If you eat ramen now, your face will swell up tomorrow morning, so don't eat it.</v>
      </c>
    </row>
    <row r="116" spans="1:2" ht="18">
      <c r="A116" s="3" t="s">
        <v>4582</v>
      </c>
      <c r="B116" s="3" t="str">
        <f ca="1">IFERROR(__xludf.DUMMYFUNCTION("IFERROR(GOOGLETRANSLATE(A119,""ko"",""en""),)"),"Put coffee, cream, and sugar in a cup and stir.")</f>
        <v>Put coffee, cream, and sugar in a cup and stir.</v>
      </c>
    </row>
    <row r="117" spans="1:2" ht="18">
      <c r="A117" s="3" t="s">
        <v>4583</v>
      </c>
      <c r="B117" s="3" t="str">
        <f ca="1">IFERROR(__xludf.DUMMYFUNCTION("IFERROR(GOOGLETRANSLATE(A120,""ko"",""en""),)"),"Which color is better?")</f>
        <v>Which color is better?</v>
      </c>
    </row>
    <row r="118" spans="1:2" ht="18">
      <c r="A118" s="3" t="s">
        <v>4584</v>
      </c>
      <c r="B118" s="3" t="str">
        <f ca="1">IFERROR(__xludf.DUMMYFUNCTION("IFERROR(GOOGLETRANSLATE(A121,""ko"",""en""),)"),"I built a new house.")</f>
        <v>I built a new house.</v>
      </c>
    </row>
    <row r="119" spans="1:2" ht="18">
      <c r="A119" s="3" t="s">
        <v>4586</v>
      </c>
      <c r="B119" s="3" t="str">
        <f ca="1">IFERROR(__xludf.DUMMYFUNCTION("IFERROR(GOOGLETRANSLATE(A122,""ko"",""en""),)"),"I named the puppy in Korean.")</f>
        <v>I named the puppy in Korean.</v>
      </c>
    </row>
    <row r="120" spans="1:2" ht="18">
      <c r="A120" s="3" t="s">
        <v>4587</v>
      </c>
      <c r="B120" s="3" t="str">
        <f ca="1">IFERROR(__xludf.DUMMYFUNCTION("IFERROR(GOOGLETRANSLATE(A123,""ko"",""en""),)"),"I'm better from my cold.")</f>
        <v>I'm better from my cold.</v>
      </c>
    </row>
    <row r="121" spans="1:2" ht="18">
      <c r="A121" s="3" t="s">
        <v>4588</v>
      </c>
      <c r="B121" s="3" t="str">
        <f ca="1">IFERROR(__xludf.DUMMYFUNCTION("IFERROR(GOOGLETRANSLATE(A124,""ko"",""en""),)"),"Draw it with a pencil.")</f>
        <v>Draw it with a pencil.</v>
      </c>
    </row>
    <row r="122" spans="1:2" ht="18">
      <c r="A122" s="3" t="s">
        <v>4589</v>
      </c>
      <c r="B122" s="3" t="str">
        <f ca="1">IFERROR(__xludf.DUMMYFUNCTION("IFERROR(GOOGLETRANSLATE(A125,""ko"",""en""),)"),"It's better.")</f>
        <v>It's better.</v>
      </c>
    </row>
    <row r="123" spans="1:2" ht="18">
      <c r="A123" s="3" t="s">
        <v>4590</v>
      </c>
      <c r="B123" s="3" t="str">
        <f ca="1">IFERROR(__xludf.DUMMYFUNCTION("IFERROR(GOOGLETRANSLATE(A126,""ko"",""en""),)"),"Because it's better")</f>
        <v>Because it's better</v>
      </c>
    </row>
    <row r="124" spans="1:2" ht="18">
      <c r="A124" s="3" t="s">
        <v>4591</v>
      </c>
      <c r="B124" s="3" t="str">
        <f ca="1">IFERROR(__xludf.DUMMYFUNCTION("IFERROR(GOOGLETRANSLATE(A127,""ko"",""en""),)"),"It gets better")</f>
        <v>It gets better</v>
      </c>
    </row>
    <row r="125" spans="1:2" ht="18">
      <c r="A125" s="3" t="s">
        <v>4592</v>
      </c>
      <c r="B125" s="3" t="str">
        <f ca="1">IFERROR(__xludf.DUMMYFUNCTION("IFERROR(GOOGLETRANSLATE(A128,""ko"",""en""),)"),"Get well soon")</f>
        <v>Get well soon</v>
      </c>
    </row>
    <row r="126" spans="1:2" ht="18">
      <c r="A126" s="3" t="s">
        <v>4593</v>
      </c>
      <c r="B126" s="3" t="str">
        <f ca="1">IFERROR(__xludf.DUMMYFUNCTION("IFERROR(GOOGLETRANSLATE(A129,""ko"",""en""),)"),"I'm getting better.")</f>
        <v>I'm getting better.</v>
      </c>
    </row>
    <row r="127" spans="1:2" ht="18">
      <c r="A127" s="3" t="s">
        <v>4594</v>
      </c>
      <c r="B127" s="3" t="str">
        <f ca="1">IFERROR(__xludf.DUMMYFUNCTION("IFERROR(GOOGLETRANSLATE(A130,""ko"",""en""),)"),"It's swollen")</f>
        <v>It's swollen</v>
      </c>
    </row>
    <row r="128" spans="1:2" ht="18">
      <c r="A128" s="3" t="s">
        <v>4595</v>
      </c>
      <c r="B128" s="3" t="str">
        <f ca="1">IFERROR(__xludf.DUMMYFUNCTION("IFERROR(GOOGLETRANSLATE(A131,""ko"",""en""),)"),"Because it's swollen")</f>
        <v>Because it's swollen</v>
      </c>
    </row>
    <row r="129" spans="1:2" ht="18">
      <c r="A129" s="3" t="s">
        <v>4597</v>
      </c>
      <c r="B129" s="3" t="str">
        <f ca="1">IFERROR(__xludf.DUMMYFUNCTION("IFERROR(GOOGLETRANSLATE(A132,""ko"",""en""),)"),"It swells")</f>
        <v>It swells</v>
      </c>
    </row>
    <row r="130" spans="1:2" ht="18">
      <c r="A130" s="3" t="s">
        <v>4598</v>
      </c>
      <c r="B130" s="3" t="str">
        <f ca="1">IFERROR(__xludf.DUMMYFUNCTION("IFERROR(GOOGLETRANSLATE(A133,""ko"",""en""),)"),"Pour it out")</f>
        <v>Pour it out</v>
      </c>
    </row>
    <row r="131" spans="1:2" ht="18">
      <c r="A131" s="3" t="s">
        <v>4599</v>
      </c>
      <c r="B131" s="3" t="str">
        <f ca="1">IFERROR(__xludf.DUMMYFUNCTION("IFERROR(GOOGLETRANSLATE(A134,""ko"",""en""),)"),"It's swelling")</f>
        <v>It's swelling</v>
      </c>
    </row>
    <row r="132" spans="1:2" ht="18">
      <c r="A132" s="3" t="s">
        <v>4600</v>
      </c>
      <c r="B132" s="3" t="str">
        <f ca="1">IFERROR(__xludf.DUMMYFUNCTION("IFERROR(GOOGLETRANSLATE(A135,""ko"",""en""),)"),"I'm here.")</f>
        <v>I'm here.</v>
      </c>
    </row>
    <row r="133" spans="1:2" ht="18">
      <c r="A133" s="3" t="s">
        <v>4602</v>
      </c>
      <c r="B133" s="3" t="str">
        <f ca="1">IFERROR(__xludf.DUMMYFUNCTION("IFERROR(GOOGLETRANSLATE(A136,""ko"",""en""),)"),"Because I built it")</f>
        <v>Because I built it</v>
      </c>
    </row>
    <row r="134" spans="1:2" ht="18">
      <c r="A134" s="3" t="s">
        <v>4603</v>
      </c>
      <c r="B134" s="3" t="str">
        <f ca="1">IFERROR(__xludf.DUMMYFUNCTION("IFERROR(GOOGLETRANSLATE(A137,""ko"",""en""),)"),"Stir")</f>
        <v>Stir</v>
      </c>
    </row>
    <row r="135" spans="1:2" ht="18">
      <c r="A135" s="3" t="s">
        <v>4604</v>
      </c>
      <c r="B135" s="3" t="str">
        <f ca="1">IFERROR(__xludf.DUMMYFUNCTION("IFERROR(GOOGLETRANSLATE(A138,""ko"",""en""),)"),"Stir it")</f>
        <v>Stir it</v>
      </c>
    </row>
    <row r="136" spans="1:2" ht="18">
      <c r="A136" s="3" t="s">
        <v>4605</v>
      </c>
      <c r="B136" s="3" t="str">
        <f ca="1">IFERROR(__xludf.DUMMYFUNCTION("IFERROR(GOOGLETRANSLATE(A139,""ko"",""en""),)"),"I'm stirring")</f>
        <v>I'm stirring</v>
      </c>
    </row>
    <row r="137" spans="1:2" ht="18">
      <c r="A137" s="3" t="s">
        <v>4606</v>
      </c>
      <c r="B137" s="3" t="str">
        <f ca="1">IFERROR(__xludf.DUMMYFUNCTION("IFERROR(GOOGLETRANSLATE(A140,""ko"",""en""),)"),"Wash it")</f>
        <v>Wash it</v>
      </c>
    </row>
    <row r="138" spans="1:2" ht="18">
      <c r="A138" s="3" t="s">
        <v>4608</v>
      </c>
      <c r="B138" s="3" t="str">
        <f ca="1">IFERROR(__xludf.DUMMYFUNCTION("IFERROR(GOOGLETRANSLATE(A141,""ko"",""en""),)"),"Since I washed it")</f>
        <v>Since I washed it</v>
      </c>
    </row>
    <row r="139" spans="1:2" ht="18">
      <c r="A139" s="3" t="s">
        <v>4609</v>
      </c>
      <c r="B139" s="3" t="str">
        <f ca="1">IFERROR(__xludf.DUMMYFUNCTION("IFERROR(GOOGLETRANSLATE(A142,""ko"",""en""),)"),"Wash")</f>
        <v>Wash</v>
      </c>
    </row>
    <row r="140" spans="1:2" ht="18">
      <c r="A140" s="3" t="s">
        <v>4610</v>
      </c>
      <c r="B140" s="3" t="str">
        <f ca="1">IFERROR(__xludf.DUMMYFUNCTION("IFERROR(GOOGLETRANSLATE(A143,""ko"",""en""),)"),"My face is swollen because I couldn't sleep yesterday.")</f>
        <v>My face is swollen because I couldn't sleep yesterday.</v>
      </c>
    </row>
    <row r="141" spans="1:2" ht="24.75" customHeight="1">
      <c r="A141" s="3" t="s">
        <v>4611</v>
      </c>
      <c r="B141" s="3" t="str">
        <f ca="1">IFERROR(__xludf.DUMMYFUNCTION("IFERROR(GOOGLETRANSLATE(A144,""ko"",""en""),)"),"I took the medicine and my pain is completely gone.")</f>
        <v>I took the medicine and my pain is completely gone.</v>
      </c>
    </row>
    <row r="142" spans="1:2" ht="18">
      <c r="A142" s="3" t="s">
        <v>4612</v>
      </c>
      <c r="B142" s="3" t="str">
        <f ca="1">IFERROR(__xludf.DUMMYFUNCTION("IFERROR(GOOGLETRANSLATE(A145,""ko"",""en""),)"),"This building was built 10 years ago.")</f>
        <v>This building was built 10 years ago.</v>
      </c>
    </row>
    <row r="143" spans="1:2" ht="18">
      <c r="A143" s="3" t="s">
        <v>4613</v>
      </c>
      <c r="B143" s="3" t="str">
        <f ca="1">IFERROR(__xludf.DUMMYFUNCTION("IFERROR(GOOGLETRANSLATE(A146,""ko"",""en""),)"),"I added honey to the milk and stirred it.")</f>
        <v>I added honey to the milk and stirred it.</v>
      </c>
    </row>
    <row r="144" spans="1:2" ht="18">
      <c r="A144" s="3" t="s">
        <v>4614</v>
      </c>
      <c r="B144" s="3" t="str">
        <f ca="1">IFERROR(__xludf.DUMMYFUNCTION("IFERROR(GOOGLETRANSLATE(A147,""ko"",""en""),)"),"My eyes are swollen because I cried a lot yesterday.")</f>
        <v>My eyes are swollen because I cried a lot yesterday.</v>
      </c>
    </row>
    <row r="145" spans="1:2" ht="18">
      <c r="A145" s="22" t="s">
        <v>4615</v>
      </c>
      <c r="B145" s="3" t="str">
        <f ca="1">IFERROR(__xludf.DUMMYFUNCTION("IFERROR(GOOGLETRANSLATE(A148,""ko"",""en""),)"),"Who named it?")</f>
        <v>Who named it?</v>
      </c>
    </row>
    <row r="146" spans="1:2" ht="18">
      <c r="A146" s="22" t="s">
        <v>4617</v>
      </c>
      <c r="B146" s="3" t="str">
        <f ca="1">IFERROR(__xludf.DUMMYFUNCTION("IFERROR(GOOGLETRANSLATE(A149,""ko"",""en""),)"),"Wash your hands before cooking.")</f>
        <v>Wash your hands before cooking.</v>
      </c>
    </row>
    <row r="147" spans="1:2" ht="18">
      <c r="A147" s="22" t="s">
        <v>4618</v>
      </c>
      <c r="B147" s="3" t="str">
        <f ca="1">IFERROR(__xludf.DUMMYFUNCTION("IFERROR(GOOGLETRANSLATE(A150,""ko"",""en""),)"),"Try smiling when taking a picture.")</f>
        <v>Try smiling when taking a picture.</v>
      </c>
    </row>
    <row r="148" spans="1:2" ht="18">
      <c r="A148" s="22" t="s">
        <v>4619</v>
      </c>
      <c r="B148" s="3" t="str">
        <f ca="1">IFERROR(__xludf.DUMMYFUNCTION("IFERROR(GOOGLETRANSLATE(A151,""ko"",""en""),)"),"My face swells up if I eat ramen and go to sleep.")</f>
        <v>My face swells up if I eat ramen and go to sleep.</v>
      </c>
    </row>
    <row r="149" spans="1:2" ht="18">
      <c r="A149" s="22" t="s">
        <v>4620</v>
      </c>
      <c r="B149" s="3" t="str">
        <f ca="1">IFERROR(__xludf.DUMMYFUNCTION("IFERROR(GOOGLETRANSLATE(A152,""ko"",""en""),)"),"If you drink ginger tea, your cold will get better quickly.")</f>
        <v>If you drink ginger tea, your cold will get better quickly.</v>
      </c>
    </row>
    <row r="150" spans="1:2" ht="18">
      <c r="A150" s="22" t="s">
        <v>4621</v>
      </c>
      <c r="B150" s="3" t="str">
        <f ca="1">IFERROR(__xludf.DUMMYFUNCTION("IFERROR(GOOGLETRANSLATE(A153,""ko"",""en""),)"),"Put the medicine in warm water, stir well, and drink it.")</f>
        <v>Put the medicine in warm water, stir well, and drink it.</v>
      </c>
    </row>
    <row r="151" spans="1:2" ht="18">
      <c r="A151" s="3" t="s">
        <v>4622</v>
      </c>
      <c r="B151" s="3" t="str">
        <f ca="1">IFERROR(__xludf.DUMMYFUNCTION("IFERROR(GOOGLETRANSLATE(A154,""ko"",""en""),)"),"What are you going to name your puppy?")</f>
        <v>What are you going to name your puppy?</v>
      </c>
    </row>
    <row r="152" spans="1:2" ht="18">
      <c r="A152" s="3" t="s">
        <v>4624</v>
      </c>
      <c r="B152" s="3" t="str">
        <f ca="1">IFERROR(__xludf.DUMMYFUNCTION("IFERROR(GOOGLETRANSLATE(A155,""ko"",""en""),)"),"I'm going to name it Happy.")</f>
        <v>I'm going to name it Happy.</v>
      </c>
    </row>
    <row r="153" spans="1:2" ht="18">
      <c r="A153" s="3" t="s">
        <v>4625</v>
      </c>
      <c r="B153" s="3" t="str">
        <f ca="1">IFERROR(__xludf.DUMMYFUNCTION("IFERROR(GOOGLETRANSLATE(A156,""ko"",""en""),)"),"How can I get over a cold quickly?")</f>
        <v>How can I get over a cold quickly?</v>
      </c>
    </row>
    <row r="154" spans="1:2" ht="18">
      <c r="A154" s="3" t="s">
        <v>4620</v>
      </c>
      <c r="B154" s="3" t="str">
        <f ca="1">IFERROR(__xludf.DUMMYFUNCTION("IFERROR(GOOGLETRANSLATE(A157,""ko"",""en""),)"),"If you drink ginger tea, your cold will get better quickly.")</f>
        <v>If you drink ginger tea, your cold will get better quickly.</v>
      </c>
    </row>
    <row r="155" spans="1:2" ht="18">
      <c r="A155" s="3" t="s">
        <v>4626</v>
      </c>
      <c r="B155" s="3" t="str">
        <f ca="1">IFERROR(__xludf.DUMMYFUNCTION("IFERROR(GOOGLETRANSLATE(A158,""ko"",""en""),)"),"Drink plenty of water.")</f>
        <v>Drink plenty of water.</v>
      </c>
    </row>
    <row r="156" spans="1:2" ht="18">
      <c r="A156" s="3" t="s">
        <v>4628</v>
      </c>
      <c r="B156" s="3" t="str">
        <f ca="1">IFERROR(__xludf.DUMMYFUNCTION("IFERROR(GOOGLETRANSLATE(A159,""ko"",""en""),)"),"Get plenty of sleep.")</f>
        <v>Get plenty of sleep.</v>
      </c>
    </row>
    <row r="157" spans="1:2" ht="18">
      <c r="A157" s="3" t="s">
        <v>4629</v>
      </c>
      <c r="B157" s="3" t="str">
        <f ca="1">IFERROR(__xludf.DUMMYFUNCTION("IFERROR(GOOGLETRANSLATE(A160,""ko"",""en""),)"),"I'm going to name him Oscar.")</f>
        <v>I'm going to name him Oscar.</v>
      </c>
    </row>
    <row r="158" spans="1:2" ht="18">
      <c r="A158" s="3" t="s">
        <v>4630</v>
      </c>
      <c r="B158" s="3" t="str">
        <f ca="1">IFERROR(__xludf.DUMMYFUNCTION("IFERROR(GOOGLETRANSLATE(A161,""ko"",""en""),)"),"Ascadian")</f>
        <v>Ascadian</v>
      </c>
    </row>
    <row r="159" spans="1:2" ht="18">
      <c r="A159" s="3" t="s">
        <v>4631</v>
      </c>
      <c r="B159" s="3" t="str">
        <f ca="1">IFERROR(__xludf.DUMMYFUNCTION("IFERROR(GOOGLETRANSLATE(A162,""ko"",""en""),)"),"son")</f>
        <v>son</v>
      </c>
    </row>
    <row r="160" spans="1:2" ht="18">
      <c r="A160" s="3" t="s">
        <v>4633</v>
      </c>
      <c r="B160" s="3" t="str">
        <f ca="1">IFERROR(__xludf.DUMMYFUNCTION("IFERROR(GOOGLETRANSLATE(A163,""ko"",""en""),)"),"If you get plenty of sleep, your cold will get better quickly.")</f>
        <v>If you get plenty of sleep, your cold will get better quickly.</v>
      </c>
    </row>
    <row r="161" spans="1:2" ht="18">
      <c r="A161" s="3" t="s">
        <v>4634</v>
      </c>
      <c r="B161" s="3" t="str">
        <f ca="1">IFERROR(__xludf.DUMMYFUNCTION("IFERROR(GOOGLETRANSLATE(A164,""ko"",""en""),)"),"If you eat a spoonful of honey every hour when your sore throat is chapped")</f>
        <v>If you eat a spoonful of honey every hour when your sore throat is chapped</v>
      </c>
    </row>
    <row r="162" spans="1:2" ht="18">
      <c r="A162" s="3" t="s">
        <v>4635</v>
      </c>
      <c r="B162" s="3" t="str">
        <f ca="1">IFERROR(__xludf.DUMMYFUNCTION("IFERROR(GOOGLETRANSLATE(A165,""ko"",""en""),)"),"Why did you eat ramen last night, Yujin?")</f>
        <v>Why did you eat ramen last night, Yujin?</v>
      </c>
    </row>
    <row r="163" spans="1:2" ht="18">
      <c r="A163" s="3" t="s">
        <v>4637</v>
      </c>
      <c r="B163" s="3" t="str">
        <f ca="1">IFERROR(__xludf.DUMMYFUNCTION("IFERROR(GOOGLETRANSLATE(A166,""ko"",""en""),)"),"I couldn't eat dinner")</f>
        <v>I couldn't eat dinner</v>
      </c>
    </row>
    <row r="164" spans="1:2" ht="18">
      <c r="A164" s="3" t="s">
        <v>4638</v>
      </c>
      <c r="B164" s="3" t="str">
        <f ca="1">IFERROR(__xludf.DUMMYFUNCTION("IFERROR(GOOGLETRANSLATE(A167,""ko"",""en""),)"),"Yujin, how do you feel when you are stressed?")</f>
        <v>Yujin, how do you feel when you are stressed?</v>
      </c>
    </row>
    <row r="165" spans="1:2" ht="18">
      <c r="A165" s="3" t="s">
        <v>4639</v>
      </c>
      <c r="B165" s="3" t="str">
        <f ca="1">IFERROR(__xludf.DUMMYFUNCTION("IFERROR(GOOGLETRANSLATE(A168,""ko"",""en""),)"),"I feel tight in my chest and keep wanting to eat spicy food.")</f>
        <v>I feel tight in my chest and keep wanting to eat spicy food.</v>
      </c>
    </row>
    <row r="166" spans="1:2" ht="18">
      <c r="A166" s="3" t="s">
        <v>4640</v>
      </c>
      <c r="B166" s="3" t="str">
        <f ca="1">IFERROR(__xludf.DUMMYFUNCTION("IFERROR(GOOGLETRANSLATE(A169,""ko"",""en""),)"),"I have so much homework these days, it's really hard.")</f>
        <v>I have so much homework these days, it's really hard.</v>
      </c>
    </row>
    <row r="167" spans="1:2" ht="18">
      <c r="A167" s="3" t="s">
        <v>4642</v>
      </c>
      <c r="B167" s="3" t="str">
        <f ca="1">IFERROR(__xludf.DUMMYFUNCTION("IFERROR(GOOGLETRANSLATE(A170,""ko"",""en""),)"),"You have an upset stomach and are under a lot of stress, aren't you?")</f>
        <v>You have an upset stomach and are under a lot of stress, aren't you?</v>
      </c>
    </row>
    <row r="168" spans="1:2" ht="18">
      <c r="A168" s="3" t="s">
        <v>4643</v>
      </c>
      <c r="B168" s="3" t="str">
        <f ca="1">IFERROR(__xludf.DUMMYFUNCTION("IFERROR(GOOGLETRANSLATE(A171,""ko"",""en""),)"),"I have so much work these days, it's really tough.")</f>
        <v>I have so much work these days, it's really tough.</v>
      </c>
    </row>
    <row r="169" spans="1:2" ht="18">
      <c r="A169" s="3" t="s">
        <v>4644</v>
      </c>
      <c r="B169" s="3" t="str">
        <f ca="1">IFERROR(__xludf.DUMMYFUNCTION("IFERROR(GOOGLETRANSLATE(A172,""ko"",""en""),)"),"You get very stressed when you have a lot of work, don't you?")</f>
        <v>You get very stressed when you have a lot of work, don't you?</v>
      </c>
    </row>
    <row r="170" spans="1:2" ht="18">
      <c r="A170" s="3" t="s">
        <v>4645</v>
      </c>
      <c r="B170" s="3" t="str">
        <f ca="1">IFERROR(__xludf.DUMMYFUNCTION("IFERROR(GOOGLETRANSLATE(A173,""ko"",""en""),)"),"Yes. I'm stressed and my head is a mess. What do you do in times like this, Mari?")</f>
        <v>Yes. I'm stressed and my head is a mess. What do you do in times like this, Mari?</v>
      </c>
    </row>
    <row r="171" spans="1:2" ht="18">
      <c r="A171" s="3" t="s">
        <v>4647</v>
      </c>
      <c r="B171" s="3" t="str">
        <f ca="1">IFERROR(__xludf.DUMMYFUNCTION("IFERROR(GOOGLETRANSLATE(A174,""ko"",""en""),)"),"When my mind is cluttered, I take a walk in the park.")</f>
        <v>When my mind is cluttered, I take a walk in the park.</v>
      </c>
    </row>
    <row r="172" spans="1:2" ht="18">
      <c r="A172" s="3" t="s">
        <v>4648</v>
      </c>
      <c r="B172" s="3" t="str">
        <f ca="1">IFERROR(__xludf.DUMMYFUNCTION("IFERROR(GOOGLETRANSLATE(A175,""ko"",""en""),)"),"I have so much homework these days, it's really hard.")</f>
        <v>I have so much homework these days, it's really hard.</v>
      </c>
    </row>
    <row r="173" spans="1:2" ht="18">
      <c r="A173" s="3" t="s">
        <v>4649</v>
      </c>
      <c r="B173" s="3" t="str">
        <f ca="1">IFERROR(__xludf.DUMMYFUNCTION("IFERROR(GOOGLETRANSLATE(A176,""ko"",""en""),)"),"It makes you feel sick to your stomach when you have a lot of homework, doesn't it?")</f>
        <v>It makes you feel sick to your stomach when you have a lot of homework, doesn't it?</v>
      </c>
    </row>
    <row r="174" spans="1:2" ht="18">
      <c r="A174" s="3" t="s">
        <v>4650</v>
      </c>
      <c r="B174" s="3" t="str">
        <f ca="1">IFERROR(__xludf.DUMMYFUNCTION("IFERROR(GOOGLETRANSLATE(A177,""ko"",""en""),)"),"Yes. I feel unwell, so my head is spinning. What do you do in times like this, Mari?")</f>
        <v>Yes. I feel unwell, so my head is spinning. What do you do in times like this, Mari?</v>
      </c>
    </row>
    <row r="175" spans="1:2" ht="18">
      <c r="A175" s="3" t="s">
        <v>4652</v>
      </c>
      <c r="B175" s="3" t="str">
        <f ca="1">IFERROR(__xludf.DUMMYFUNCTION("IFERROR(GOOGLETRANSLATE(A178,""ko"",""en""),)"),"When I have an upset stomach, I take medicine and rest.")</f>
        <v>When I have an upset stomach, I take medicine and rest.</v>
      </c>
    </row>
    <row r="176" spans="1:2" ht="18">
      <c r="A176" s="3" t="s">
        <v>4653</v>
      </c>
      <c r="B176" s="3" t="str">
        <f ca="1">IFERROR(__xludf.DUMMYFUNCTION("IFERROR(GOOGLETRANSLATE(A179,""ko"",""en""),)"),"I have so many exams these days, it's really hard.")</f>
        <v>I have so many exams these days, it's really hard.</v>
      </c>
    </row>
    <row r="177" spans="1:2" ht="18">
      <c r="A177" s="3" t="s">
        <v>4654</v>
      </c>
      <c r="B177" s="3" t="str">
        <f ca="1">IFERROR(__xludf.DUMMYFUNCTION("IFERROR(GOOGLETRANSLATE(A180,""ko"",""en""),)"),"You get very stressed when there are a lot of exams, don't you?")</f>
        <v>You get very stressed when there are a lot of exams, don't you?</v>
      </c>
    </row>
    <row r="178" spans="1:2" ht="18">
      <c r="A178" s="3" t="s">
        <v>4655</v>
      </c>
      <c r="B178" s="3" t="str">
        <f ca="1">IFERROR(__xludf.DUMMYFUNCTION("IFERROR(GOOGLETRANSLATE(A181,""ko"",""en""),)"),"Yes. I can't sleep because I'm stressed. What do you do in times like this, Mari?")</f>
        <v>Yes. I can't sleep because I'm stressed. What do you do in times like this, Mari?</v>
      </c>
    </row>
    <row r="179" spans="1:2" ht="18">
      <c r="A179" s="3" t="s">
        <v>4657</v>
      </c>
      <c r="B179" s="3" t="str">
        <f ca="1">IFERROR(__xludf.DUMMYFUNCTION("IFERROR(GOOGLETRANSLATE(A182,""ko"",""en""),)"),"When I can't sleep, I drink warm milk and go to bed early.")</f>
        <v>When I can't sleep, I drink warm milk and go to bed early.</v>
      </c>
    </row>
    <row r="180" spans="1:2" ht="18">
      <c r="A180" s="3" t="s">
        <v>4658</v>
      </c>
      <c r="B180" s="3" t="str">
        <f ca="1">IFERROR(__xludf.DUMMYFUNCTION("IFERROR(GOOGLETRANSLATE(A183,""ko"",""en""),)"),"I think I won't be able to attend class because I'm going on a trip next Saturday.")</f>
        <v>I think I won't be able to attend class because I'm going on a trip next Saturday.</v>
      </c>
    </row>
    <row r="181" spans="1:2" ht="18">
      <c r="A181" s="3"/>
      <c r="B181" s="3"/>
    </row>
    <row r="182" spans="1:2" ht="18">
      <c r="A182" s="3" t="s">
        <v>4659</v>
      </c>
      <c r="B182" s="3" t="str">
        <f ca="1">IFERROR(__xludf.DUMMYFUNCTION("IFERROR(GOOGLETRANSLATE(A185,""ko"",""en""),)"),"If you can't sleep, try doing some light exercise.")</f>
        <v>If you can't sleep, try doing some light exercise.</v>
      </c>
    </row>
    <row r="183" spans="1:2" ht="18">
      <c r="A183" s="3" t="s">
        <v>4661</v>
      </c>
      <c r="B183" s="3" t="str">
        <f ca="1">IFERROR(__xludf.DUMMYFUNCTION("IFERROR(GOOGLETRANSLATE(A186,""ko"",""en""),)"),"lifestyle habits")</f>
        <v>lifestyle habits</v>
      </c>
    </row>
    <row r="184" spans="1:2" ht="18">
      <c r="A184" s="3" t="s">
        <v>4662</v>
      </c>
      <c r="B184" s="3" t="str">
        <f ca="1">IFERROR(__xludf.DUMMYFUNCTION("IFERROR(GOOGLETRANSLATE(A187,""ko"",""en""),)"),"Wash your hands before eating.")</f>
        <v>Wash your hands before eating.</v>
      </c>
    </row>
    <row r="185" spans="1:2" ht="18">
      <c r="A185" s="3" t="s">
        <v>4663</v>
      </c>
      <c r="B185" s="3" t="str">
        <f ca="1">IFERROR(__xludf.DUMMYFUNCTION("IFERROR(GOOGLETRANSLATE(A188,""ko"",""en""),)"),"Wash your hands after using the restroom.")</f>
        <v>Wash your hands after using the restroom.</v>
      </c>
    </row>
    <row r="186" spans="1:2" ht="18">
      <c r="A186" s="3" t="s">
        <v>4665</v>
      </c>
      <c r="B186" s="3" t="str">
        <f ca="1">IFERROR(__xludf.DUMMYFUNCTION("IFERROR(GOOGLETRANSLATE(A189,""ko"",""en""),)"),"Wash your hands when you come home.")</f>
        <v>Wash your hands when you come home.</v>
      </c>
    </row>
    <row r="187" spans="1:2" ht="18">
      <c r="A187" s="3" t="s">
        <v>4666</v>
      </c>
      <c r="B187" s="3" t="str">
        <f ca="1">IFERROR(__xludf.DUMMYFUNCTION("IFERROR(GOOGLETRANSLATE(A190,""ko"",""en""),)"),"I eat vegetables.")</f>
        <v>I eat vegetables.</v>
      </c>
    </row>
    <row r="188" spans="1:2" ht="18">
      <c r="A188" s="3" t="s">
        <v>4667</v>
      </c>
      <c r="B188" s="3" t="str">
        <f ca="1">IFERROR(__xludf.DUMMYFUNCTION("IFERROR(GOOGLETRANSLATE(A191,""ko"",""en""),)"),"Eat vegetables (mushrooms, sweet potatoes, carrots, cucumbers, corn, broccoli, eggplant, okra, spinach, potatoes, onions)")</f>
        <v>Eat vegetables (mushrooms, sweet potatoes, carrots, cucumbers, corn, broccoli, eggplant, okra, spinach, potatoes, onions)</v>
      </c>
    </row>
    <row r="189" spans="1:2" ht="18">
      <c r="A189" s="3" t="s">
        <v>4669</v>
      </c>
      <c r="B189" s="3" t="str">
        <f ca="1">IFERROR(__xludf.DUMMYFUNCTION("IFERROR(GOOGLETRANSLATE(A192,""ko"",""en""),)"),"Always smile")</f>
        <v>Always smile</v>
      </c>
    </row>
    <row r="190" spans="1:2" ht="18">
      <c r="A190" s="3" t="s">
        <v>4670</v>
      </c>
      <c r="B190" s="3" t="str">
        <f ca="1">IFERROR(__xludf.DUMMYFUNCTION("IFERROR(GOOGLETRANSLATE(A193,""ko"",""en""),)"),"Drink plenty of water.")</f>
        <v>Drink plenty of water.</v>
      </c>
    </row>
    <row r="191" spans="1:2" ht="18">
      <c r="A191" s="3" t="s">
        <v>4671</v>
      </c>
      <c r="B191" s="3" t="str">
        <f ca="1">IFERROR(__xludf.DUMMYFUNCTION("IFERROR(GOOGLETRANSLATE(A194,""ko"",""en""),)"),"Wash well.")</f>
        <v>Wash well.</v>
      </c>
    </row>
    <row r="192" spans="1:2" ht="18">
      <c r="A192" s="3" t="s">
        <v>4673</v>
      </c>
      <c r="B192" s="3" t="str">
        <f ca="1">IFERROR(__xludf.DUMMYFUNCTION("IFERROR(GOOGLETRANSLATE(A195,""ko"",""en""),)"),"I walk every day.")</f>
        <v>I walk every day.</v>
      </c>
    </row>
    <row r="193" spans="1:2" ht="18">
      <c r="A193" s="3" t="s">
        <v>4674</v>
      </c>
      <c r="B193" s="3" t="str">
        <f ca="1">IFERROR(__xludf.DUMMYFUNCTION("IFERROR(GOOGLETRANSLATE(A196,""ko"",""en""),)"),"I don't drink much alcohol.")</f>
        <v>I don't drink much alcohol.</v>
      </c>
    </row>
    <row r="194" spans="1:2" ht="18">
      <c r="A194" s="3" t="s">
        <v>4675</v>
      </c>
      <c r="B194" s="3" t="str">
        <f ca="1">IFERROR(__xludf.DUMMYFUNCTION("IFERROR(GOOGLETRANSLATE(A197,""ko"",""en""),)"),"I don't smoke.")</f>
        <v>I don't smoke.</v>
      </c>
    </row>
    <row r="195" spans="1:2" ht="18">
      <c r="A195" s="3" t="s">
        <v>4676</v>
      </c>
      <c r="B195" s="3" t="str">
        <f ca="1">IFERROR(__xludf.DUMMYFUNCTION("IFERROR(GOOGLETRANSLATE(A198,""ko"",""en""),)"),"Go up the stairs.")</f>
        <v>Go up the stairs.</v>
      </c>
    </row>
    <row r="196" spans="1:2" ht="18">
      <c r="A196" s="3" t="s">
        <v>4678</v>
      </c>
      <c r="B196" s="3" t="str">
        <f ca="1">IFERROR(__xludf.DUMMYFUNCTION("IFERROR(GOOGLETRANSLATE(A199,""ko"",""en""),)"),"processed foods")</f>
        <v>processed foods</v>
      </c>
    </row>
    <row r="197" spans="1:2" ht="18">
      <c r="A197" s="3" t="s">
        <v>4679</v>
      </c>
      <c r="B197" s="3" t="str">
        <f ca="1">IFERROR(__xludf.DUMMYFUNCTION("IFERROR(GOOGLETRANSLATE(A200,""ko"",""en""),)"),"I don't eat a lot of processed foods.")</f>
        <v>I don't eat a lot of processed foods.</v>
      </c>
    </row>
    <row r="198" spans="1:2" ht="18">
      <c r="A198" s="3" t="s">
        <v>4680</v>
      </c>
      <c r="B198" s="3" t="str">
        <f ca="1">IFERROR(__xludf.DUMMYFUNCTION("IFERROR(GOOGLETRANSLATE(A201,""ko"",""en""),)"),"I don't eat a lot of fried food.")</f>
        <v>I don't eat a lot of fried food.</v>
      </c>
    </row>
    <row r="199" spans="1:2" ht="18">
      <c r="A199" s="3" t="s">
        <v>4681</v>
      </c>
      <c r="B199" s="3" t="str">
        <f ca="1">IFERROR(__xludf.DUMMYFUNCTION("IFERROR(GOOGLETRANSLATE(A202,""ko"",""en""),)"),"I don't eat salty food.")</f>
        <v>I don't eat salty food.</v>
      </c>
    </row>
    <row r="200" spans="1:2" ht="18">
      <c r="A200" s="3" t="s">
        <v>4682</v>
      </c>
      <c r="B200" s="3" t="str">
        <f ca="1">IFERROR(__xludf.DUMMYFUNCTION("IFERROR(GOOGLETRANSLATE(A203,""ko"",""en""),)"),"I do some stretching.")</f>
        <v>I do some stretching.</v>
      </c>
    </row>
    <row r="201" spans="1:2" ht="18">
      <c r="A201" s="3" t="s">
        <v>4683</v>
      </c>
      <c r="B201" s="3" t="str">
        <f ca="1">IFERROR(__xludf.DUMMYFUNCTION("IFERROR(GOOGLETRANSLATE(A204,""ko"",""en""),)"),"Go to bed early and wake up early")</f>
        <v>Go to bed early and wake up early</v>
      </c>
    </row>
    <row r="202" spans="1:2" ht="18">
      <c r="A202" s="3" t="s">
        <v>4684</v>
      </c>
      <c r="B202" s="3" t="str">
        <f ca="1">IFERROR(__xludf.DUMMYFUNCTION("IFERROR(GOOGLETRANSLATE(A205,""ko"",""en""),)"),"Eat a balanced diet")</f>
        <v>Eat a balanced diet</v>
      </c>
    </row>
    <row r="203" spans="1:2" ht="18">
      <c r="A203" s="3" t="s">
        <v>4685</v>
      </c>
      <c r="B203" s="3" t="str">
        <f ca="1">IFERROR(__xludf.DUMMYFUNCTION("IFERROR(GOOGLETRANSLATE(A206,""ko"",""en""),)"),"to get annoyed easily")</f>
        <v>to get annoyed easily</v>
      </c>
    </row>
    <row r="204" spans="1:2" ht="18">
      <c r="A204" s="3" t="s">
        <v>4686</v>
      </c>
      <c r="B204" s="3" t="str">
        <f ca="1">IFERROR(__xludf.DUMMYFUNCTION("IFERROR(GOOGLETRANSLATE(A207,""ko"",""en""),)"),"Go to bed late and wake up late")</f>
        <v>Go to bed late and wake up late</v>
      </c>
    </row>
    <row r="205" spans="1:2" ht="18">
      <c r="A205" s="3" t="s">
        <v>4688</v>
      </c>
      <c r="B205" s="3" t="str">
        <f ca="1">IFERROR(__xludf.DUMMYFUNCTION("IFERROR(GOOGLETRANSLATE(A208,""ko"",""en""),)"),"Eating a late-night snack")</f>
        <v>Eating a late-night snack</v>
      </c>
    </row>
    <row r="206" spans="1:2" ht="18">
      <c r="A206" s="3" t="s">
        <v>4689</v>
      </c>
      <c r="B206" s="3" t="str">
        <f ca="1">IFERROR(__xludf.DUMMYFUNCTION("IFERROR(GOOGLETRANSLATE(A209,""ko"",""en""),)"),"I've been using the computer for a long time.")</f>
        <v>I've been using the computer for a long time.</v>
      </c>
    </row>
    <row r="207" spans="1:2" ht="18">
      <c r="A207" s="3" t="s">
        <v>4690</v>
      </c>
      <c r="B207" s="3" t="str">
        <f ca="1">IFERROR(__xludf.DUMMYFUNCTION("IFERROR(GOOGLETRANSLATE(A210,""ko"",""en""),)"),"Laugh often")</f>
        <v>Laugh often</v>
      </c>
    </row>
    <row r="208" spans="1:2" ht="18">
      <c r="A208" s="3" t="s">
        <v>4691</v>
      </c>
      <c r="B208" s="3" t="str">
        <f ca="1">IFERROR(__xludf.DUMMYFUNCTION("IFERROR(GOOGLETRANSLATE(A211,""ko"",""en""),)"),"I do some light exercise at the park.")</f>
        <v>I do some light exercise at the park.</v>
      </c>
    </row>
    <row r="209" spans="1:2" ht="18">
      <c r="A209" s="3" t="s">
        <v>4692</v>
      </c>
      <c r="B209" s="3" t="str">
        <f ca="1">IFERROR(__xludf.DUMMYFUNCTION("IFERROR(GOOGLETRANSLATE(A212,""ko"",""en""),)"),"Eat a balanced diet.")</f>
        <v>Eat a balanced diet.</v>
      </c>
    </row>
    <row r="210" spans="1:2" ht="18">
      <c r="A210" s="3" t="s">
        <v>4693</v>
      </c>
      <c r="B210" s="3" t="str">
        <f ca="1">IFERROR(__xludf.DUMMYFUNCTION("IFERROR(GOOGLETRANSLATE(A213,""ko"",""en""),)"),"I use the computer for a long time.")</f>
        <v>I use the computer for a long time.</v>
      </c>
    </row>
    <row r="211" spans="1:2" ht="18">
      <c r="A211" s="3" t="s">
        <v>4695</v>
      </c>
      <c r="B211" s="3" t="str">
        <f ca="1">IFERROR(__xludf.DUMMYFUNCTION("IFERROR(GOOGLETRANSLATE(A214,""ko"",""en""),)"),"My stomach feels bad because I ate too much late-night food.")</f>
        <v>My stomach feels bad because I ate too much late-night food.</v>
      </c>
    </row>
    <row r="212" spans="1:2" ht="18">
      <c r="A212" s="3" t="s">
        <v>4696</v>
      </c>
      <c r="B212" s="3" t="str">
        <f ca="1">IFERROR(__xludf.DUMMYFUNCTION("IFERROR(GOOGLETRANSLATE(A215,""ko"",""en""),)"),"Wash your hands well.")</f>
        <v>Wash your hands well.</v>
      </c>
    </row>
    <row r="213" spans="1:2" ht="18">
      <c r="A213" s="3" t="s">
        <v>4697</v>
      </c>
      <c r="B213" s="3" t="str">
        <f ca="1">IFERROR(__xludf.DUMMYFUNCTION("IFERROR(GOOGLETRANSLATE(A216,""ko"",""en""),)"),"I get annoyed easily.")</f>
        <v>I get annoyed easily.</v>
      </c>
    </row>
    <row r="214" spans="1:2" ht="18">
      <c r="A214" s="3" t="s">
        <v>4698</v>
      </c>
      <c r="B214" s="3" t="str">
        <f ca="1">IFERROR(__xludf.DUMMYFUNCTION("IFERROR(GOOGLETRANSLATE(A217,""ko"",""en""),)"),"Go to bed early and wake up early.")</f>
        <v>Go to bed early and wake up early.</v>
      </c>
    </row>
    <row r="215" spans="1:2" ht="18">
      <c r="A215" s="3" t="s">
        <v>4700</v>
      </c>
      <c r="B215" s="3" t="str">
        <f ca="1">IFERROR(__xludf.DUMMYFUNCTION("IFERROR(GOOGLETRANSLATE(A218,""ko"",""en""),)"),"I go to bed late and wake up late.")</f>
        <v>I go to bed late and wake up late.</v>
      </c>
    </row>
    <row r="216" spans="1:2" ht="18">
      <c r="A216" s="3" t="s">
        <v>4701</v>
      </c>
      <c r="B216" s="3" t="str">
        <f ca="1">IFERROR(__xludf.DUMMYFUNCTION("IFERROR(GOOGLETRANSLATE(A219,""ko"",""en""),)"),"How can I get a good night's sleep?")</f>
        <v>How can I get a good night's sleep?</v>
      </c>
    </row>
    <row r="217" spans="1:2" ht="18">
      <c r="A217" s="3" t="s">
        <v>4702</v>
      </c>
      <c r="B217" s="3" t="str">
        <f ca="1">IFERROR(__xludf.DUMMYFUNCTION("IFERROR(GOOGLETRANSLATE(A220,""ko"",""en""),)"),"If you can't sleep, try doing some light exercise during the day.")</f>
        <v>If you can't sleep, try doing some light exercise during the day.</v>
      </c>
    </row>
    <row r="218" spans="1:2" ht="18">
      <c r="A218" s="3" t="s">
        <v>4704</v>
      </c>
      <c r="B218" s="3" t="str">
        <f ca="1">IFERROR(__xludf.DUMMYFUNCTION("IFERROR(GOOGLETRANSLATE(A221,""ko"",""en""),)"),"Are you sick?")</f>
        <v>Are you sick?</v>
      </c>
    </row>
    <row r="219" spans="1:2" ht="18">
      <c r="A219" s="3" t="s">
        <v>4705</v>
      </c>
      <c r="B219" s="3" t="str">
        <f ca="1">IFERROR(__xludf.DUMMYFUNCTION("IFERROR(GOOGLETRANSLATE(A222,""ko"",""en""),)"),"My stomach feels bad because I ate a late-night snack yesterday.")</f>
        <v>My stomach feels bad because I ate a late-night snack yesterday.</v>
      </c>
    </row>
    <row r="220" spans="1:2" ht="18">
      <c r="A220" s="3" t="s">
        <v>4706</v>
      </c>
      <c r="B220" s="3" t="str">
        <f ca="1">IFERROR(__xludf.DUMMYFUNCTION("IFERROR(GOOGLETRANSLATE(A223,""ko"",""en""),)"),"I'm so tired because I used the computer for a long time until I went to bed yesterday.")</f>
        <v>I'm so tired because I used the computer for a long time until I went to bed yesterday.</v>
      </c>
    </row>
    <row r="221" spans="1:2" ht="18">
      <c r="A221" s="5" t="s">
        <v>4707</v>
      </c>
      <c r="B221" s="3" t="str">
        <f ca="1">IFERROR(__xludf.DUMMYFUNCTION("IFERROR(GOOGLETRANSLATE(A224,""ko"",""en""),)"),"It is best not to use the computer before going to sleep.")</f>
        <v>It is best not to use the computer before going to sleep.</v>
      </c>
    </row>
    <row r="222" spans="1:2" ht="18">
      <c r="A222" s="3" t="s">
        <v>4709</v>
      </c>
      <c r="B222" s="3" t="str">
        <f ca="1">IFERROR(__xludf.DUMMYFUNCTION("IFERROR(GOOGLETRANSLATE(A225,""ko"",""en""),)"),"How can I live a healthy life?")</f>
        <v>How can I live a healthy life?</v>
      </c>
    </row>
    <row r="223" spans="1:2" ht="18">
      <c r="A223" s="3" t="s">
        <v>4710</v>
      </c>
      <c r="B223" s="3" t="str">
        <f ca="1">IFERROR(__xludf.DUMMYFUNCTION("IFERROR(GOOGLETRANSLATE(A226,""ko"",""en""),)"),"If you eat a balanced diet, you will be able to live a healthy life.")</f>
        <v>If you eat a balanced diet, you will be able to live a healthy life.</v>
      </c>
    </row>
    <row r="224" spans="1:2" ht="18">
      <c r="A224" s="3" t="s">
        <v>4711</v>
      </c>
      <c r="B224" s="3" t="str">
        <f ca="1">IFERROR(__xludf.DUMMYFUNCTION("IFERROR(GOOGLETRANSLATE(A227,""ko"",""en""),)"),"Eating only the food you like is bad for your health.")</f>
        <v>Eating only the food you like is bad for your health.</v>
      </c>
    </row>
    <row r="225" spans="1:2" ht="18">
      <c r="A225" s="3" t="s">
        <v>4713</v>
      </c>
      <c r="B225" s="3" t="str">
        <f ca="1">IFERROR(__xludf.DUMMYFUNCTION("IFERROR(GOOGLETRANSLATE(A228,""ko"",""en""),)"),"What kind of habit do you want to have? Try saying the following.")</f>
        <v>What kind of habit do you want to have? Try saying the following.</v>
      </c>
    </row>
    <row r="226" spans="1:2" ht="18">
      <c r="A226" s="3" t="s">
        <v>4714</v>
      </c>
      <c r="B226" s="3" t="str">
        <f ca="1">IFERROR(__xludf.DUMMYFUNCTION("IFERROR(GOOGLETRANSLATE(A229,""ko"",""en""),)"),"I want to exercise every day.")</f>
        <v>I want to exercise every day.</v>
      </c>
    </row>
    <row r="227" spans="1:2" ht="18">
      <c r="A227" s="3" t="s">
        <v>4715</v>
      </c>
      <c r="B227" s="3" t="str">
        <f ca="1">IFERROR(__xludf.DUMMYFUNCTION("IFERROR(GOOGLETRANSLATE(A230,""ko"",""en""),)"),"I want to be able to run marathons.")</f>
        <v>I want to be able to run marathons.</v>
      </c>
    </row>
    <row r="228" spans="1:2" ht="18">
      <c r="A228" s="3" t="s">
        <v>4716</v>
      </c>
      <c r="B228" s="3" t="str">
        <f ca="1">IFERROR(__xludf.DUMMYFUNCTION("IFERROR(GOOGLETRANSLATE(A231,""ko"",""en""),)"),"I want to build up my stamina.")</f>
        <v>I want to build up my stamina.</v>
      </c>
    </row>
    <row r="229" spans="1:2" ht="18">
      <c r="A229" s="3" t="s">
        <v>4718</v>
      </c>
      <c r="B229" s="3" t="str">
        <f ca="1">IFERROR(__xludf.DUMMYFUNCTION("IFERROR(GOOGLETRANSLATE(A232,""ko"",""en""),)"),"I want to run longer.")</f>
        <v>I want to run longer.</v>
      </c>
    </row>
    <row r="230" spans="1:2" ht="18">
      <c r="A230" s="3" t="s">
        <v>4719</v>
      </c>
      <c r="B230" s="3" t="str">
        <f ca="1">IFERROR(__xludf.DUMMYFUNCTION("IFERROR(GOOGLETRANSLATE(A233,""ko"",""en""),)"),"I want to run further.")</f>
        <v>I want to run further.</v>
      </c>
    </row>
    <row r="231" spans="1:2" ht="18">
      <c r="A231" s="3" t="s">
        <v>4720</v>
      </c>
      <c r="B231" s="3" t="str">
        <f ca="1">IFERROR(__xludf.DUMMYFUNCTION("IFERROR(GOOGLETRANSLATE(A234,""ko"",""en""),)"),"I don't want to use the computer for a long time.")</f>
        <v>I don't want to use the computer for a long time.</v>
      </c>
    </row>
    <row r="232" spans="1:2" ht="18">
      <c r="A232" s="3" t="s">
        <v>4721</v>
      </c>
      <c r="B232" s="3" t="str">
        <f ca="1">IFERROR(__xludf.DUMMYFUNCTION("IFERROR(GOOGLETRANSLATE(A235,""ko"",""en""),)"),"I have a headache. Do you happen to have any medicine?")</f>
        <v>I have a headache. Do you happen to have any medicine?</v>
      </c>
    </row>
    <row r="233" spans="1:2" ht="18">
      <c r="A233" s="3" t="s">
        <v>4723</v>
      </c>
      <c r="B233" s="3" t="str">
        <f ca="1">IFERROR(__xludf.DUMMYFUNCTION("IFERROR(GOOGLETRANSLATE(A236,""ko"",""en""),)"),"It's cheap")</f>
        <v>It's cheap</v>
      </c>
    </row>
    <row r="234" spans="1:2" ht="18">
      <c r="A234" s="3" t="s">
        <v>4724</v>
      </c>
      <c r="B234" s="3" t="str">
        <f ca="1">IFERROR(__xludf.DUMMYFUNCTION("IFERROR(GOOGLETRANSLATE(A237,""ko"",""en""),)"),"It's good")</f>
        <v>It's good</v>
      </c>
    </row>
    <row r="235" spans="1:2" ht="18">
      <c r="A235" s="3" t="s">
        <v>4725</v>
      </c>
      <c r="B235" s="3" t="str">
        <f ca="1">IFERROR(__xludf.DUMMYFUNCTION("IFERROR(GOOGLETRANSLATE(A238,""ko"",""en""),)"),"I'm going")</f>
        <v>I'm going</v>
      </c>
    </row>
    <row r="236" spans="1:2" ht="18">
      <c r="A236" s="3" t="s">
        <v>4726</v>
      </c>
      <c r="B236" s="3" t="str">
        <f ca="1">IFERROR(__xludf.DUMMYFUNCTION("IFERROR(GOOGLETRANSLATE(A239,""ko"",""en""),)"),"I'm eating")</f>
        <v>I'm eating</v>
      </c>
    </row>
    <row r="237" spans="1:2" ht="18">
      <c r="A237" s="3" t="s">
        <v>4727</v>
      </c>
      <c r="B237" s="3" t="str">
        <f ca="1">IFERROR(__xludf.DUMMYFUNCTION("IFERROR(GOOGLETRANSLATE(A240,""ko"",""en""),)"),"He's a friend")</f>
        <v>He's a friend</v>
      </c>
    </row>
    <row r="238" spans="1:2" ht="18">
      <c r="A238" s="3" t="s">
        <v>4729</v>
      </c>
      <c r="B238" s="3" t="str">
        <f ca="1">IFERROR(__xludf.DUMMYFUNCTION("IFERROR(GOOGLETRANSLATE(A241,""ko"",""en""),)"),"It's winter")</f>
        <v>It's winter</v>
      </c>
    </row>
    <row r="239" spans="1:2" ht="18">
      <c r="A239" s="3" t="s">
        <v>4730</v>
      </c>
      <c r="B239" s="3" t="str">
        <f ca="1">IFERROR(__xludf.DUMMYFUNCTION("IFERROR(GOOGLETRANSLATE(A242,""ko"",""en""),)"),"To make")</f>
        <v>To make</v>
      </c>
    </row>
    <row r="240" spans="1:2" ht="18">
      <c r="A240" s="3" t="s">
        <v>4731</v>
      </c>
      <c r="B240" s="3" t="str">
        <f ca="1">IFERROR(__xludf.DUMMYFUNCTION("IFERROR(GOOGLETRANSLATE(A243,""ko"",""en""),)"),"It's cold")</f>
        <v>It's cold</v>
      </c>
    </row>
    <row r="241" spans="1:2" ht="18">
      <c r="A241" s="3" t="s">
        <v>4732</v>
      </c>
      <c r="B241" s="3" t="str">
        <f ca="1">IFERROR(__xludf.DUMMYFUNCTION("IFERROR(GOOGLETRANSLATE(A244,""ko"",""en""),)"),"It's fun")</f>
        <v>It's fun</v>
      </c>
    </row>
    <row r="242" spans="1:2" ht="18">
      <c r="A242" s="3" t="s">
        <v>4733</v>
      </c>
      <c r="B242" s="3" t="str">
        <f ca="1">IFERROR(__xludf.DUMMYFUNCTION("IFERROR(GOOGLETRANSLATE(A245,""ko"",""en""),)"),"I'm reading")</f>
        <v>I'm reading</v>
      </c>
    </row>
    <row r="243" spans="1:2" ht="18">
      <c r="A243" s="3" t="s">
        <v>4725</v>
      </c>
      <c r="B243" s="3" t="str">
        <f ca="1">IFERROR(__xludf.DUMMYFUNCTION("IFERROR(GOOGLETRANSLATE(A246,""ko"",""en""),)"),"I'm going")</f>
        <v>I'm going</v>
      </c>
    </row>
    <row r="244" spans="1:2" ht="18">
      <c r="A244" s="3" t="s">
        <v>4734</v>
      </c>
      <c r="B244" s="3" t="str">
        <f ca="1">IFERROR(__xludf.DUMMYFUNCTION("IFERROR(GOOGLETRANSLATE(A247,""ko"",""en""),)"),"While studying")</f>
        <v>While studying</v>
      </c>
    </row>
    <row r="245" spans="1:2" ht="18">
      <c r="A245" s="3" t="s">
        <v>4730</v>
      </c>
      <c r="B245" s="3" t="str">
        <f ca="1">IFERROR(__xludf.DUMMYFUNCTION("IFERROR(GOOGLETRANSLATE(A248,""ko"",""en""),)"),"To make")</f>
        <v>To make</v>
      </c>
    </row>
    <row r="246" spans="1:2" ht="18">
      <c r="A246" s="3" t="s">
        <v>4735</v>
      </c>
      <c r="B246" s="3" t="str">
        <f ca="1">IFERROR(__xludf.DUMMYFUNCTION("IFERROR(GOOGLETRANSLATE(A249,""ko"",""en""),)"),"There are many")</f>
        <v>There are many</v>
      </c>
    </row>
    <row r="247" spans="1:2" ht="18">
      <c r="A247" s="3" t="s">
        <v>4724</v>
      </c>
      <c r="B247" s="3" t="str">
        <f ca="1">IFERROR(__xludf.DUMMYFUNCTION("IFERROR(GOOGLETRANSLATE(A250,""ko"",""en""),)"),"It's good")</f>
        <v>It's good</v>
      </c>
    </row>
    <row r="248" spans="1:2" ht="18">
      <c r="A248" s="3" t="s">
        <v>4731</v>
      </c>
      <c r="B248" s="3" t="str">
        <f ca="1">IFERROR(__xludf.DUMMYFUNCTION("IFERROR(GOOGLETRANSLATE(A251,""ko"",""en""),)"),"It's cold")</f>
        <v>It's cold</v>
      </c>
    </row>
    <row r="249" spans="1:2" ht="18">
      <c r="A249" s="3" t="s">
        <v>4736</v>
      </c>
      <c r="B249" s="3" t="str">
        <f ca="1">IFERROR(__xludf.DUMMYFUNCTION("IFERROR(GOOGLETRANSLATE(A252,""ko"",""en""),)"),"I don't have it")</f>
        <v>I don't have it</v>
      </c>
    </row>
    <row r="250" spans="1:2" ht="18">
      <c r="A250" s="3" t="s">
        <v>4732</v>
      </c>
      <c r="B250" s="3" t="str">
        <f ca="1">IFERROR(__xludf.DUMMYFUNCTION("IFERROR(GOOGLETRANSLATE(A253,""ko"",""en""),)"),"It's fun")</f>
        <v>It's fun</v>
      </c>
    </row>
    <row r="251" spans="1:2" ht="18">
      <c r="A251" s="3" t="s">
        <v>4723</v>
      </c>
      <c r="B251" s="3" t="str">
        <f ca="1">IFERROR(__xludf.DUMMYFUNCTION("IFERROR(GOOGLETRANSLATE(A254,""ko"",""en""),)"),"It's cheap")</f>
        <v>It's cheap</v>
      </c>
    </row>
    <row r="252" spans="1:2" ht="18">
      <c r="A252" s="3" t="s">
        <v>4737</v>
      </c>
      <c r="B252" s="3" t="str">
        <f ca="1">IFERROR(__xludf.DUMMYFUNCTION("IFERROR(GOOGLETRANSLATE(A255,""ko"",""en""),)"),"big")</f>
        <v>big</v>
      </c>
    </row>
    <row r="253" spans="1:2" ht="18">
      <c r="A253" s="3" t="s">
        <v>4739</v>
      </c>
      <c r="B253" s="3" t="str">
        <f ca="1">IFERROR(__xludf.DUMMYFUNCTION("IFERROR(GOOGLETRANSLATE(A256,""ko"",""en""),)"),"I'm hungry")</f>
        <v>I'm hungry</v>
      </c>
    </row>
    <row r="254" spans="1:2" ht="18">
      <c r="A254" s="3" t="s">
        <v>4740</v>
      </c>
      <c r="B254" s="3" t="str">
        <f ca="1">IFERROR(__xludf.DUMMYFUNCTION("IFERROR(GOOGLETRANSLATE(A257,""ko"",""en""),)"),"It hurts")</f>
        <v>It hurts</v>
      </c>
    </row>
    <row r="255" spans="1:2" ht="18">
      <c r="A255" s="3" t="s">
        <v>4741</v>
      </c>
      <c r="B255" s="3" t="str">
        <f ca="1">IFERROR(__xludf.DUMMYFUNCTION("IFERROR(GOOGLETRANSLATE(A258,""ko"",""en""),)"),"I'm bored")</f>
        <v>I'm bored</v>
      </c>
    </row>
    <row r="256" spans="1:2" ht="18">
      <c r="A256" s="3" t="s">
        <v>4742</v>
      </c>
      <c r="B256" s="3" t="str">
        <f ca="1">IFERROR(__xludf.DUMMYFUNCTION("IFERROR(GOOGLETRANSLATE(A259,""ko"",""en""),)"),"I wear")</f>
        <v>I wear</v>
      </c>
    </row>
    <row r="257" spans="1:2" ht="18">
      <c r="A257" s="3" t="s">
        <v>4743</v>
      </c>
      <c r="B257" s="3" t="str">
        <f ca="1">IFERROR(__xludf.DUMMYFUNCTION("IFERROR(GOOGLETRANSLATE(A260,""ko"",""en""),)"),"narrow")</f>
        <v>narrow</v>
      </c>
    </row>
    <row r="258" spans="1:2" ht="18">
      <c r="A258" s="3" t="s">
        <v>4745</v>
      </c>
      <c r="B258" s="3" t="str">
        <f ca="1">IFERROR(__xludf.DUMMYFUNCTION("IFERROR(GOOGLETRANSLATE(A261,""ko"",""en""),)"),"closing")</f>
        <v>closing</v>
      </c>
    </row>
    <row r="259" spans="1:2" ht="18">
      <c r="A259" s="3" t="s">
        <v>4746</v>
      </c>
      <c r="B259" s="3" t="str">
        <f ca="1">IFERROR(__xludf.DUMMYFUNCTION("IFERROR(GOOGLETRANSLATE(A262,""ko"",""en""),)"),"When opening")</f>
        <v>When opening</v>
      </c>
    </row>
    <row r="260" spans="1:2" ht="18">
      <c r="A260" s="3" t="s">
        <v>4747</v>
      </c>
      <c r="B260" s="3" t="str">
        <f ca="1">IFERROR(__xludf.DUMMYFUNCTION("IFERROR(GOOGLETRANSLATE(A263,""ko"",""en""),)"),"Playing")</f>
        <v>Playing</v>
      </c>
    </row>
    <row r="261" spans="1:2" ht="18">
      <c r="A261" s="3" t="s">
        <v>4748</v>
      </c>
      <c r="B261" s="3" t="str">
        <f ca="1">IFERROR(__xludf.DUMMYFUNCTION("IFERROR(GOOGLETRANSLATE(A264,""ko"",""en""),)"),"It's hot")</f>
        <v>It's hot</v>
      </c>
    </row>
    <row r="262" spans="1:2" ht="18">
      <c r="A262" s="3" t="s">
        <v>4749</v>
      </c>
      <c r="B262" s="3" t="str">
        <f ca="1">IFERROR(__xludf.DUMMYFUNCTION("IFERROR(GOOGLETRANSLATE(A265,""ko"",""en""),)"),"far away")</f>
        <v>far away</v>
      </c>
    </row>
    <row r="263" spans="1:2" ht="18">
      <c r="A263" s="3" t="s">
        <v>4750</v>
      </c>
      <c r="B263" s="3" t="str">
        <f ca="1">IFERROR(__xludf.DUMMYFUNCTION("IFERROR(GOOGLETRANSLATE(A266,""ko"",""en""),)"),"It's long")</f>
        <v>It's long</v>
      </c>
    </row>
    <row r="264" spans="1:2" ht="18">
      <c r="A264" s="3" t="s">
        <v>4751</v>
      </c>
      <c r="B264" s="3" t="str">
        <f ca="1">IFERROR(__xludf.DUMMYFUNCTION("IFERROR(GOOGLETRANSLATE(A267,""ko"",""en""),)"),"It's beautiful")</f>
        <v>It's beautiful</v>
      </c>
    </row>
    <row r="265" spans="1:2" ht="18">
      <c r="A265" s="3" t="s">
        <v>4752</v>
      </c>
      <c r="B265" s="3" t="str">
        <f ca="1">IFERROR(__xludf.DUMMYFUNCTION("IFERROR(GOOGLETRANSLATE(A268,""ko"",""en""),)"),"I'm having a lot of fun studying Korean these days.")</f>
        <v>I'm having a lot of fun studying Korean these days.</v>
      </c>
    </row>
    <row r="266" spans="1:2" ht="18">
      <c r="A266" s="3" t="s">
        <v>4753</v>
      </c>
      <c r="B266" s="3" t="str">
        <f ca="1">IFERROR(__xludf.DUMMYFUNCTION("IFERROR(GOOGLETRANSLATE(A269,""ko"",""en""),)"),"It's raining, should we take a taxi?")</f>
        <v>It's raining, should we take a taxi?</v>
      </c>
    </row>
    <row r="267" spans="1:2" ht="18">
      <c r="A267" s="3" t="s">
        <v>4755</v>
      </c>
      <c r="B267" s="3" t="str">
        <f ca="1">IFERROR(__xludf.DUMMYFUNCTION("IFERROR(GOOGLETRANSLATE(A270,""ko"",""en""),)"),"It's a little difficult to read Korean books these days.")</f>
        <v>It's a little difficult to read Korean books these days.</v>
      </c>
    </row>
    <row r="268" spans="1:2" ht="18">
      <c r="A268" s="3" t="s">
        <v>4756</v>
      </c>
      <c r="B268" s="3" t="str">
        <f ca="1">IFERROR(__xludf.DUMMYFUNCTION("IFERROR(GOOGLETRANSLATE(A271,""ko"",""en""),)"),"I'm bored, shall we watch a movie?")</f>
        <v>I'm bored, shall we watch a movie?</v>
      </c>
    </row>
    <row r="269" spans="1:2" ht="18">
      <c r="A269" s="3" t="s">
        <v>4757</v>
      </c>
      <c r="B269" s="3" t="str">
        <f ca="1">IFERROR(__xludf.DUMMYFUNCTION("IFERROR(GOOGLETRANSLATE(A272,""ko"",""en""),)"),"The weather is nice, shall we go to the mountain?")</f>
        <v>The weather is nice, shall we go to the mountain?</v>
      </c>
    </row>
    <row r="270" spans="1:2" ht="18">
      <c r="A270" s="3" t="s">
        <v>4758</v>
      </c>
      <c r="B270" s="3" t="str">
        <f ca="1">IFERROR(__xludf.DUMMYFUNCTION("IFERROR(GOOGLETRANSLATE(A273,""ko"",""en""),)"),"I was eating when I got a call.")</f>
        <v>I was eating when I got a call.</v>
      </c>
    </row>
    <row r="271" spans="1:2" ht="18">
      <c r="A271" s="3" t="s">
        <v>4759</v>
      </c>
      <c r="B271" s="3" t="str">
        <f ca="1">IFERROR(__xludf.DUMMYFUNCTION("IFERROR(GOOGLETRANSLATE(A274,""ko"",""en""),)"),"A friend came while I was studying.")</f>
        <v>A friend came while I was studying.</v>
      </c>
    </row>
    <row r="272" spans="1:2" ht="18">
      <c r="A272" s="3" t="s">
        <v>4760</v>
      </c>
      <c r="B272" s="3" t="str">
        <f ca="1">IFERROR(__xludf.DUMMYFUNCTION("IFERROR(GOOGLETRANSLATE(A275,""ko"",""en""),)"),"I'm learning to cook these days, and it's fun.")</f>
        <v>I'm learning to cook these days, and it's fun.</v>
      </c>
    </row>
    <row r="273" spans="1:2" ht="18">
      <c r="A273" s="3" t="s">
        <v>4762</v>
      </c>
      <c r="B273" s="3" t="str">
        <f ca="1">IFERROR(__xludf.DUMMYFUNCTION("IFERROR(GOOGLETRANSLATE(A276,""ko"",""en""),)"),"I watched a movie yesterday, and it was scary.")</f>
        <v>I watched a movie yesterday, and it was scary.</v>
      </c>
    </row>
    <row r="274" spans="1:2" ht="18">
      <c r="A274" s="3"/>
      <c r="B274" s="3" t="str">
        <f ca="1">IFERROR(__xludf.DUMMYFUNCTION("IFERROR(GOOGLETRANSLATE(A277,""ko"",""en""),)"),"")</f>
        <v/>
      </c>
    </row>
    <row r="275" spans="1:2" ht="18">
      <c r="A275" s="3" t="s">
        <v>4763</v>
      </c>
      <c r="B275" s="3" t="str">
        <f ca="1">IFERROR(__xludf.DUMMYFUNCTION("IFERROR(GOOGLETRANSLATE(A278,""ko"",""en""),)"),"Where have you been in Korea?")</f>
        <v>Where have you been in Korea?</v>
      </c>
    </row>
    <row r="276" spans="1:2" ht="18">
      <c r="A276" s="3" t="s">
        <v>4764</v>
      </c>
      <c r="B276" s="3" t="str">
        <f ca="1">IFERROR(__xludf.DUMMYFUNCTION("IFERROR(GOOGLETRANSLATE(A279,""ko"",""en""),)"),"I went to Jeju Island. The scenery was very beautiful.")</f>
        <v>I went to Jeju Island. The scenery was very beautiful.</v>
      </c>
    </row>
    <row r="277" spans="1:2" ht="18">
      <c r="A277" s="3" t="s">
        <v>4765</v>
      </c>
      <c r="B277" s="3" t="str">
        <f ca="1">IFERROR(__xludf.DUMMYFUNCTION("IFERROR(GOOGLETRANSLATE(A280,""ko"",""en""),)"),"I've been here.")</f>
        <v>I've been here.</v>
      </c>
    </row>
    <row r="278" spans="1:2" ht="18">
      <c r="A278" s="3" t="s">
        <v>4767</v>
      </c>
      <c r="B278" s="3" t="str">
        <f ca="1">IFERROR(__xludf.DUMMYFUNCTION("IFERROR(GOOGLETRANSLATE(A281,""ko"",""en""),)"),"Come visit")</f>
        <v>Come visit</v>
      </c>
    </row>
    <row r="279" spans="1:2" ht="18">
      <c r="A279" s="3" t="s">
        <v>4768</v>
      </c>
      <c r="B279" s="3" t="str">
        <f ca="1">IFERROR(__xludf.DUMMYFUNCTION("IFERROR(GOOGLETRANSLATE(A282,""ko"",""en""),)"),"I've driven it.")</f>
        <v>I've driven it.</v>
      </c>
    </row>
    <row r="280" spans="1:2" ht="18">
      <c r="A280" s="3" t="s">
        <v>4769</v>
      </c>
      <c r="B280" s="3" t="str">
        <f ca="1">IFERROR(__xludf.DUMMYFUNCTION("IFERROR(GOOGLETRANSLATE(A283,""ko"",""en""),)"),"Try driving")</f>
        <v>Try driving</v>
      </c>
    </row>
    <row r="281" spans="1:2" ht="18">
      <c r="A281" s="3" t="s">
        <v>4770</v>
      </c>
      <c r="B281" s="3" t="str">
        <f ca="1">IFERROR(__xludf.DUMMYFUNCTION("IFERROR(GOOGLETRANSLATE(A284,""ko"",""en""),)"),"I tried drinking it.")</f>
        <v>I tried drinking it.</v>
      </c>
    </row>
    <row r="282" spans="1:2" ht="18">
      <c r="A282" s="3" t="s">
        <v>4772</v>
      </c>
      <c r="B282" s="3" t="str">
        <f ca="1">IFERROR(__xludf.DUMMYFUNCTION("IFERROR(GOOGLETRANSLATE(A285,""ko"",""en""),)"),"Try drinking it")</f>
        <v>Try drinking it</v>
      </c>
    </row>
    <row r="283" spans="1:2" ht="18">
      <c r="A283" s="3" t="s">
        <v>4773</v>
      </c>
      <c r="B283" s="3" t="str">
        <f ca="1">IFERROR(__xludf.DUMMYFUNCTION("IFERROR(GOOGLETRANSLATE(A286,""ko"",""en""),)"),"Have you ever hiked Mount Halla in Jeju Island?")</f>
        <v>Have you ever hiked Mount Halla in Jeju Island?</v>
      </c>
    </row>
    <row r="284" spans="1:2" ht="18">
      <c r="A284" s="3" t="s">
        <v>4774</v>
      </c>
      <c r="B284" s="3" t="str">
        <f ca="1">IFERROR(__xludf.DUMMYFUNCTION("IFERROR(GOOGLETRANSLATE(A287,""ko"",""en""),)"),"Yes, I've tried hiking.")</f>
        <v>Yes, I've tried hiking.</v>
      </c>
    </row>
    <row r="285" spans="1:2" ht="18">
      <c r="A285" s="3" t="s">
        <v>4776</v>
      </c>
      <c r="B285" s="3" t="str">
        <f ca="1">IFERROR(__xludf.DUMMYFUNCTION("IFERROR(GOOGLETRANSLATE(A288,""ko"",""en""),)"),"Have you tried bibimbap?")</f>
        <v>Have you tried bibimbap?</v>
      </c>
    </row>
    <row r="286" spans="1:2" ht="18">
      <c r="A286" s="3" t="s">
        <v>4777</v>
      </c>
      <c r="B286" s="3" t="str">
        <f ca="1">IFERROR(__xludf.DUMMYFUNCTION("IFERROR(GOOGLETRANSLATE(A289,""ko"",""en""),)"),"Yes, I've tried it.")</f>
        <v>Yes, I've tried it.</v>
      </c>
    </row>
    <row r="287" spans="1:2" ht="18">
      <c r="A287" s="3" t="s">
        <v>4778</v>
      </c>
      <c r="B287" s="3" t="str">
        <f ca="1">IFERROR(__xludf.DUMMYFUNCTION("IFERROR(GOOGLETRANSLATE(A290,""ko"",""en""),)"),"Have you ever worked a part-time job?")</f>
        <v>Have you ever worked a part-time job?</v>
      </c>
    </row>
    <row r="288" spans="1:2" ht="18">
      <c r="A288" s="3" t="s">
        <v>4780</v>
      </c>
      <c r="B288" s="3" t="str">
        <f ca="1">IFERROR(__xludf.DUMMYFUNCTION("IFERROR(GOOGLETRANSLATE(A291,""ko"",""en""),)"),"Yes, I tried working a part-time job during summer vacation.")</f>
        <v>Yes, I tried working a part-time job during summer vacation.</v>
      </c>
    </row>
    <row r="289" spans="1:2" ht="18">
      <c r="A289" s="3" t="s">
        <v>4781</v>
      </c>
      <c r="B289" s="3" t="str">
        <f ca="1">IFERROR(__xludf.DUMMYFUNCTION("IFERROR(GOOGLETRANSLATE(A292,""ko"",""en""),)"),"Yes, I have lived in a dormitory.")</f>
        <v>Yes, I have lived in a dormitory.</v>
      </c>
    </row>
    <row r="290" spans="1:2" ht="18">
      <c r="A290" s="3" t="s">
        <v>4782</v>
      </c>
      <c r="B290" s="3" t="str">
        <f ca="1">IFERROR(__xludf.DUMMYFUNCTION("IFERROR(GOOGLETRANSLATE(A293,""ko"",""en""),)"),"No, I haven't lived in a dormitory.")</f>
        <v>No, I haven't lived in a dormitory.</v>
      </c>
    </row>
    <row r="291" spans="1:2" ht="18">
      <c r="A291" s="3" t="s">
        <v>4783</v>
      </c>
      <c r="B291" s="3" t="str">
        <f ca="1">IFERROR(__xludf.DUMMYFUNCTION("IFERROR(GOOGLETRANSLATE(A294,""ko"",""en""),)"),"Have you read any Korean books?")</f>
        <v>Have you read any Korean books?</v>
      </c>
    </row>
    <row r="292" spans="1:2" ht="18">
      <c r="A292" s="3" t="s">
        <v>4784</v>
      </c>
      <c r="B292" s="3" t="str">
        <f ca="1">IFERROR(__xludf.DUMMYFUNCTION("IFERROR(GOOGLETRANSLATE(A295,""ko"",""en""),)"),"I've been there.")</f>
        <v>I've been there.</v>
      </c>
    </row>
    <row r="293" spans="1:2" ht="18">
      <c r="A293" s="3" t="s">
        <v>4786</v>
      </c>
      <c r="B293" s="3" t="str">
        <f ca="1">IFERROR(__xludf.DUMMYFUNCTION("IFERROR(GOOGLETRANSLATE(A296,""ko"",""en""),)"),"I tried singing")</f>
        <v>I tried singing</v>
      </c>
    </row>
    <row r="294" spans="1:2" ht="18">
      <c r="A294" s="3" t="s">
        <v>4787</v>
      </c>
      <c r="B294" s="3" t="str">
        <f ca="1">IFERROR(__xludf.DUMMYFUNCTION("IFERROR(GOOGLETRANSLATE(A297,""ko"",""en""),)"),"I read it")</f>
        <v>I read it</v>
      </c>
    </row>
    <row r="295" spans="1:2" ht="18">
      <c r="A295" s="3" t="s">
        <v>4788</v>
      </c>
      <c r="B295" s="3" t="str">
        <f ca="1">IFERROR(__xludf.DUMMYFUNCTION("IFERROR(GOOGLETRANSLATE(A298,""ko"",""en""),)"),"I've heard of it.")</f>
        <v>I've heard of it.</v>
      </c>
    </row>
    <row r="296" spans="1:2" ht="18">
      <c r="A296" s="3" t="s">
        <v>4789</v>
      </c>
      <c r="B296" s="3" t="str">
        <f ca="1">IFERROR(__xludf.DUMMYFUNCTION("IFERROR(GOOGLETRANSLATE(A299,""ko"",""en""),)"),"I tried it.")</f>
        <v>I tried it.</v>
      </c>
    </row>
    <row r="297" spans="1:2" ht="18">
      <c r="A297" s="3" t="s">
        <v>4770</v>
      </c>
      <c r="B297" s="3" t="str">
        <f ca="1">IFERROR(__xludf.DUMMYFUNCTION("IFERROR(GOOGLETRANSLATE(A300,""ko"",""en""),)"),"I tried drinking it.")</f>
        <v>I tried drinking it.</v>
      </c>
    </row>
    <row r="298" spans="1:2" ht="18">
      <c r="A298" s="3" t="s">
        <v>4765</v>
      </c>
      <c r="B298" s="3" t="str">
        <f ca="1">IFERROR(__xludf.DUMMYFUNCTION("IFERROR(GOOGLETRANSLATE(A301,""ko"",""en""),)"),"I've been here.")</f>
        <v>I've been here.</v>
      </c>
    </row>
    <row r="299" spans="1:2" ht="18">
      <c r="A299" s="3" t="s">
        <v>4790</v>
      </c>
      <c r="B299" s="3" t="str">
        <f ca="1">IFERROR(__xludf.DUMMYFUNCTION("IFERROR(GOOGLETRANSLATE(A302,""ko"",""en""),)"),"I tried it.")</f>
        <v>I tried it.</v>
      </c>
    </row>
    <row r="300" spans="1:2" ht="18">
      <c r="A300" s="3" t="s">
        <v>4788</v>
      </c>
      <c r="B300" s="3" t="str">
        <f ca="1">IFERROR(__xludf.DUMMYFUNCTION("IFERROR(GOOGLETRANSLATE(A303,""ko"",""en""),)"),"I've heard of it.")</f>
        <v>I've heard of it.</v>
      </c>
    </row>
    <row r="301" spans="1:2" ht="18">
      <c r="A301" s="3" t="s">
        <v>4791</v>
      </c>
      <c r="B301" s="3" t="str">
        <f ca="1">IFERROR(__xludf.DUMMYFUNCTION("IFERROR(GOOGLETRANSLATE(A304,""ko"",""en""),)"),"I met her.")</f>
        <v>I met her.</v>
      </c>
    </row>
    <row r="302" spans="1:2" ht="18">
      <c r="A302" s="3" t="s">
        <v>4792</v>
      </c>
      <c r="B302" s="3" t="str">
        <f ca="1">IFERROR(__xludf.DUMMYFUNCTION("IFERROR(GOOGLETRANSLATE(A305,""ko"",""en""),)"),"I saw Salla")</f>
        <v>I saw Salla</v>
      </c>
    </row>
    <row r="303" spans="1:2" ht="18">
      <c r="A303" s="3" t="s">
        <v>4794</v>
      </c>
      <c r="B303" s="3" t="str">
        <f ca="1">IFERROR(__xludf.DUMMYFUNCTION("IFERROR(GOOGLETRANSLATE(A306,""ko"",""en""),)"),"I tried using it.")</f>
        <v>I tried using it.</v>
      </c>
    </row>
    <row r="304" spans="1:2" ht="18">
      <c r="A304" s="3" t="s">
        <v>4795</v>
      </c>
      <c r="B304" s="3" t="str">
        <f ca="1">IFERROR(__xludf.DUMMYFUNCTION("IFERROR(GOOGLETRANSLATE(A307,""ko"",""en""),)"),"I tried riding it.")</f>
        <v>I tried riding it.</v>
      </c>
    </row>
    <row r="305" spans="1:2" ht="18">
      <c r="A305" s="3" t="s">
        <v>4796</v>
      </c>
      <c r="B305" s="3" t="str">
        <f ca="1">IFERROR(__xludf.DUMMYFUNCTION("IFERROR(GOOGLETRANSLATE(A308,""ko"",""en""),)"),"Do you know a restaurant with delicious bibimbap?")</f>
        <v>Do you know a restaurant with delicious bibimbap?</v>
      </c>
    </row>
    <row r="306" spans="1:2" ht="18">
      <c r="A306" s="3" t="s">
        <v>4797</v>
      </c>
      <c r="B306" s="3" t="str">
        <f ca="1">IFERROR(__xludf.DUMMYFUNCTION("IFERROR(GOOGLETRANSLATE(A309,""ko"",""en""),)"),"Hana Restaurant has delicious bibimbap, so you should give it a try.")</f>
        <v>Hana Restaurant has delicious bibimbap, so you should give it a try.</v>
      </c>
    </row>
    <row r="307" spans="1:2" ht="18">
      <c r="A307" s="3" t="s">
        <v>4798</v>
      </c>
      <c r="B307" s="3" t="str">
        <f ca="1">IFERROR(__xludf.DUMMYFUNCTION("IFERROR(GOOGLETRANSLATE(A310,""ko"",""en""),)"),"Please sit down.")</f>
        <v>Please sit down.</v>
      </c>
    </row>
    <row r="308" spans="1:2" ht="18">
      <c r="A308" s="3" t="s">
        <v>4799</v>
      </c>
      <c r="B308" s="3" t="str">
        <f ca="1">IFERROR(__xludf.DUMMYFUNCTION("IFERROR(GOOGLETRANSLATE(A311,""ko"",""en""),)"),"Look it up")</f>
        <v>Look it up</v>
      </c>
    </row>
    <row r="309" spans="1:2" ht="18">
      <c r="A309" s="3" t="s">
        <v>4800</v>
      </c>
      <c r="B309" s="3" t="str">
        <f ca="1">IFERROR(__xludf.DUMMYFUNCTION("IFERROR(GOOGLETRANSLATE(A312,""ko"",""en""),)"),"Go take a look")</f>
        <v>Go take a look</v>
      </c>
    </row>
    <row r="310" spans="1:2" ht="18">
      <c r="A310" s="3" t="s">
        <v>4802</v>
      </c>
      <c r="B310" s="3" t="str">
        <f ca="1">IFERROR(__xludf.DUMMYFUNCTION("IFERROR(GOOGLETRANSLATE(A313,""ko"",""en""),)"),"Meet them")</f>
        <v>Meet them</v>
      </c>
    </row>
    <row r="311" spans="1:2" ht="18">
      <c r="A311" s="3" t="s">
        <v>4803</v>
      </c>
      <c r="B311" s="3" t="str">
        <f ca="1">IFERROR(__xludf.DUMMYFUNCTION("IFERROR(GOOGLETRANSLATE(A314,""ko"",""en""),)"),"Please stand up.")</f>
        <v>Please stand up.</v>
      </c>
    </row>
    <row r="312" spans="1:2" ht="18">
      <c r="A312" s="3" t="s">
        <v>4804</v>
      </c>
      <c r="B312" s="3" t="str">
        <f ca="1">IFERROR(__xludf.DUMMYFUNCTION("IFERROR(GOOGLETRANSLATE(A315,""ko"",""en""),)"),"Try it.")</f>
        <v>Try it.</v>
      </c>
    </row>
    <row r="313" spans="1:2" ht="18">
      <c r="A313" s="3" t="s">
        <v>4805</v>
      </c>
      <c r="B313" s="3" t="str">
        <f ca="1">IFERROR(__xludf.DUMMYFUNCTION("IFERROR(GOOGLETRANSLATE(A316,""ko"",""en""),)"),"Go do your work.")</f>
        <v>Go do your work.</v>
      </c>
    </row>
    <row r="314" spans="1:2" ht="18">
      <c r="A314" s="3" t="s">
        <v>4807</v>
      </c>
      <c r="B314" s="3" t="str">
        <f ca="1">IFERROR(__xludf.DUMMYFUNCTION("IFERROR(GOOGLETRANSLATE(A317,""ko"",""en""),)"),"Try drinking it")</f>
        <v>Try drinking it</v>
      </c>
    </row>
    <row r="315" spans="1:2" ht="18">
      <c r="A315" s="3" t="s">
        <v>4808</v>
      </c>
      <c r="B315" s="3" t="str">
        <f ca="1">IFERROR(__xludf.DUMMYFUNCTION("IFERROR(GOOGLETRANSLATE(A318,""ko"",""en""),)"),"Try learning.")</f>
        <v>Try learning.</v>
      </c>
    </row>
    <row r="316" spans="1:2" ht="18">
      <c r="A316" s="3" t="s">
        <v>4809</v>
      </c>
      <c r="B316" s="3" t="str">
        <f ca="1">IFERROR(__xludf.DUMMYFUNCTION("IFERROR(GOOGLETRANSLATE(A319,""ko"",""en""),)"),"Listen to this")</f>
        <v>Listen to this</v>
      </c>
    </row>
    <row r="317" spans="1:2" ht="18">
      <c r="A317" s="3" t="s">
        <v>4810</v>
      </c>
      <c r="B317" s="3" t="str">
        <f ca="1">IFERROR(__xludf.DUMMYFUNCTION("IFERROR(GOOGLETRANSLATE(A320,""ko"",""en""),)"),"Give it a try.")</f>
        <v>Give it a try.</v>
      </c>
    </row>
    <row r="318" spans="1:2" ht="18">
      <c r="A318" s="3" t="s">
        <v>4811</v>
      </c>
      <c r="B318" s="3" t="str">
        <f ca="1">IFERROR(__xludf.DUMMYFUNCTION("IFERROR(GOOGLETRANSLATE(A321,""ko"",""en""),)"),"Take a look")</f>
        <v>Take a look</v>
      </c>
    </row>
    <row r="319" spans="1:2" ht="18">
      <c r="A319" s="3" t="s">
        <v>4813</v>
      </c>
      <c r="B319" s="3" t="str">
        <f ca="1">IFERROR(__xludf.DUMMYFUNCTION("IFERROR(GOOGLETRANSLATE(A322,""ko"",""en""),)"),"Try traveling")</f>
        <v>Try traveling</v>
      </c>
    </row>
    <row r="320" spans="1:2" ht="18">
      <c r="A320" s="3" t="s">
        <v>4814</v>
      </c>
      <c r="B320" s="3" t="str">
        <f ca="1">IFERROR(__xludf.DUMMYFUNCTION("IFERROR(GOOGLETRANSLATE(A323,""ko"",""en""),)"),"Try exercising")</f>
        <v>Try exercising</v>
      </c>
    </row>
    <row r="321" spans="1:2" ht="18">
      <c r="A321" s="3" t="s">
        <v>4815</v>
      </c>
      <c r="B321" s="3" t="str">
        <f ca="1">IFERROR(__xludf.DUMMYFUNCTION("IFERROR(GOOGLETRANSLATE(A324,""ko"",""en""),)"),"Tell me.")</f>
        <v>Tell me.</v>
      </c>
    </row>
    <row r="322" spans="1:2" ht="18">
      <c r="A322" s="3" t="s">
        <v>4816</v>
      </c>
      <c r="B322" s="3" t="str">
        <f ca="1">IFERROR(__xludf.DUMMYFUNCTION("IFERROR(GOOGLETRANSLATE(A325,""ko"",""en""),)"),"Open it up.")</f>
        <v>Open it up.</v>
      </c>
    </row>
    <row r="323" spans="1:2" ht="18">
      <c r="A323" s="3" t="s">
        <v>4818</v>
      </c>
      <c r="B323" s="3" t="str">
        <f ca="1">IFERROR(__xludf.DUMMYFUNCTION("IFERROR(GOOGLETRANSLATE(A326,""ko"",""en""),)"),"Try walking.")</f>
        <v>Try walking.</v>
      </c>
    </row>
    <row r="324" spans="1:2" ht="18">
      <c r="A324" s="3" t="s">
        <v>4819</v>
      </c>
      <c r="B324" s="3" t="str">
        <f ca="1">IFERROR(__xludf.DUMMYFUNCTION("IFERROR(GOOGLETRANSLATE(A327,""ko"",""en""),)"),"Try closing it.")</f>
        <v>Try closing it.</v>
      </c>
    </row>
    <row r="325" spans="1:2" ht="18">
      <c r="A325" s="3" t="s">
        <v>4820</v>
      </c>
      <c r="B325" s="3" t="str">
        <f ca="1">IFERROR(__xludf.DUMMYFUNCTION("IFERROR(GOOGLETRANSLATE(A328,""ko"",""en""),)"),"Try calling")</f>
        <v>Try calling</v>
      </c>
    </row>
    <row r="326" spans="1:2" ht="18">
      <c r="A326" s="3" t="s">
        <v>4821</v>
      </c>
      <c r="B326" s="3" t="str">
        <f ca="1">IFERROR(__xludf.DUMMYFUNCTION("IFERROR(GOOGLETRANSLATE(A329,""ko"",""en""),)"),"Stir it.")</f>
        <v>Stir it.</v>
      </c>
    </row>
    <row r="327" spans="1:2" ht="18">
      <c r="A327" s="3" t="s">
        <v>4822</v>
      </c>
      <c r="B327" s="3" t="str">
        <f ca="1">IFERROR(__xludf.DUMMYFUNCTION("IFERROR(GOOGLETRANSLATE(A330,""ko"",""en""),)"),"Try it on")</f>
        <v>Try it on</v>
      </c>
    </row>
    <row r="328" spans="1:2" ht="18">
      <c r="A328" s="3" t="s">
        <v>4824</v>
      </c>
      <c r="B328" s="3" t="str">
        <f ca="1">IFERROR(__xludf.DUMMYFUNCTION("IFERROR(GOOGLETRANSLATE(A331,""ko"",""en""),)"),"This book is really interesting, so please give it a read.")</f>
        <v>This book is really interesting, so please give it a read.</v>
      </c>
    </row>
    <row r="329" spans="1:2" ht="18">
      <c r="A329" s="3" t="s">
        <v>4825</v>
      </c>
      <c r="B329" s="3" t="str">
        <f ca="1">IFERROR(__xludf.DUMMYFUNCTION("IFERROR(GOOGLETRANSLATE(A332,""ko"",""en""),)"),"If you feel tight-lipped, try taking a walk.")</f>
        <v>If you feel tight-lipped, try taking a walk.</v>
      </c>
    </row>
    <row r="330" spans="1:2" ht="18">
      <c r="A330" s="3" t="s">
        <v>4826</v>
      </c>
      <c r="B330" s="3" t="str">
        <f ca="1">IFERROR(__xludf.DUMMYFUNCTION("IFERROR(GOOGLETRANSLATE(A333,""ko"",""en""),)"),"This outfit is cool, so please try it on.")</f>
        <v>This outfit is cool, so please try it on.</v>
      </c>
    </row>
    <row r="331" spans="1:2" ht="18">
      <c r="A331" s="3" t="s">
        <v>4827</v>
      </c>
      <c r="B331" s="3" t="str">
        <f ca="1">IFERROR(__xludf.DUMMYFUNCTION("IFERROR(GOOGLETRANSLATE(A334,""ko"",""en""),)"),"This song is really good, so please give it a listen.")</f>
        <v>This song is really good, so please give it a listen.</v>
      </c>
    </row>
    <row r="332" spans="1:2" ht="18">
      <c r="A332" s="3" t="s">
        <v>4829</v>
      </c>
      <c r="B332" s="3" t="str">
        <f ca="1">IFERROR(__xludf.DUMMYFUNCTION("IFERROR(GOOGLETRANSLATE(A335,""ko"",""en""),)"),"That hat is pretty, try it on.")</f>
        <v>That hat is pretty, try it on.</v>
      </c>
    </row>
    <row r="333" spans="1:2" ht="18">
      <c r="A333" s="3" t="s">
        <v>4830</v>
      </c>
      <c r="B333" s="3" t="str">
        <f ca="1">IFERROR(__xludf.DUMMYFUNCTION("IFERROR(GOOGLETRANSLATE(A336,""ko"",""en""),)"),"What should I do on vacation?")</f>
        <v>What should I do on vacation?</v>
      </c>
    </row>
    <row r="334" spans="1:2" ht="18">
      <c r="A334" s="3" t="s">
        <v>4831</v>
      </c>
      <c r="B334" s="3" t="str">
        <f ca="1">IFERROR(__xludf.DUMMYFUNCTION("IFERROR(GOOGLETRANSLATE(A337,""ko"",""en""),)"),"Try traveling abroad. How about Korea?")</f>
        <v>Try traveling abroad. How about Korea?</v>
      </c>
    </row>
    <row r="335" spans="1:2" ht="18">
      <c r="A335" s="3" t="s">
        <v>4832</v>
      </c>
      <c r="B335" s="3" t="str">
        <f ca="1">IFERROR(__xludf.DUMMYFUNCTION("IFERROR(GOOGLETRANSLATE(A338,""ko"",""en""),)"),"I want to learn how to exercise. What kind of exercise would be good?")</f>
        <v>I want to learn how to exercise. What kind of exercise would be good?</v>
      </c>
    </row>
    <row r="336" spans="1:2" ht="18">
      <c r="A336" s="3" t="s">
        <v>4833</v>
      </c>
      <c r="B336" s="3" t="str">
        <f ca="1">IFERROR(__xludf.DUMMYFUNCTION("IFERROR(GOOGLETRANSLATE(A339,""ko"",""en""),)"),"Try learning tennis. It's fun.")</f>
        <v>Try learning tennis. It's fun.</v>
      </c>
    </row>
    <row r="337" spans="1:2" ht="18">
      <c r="A337" s="3" t="s">
        <v>4835</v>
      </c>
      <c r="B337" s="3" t="str">
        <f ca="1">IFERROR(__xludf.DUMMYFUNCTION("IFERROR(GOOGLETRANSLATE(A340,""ko"",""en""),)"),"I'm worried because I can't sleep well these days.")</f>
        <v>I'm worried because I can't sleep well these days.</v>
      </c>
    </row>
    <row r="338" spans="1:2" ht="18">
      <c r="A338" s="3" t="s">
        <v>4836</v>
      </c>
      <c r="B338" s="3" t="str">
        <f ca="1">IFERROR(__xludf.DUMMYFUNCTION("IFERROR(GOOGLETRANSLATE(A341,""ko"",""en""),)"),"Try drinking warm milk before going to sleep.")</f>
        <v>Try drinking warm milk before going to sleep.</v>
      </c>
    </row>
    <row r="339" spans="1:2" ht="18">
      <c r="A339" s="3" t="s">
        <v>4837</v>
      </c>
      <c r="B339" s="3" t="str">
        <f ca="1">IFERROR(__xludf.DUMMYFUNCTION("IFERROR(GOOGLETRANSLATE(A342,""ko"",""en""),)"),"A friend from my hometown is coming to visit Korea. What would be good to do?")</f>
        <v>A friend from my hometown is coming to visit Korea. What would be good to do?</v>
      </c>
    </row>
    <row r="340" spans="1:2" ht="18">
      <c r="A340" s="3" t="s">
        <v>4838</v>
      </c>
      <c r="B340" s="3" t="str">
        <f ca="1">IFERROR(__xludf.DUMMYFUNCTION("IFERROR(GOOGLETRANSLATE(A343,""ko"",""en""),)"),"Try some delicious Korean food.")</f>
        <v>Try some delicious Korean food.</v>
      </c>
    </row>
    <row r="341" spans="1:2" ht="18">
      <c r="A341" s="3" t="s">
        <v>4840</v>
      </c>
      <c r="B341" s="3" t="str">
        <f ca="1">IFERROR(__xludf.DUMMYFUNCTION("IFERROR(GOOGLETRANSLATE(A344,""ko"",""en""),)"),"It's my friend's birthday, what gift should I buy?")</f>
        <v>It's my friend's birthday, what gift should I buy?</v>
      </c>
    </row>
    <row r="342" spans="1:2" ht="18">
      <c r="A342" s="3" t="s">
        <v>4841</v>
      </c>
      <c r="B342" s="3" t="str">
        <f ca="1">IFERROR(__xludf.DUMMYFUNCTION("IFERROR(GOOGLETRANSLATE(A345,""ko"",""en""),)"),"Try buying flowers. Your friend will like them.")</f>
        <v>Try buying flowers. Your friend will like them.</v>
      </c>
    </row>
    <row r="343" spans="1:2" ht="18">
      <c r="A343" s="3" t="s">
        <v>4842</v>
      </c>
      <c r="B343" s="3" t="str">
        <f ca="1">IFERROR(__xludf.DUMMYFUNCTION("IFERROR(GOOGLETRANSLATE(A346,""ko"",""en""),)"),"I want to be good at Korean.")</f>
        <v>I want to be good at Korean.</v>
      </c>
    </row>
    <row r="344" spans="1:2" ht="18">
      <c r="A344" s="3" t="s">
        <v>4843</v>
      </c>
      <c r="B344" s="3" t="str">
        <f ca="1">IFERROR(__xludf.DUMMYFUNCTION("IFERROR(GOOGLETRANSLATE(A347,""ko"",""en""),)"),"Listen to K-POP.")</f>
        <v>Listen to K-POP.</v>
      </c>
    </row>
    <row r="345" spans="1:2" ht="18">
      <c r="A345" s="3" t="s">
        <v>4845</v>
      </c>
      <c r="B345" s="3" t="str">
        <f ca="1">IFERROR(__xludf.DUMMYFUNCTION("IFERROR(GOOGLETRANSLATE(A348,""ko"",""en""),)"),"The tteokbokki is delicious, so please give it a try.")</f>
        <v>The tteokbokki is delicious, so please give it a try.</v>
      </c>
    </row>
    <row r="346" spans="1:2" ht="18">
      <c r="A346" s="3" t="s">
        <v>4846</v>
      </c>
      <c r="B346" s="3" t="str">
        <f ca="1">IFERROR(__xludf.DUMMYFUNCTION("IFERROR(GOOGLETRANSLATE(A349,""ko"",""en""),)"),"Steve Jobs' biography is interesting, so please give it a read.")</f>
        <v>Steve Jobs' biography is interesting, so please give it a read.</v>
      </c>
    </row>
    <row r="347" spans="1:2" ht="18">
      <c r="A347" s="3" t="s">
        <v>4847</v>
      </c>
      <c r="B347" s="3" t="str">
        <f ca="1">IFERROR(__xludf.DUMMYFUNCTION("IFERROR(GOOGLETRANSLATE(A350,""ko"",""en""),)"),"Myeongdong Gyoja is delicious, so you should give it a try.")</f>
        <v>Myeongdong Gyoja is delicious, so you should give it a try.</v>
      </c>
    </row>
    <row r="348" spans="1:2" ht="18">
      <c r="A348" s="5" t="s">
        <v>4848</v>
      </c>
      <c r="B348" s="3" t="str">
        <f ca="1">IFERROR(__xludf.DUMMYFUNCTION("IFERROR(GOOGLETRANSLATE(A351,""ko"",""en""),)"),"Lo-fi girl music is relaxing, so please give it a listen.")</f>
        <v>Lo-fi girl music is relaxing, so please give it a listen.</v>
      </c>
    </row>
    <row r="349" spans="1:2" ht="18">
      <c r="A349" s="3" t="s">
        <v>4850</v>
      </c>
      <c r="B349" s="3" t="str">
        <f ca="1">IFERROR(__xludf.DUMMYFUNCTION("IFERROR(GOOGLETRANSLATE(A352,""ko"",""en""),)"),"Closet Battle is fun, so give it a try.")</f>
        <v>Closet Battle is fun, so give it a try.</v>
      </c>
    </row>
    <row r="350" spans="1:2" ht="18">
      <c r="A350" s="3" t="s">
        <v>4851</v>
      </c>
      <c r="B350" s="3" t="str">
        <f ca="1">IFERROR(__xludf.DUMMYFUNCTION("IFERROR(GOOGLETRANSLATE(A353,""ko"",""en""),)"),"Do you sleep well at night? What is the best thing to do if you can't fall asleep?")</f>
        <v>Do you sleep well at night? What is the best thing to do if you can't fall asleep?</v>
      </c>
    </row>
    <row r="351" spans="1:2" ht="18">
      <c r="A351" s="3" t="s">
        <v>4852</v>
      </c>
      <c r="B351" s="3" t="str">
        <f ca="1">IFERROR(__xludf.DUMMYFUNCTION("IFERROR(GOOGLETRANSLATE(A354,""ko"",""en""),)"),"Jaemin and Mari are talking about their lifestyle habits. What will they talk about?")</f>
        <v>Jaemin and Mari are talking about their lifestyle habits. What will they talk about?</v>
      </c>
    </row>
    <row r="352" spans="1:2" ht="18">
      <c r="A352" s="3" t="s">
        <v>4854</v>
      </c>
      <c r="B352" s="3" t="str">
        <f ca="1">IFERROR(__xludf.DUMMYFUNCTION("IFERROR(GOOGLETRANSLATE(A355,""ko"",""en""),)"),"Mari, I brought this from home. Please have a drink. It's Korean coffee.")</f>
        <v>Mari, I brought this from home. Please have a drink. It's Korean coffee.</v>
      </c>
    </row>
    <row r="353" spans="1:2" ht="18">
      <c r="A353" s="3" t="s">
        <v>4855</v>
      </c>
      <c r="B353" s="3" t="str">
        <f ca="1">IFERROR(__xludf.DUMMYFUNCTION("IFERROR(GOOGLETRANSLATE(A356,""ko"",""en""),)"),"Wow, I was actually feeling tired and wanted to have some coffee, so thank you.")</f>
        <v>Wow, I was actually feeling tired and wanted to have some coffee, so thank you.</v>
      </c>
    </row>
    <row r="354" spans="1:2" ht="18">
      <c r="A354" s="3" t="s">
        <v>4856</v>
      </c>
      <c r="B354" s="3" t="str">
        <f ca="1">IFERROR(__xludf.DUMMYFUNCTION("IFERROR(GOOGLETRANSLATE(A357,""ko"",""en""),)"),"Why? Did you not sleep well last night?")</f>
        <v>Why? Did you not sleep well last night?</v>
      </c>
    </row>
    <row r="355" spans="1:2" ht="18">
      <c r="A355" s="3" t="s">
        <v>4857</v>
      </c>
      <c r="B355" s="3" t="str">
        <f ca="1">IFERROR(__xludf.DUMMYFUNCTION("IFERROR(GOOGLETRANSLATE(A358,""ko"",""en""),)"),"Yes. I want to get a good night's sleep, but I can't fall asleep. Is there any good way to do this?")</f>
        <v>Yes. I want to get a good night's sleep, but I can't fall asleep. Is there any good way to do this?</v>
      </c>
    </row>
    <row r="356" spans="1:2" ht="18">
      <c r="A356" s="3" t="s">
        <v>4859</v>
      </c>
      <c r="B356" s="3" t="str">
        <f ca="1">IFERROR(__xludf.DUMMYFUNCTION("IFERROR(GOOGLETRANSLATE(A359,""ko"",""en""),)"),"Hmm. If you can't sleep, try doing some light exercise during the day.")</f>
        <v>Hmm. If you can't sleep, try doing some light exercise during the day.</v>
      </c>
    </row>
    <row r="357" spans="1:2" ht="18">
      <c r="A357" s="3" t="s">
        <v>4860</v>
      </c>
      <c r="B357" s="3" t="str">
        <f ca="1">IFERROR(__xludf.DUMMYFUNCTION("IFERROR(GOOGLETRANSLATE(A360,""ko"",""en""),)"),"Should I? Thank you.")</f>
        <v>Should I? Thank you.</v>
      </c>
    </row>
    <row r="358" spans="1:2" ht="18">
      <c r="A358" s="3" t="s">
        <v>4861</v>
      </c>
      <c r="B358" s="3" t="str">
        <f ca="1">IFERROR(__xludf.DUMMYFUNCTION("IFERROR(GOOGLETRANSLATE(A361,""ko"",""en""),)"),"Hello. I have a habit I want to change. I enjoy playing games, so I stay up late playing on the computer. As a result, I go to bed late and wake up late.
Because I stay up late, I feel tired and sometimes even arrive late. I want to break this habit of s"&amp;"taying up late; how can I do that?")</f>
        <v>Hello. I have a habit I want to change. I enjoy playing games, so I stay up late playing on the computer. As a result, I go to bed late and wake up late.
Because I stay up late, I feel tired and sometimes even arrive late. I want to break this habit of staying up late; how can I do that?</v>
      </c>
    </row>
    <row r="359" spans="1:2" ht="18">
      <c r="A359" s="3" t="s">
        <v>4862</v>
      </c>
      <c r="B359" s="3" t="str">
        <f ca="1">IFERROR(__xludf.DUMMYFUNCTION("IFERROR(GOOGLETRANSLATE(A362,""ko"",""en""),)"),"Hello. It is difficult to break habits, isn't it? If you want to break the habit of staying up late, it is best to start by avoiding playing video games at night. If you want to play games, try setting a specific time limit. Also, try to move your body a "&amp;"lot during the day. Taking a walk or doing light exercise is good. Then you will be able to go to bed early.")</f>
        <v>Hello. It is difficult to break habits, isn't it? If you want to break the habit of staying up late, it is best to start by avoiding playing video games at night. If you want to play games, try setting a specific time limit. Also, try to move your body a lot during the day. Taking a walk or doing light exercise is good. Then you will be able to go to bed early.</v>
      </c>
    </row>
    <row r="360" spans="1:2" ht="18">
      <c r="A360" s="3" t="s">
        <v>4864</v>
      </c>
      <c r="B360" s="3" t="str">
        <f ca="1">IFERROR(__xludf.DUMMYFUNCTION("IFERROR(GOOGLETRANSLATE(A363,""ko"",""en""),)"),"Anna, I've been exercising lately. What else would be good for my health?")</f>
        <v>Anna, I've been exercising lately. What else would be good for my health?</v>
      </c>
    </row>
    <row r="361" spans="1:2" ht="18">
      <c r="A361" s="3" t="s">
        <v>4865</v>
      </c>
      <c r="B361" s="3" t="str">
        <f ca="1">IFERROR(__xludf.DUMMYFUNCTION("IFERROR(GOOGLETRANSLATE(A364,""ko"",""en""),)"),"Hmm. Try eating a balanced diet. Also, it is best not to use the computer for too long.")</f>
        <v>Hmm. Try eating a balanced diet. Also, it is best not to use the computer for too long.</v>
      </c>
    </row>
    <row r="362" spans="1:2" ht="18">
      <c r="A362" s="3" t="s">
        <v>4866</v>
      </c>
      <c r="B362" s="3" t="str">
        <f ca="1">IFERROR(__xludf.DUMMYFUNCTION("IFERROR(GOOGLETRANSLATE(A365,""ko"",""en""),)"),"That's a good idea, but can you do that every day?")</f>
        <v>That's a good idea, but can you do that every day?</v>
      </c>
    </row>
    <row r="363" spans="1:2" ht="18">
      <c r="A363" s="3" t="s">
        <v>4868</v>
      </c>
      <c r="B363" s="3" t="str">
        <f ca="1">IFERROR(__xludf.DUMMYFUNCTION("IFERROR(GOOGLETRANSLATE(A366,""ko"",""en""),)"),"It won't be easy. But if you do this, you will be able to live a healthy life.")</f>
        <v>It won't be easy. But if you do this, you will be able to live a healthy life.</v>
      </c>
    </row>
    <row r="364" spans="1:2" ht="18">
      <c r="A364" s="3" t="s">
        <v>4869</v>
      </c>
      <c r="B364" s="3" t="str">
        <f ca="1">IFERROR(__xludf.DUMMYFUNCTION("IFERROR(GOOGLETRANSLATE(A367,""ko"",""en""),)"),"I haven't been sleeping well lately. What should I do?")</f>
        <v>I haven't been sleeping well lately. What should I do?</v>
      </c>
    </row>
    <row r="365" spans="1:2" ht="18">
      <c r="A365" s="3" t="s">
        <v>4870</v>
      </c>
      <c r="B365" s="3" t="str">
        <f ca="1">IFERROR(__xludf.DUMMYFUNCTION("IFERROR(GOOGLETRANSLATE(A368,""ko"",""en""),)"),"Try going to bed early and waking up early.")</f>
        <v>Try going to bed early and waking up early.</v>
      </c>
    </row>
    <row r="366" spans="1:2" ht="18">
      <c r="A366" s="3" t="s">
        <v>4871</v>
      </c>
      <c r="B366" s="3" t="str">
        <f ca="1">IFERROR(__xludf.DUMMYFUNCTION("IFERROR(GOOGLETRANSLATE(A369,""ko"",""en""),)"),"And it is better not to eat late-night snacks.")</f>
        <v>And it is better not to eat late-night snacks.</v>
      </c>
    </row>
    <row r="367" spans="1:2" ht="18">
      <c r="A367" s="3" t="s">
        <v>4872</v>
      </c>
      <c r="B367" s="3" t="str">
        <f ca="1">IFERROR(__xludf.DUMMYFUNCTION("IFERROR(GOOGLETRANSLATE(A370,""ko"",""en""),)"),"What should I do for my health?")</f>
        <v>What should I do for my health?</v>
      </c>
    </row>
    <row r="368" spans="1:2" ht="18">
      <c r="A368" s="3" t="s">
        <v>4873</v>
      </c>
      <c r="B368" s="3" t="str">
        <f ca="1">IFERROR(__xludf.DUMMYFUNCTION("IFERROR(GOOGLETRANSLATE(A371,""ko"",""en""),)"),"Try yoga.")</f>
        <v>Try yoga.</v>
      </c>
    </row>
    <row r="369" spans="1:2" ht="18">
      <c r="A369" s="3" t="s">
        <v>4874</v>
      </c>
      <c r="B369" s="3" t="str">
        <f ca="1">IFERROR(__xludf.DUMMYFUNCTION("IFERROR(GOOGLETRANSLATE(A372,""ko"",""en""),)"),"And it is good to eat a lot of vegetables.")</f>
        <v>And it is good to eat a lot of vegetables.</v>
      </c>
    </row>
    <row r="370" spans="1:2" ht="18">
      <c r="A370" s="3"/>
      <c r="B370" s="3" t="str">
        <f ca="1">IFERROR(__xludf.DUMMYFUNCTION("IFERROR(GOOGLETRANSLATE(A373,""ko"",""en""),)"),"")</f>
        <v/>
      </c>
    </row>
    <row r="371" spans="1:2" ht="18">
      <c r="A371" s="3" t="s">
        <v>4875</v>
      </c>
      <c r="B371" s="3" t="str">
        <f ca="1">IFERROR(__xludf.DUMMYFUNCTION("IFERROR(GOOGLETRANSLATE(A374,""ko"",""en""),)"),"Then how about having kalguksu?")</f>
        <v>Then how about having kalguksu?</v>
      </c>
    </row>
    <row r="372" spans="1:2" ht="18">
      <c r="A372" s="3" t="s">
        <v>4876</v>
      </c>
      <c r="B372" s="3" t="str">
        <f ca="1">IFERROR(__xludf.DUMMYFUNCTION("IFERROR(GOOGLETRANSLATE(A374,""ko"",""en""),)"),"Then how about having kalguksu?")</f>
        <v>Then how about having kalguksu?</v>
      </c>
    </row>
    <row r="373" spans="1:2" ht="18">
      <c r="A373" s="3" t="s">
        <v>4877</v>
      </c>
      <c r="B373" s="3" t="str">
        <f ca="1">IFERROR(__xludf.DUMMYFUNCTION("IFERROR(GOOGLETRANSLATE(A376,""ko"",""en""),)"),"How do Koreans eat when they don't want to or can't cook?")</f>
        <v>How do Koreans eat when they don't want to or can't cook?</v>
      </c>
    </row>
    <row r="374" spans="1:2" ht="18">
      <c r="A374" s="3" t="s">
        <v>4455</v>
      </c>
      <c r="B374" s="3" t="str">
        <f ca="1">IFERROR(__xludf.DUMMYFUNCTION("IFERROR(GOOGLETRANSLATE(A377,""ko"",""en""),)"),"Survey")</f>
        <v>Survey</v>
      </c>
    </row>
    <row r="375" spans="1:2" ht="18">
      <c r="A375" s="3" t="s">
        <v>4879</v>
      </c>
      <c r="B375" s="3" t="str">
        <f ca="1">IFERROR(__xludf.DUMMYFUNCTION("IFERROR(GOOGLETRANSLATE(A378,""ko"",""en""),)"),"Go to a restaurant and eat.")</f>
        <v>Go to a restaurant and eat.</v>
      </c>
    </row>
    <row r="376" spans="1:2" ht="18">
      <c r="A376" s="3" t="s">
        <v>4880</v>
      </c>
      <c r="B376" s="3" t="str">
        <f ca="1">IFERROR(__xludf.DUMMYFUNCTION("IFERROR(GOOGLETRANSLATE(A379,""ko"",""en""),)"),"Order by phone or the internet.")</f>
        <v>Order by phone or the internet.</v>
      </c>
    </row>
    <row r="377" spans="1:2" ht="18">
      <c r="A377" s="3" t="s">
        <v>4881</v>
      </c>
      <c r="B377" s="3" t="str">
        <f ca="1">IFERROR(__xludf.DUMMYFUNCTION("IFERROR(GOOGLETRANSLATE(A380,""ko"",""en""),)"),"I buy it at a restaurant and eat it at home.")</f>
        <v>I buy it at a restaurant and eat it at home.</v>
      </c>
    </row>
    <row r="378" spans="1:2" ht="18">
      <c r="A378" s="3" t="s">
        <v>287</v>
      </c>
      <c r="B378" s="3" t="str">
        <f ca="1">IFERROR(__xludf.DUMMYFUNCTION("IFERROR(GOOGLETRANSLATE(A381,""ko"",""en""),)"),"Korean food")</f>
        <v>Korean food</v>
      </c>
    </row>
    <row r="379" spans="1:2" ht="18">
      <c r="A379" s="3" t="s">
        <v>4883</v>
      </c>
      <c r="B379" s="3" t="str">
        <f ca="1">IFERROR(__xludf.DUMMYFUNCTION("IFERROR(GOOGLETRANSLATE(A382,""ko"",""en""),)"),"Chinese food")</f>
        <v>Chinese food</v>
      </c>
    </row>
    <row r="380" spans="1:2" ht="18">
      <c r="A380" s="3" t="s">
        <v>4884</v>
      </c>
      <c r="B380" s="3" t="str">
        <f ca="1">IFERROR(__xludf.DUMMYFUNCTION("IFERROR(GOOGLETRANSLATE(A383,""ko"",""en""),)"),"Japanese food")</f>
        <v>Japanese food</v>
      </c>
    </row>
    <row r="381" spans="1:2" ht="18">
      <c r="A381" s="3" t="s">
        <v>4885</v>
      </c>
      <c r="B381" s="3" t="str">
        <f ca="1">IFERROR(__xludf.DUMMYFUNCTION("IFERROR(GOOGLETRANSLATE(A384,""ko"",""en""),)"),"fast food")</f>
        <v>fast food</v>
      </c>
    </row>
    <row r="382" spans="1:2" ht="18">
      <c r="A382" s="3" t="s">
        <v>4886</v>
      </c>
      <c r="B382" s="3" t="str">
        <f ca="1">IFERROR(__xludf.DUMMYFUNCTION("IFERROR(GOOGLETRANSLATE(A385,""ko"",""en""),)"),"delivery")</f>
        <v>delivery</v>
      </c>
    </row>
    <row r="383" spans="1:2" ht="18">
      <c r="A383" s="3" t="s">
        <v>4888</v>
      </c>
      <c r="B383" s="3" t="str">
        <f ca="1">IFERROR(__xludf.DUMMYFUNCTION("IFERROR(GOOGLETRANSLATE(A386,""ko"",""en""),)"),"Jjajangmyeon")</f>
        <v>Jjajangmyeon</v>
      </c>
    </row>
    <row r="384" spans="1:2" ht="18">
      <c r="A384" s="3" t="s">
        <v>4889</v>
      </c>
      <c r="B384" s="3" t="str">
        <f ca="1">IFERROR(__xludf.DUMMYFUNCTION("IFERROR(GOOGLETRANSLATE(A387,""ko"",""en""),)"),"Jjamppong")</f>
        <v>Jjamppong</v>
      </c>
    </row>
    <row r="385" spans="1:2" ht="18">
      <c r="A385" s="3" t="s">
        <v>4890</v>
      </c>
      <c r="B385" s="3" t="str">
        <f ca="1">IFERROR(__xludf.DUMMYFUNCTION("IFERROR(GOOGLETRANSLATE(A388,""ko"",""en""),)"),"Sweet and sour pork")</f>
        <v>Sweet and sour pork</v>
      </c>
    </row>
    <row r="386" spans="1:2" ht="18">
      <c r="A386" s="3" t="s">
        <v>4891</v>
      </c>
      <c r="B386" s="3" t="str">
        <f ca="1">IFERROR(__xludf.DUMMYFUNCTION("IFERROR(GOOGLETRANSLATE(A389,""ko"",""en""),)"),"Where do you usually eat? What do you often eat there?")</f>
        <v>Where do you usually eat? What do you often eat there?</v>
      </c>
    </row>
    <row r="387" spans="1:2" ht="18">
      <c r="A387" s="3" t="s">
        <v>4892</v>
      </c>
      <c r="B387" s="3" t="str">
        <f ca="1">IFERROR(__xludf.DUMMYFUNCTION("IFERROR(GOOGLETRANSLATE(A390,""ko"",""en""),)"),"I order Japanese food online at work.")</f>
        <v>I order Japanese food online at work.</v>
      </c>
    </row>
    <row r="388" spans="1:2" ht="18">
      <c r="A388" s="3" t="s">
        <v>4894</v>
      </c>
      <c r="B388" s="3" t="str">
        <f ca="1">IFERROR(__xludf.DUMMYFUNCTION("IFERROR(GOOGLETRANSLATE(A391,""ko"",""en""),)"),"McDonald's")</f>
        <v>McDonald's</v>
      </c>
    </row>
    <row r="389" spans="1:2" ht="18">
      <c r="A389" s="3" t="s">
        <v>4895</v>
      </c>
      <c r="B389" s="3" t="str">
        <f ca="1">IFERROR(__xludf.DUMMYFUNCTION("IFERROR(GOOGLETRANSLATE(A392,""ko"",""en""),)"),"McChicken")</f>
        <v>McChicken</v>
      </c>
    </row>
    <row r="390" spans="1:2" ht="18">
      <c r="A390" s="3" t="s">
        <v>4896</v>
      </c>
      <c r="B390" s="3" t="str">
        <f ca="1">IFERROR(__xludf.DUMMYFUNCTION("IFERROR(GOOGLETRANSLATE(A393,""ko"",""en""),)"),"cafe")</f>
        <v>cafe</v>
      </c>
    </row>
    <row r="391" spans="1:2" ht="18">
      <c r="A391" s="3" t="s">
        <v>4897</v>
      </c>
      <c r="B391" s="3" t="str">
        <f ca="1">IFERROR(__xludf.DUMMYFUNCTION("IFERROR(GOOGLETRANSLATE(A394,""ko"",""en""),)"),"Dim sum")</f>
        <v>Dim sum</v>
      </c>
    </row>
    <row r="392" spans="1:2" ht="18">
      <c r="A392" s="3" t="s">
        <v>4899</v>
      </c>
      <c r="B392" s="3" t="str">
        <f ca="1">IFERROR(__xludf.DUMMYFUNCTION("IFERROR(GOOGLETRANSLATE(A395,""ko"",""en""),)"),"Thai restaurant")</f>
        <v>Thai restaurant</v>
      </c>
    </row>
    <row r="393" spans="1:2" ht="18">
      <c r="A393" s="3" t="s">
        <v>4900</v>
      </c>
      <c r="B393" s="3" t="str">
        <f ca="1">IFERROR(__xludf.DUMMYFUNCTION("IFERROR(GOOGLETRANSLATE(A396,""ko"",""en""),)"),"Friends, I'm going to an Australian restaurant to drink wine.")</f>
        <v>Friends, I'm going to an Australian restaurant to drink wine.</v>
      </c>
    </row>
    <row r="394" spans="1:2" ht="18">
      <c r="A394" s="3" t="s">
        <v>4901</v>
      </c>
      <c r="B394" s="3" t="str">
        <f ca="1">IFERROR(__xludf.DUMMYFUNCTION("IFERROR(GOOGLETRANSLATE(A397,""ko"",""en""),)"),"Omakase")</f>
        <v>Omakase</v>
      </c>
    </row>
    <row r="395" spans="1:2" ht="18">
      <c r="A395" s="3" t="s">
        <v>4902</v>
      </c>
      <c r="B395" s="3" t="str">
        <f ca="1">IFERROR(__xludf.DUMMYFUNCTION("IFERROR(GOOGLETRANSLATE(A398,""ko"",""en""),)"),"Imokase")</f>
        <v>Imokase</v>
      </c>
    </row>
    <row r="396" spans="1:2" ht="18">
      <c r="A396" s="3" t="s">
        <v>4903</v>
      </c>
      <c r="B396" s="3" t="str">
        <f ca="1">IFERROR(__xludf.DUMMYFUNCTION("IFERROR(GOOGLETRANSLATE(A399,""ko"",""en""),)"),"tteokguk")</f>
        <v>tteokguk</v>
      </c>
    </row>
    <row r="397" spans="1:2" ht="18">
      <c r="A397" s="3" t="s">
        <v>185</v>
      </c>
      <c r="B397" s="3" t="str">
        <f ca="1">IFERROR(__xludf.DUMMYFUNCTION("IFERROR(GOOGLETRANSLATE(A400,""ko"",""en""),)"),"Seaweed soup")</f>
        <v>Seaweed soup</v>
      </c>
    </row>
    <row r="398" spans="1:2" ht="18">
      <c r="A398" s="3" t="s">
        <v>4905</v>
      </c>
      <c r="B398" s="3" t="str">
        <f ca="1">IFERROR(__xludf.DUMMYFUNCTION("IFERROR(GOOGLETRANSLATE(A401,""ko"",""en""),)"),"soft tofu stew")</f>
        <v>soft tofu stew</v>
      </c>
    </row>
    <row r="399" spans="1:2" ht="18">
      <c r="A399" s="3" t="s">
        <v>4906</v>
      </c>
      <c r="B399" s="3" t="str">
        <f ca="1">IFERROR(__xludf.DUMMYFUNCTION("IFERROR(GOOGLETRANSLATE(A402,""ko"",""en""),)"),"Galbitang")</f>
        <v>Galbitang</v>
      </c>
    </row>
    <row r="400" spans="1:2" ht="18">
      <c r="A400" s="3" t="s">
        <v>4889</v>
      </c>
      <c r="B400" s="3" t="str">
        <f ca="1">IFERROR(__xludf.DUMMYFUNCTION("IFERROR(GOOGLETRANSLATE(A403,""ko"",""en""),)"),"Jjamppong")</f>
        <v>Jjamppong</v>
      </c>
    </row>
    <row r="401" spans="1:2" ht="18">
      <c r="A401" s="3" t="s">
        <v>4888</v>
      </c>
      <c r="B401" s="3" t="str">
        <f ca="1">IFERROR(__xludf.DUMMYFUNCTION("IFERROR(GOOGLETRANSLATE(A404,""ko"",""en""),)"),"Jjajangmyeon")</f>
        <v>Jjajangmyeon</v>
      </c>
    </row>
    <row r="402" spans="1:2" ht="18">
      <c r="A402" s="3" t="s">
        <v>4907</v>
      </c>
      <c r="B402" s="3" t="str">
        <f ca="1">IFERROR(__xludf.DUMMYFUNCTION("IFERROR(GOOGLETRANSLATE(A405,""ko"",""en""),)"),"Kalguksu")</f>
        <v>Kalguksu</v>
      </c>
    </row>
    <row r="403" spans="1:2" ht="18">
      <c r="A403" s="3" t="s">
        <v>4909</v>
      </c>
      <c r="B403" s="3" t="str">
        <f ca="1">IFERROR(__xludf.DUMMYFUNCTION("IFERROR(GOOGLETRANSLATE(A406,""ko"",""en""),)"),"pasta")</f>
        <v>pasta</v>
      </c>
    </row>
    <row r="404" spans="1:2" ht="18">
      <c r="A404" s="3" t="s">
        <v>2332</v>
      </c>
      <c r="B404" s="3" t="str">
        <f ca="1">IFERROR(__xludf.DUMMYFUNCTION("IFERROR(GOOGLETRANSLATE(A407,""ko"",""en""),)"),"noodle")</f>
        <v>noodle</v>
      </c>
    </row>
    <row r="405" spans="1:2" ht="18">
      <c r="A405" s="3" t="s">
        <v>4910</v>
      </c>
      <c r="B405" s="3" t="str">
        <f ca="1">IFERROR(__xludf.DUMMYFUNCTION("IFERROR(GOOGLETRANSLATE(A408,""ko"",""en""),)"),"Look at the menu.")</f>
        <v>Look at the menu.</v>
      </c>
    </row>
    <row r="406" spans="1:2" ht="18">
      <c r="A406" s="3" t="s">
        <v>4911</v>
      </c>
      <c r="B406" s="3" t="str">
        <f ca="1">IFERROR(__xludf.DUMMYFUNCTION("IFERROR(GOOGLETRANSLATE(A409,""ko"",""en""),)"),"Pay with a card.")</f>
        <v>Pay with a card.</v>
      </c>
    </row>
    <row r="407" spans="1:2" ht="18">
      <c r="A407" s="3" t="s">
        <v>4912</v>
      </c>
      <c r="B407" s="3" t="str">
        <f ca="1">IFERROR(__xludf.DUMMYFUNCTION("IFERROR(GOOGLETRANSLATE(A410,""ko"",""en""),)"),"Order food.")</f>
        <v>Order food.</v>
      </c>
    </row>
    <row r="408" spans="1:2" ht="18">
      <c r="A408" s="3" t="s">
        <v>4914</v>
      </c>
      <c r="B408" s="3" t="str">
        <f ca="1">IFERROR(__xludf.DUMMYFUNCTION("IFERROR(GOOGLETRANSLATE(A411,""ko"",""en""),)"),"Let's decide on the menu.")</f>
        <v>Let's decide on the menu.</v>
      </c>
    </row>
    <row r="409" spans="1:2" ht="18">
      <c r="A409" s="3" t="s">
        <v>4915</v>
      </c>
      <c r="B409" s="3" t="str">
        <f ca="1">IFERROR(__xludf.DUMMYFUNCTION("IFERROR(GOOGLETRANSLATE(A412,""ko"",""en""),)"),"Pay in cash.")</f>
        <v>Pay in cash.</v>
      </c>
    </row>
    <row r="410" spans="1:2" ht="18">
      <c r="A410" s="3" t="s">
        <v>4916</v>
      </c>
      <c r="B410" s="3" t="str">
        <f ca="1">IFERROR(__xludf.DUMMYFUNCTION("IFERROR(GOOGLETRANSLATE(A413,""ko"",""en""),)"),"Shall we buy this cake?")</f>
        <v>Shall we buy this cake?</v>
      </c>
    </row>
    <row r="411" spans="1:2" ht="18">
      <c r="A411" s="3" t="s">
        <v>4917</v>
      </c>
      <c r="B411" s="3" t="str">
        <f ca="1">IFERROR(__xludf.DUMMYFUNCTION("IFERROR(GOOGLETRANSLATE(A414,""ko"",""en""),)"),"Yes. I think Marie will like it.")</f>
        <v>Yes. I think Marie will like it.</v>
      </c>
    </row>
    <row r="412" spans="1:2" ht="18">
      <c r="A412" s="3" t="s">
        <v>4919</v>
      </c>
      <c r="B412" s="3" t="str">
        <f ca="1">IFERROR(__xludf.DUMMYFUNCTION("IFERROR(GOOGLETRANSLATE(A415,""ko"",""en""),)"),"It looks like it rained.")</f>
        <v>It looks like it rained.</v>
      </c>
    </row>
    <row r="413" spans="1:2" ht="18">
      <c r="A413" s="3" t="s">
        <v>4920</v>
      </c>
      <c r="B413" s="3" t="str">
        <f ca="1">IFERROR(__xludf.DUMMYFUNCTION("IFERROR(GOOGLETRANSLATE(A416,""ko"",""en""),)"),"It looks like it's raining.")</f>
        <v>It looks like it's raining.</v>
      </c>
    </row>
    <row r="414" spans="1:2" ht="18">
      <c r="A414" s="3" t="s">
        <v>4921</v>
      </c>
      <c r="B414" s="3" t="str">
        <f ca="1">IFERROR(__xludf.DUMMYFUNCTION("IFERROR(GOOGLETRANSLATE(A417,""ko"",""en""),)"),"I think it's going to rain.")</f>
        <v>I think it's going to rain.</v>
      </c>
    </row>
    <row r="415" spans="1:2" ht="18">
      <c r="A415" s="3" t="s">
        <v>4923</v>
      </c>
      <c r="B415" s="3" t="str">
        <f ca="1">IFERROR(__xludf.DUMMYFUNCTION("IFERROR(GOOGLETRANSLATE(A418,""ko"",""en""),)"),"I think I did well on the test.")</f>
        <v>I think I did well on the test.</v>
      </c>
    </row>
    <row r="416" spans="1:2" ht="18">
      <c r="A416" s="3" t="s">
        <v>4924</v>
      </c>
      <c r="B416" s="3" t="str">
        <f ca="1">IFERROR(__xludf.DUMMYFUNCTION("IFERROR(GOOGLETRANSLATE(A419,""ko"",""en""),)"),"I think I ate too much.")</f>
        <v>I think I ate too much.</v>
      </c>
    </row>
    <row r="417" spans="1:2" ht="18">
      <c r="A417" s="3" t="s">
        <v>4925</v>
      </c>
      <c r="B417" s="3" t="str">
        <f ca="1">IFERROR(__xludf.DUMMYFUNCTION("IFERROR(GOOGLETRANSLATE(A420,""ko"",""en""),)"),"It feels like watching television.")</f>
        <v>It feels like watching television.</v>
      </c>
    </row>
    <row r="418" spans="1:2" ht="18">
      <c r="A418" s="3" t="s">
        <v>4926</v>
      </c>
      <c r="B418" s="3" t="str">
        <f ca="1">IFERROR(__xludf.DUMMYFUNCTION("IFERROR(GOOGLETRANSLATE(A421,""ko"",""en""),)"),"It feels like listening to music.")</f>
        <v>It feels like listening to music.</v>
      </c>
    </row>
    <row r="419" spans="1:2" ht="18">
      <c r="A419" s="3" t="s">
        <v>4928</v>
      </c>
      <c r="B419" s="3" t="str">
        <f ca="1">IFERROR(__xludf.DUMMYFUNCTION("IFERROR(GOOGLETRANSLATE(A422,""ko"",""en""),)"),"I think a lot of people will come to the party.")</f>
        <v>I think a lot of people will come to the party.</v>
      </c>
    </row>
    <row r="420" spans="1:2" ht="18">
      <c r="A420" s="3" t="s">
        <v>4929</v>
      </c>
      <c r="B420" s="3" t="str">
        <f ca="1">IFERROR(__xludf.DUMMYFUNCTION("IFERROR(GOOGLETRANSLATE(A423,""ko"",""en""),)"),"I think I'm going to make kimchi.")</f>
        <v>I think I'm going to make kimchi.</v>
      </c>
    </row>
    <row r="421" spans="1:2" ht="18">
      <c r="A421" s="3" t="s">
        <v>4930</v>
      </c>
      <c r="B421" s="3" t="str">
        <f ca="1">IFERROR(__xludf.DUMMYFUNCTION("IFERROR(GOOGLETRANSLATE(A424,""ko"",""en""),)"),"This kimchi seems a bit spicy.")</f>
        <v>This kimchi seems a bit spicy.</v>
      </c>
    </row>
    <row r="422" spans="1:2" ht="18">
      <c r="A422" s="3" t="s">
        <v>4931</v>
      </c>
      <c r="B422" s="3" t="str">
        <f ca="1">IFERROR(__xludf.DUMMYFUNCTION("IFERROR(GOOGLETRANSLATE(A425,""ko"",""en""),)"),"I think this kimchi is going to be a bit spicy.")</f>
        <v>I think this kimchi is going to be a bit spicy.</v>
      </c>
    </row>
    <row r="423" spans="1:2" ht="18">
      <c r="A423" s="3" t="s">
        <v>4932</v>
      </c>
      <c r="B423" s="3" t="str">
        <f ca="1">IFERROR(__xludf.DUMMYFUNCTION("IFERROR(GOOGLETRANSLATE(A426,""ko"",""en""),)"),"I think the weather is nice.")</f>
        <v>I think the weather is nice.</v>
      </c>
    </row>
    <row r="424" spans="1:2" ht="18">
      <c r="A424" s="3" t="s">
        <v>4933</v>
      </c>
      <c r="B424" s="3" t="str">
        <f ca="1">IFERROR(__xludf.DUMMYFUNCTION("IFERROR(GOOGLETRANSLATE(A427,""ko"",""en""),)"),"I think the weather will be nice.")</f>
        <v>I think the weather will be nice.</v>
      </c>
    </row>
    <row r="425" spans="1:2" ht="18">
      <c r="A425" s="3" t="s">
        <v>4934</v>
      </c>
      <c r="B425" s="3" t="str">
        <f ca="1">IFERROR(__xludf.DUMMYFUNCTION("IFERROR(GOOGLETRANSLATE(A428,""ko"",""en""),)"),"I think the skirt is a bit long.")</f>
        <v>I think the skirt is a bit long.</v>
      </c>
    </row>
    <row r="426" spans="1:2" ht="18">
      <c r="A426" s="3" t="s">
        <v>4936</v>
      </c>
      <c r="B426" s="3" t="str">
        <f ca="1">IFERROR(__xludf.DUMMYFUNCTION("IFERROR(GOOGLETRANSLATE(A429,""ko"",""en""),)"),"I think the skirt might be a bit long.")</f>
        <v>I think the skirt might be a bit long.</v>
      </c>
    </row>
    <row r="427" spans="1:2" ht="18">
      <c r="A427" s="3" t="s">
        <v>4937</v>
      </c>
      <c r="B427" s="3" t="str">
        <f ca="1">IFERROR(__xludf.DUMMYFUNCTION("IFERROR(GOOGLETRANSLATE(A430,""ko"",""en""),)"),"I think the shoes are uncomfortable.")</f>
        <v>I think the shoes are uncomfortable.</v>
      </c>
    </row>
    <row r="428" spans="1:2" ht="18">
      <c r="A428" s="3" t="s">
        <v>4938</v>
      </c>
      <c r="B428" s="3" t="str">
        <f ca="1">IFERROR(__xludf.DUMMYFUNCTION("IFERROR(GOOGLETRANSLATE(A431,""ko"",""en""),)"),"I think the shoes will be uncomfortable.")</f>
        <v>I think the shoes will be uncomfortable.</v>
      </c>
    </row>
    <row r="429" spans="1:2" ht="18">
      <c r="A429" s="3" t="s">
        <v>4939</v>
      </c>
      <c r="B429" s="3" t="str">
        <f ca="1">IFERROR(__xludf.DUMMYFUNCTION("IFERROR(GOOGLETRANSLATE(A432,""ko"",""en""),)"),"I think the pants are too big.")</f>
        <v>I think the pants are too big.</v>
      </c>
    </row>
    <row r="430" spans="1:2" ht="18">
      <c r="A430" s="3" t="s">
        <v>4941</v>
      </c>
      <c r="B430" s="3" t="str">
        <f ca="1">IFERROR(__xludf.DUMMYFUNCTION("IFERROR(GOOGLETRANSLATE(A433,""ko"",""en""),)"),"I think the pants will be too big.")</f>
        <v>I think the pants will be too big.</v>
      </c>
    </row>
    <row r="431" spans="1:2" ht="18">
      <c r="A431" s="3" t="s">
        <v>4942</v>
      </c>
      <c r="B431" s="3" t="str">
        <f ca="1">IFERROR(__xludf.DUMMYFUNCTION("IFERROR(GOOGLETRANSLATE(A434,""ko"",""en""),)"),"I think I'm busy.")</f>
        <v>I think I'm busy.</v>
      </c>
    </row>
    <row r="432" spans="1:2" ht="18">
      <c r="A432" s="3" t="s">
        <v>4943</v>
      </c>
      <c r="B432" s="3" t="str">
        <f ca="1">IFERROR(__xludf.DUMMYFUNCTION("IFERROR(GOOGLETRANSLATE(A435,""ko"",""en""),)"),"It feels hot.")</f>
        <v>It feels hot.</v>
      </c>
    </row>
    <row r="433" spans="1:2" ht="18">
      <c r="A433" s="3" t="s">
        <v>4944</v>
      </c>
      <c r="B433" s="3" t="str">
        <f ca="1">IFERROR(__xludf.DUMMYFUNCTION("IFERROR(GOOGLETRANSLATE(A436,""ko"",""en""),)"),"I don't think he's my boyfriend.")</f>
        <v>I don't think he's my boyfriend.</v>
      </c>
    </row>
    <row r="434" spans="1:2" ht="18">
      <c r="A434" s="3" t="s">
        <v>4946</v>
      </c>
      <c r="B434" s="3" t="str">
        <f ca="1">IFERROR(__xludf.DUMMYFUNCTION("IFERROR(GOOGLETRANSLATE(A437,""ko"",""en""),)"),"I think they are Korean.")</f>
        <v>I think they are Korean.</v>
      </c>
    </row>
    <row r="435" spans="1:2" ht="18">
      <c r="A435" s="3" t="s">
        <v>4947</v>
      </c>
      <c r="B435" s="3" t="str">
        <f ca="1">IFERROR(__xludf.DUMMYFUNCTION("IFERROR(GOOGLETRANSLATE(A438,""ko"",""en""),)"),"I don't think it's the teacher.")</f>
        <v>I don't think it's the teacher.</v>
      </c>
    </row>
    <row r="436" spans="1:2" ht="18">
      <c r="A436" s="5" t="s">
        <v>4948</v>
      </c>
      <c r="B436" s="3" t="str">
        <f ca="1">IFERROR(__xludf.DUMMYFUNCTION("IFERROR(GOOGLETRANSLATE(A439,""ko"",""en""),)"),"I think it's a student.")</f>
        <v>I think it's a student.</v>
      </c>
    </row>
    <row r="437" spans="1:2" ht="18">
      <c r="A437" s="3" t="s">
        <v>4949</v>
      </c>
      <c r="B437" s="3" t="str">
        <f ca="1">IFERROR(__xludf.DUMMYFUNCTION("IFERROR(GOOGLETRANSLATE(A440,""ko"",""en""),)"),"I think I'll have time on the weekend.")</f>
        <v>I think I'll have time on the weekend.</v>
      </c>
    </row>
    <row r="438" spans="1:2" ht="18">
      <c r="A438" s="3" t="s">
        <v>4951</v>
      </c>
      <c r="B438" s="3" t="str">
        <f ca="1">IFERROR(__xludf.DUMMYFUNCTION("IFERROR(GOOGLETRANSLATE(A441,""ko"",""en""),)"),"I don't think I'll have time on the weekend.")</f>
        <v>I don't think I'll have time on the weekend.</v>
      </c>
    </row>
    <row r="439" spans="1:2" ht="18">
      <c r="A439" s="3" t="s">
        <v>4952</v>
      </c>
      <c r="B439" s="3" t="str">
        <f ca="1">IFERROR(__xludf.DUMMYFUNCTION("IFERROR(GOOGLETRANSLATE(A442,""ko"",""en""),)"),"Shall we have galbitang?")</f>
        <v>Shall we have galbitang?</v>
      </c>
    </row>
    <row r="440" spans="1:2" ht="18">
      <c r="A440" s="3" t="s">
        <v>4953</v>
      </c>
      <c r="B440" s="3" t="str">
        <f ca="1">IFERROR(__xludf.DUMMYFUNCTION("IFERROR(GOOGLETRANSLATE(A443,""ko"",""en""),)"),"Okay, it looks delicious.")</f>
        <v>Okay, it looks delicious.</v>
      </c>
    </row>
    <row r="441" spans="1:2" ht="18">
      <c r="A441" s="3" t="s">
        <v>4955</v>
      </c>
      <c r="B441" s="3" t="str">
        <f ca="1">IFERROR(__xludf.DUMMYFUNCTION("IFERROR(GOOGLETRANSLATE(A444,""ko"",""en""),)"),"I think this movie won't be fun.")</f>
        <v>I think this movie won't be fun.</v>
      </c>
    </row>
    <row r="442" spans="1:2" ht="18">
      <c r="A442" s="3" t="s">
        <v>4957</v>
      </c>
      <c r="B442" s="3" t="str">
        <f ca="1">IFERROR(__xludf.DUMMYFUNCTION("IFERROR(GOOGLETRANSLATE(A445,""ko"",""en""),)"),"Which movie should we watch?")</f>
        <v>Which movie should we watch?</v>
      </c>
    </row>
    <row r="443" spans="1:2" ht="18">
      <c r="A443" s="3" t="s">
        <v>4958</v>
      </c>
      <c r="B443" s="3" t="str">
        <f ca="1">IFERROR(__xludf.DUMMYFUNCTION("IFERROR(GOOGLETRANSLATE(A446,""ko"",""en""),)"),"Let's watch this movie. I think it will be fun.")</f>
        <v>Let's watch this movie. I think it will be fun.</v>
      </c>
    </row>
    <row r="444" spans="1:2" ht="18">
      <c r="A444" s="3" t="s">
        <v>4959</v>
      </c>
      <c r="B444" s="3" t="str">
        <f ca="1">IFERROR(__xludf.DUMMYFUNCTION("IFERROR(GOOGLETRANSLATE(A447,""ko"",""en""),)"),"This bag is pretty, isn't it?")</f>
        <v>This bag is pretty, isn't it?</v>
      </c>
    </row>
    <row r="445" spans="1:2" ht="18">
      <c r="A445" s="3" t="s">
        <v>4960</v>
      </c>
      <c r="B445" s="3" t="str">
        <f ca="1">IFERROR(__xludf.DUMMYFUNCTION("IFERROR(GOOGLETRANSLATE(A448,""ko"",""en""),)"),"Yes. But it seems a bit expensive.")</f>
        <v>Yes. But it seems a bit expensive.</v>
      </c>
    </row>
    <row r="446" spans="1:2" ht="18">
      <c r="A446" s="3" t="s">
        <v>4962</v>
      </c>
      <c r="B446" s="3" t="str">
        <f ca="1">IFERROR(__xludf.DUMMYFUNCTION("IFERROR(GOOGLETRANSLATE(A449,""ko"",""en""),)"),"When is Jaemin coming? Try giving him a call.")</f>
        <v>When is Jaemin coming? Try giving him a call.</v>
      </c>
    </row>
    <row r="447" spans="1:2" ht="18">
      <c r="A447" s="3" t="s">
        <v>4963</v>
      </c>
      <c r="B447" s="3" t="str">
        <f ca="1">IFERROR(__xludf.DUMMYFUNCTION("IFERROR(GOOGLETRANSLATE(A450,""ko"",""en""),)"),"I called but they didn't answer. I think I'll be late again today.")</f>
        <v>I called but they didn't answer. I think I'll be late again today.</v>
      </c>
    </row>
    <row r="448" spans="1:2" ht="18">
      <c r="A448" s="3" t="s">
        <v>4964</v>
      </c>
      <c r="B448" s="3" t="str">
        <f ca="1">IFERROR(__xludf.DUMMYFUNCTION("IFERROR(GOOGLETRANSLATE(A451,""ko"",""en""),)"),"Will it be hot tomorrow too?")</f>
        <v>Will it be hot tomorrow too?</v>
      </c>
    </row>
    <row r="449" spans="1:2" ht="18">
      <c r="A449" s="3" t="s">
        <v>4965</v>
      </c>
      <c r="B449" s="3" t="str">
        <f ca="1">IFERROR(__xludf.DUMMYFUNCTION("IFERROR(GOOGLETRANSLATE(A452,""ko"",""en""),)"),"It's been really hot lately, so I think it'll be hot tomorrow too.")</f>
        <v>It's been really hot lately, so I think it'll be hot tomorrow too.</v>
      </c>
    </row>
    <row r="450" spans="1:2" ht="18">
      <c r="A450" s="3" t="s">
        <v>4968</v>
      </c>
      <c r="B450" s="3" t="str">
        <f ca="1">IFERROR(__xludf.DUMMYFUNCTION("IFERROR(GOOGLETRANSLATE(A453,""ko"",""en""),)"),"What does this word mean?")</f>
        <v>What does this word mean?</v>
      </c>
    </row>
    <row r="451" spans="1:2" ht="18">
      <c r="A451" s="3" t="s">
        <v>4969</v>
      </c>
      <c r="B451" s="3" t="str">
        <f ca="1">IFERROR(__xludf.DUMMYFUNCTION("IFERROR(GOOGLETRANSLATE(A454,""ko"",""en""),)"),"I don't really know either. Ask Anna. I think Anna might know.")</f>
        <v>I don't really know either. Ask Anna. I think Anna might know.</v>
      </c>
    </row>
    <row r="452" spans="1:2" ht="18">
      <c r="A452" s="3" t="s">
        <v>4970</v>
      </c>
      <c r="B452" s="3" t="str">
        <f ca="1">IFERROR(__xludf.DUMMYFUNCTION("IFERROR(GOOGLETRANSLATE(A455,""ko"",""en""),)"),"It seems like it's eating")</f>
        <v>It seems like it's eating</v>
      </c>
    </row>
    <row r="453" spans="1:2" ht="18">
      <c r="A453" s="3" t="s">
        <v>4971</v>
      </c>
      <c r="B453" s="3" t="str">
        <f ca="1">IFERROR(__xludf.DUMMYFUNCTION("IFERROR(GOOGLETRANSLATE(A456,""ko"",""en""),)"),"It seems like it's coming")</f>
        <v>It seems like it's coming</v>
      </c>
    </row>
    <row r="454" spans="1:2" ht="18">
      <c r="A454" s="3" t="s">
        <v>4973</v>
      </c>
      <c r="B454" s="3" t="str">
        <f ca="1">IFERROR(__xludf.DUMMYFUNCTION("IFERROR(GOOGLETRANSLATE(A457,""ko"",""en""),)"),"It sounds like I'm listening.")</f>
        <v>It sounds like I'm listening.</v>
      </c>
    </row>
    <row r="455" spans="1:2" ht="18">
      <c r="A455" s="3" t="s">
        <v>4974</v>
      </c>
      <c r="B455" s="3" t="str">
        <f ca="1">IFERROR(__xludf.DUMMYFUNCTION("IFERROR(GOOGLETRANSLATE(A458,""ko"",""en""),)"),"It seems like they are making it")</f>
        <v>It seems like they are making it</v>
      </c>
    </row>
    <row r="456" spans="1:2" ht="18">
      <c r="A456" s="3" t="s">
        <v>4975</v>
      </c>
      <c r="B456" s="3" t="str">
        <f ca="1">IFERROR(__xludf.DUMMYFUNCTION("IFERROR(GOOGLETRANSLATE(A459,""ko"",""en""),)"),"It seems interesting")</f>
        <v>It seems interesting</v>
      </c>
    </row>
    <row r="457" spans="1:2" ht="18">
      <c r="A457" s="3" t="s">
        <v>4976</v>
      </c>
      <c r="B457" s="3" t="str">
        <f ca="1">IFERROR(__xludf.DUMMYFUNCTION("IFERROR(GOOGLETRANSLATE(A460,""ko"",""en""),)"),"It seems small")</f>
        <v>It seems small</v>
      </c>
    </row>
    <row r="458" spans="1:2" ht="18">
      <c r="A458" s="3" t="s">
        <v>4977</v>
      </c>
      <c r="B458" s="3" t="str">
        <f ca="1">IFERROR(__xludf.DUMMYFUNCTION("IFERROR(GOOGLETRANSLATE(A461,""ko"",""en""),)"),"It seems narrow")</f>
        <v>It seems narrow</v>
      </c>
    </row>
    <row r="459" spans="1:2" ht="18">
      <c r="A459" s="3" t="s">
        <v>4980</v>
      </c>
      <c r="B459" s="3" t="str">
        <f ca="1">IFERROR(__xludf.DUMMYFUNCTION("IFERROR(GOOGLETRANSLATE(A462,""ko"",""en""),)"),"It seems good")</f>
        <v>It seems good</v>
      </c>
    </row>
    <row r="460" spans="1:2" ht="18">
      <c r="A460" s="3" t="s">
        <v>4981</v>
      </c>
      <c r="B460" s="3" t="str">
        <f ca="1">IFERROR(__xludf.DUMMYFUNCTION("IFERROR(GOOGLETRANSLATE(A463,""ko"",""en""),)"),"I think it's too late")</f>
        <v>I think it's too late</v>
      </c>
    </row>
    <row r="461" spans="1:2" ht="18">
      <c r="A461" s="3" t="s">
        <v>4982</v>
      </c>
      <c r="B461" s="3" t="str">
        <f ca="1">IFERROR(__xludf.DUMMYFUNCTION("IFERROR(GOOGLETRANSLATE(A464,""ko"",""en""),)"),"It seems okay")</f>
        <v>It seems okay</v>
      </c>
    </row>
    <row r="462" spans="1:2" ht="18">
      <c r="A462" s="3" t="s">
        <v>4983</v>
      </c>
      <c r="B462" s="3" t="str">
        <f ca="1">IFERROR(__xludf.DUMMYFUNCTION("IFERROR(GOOGLETRANSLATE(A465,""ko"",""en""),)"),"It seems salty")</f>
        <v>It seems salty</v>
      </c>
    </row>
    <row r="463" spans="1:2" ht="18">
      <c r="A463" s="3" t="s">
        <v>4985</v>
      </c>
      <c r="B463" s="3" t="str">
        <f ca="1">IFERROR(__xludf.DUMMYFUNCTION("IFERROR(GOOGLETRANSLATE(A466,""ko"",""en""),)"),"It seems big")</f>
        <v>It seems big</v>
      </c>
    </row>
    <row r="464" spans="1:2" ht="18">
      <c r="A464" s="3" t="s">
        <v>4986</v>
      </c>
      <c r="B464" s="3" t="str">
        <f ca="1">IFERROR(__xludf.DUMMYFUNCTION("IFERROR(GOOGLETRANSLATE(A467,""ko"",""en""),)"),"It seems warm")</f>
        <v>It seems warm</v>
      </c>
    </row>
    <row r="465" spans="1:2" ht="18">
      <c r="A465" s="3" t="s">
        <v>4987</v>
      </c>
      <c r="B465" s="3" t="str">
        <f ca="1">IFERROR(__xludf.DUMMYFUNCTION("IFERROR(GOOGLETRANSLATE(A468,""ko"",""en""),)"),"It seems far away")</f>
        <v>It seems far away</v>
      </c>
    </row>
    <row r="466" spans="1:2" ht="18">
      <c r="A466" s="3" t="s">
        <v>4988</v>
      </c>
      <c r="B466" s="3" t="str">
        <f ca="1">IFERROR(__xludf.DUMMYFUNCTION("IFERROR(GOOGLETRANSLATE(A469,""ko"",""en""),)"),"It seems cold")</f>
        <v>It seems cold</v>
      </c>
    </row>
    <row r="467" spans="1:2" ht="18">
      <c r="A467" s="3" t="s">
        <v>4989</v>
      </c>
      <c r="B467" s="3" t="str">
        <f ca="1">IFERROR(__xludf.DUMMYFUNCTION("IFERROR(GOOGLETRANSLATE(A470,""ko"",""en""),)"),"I think I ate it")</f>
        <v>I think I ate it</v>
      </c>
    </row>
    <row r="468" spans="1:2" ht="18">
      <c r="A468" s="3" t="s">
        <v>4992</v>
      </c>
      <c r="B468" s="3" t="str">
        <f ca="1">IFERROR(__xludf.DUMMYFUNCTION("IFERROR(GOOGLETRANSLATE(A471,""ko"",""en""),)"),"It looks like I took a picture.")</f>
        <v>It looks like I took a picture.</v>
      </c>
    </row>
    <row r="469" spans="1:2" ht="18">
      <c r="A469" s="3" t="s">
        <v>4993</v>
      </c>
      <c r="B469" s="3" t="str">
        <f ca="1">IFERROR(__xludf.DUMMYFUNCTION("IFERROR(GOOGLETRANSLATE(A472,""ko"",""en""),)"),"I think I heard it")</f>
        <v>I think I heard it</v>
      </c>
    </row>
    <row r="470" spans="1:2" ht="18">
      <c r="A470" s="3" t="s">
        <v>4994</v>
      </c>
      <c r="B470" s="3" t="str">
        <f ca="1">IFERROR(__xludf.DUMMYFUNCTION("IFERROR(GOOGLETRANSLATE(A473,""ko"",""en""),)"),"It seems like it has arrived")</f>
        <v>It seems like it has arrived</v>
      </c>
    </row>
    <row r="471" spans="1:2" ht="18">
      <c r="A471" s="3" t="s">
        <v>4995</v>
      </c>
      <c r="B471" s="3" t="str">
        <f ca="1">IFERROR(__xludf.DUMMYFUNCTION("IFERROR(GOOGLETRANSLATE(A474,""ko"",""en""),)"),"It seems like I drank it.")</f>
        <v>It seems like I drank it.</v>
      </c>
    </row>
    <row r="472" spans="1:2" ht="18">
      <c r="A472" s="3" t="s">
        <v>4997</v>
      </c>
      <c r="B472" s="3" t="str">
        <f ca="1">IFERROR(__xludf.DUMMYFUNCTION("IFERROR(GOOGLETRANSLATE(A475,""ko"",""en""),)"),"It looks like it was made.")</f>
        <v>It looks like it was made.</v>
      </c>
    </row>
    <row r="473" spans="1:2" ht="18">
      <c r="A473" s="3" t="s">
        <v>4998</v>
      </c>
      <c r="B473" s="3" t="str">
        <f ca="1">IFERROR(__xludf.DUMMYFUNCTION("IFERROR(GOOGLETRANSLATE(A476,""ko"",""en""),)"),"It looks like it would be delicious")</f>
        <v>It looks like it would be delicious</v>
      </c>
    </row>
    <row r="474" spans="1:2" ht="18">
      <c r="A474" s="3" t="s">
        <v>4999</v>
      </c>
      <c r="B474" s="3" t="str">
        <f ca="1">IFERROR(__xludf.DUMMYFUNCTION("IFERROR(GOOGLETRANSLATE(A477,""ko"",""en""),)"),"I think I'll take a picture")</f>
        <v>I think I'll take a picture</v>
      </c>
    </row>
    <row r="475" spans="1:2" ht="18">
      <c r="A475" s="3" t="s">
        <v>5000</v>
      </c>
      <c r="B475" s="3" t="str">
        <f ca="1">IFERROR(__xludf.DUMMYFUNCTION("IFERROR(GOOGLETRANSLATE(A478,""ko"",""en""),)"),"It looks like it will come")</f>
        <v>It looks like it will come</v>
      </c>
    </row>
    <row r="476" spans="1:2" ht="18">
      <c r="A476" s="3" t="s">
        <v>5001</v>
      </c>
      <c r="B476" s="3" t="str">
        <f ca="1">IFERROR(__xludf.DUMMYFUNCTION("IFERROR(GOOGLETRANSLATE(A479,""ko"",""en""),)"),"It looks like it would be a drink")</f>
        <v>It looks like it would be a drink</v>
      </c>
    </row>
    <row r="477" spans="1:2" ht="18">
      <c r="A477" s="3" t="s">
        <v>5003</v>
      </c>
      <c r="B477" s="3" t="str">
        <f ca="1">IFERROR(__xludf.DUMMYFUNCTION("IFERROR(GOOGLETRANSLATE(A480,""ko"",""en""),)"),"It feels like I walked")</f>
        <v>It feels like I walked</v>
      </c>
    </row>
    <row r="478" spans="1:2" ht="18">
      <c r="A478" s="3" t="s">
        <v>5004</v>
      </c>
      <c r="B478" s="3" t="str">
        <f ca="1">IFERROR(__xludf.DUMMYFUNCTION("IFERROR(GOOGLETRANSLATE(A481,""ko"",""en""),)"),"It seems like it opened")</f>
        <v>It seems like it opened</v>
      </c>
    </row>
    <row r="479" spans="1:2" ht="18">
      <c r="A479" s="3" t="s">
        <v>5005</v>
      </c>
      <c r="B479" s="3" t="str">
        <f ca="1">IFERROR(__xludf.DUMMYFUNCTION("IFERROR(GOOGLETRANSLATE(A482,""ko"",""en""),)"),"Will Suzy come early?")</f>
        <v>Will Suzy come early?</v>
      </c>
    </row>
    <row r="480" spans="1:2" ht="18">
      <c r="A480" s="3" t="s">
        <v>5007</v>
      </c>
      <c r="B480" s="3" t="str">
        <f ca="1">IFERROR(__xludf.DUMMYFUNCTION("IFERROR(GOOGLETRANSLATE(A483,""ko"",""en""),)"),"No. I think I'll be a bit late again today.")</f>
        <v>No. I think I'll be a bit late again today.</v>
      </c>
    </row>
    <row r="481" spans="1:2" ht="18">
      <c r="A481" s="3" t="s">
        <v>5008</v>
      </c>
      <c r="B481" s="3" t="str">
        <f ca="1">IFERROR(__xludf.DUMMYFUNCTION("IFERROR(GOOGLETRANSLATE(A484,""ko"",""en""),)"),"How about this exam?")</f>
        <v>How about this exam?</v>
      </c>
    </row>
    <row r="482" spans="1:2" ht="18">
      <c r="A482" s="3" t="s">
        <v>5009</v>
      </c>
      <c r="B482" s="3" t="str">
        <f ca="1">IFERROR(__xludf.DUMMYFUNCTION("IFERROR(GOOGLETRANSLATE(A485,""ko"",""en""),)"),"I think it will be a bit difficult.")</f>
        <v>I think it will be a bit difficult.</v>
      </c>
    </row>
    <row r="483" spans="1:2" ht="18">
      <c r="A483" s="3" t="s">
        <v>5010</v>
      </c>
      <c r="B483" s="3" t="str">
        <f ca="1">IFERROR(__xludf.DUMMYFUNCTION("IFERROR(GOOGLETRANSLATE(A486,""ko"",""en""),)"),"Marie has been singing continuously since morning.")</f>
        <v>Marie has been singing continuously since morning.</v>
      </c>
    </row>
    <row r="484" spans="1:2" ht="18">
      <c r="A484" s="3" t="s">
        <v>5011</v>
      </c>
      <c r="B484" s="3" t="str">
        <f ca="1">IFERROR(__xludf.DUMMYFUNCTION("IFERROR(GOOGLETRANSLATE(A487,""ko"",""en""),)"),"I think I feel good.")</f>
        <v>I think I feel good.</v>
      </c>
    </row>
    <row r="485" spans="1:2" ht="18">
      <c r="A485" s="3" t="s">
        <v>5013</v>
      </c>
      <c r="B485" s="3" t="str">
        <f ca="1">IFERROR(__xludf.DUMMYFUNCTION("IFERROR(GOOGLETRANSLATE(A488,""ko"",""en""),)"),"Anna is not in the classroom.")</f>
        <v>Anna is not in the classroom.</v>
      </c>
    </row>
    <row r="486" spans="1:2" ht="18">
      <c r="A486" s="3" t="s">
        <v>5014</v>
      </c>
      <c r="B486" s="3" t="str">
        <f ca="1">IFERROR(__xludf.DUMMYFUNCTION("IFERROR(GOOGLETRANSLATE(A489,""ko"",""en""),)"),"I think I went home.")</f>
        <v>I think I went home.</v>
      </c>
    </row>
    <row r="487" spans="1:2" ht="18">
      <c r="A487" s="3"/>
      <c r="B487" s="3" t="str">
        <f ca="1">IFERROR(__xludf.DUMMYFUNCTION("IFERROR(GOOGLETRANSLATE(A490,""ko"",""en""),)"),"")</f>
        <v/>
      </c>
    </row>
    <row r="488" spans="1:2" ht="18">
      <c r="A488" s="3" t="s">
        <v>4875</v>
      </c>
      <c r="B488" s="3" t="str">
        <f ca="1">IFERROR(__xludf.DUMMYFUNCTION("IFERROR(GOOGLETRANSLATE(A491,""ko"",""en""),)"),"Then how about having kalguksu?")</f>
        <v>Then how about having kalguksu?</v>
      </c>
    </row>
    <row r="489" spans="1:2" ht="18">
      <c r="A489" s="3" t="s">
        <v>5016</v>
      </c>
      <c r="B489" s="3" t="str">
        <f ca="1">IFERROR(__xludf.DUMMYFUNCTION("IFERROR(GOOGLETRANSLATE(A492,""ko"",""en""),)"),"I'm too tired today, so I don't want to cook.")</f>
        <v>I'm too tired today, so I don't want to cook.</v>
      </c>
    </row>
    <row r="490" spans="1:2" ht="18">
      <c r="A490" s="3" t="s">
        <v>5017</v>
      </c>
      <c r="B490" s="3" t="str">
        <f ca="1">IFERROR(__xludf.DUMMYFUNCTION("IFERROR(GOOGLETRANSLATE(A493,""ko"",""en""),)"),"Then how about having dinner at a restaurant?")</f>
        <v>Then how about having dinner at a restaurant?</v>
      </c>
    </row>
    <row r="491" spans="1:2" ht="18">
      <c r="A491" s="3" t="s">
        <v>5018</v>
      </c>
      <c r="B491" s="3" t="str">
        <f ca="1">IFERROR(__xludf.DUMMYFUNCTION("IFERROR(GOOGLETRANSLATE(A494,""ko"",""en""),)"),"How about eating?")</f>
        <v>How about eating?</v>
      </c>
    </row>
    <row r="492" spans="1:2" ht="18">
      <c r="A492" s="3" t="s">
        <v>5020</v>
      </c>
      <c r="B492" s="3" t="str">
        <f ca="1">IFERROR(__xludf.DUMMYFUNCTION("IFERROR(GOOGLETRANSLATE(A495,""ko"",""en""),)"),"How about taking a picture?")</f>
        <v>How about taking a picture?</v>
      </c>
    </row>
    <row r="493" spans="1:2" ht="18">
      <c r="A493" s="3" t="s">
        <v>5021</v>
      </c>
      <c r="B493" s="3" t="str">
        <f ca="1">IFERROR(__xludf.DUMMYFUNCTION("IFERROR(GOOGLETRANSLATE(A496,""ko"",""en""),)"),"How about taking a look?")</f>
        <v>How about taking a look?</v>
      </c>
    </row>
    <row r="494" spans="1:2" ht="18">
      <c r="A494" s="3" t="s">
        <v>5022</v>
      </c>
      <c r="B494" s="3" t="str">
        <f ca="1">IFERROR(__xludf.DUMMYFUNCTION("IFERROR(GOOGLETRANSLATE(A497,""ko"",""en""),)"),"How about opening it?")</f>
        <v>How about opening it?</v>
      </c>
    </row>
    <row r="495" spans="1:2" ht="18">
      <c r="A495" s="3" t="s">
        <v>720</v>
      </c>
      <c r="B495" s="3" t="str">
        <f ca="1">IFERROR(__xludf.DUMMYFUNCTION("IFERROR(GOOGLETRANSLATE(A498,""ko"",""en""),)"),"My neck hurts.")</f>
        <v>My neck hurts.</v>
      </c>
    </row>
    <row r="496" spans="1:2" ht="18">
      <c r="A496" s="3" t="s">
        <v>5024</v>
      </c>
      <c r="B496" s="3" t="str">
        <f ca="1">IFERROR(__xludf.DUMMYFUNCTION("IFERROR(GOOGLETRANSLATE(A499,""ko"",""en""),)"),"Then how about drinking some warm water?")</f>
        <v>Then how about drinking some warm water?</v>
      </c>
    </row>
    <row r="497" spans="1:2" ht="18">
      <c r="A497" s="3" t="s">
        <v>5025</v>
      </c>
      <c r="B497" s="3" t="str">
        <f ca="1">IFERROR(__xludf.DUMMYFUNCTION("IFERROR(GOOGLETRANSLATE(A500,""ko"",""en""),)"),"My legs hurt.")</f>
        <v>My legs hurt.</v>
      </c>
    </row>
    <row r="498" spans="1:2" ht="18">
      <c r="A498" s="3" t="s">
        <v>5026</v>
      </c>
      <c r="B498" s="3" t="str">
        <f ca="1">IFERROR(__xludf.DUMMYFUNCTION("IFERROR(GOOGLETRANSLATE(A501,""ko"",""en""),)"),"Why don't you sit down?")</f>
        <v>Why don't you sit down?</v>
      </c>
    </row>
    <row r="499" spans="1:2" ht="18">
      <c r="A499" s="3" t="s">
        <v>5027</v>
      </c>
      <c r="B499" s="3" t="str">
        <f ca="1">IFERROR(__xludf.DUMMYFUNCTION("IFERROR(GOOGLETRANSLATE(A502,""ko"",""en""),)"),"I want to listen to good music.")</f>
        <v>I want to listen to good music.</v>
      </c>
    </row>
    <row r="500" spans="1:2" ht="18">
      <c r="A500" s="3" t="s">
        <v>5029</v>
      </c>
      <c r="B500" s="3" t="str">
        <f ca="1">IFERROR(__xludf.DUMMYFUNCTION("IFERROR(GOOGLETRANSLATE(A503,""ko"",""en""),)"),"Then, how about listening to this music?")</f>
        <v>Then, how about listening to this music?</v>
      </c>
    </row>
    <row r="501" spans="1:2" ht="18">
      <c r="A501" s="3" t="s">
        <v>5030</v>
      </c>
      <c r="B501" s="3" t="str">
        <f ca="1">IFERROR(__xludf.DUMMYFUNCTION("IFERROR(GOOGLETRANSLATE(A504,""ko"",""en""),)"),"It's hot.")</f>
        <v>It's hot.</v>
      </c>
    </row>
    <row r="502" spans="1:2" ht="18">
      <c r="A502" s="3" t="s">
        <v>5031</v>
      </c>
      <c r="B502" s="3" t="str">
        <f ca="1">IFERROR(__xludf.DUMMYFUNCTION("IFERROR(GOOGLETRANSLATE(A505,""ko"",""en""),)"),"Then how about opening the window?")</f>
        <v>Then how about opening the window?</v>
      </c>
    </row>
    <row r="503" spans="1:2" ht="18">
      <c r="A503" s="3" t="s">
        <v>5032</v>
      </c>
      <c r="B503" s="3" t="str">
        <f ca="1">IFERROR(__xludf.DUMMYFUNCTION("IFERROR(GOOGLETRANSLATE(A506,""ko"",""en""),)"),"How about ordering pizza online?")</f>
        <v>How about ordering pizza online?</v>
      </c>
    </row>
    <row r="504" spans="1:2" ht="18">
      <c r="A504" s="3" t="s">
        <v>5034</v>
      </c>
      <c r="B504" s="3" t="str">
        <f ca="1">IFERROR(__xludf.DUMMYFUNCTION("IFERROR(GOOGLETRANSLATE(A507,""ko"",""en""),)"),"How about eating bread and milk?")</f>
        <v>How about eating bread and milk?</v>
      </c>
    </row>
    <row r="505" spans="1:2" ht="18">
      <c r="A505" s="3" t="s">
        <v>5035</v>
      </c>
      <c r="B505" s="3" t="str">
        <f ca="1">IFERROR(__xludf.DUMMYFUNCTION("IFERROR(GOOGLETRANSLATE(A508,""ko"",""en""),)"),"How about calling a restaurant and ordering the food you want to eat?")</f>
        <v>How about calling a restaurant and ordering the food you want to eat?</v>
      </c>
    </row>
    <row r="506" spans="1:2" ht="18">
      <c r="A506" s="3" t="s">
        <v>5036</v>
      </c>
      <c r="B506" s="3" t="str">
        <f ca="1">IFERROR(__xludf.DUMMYFUNCTION("IFERROR(GOOGLETRANSLATE(A509,""ko"",""en""),)"),"I had a party yesterday, so there is a lot of food at home. How about coming over to my place?")</f>
        <v>I had a party yesterday, so there is a lot of food at home. How about coming over to my place?</v>
      </c>
    </row>
    <row r="507" spans="1:2" ht="18">
      <c r="A507" s="3" t="s">
        <v>5038</v>
      </c>
      <c r="B507" s="3" t="str">
        <f ca="1">IFERROR(__xludf.DUMMYFUNCTION("IFERROR(GOOGLETRANSLATE(A510,""ko"",""en""),)"),"If it's hot, why don't you open the window?")</f>
        <v>If it's hot, why don't you open the window?</v>
      </c>
    </row>
    <row r="508" spans="1:2" ht="18">
      <c r="A508" s="3" t="s">
        <v>5039</v>
      </c>
      <c r="B508" s="3" t="str">
        <f ca="1">IFERROR(__xludf.DUMMYFUNCTION("IFERROR(GOOGLETRANSLATE(A511,""ko"",""en""),)"),"If you're bored, how about watching a movie together?")</f>
        <v>If you're bored, how about watching a movie together?</v>
      </c>
    </row>
    <row r="509" spans="1:2" ht="18">
      <c r="A509" s="3" t="s">
        <v>5041</v>
      </c>
      <c r="B509" s="3" t="str">
        <f ca="1">IFERROR(__xludf.DUMMYFUNCTION("IFERROR(GOOGLETRANSLATE(A512,""ko"",""en""),)"),"This bulgogi is really delicious. Why don't you try some?")</f>
        <v>This bulgogi is really delicious. Why don't you try some?</v>
      </c>
    </row>
    <row r="510" spans="1:2" ht="18">
      <c r="A510" s="3" t="s">
        <v>5042</v>
      </c>
      <c r="B510" s="3" t="str">
        <f ca="1">IFERROR(__xludf.DUMMYFUNCTION("IFERROR(GOOGLETRANSLATE(A513,""ko"",""en""),)"),"Those flowers over there are really pretty! How about we take a picture together there?")</f>
        <v>Those flowers over there are really pretty! How about we take a picture together there?</v>
      </c>
    </row>
    <row r="511" spans="1:2" ht="18">
      <c r="A511" s="3" t="s">
        <v>5044</v>
      </c>
      <c r="B511" s="3" t="str">
        <f ca="1">IFERROR(__xludf.DUMMYFUNCTION("IFERROR(GOOGLETRANSLATE(A514,""ko"",""en""),)"),"My legs hurt from walking a lot.")</f>
        <v>My legs hurt from walking a lot.</v>
      </c>
    </row>
    <row r="512" spans="1:2" ht="18">
      <c r="A512" s="3" t="s">
        <v>5045</v>
      </c>
      <c r="B512" s="3" t="str">
        <f ca="1">IFERROR(__xludf.DUMMYFUNCTION("IFERROR(GOOGLETRANSLATE(A515,""ko"",""en""),)"),"Then why don't you sit on that chair?")</f>
        <v>Then why don't you sit on that chair?</v>
      </c>
    </row>
    <row r="513" spans="1:2" ht="18">
      <c r="A513" s="3" t="s">
        <v>5046</v>
      </c>
      <c r="B513" s="3" t="str">
        <f ca="1">IFERROR(__xludf.DUMMYFUNCTION("IFERROR(GOOGLETRANSLATE(A516,""ko"",""en""),)"),"I'm tired because I couldn't sleep yesterday.")</f>
        <v>I'm tired because I couldn't sleep yesterday.</v>
      </c>
    </row>
    <row r="514" spans="1:2" ht="18">
      <c r="A514" s="3" t="s">
        <v>5048</v>
      </c>
      <c r="B514" s="3" t="str">
        <f ca="1">IFERROR(__xludf.DUMMYFUNCTION("IFERROR(GOOGLETRANSLATE(A517,""ko"",""en""),)"),"Then why don't you get some sleep at home?")</f>
        <v>Then why don't you get some sleep at home?</v>
      </c>
    </row>
    <row r="515" spans="1:2" ht="18">
      <c r="A515" s="3" t="s">
        <v>5049</v>
      </c>
      <c r="B515" s="3" t="str">
        <f ca="1">IFERROR(__xludf.DUMMYFUNCTION("IFERROR(GOOGLETRANSLATE(A518,""ko"",""en""),)"),"The stew is too salty.")</f>
        <v>The stew is too salty.</v>
      </c>
    </row>
    <row r="516" spans="1:2" ht="18">
      <c r="A516" s="3" t="s">
        <v>5051</v>
      </c>
      <c r="B516" s="3" t="str">
        <f ca="1">IFERROR(__xludf.DUMMYFUNCTION("IFERROR(GOOGLETRANSLATE(A519,""ko"",""en""),)"),"Then how about adding some water?")</f>
        <v>Then how about adding some water?</v>
      </c>
    </row>
    <row r="517" spans="1:2" ht="18">
      <c r="A517" s="3" t="s">
        <v>3698</v>
      </c>
      <c r="B517" s="3" t="str">
        <f ca="1">IFERROR(__xludf.DUMMYFUNCTION("IFERROR(GOOGLETRANSLATE(A520,""ko"",""en""),)"),"I'm hungry.")</f>
        <v>I'm hungry.</v>
      </c>
    </row>
    <row r="518" spans="1:2" ht="18">
      <c r="A518" s="3" t="s">
        <v>5052</v>
      </c>
      <c r="B518" s="3" t="str">
        <f ca="1">IFERROR(__xludf.DUMMYFUNCTION("IFERROR(GOOGLETRANSLATE(A521,""ko"",""en""),)"),"Then, how about we go have lunch now?")</f>
        <v>Then, how about we go have lunch now?</v>
      </c>
    </row>
    <row r="519" spans="1:2" ht="18">
      <c r="A519" s="3" t="s">
        <v>5053</v>
      </c>
      <c r="B519" s="3" t="str">
        <f ca="1">IFERROR(__xludf.DUMMYFUNCTION("IFERROR(GOOGLETRANSLATE(A522,""ko"",""en""),)"),"How about having some pizza?")</f>
        <v>How about having some pizza?</v>
      </c>
    </row>
    <row r="520" spans="1:2" ht="18">
      <c r="A520" s="3" t="s">
        <v>5054</v>
      </c>
      <c r="B520" s="3" t="str">
        <f ca="1">IFERROR(__xludf.DUMMYFUNCTION("IFERROR(GOOGLETRANSLATE(A523,""ko"",""en""),)"),"How about having some pizza?")</f>
        <v>How about having some pizza?</v>
      </c>
    </row>
    <row r="521" spans="1:2" ht="18">
      <c r="A521" s="3" t="s">
        <v>5055</v>
      </c>
      <c r="B521" s="3" t="str">
        <f ca="1">IFERROR(__xludf.DUMMYFUNCTION("IFERROR(GOOGLETRANSLATE(A524,""ko"",""en""),)"),"I did too much work today.")</f>
        <v>I did too much work today.</v>
      </c>
    </row>
    <row r="522" spans="1:2" ht="18">
      <c r="A522" s="3" t="s">
        <v>5056</v>
      </c>
      <c r="B522" s="3" t="str">
        <f ca="1">IFERROR(__xludf.DUMMYFUNCTION("IFERROR(GOOGLETRANSLATE(A525,""ko"",""en""),)"),"Then why don't you take a break?")</f>
        <v>Then why don't you take a break?</v>
      </c>
    </row>
    <row r="523" spans="1:2" ht="18">
      <c r="A523" s="3" t="s">
        <v>5057</v>
      </c>
      <c r="B523" s="3" t="str">
        <f ca="1">IFERROR(__xludf.DUMMYFUNCTION("IFERROR(GOOGLETRANSLATE(A526,""ko"",""en""),)"),"The food is too salty.")</f>
        <v>The food is too salty.</v>
      </c>
    </row>
    <row r="524" spans="1:2" ht="18">
      <c r="A524" s="3" t="s">
        <v>5051</v>
      </c>
      <c r="B524" s="3" t="str">
        <f ca="1">IFERROR(__xludf.DUMMYFUNCTION("IFERROR(GOOGLETRANSLATE(A527,""ko"",""en""),)"),"Then how about adding some water?")</f>
        <v>Then how about adding some water?</v>
      </c>
    </row>
    <row r="525" spans="1:2" ht="18">
      <c r="A525" s="3" t="s">
        <v>5058</v>
      </c>
      <c r="B525" s="3" t="str">
        <f ca="1">IFERROR(__xludf.DUMMYFUNCTION("IFERROR(GOOGLETRANSLATE(A528,""ko"",""en""),)"),"Korean is difficult.")</f>
        <v>Korean is difficult.</v>
      </c>
    </row>
    <row r="526" spans="1:2" ht="18">
      <c r="A526" s="3" t="s">
        <v>5059</v>
      </c>
      <c r="B526" s="3" t="str">
        <f ca="1">IFERROR(__xludf.DUMMYFUNCTION("IFERROR(GOOGLETRANSLATE(A529,""ko"",""en""),)"),"How about studying with focus every day?")</f>
        <v>How about studying with focus every day?</v>
      </c>
    </row>
    <row r="527" spans="1:2" ht="18">
      <c r="A527" s="3" t="s">
        <v>5061</v>
      </c>
      <c r="B527" s="3" t="str">
        <f ca="1">IFERROR(__xludf.DUMMYFUNCTION("IFERROR(GOOGLETRANSLATE(A530,""ko"",""en""),)"),"How about studying hard every day?")</f>
        <v>How about studying hard every day?</v>
      </c>
    </row>
    <row r="528" spans="1:2" ht="18">
      <c r="A528" s="3" t="s">
        <v>5062</v>
      </c>
      <c r="B528" s="3" t="str">
        <f ca="1">IFERROR(__xludf.DUMMYFUNCTION("IFERROR(GOOGLETRANSLATE(A531,""ko"",""en""),)"),"Then how about increasing your study time?")</f>
        <v>Then how about increasing your study time?</v>
      </c>
    </row>
    <row r="529" spans="1:2" ht="18">
      <c r="A529" s="3" t="s">
        <v>5064</v>
      </c>
      <c r="B529" s="3" t="str">
        <f ca="1">IFERROR(__xludf.DUMMYFUNCTION("IFERROR(GOOGLETRANSLATE(A532,""ko"",""en""),)"),"Then how about focusing and studying hard every day?")</f>
        <v>Then how about focusing and studying hard every day?</v>
      </c>
    </row>
    <row r="530" spans="1:2" ht="18">
      <c r="A530" s="3" t="s">
        <v>5065</v>
      </c>
      <c r="B530" s="3" t="str">
        <f ca="1">IFERROR(__xludf.DUMMYFUNCTION("IFERROR(GOOGLETRANSLATE(A533,""ko"",""en""),)"),"How about studying slowly?")</f>
        <v>How about studying slowly?</v>
      </c>
    </row>
    <row r="531" spans="1:2" ht="18">
      <c r="A531" s="3" t="s">
        <v>5066</v>
      </c>
      <c r="B531" s="3" t="str">
        <f ca="1">IFERROR(__xludf.DUMMYFUNCTION("IFERROR(GOOGLETRANSLATE(A534,""ko"",""en""),)"),"How about we study together?")</f>
        <v>How about we study together?</v>
      </c>
    </row>
    <row r="532" spans="1:2" ht="18">
      <c r="A532" s="3" t="s">
        <v>5067</v>
      </c>
      <c r="B532" s="3" t="str">
        <f ca="1">IFERROR(__xludf.DUMMYFUNCTION("IFERROR(GOOGLETRANSLATE(A535,""ko"",""en""),)"),"How about watching Korean dramas?")</f>
        <v>How about watching Korean dramas?</v>
      </c>
    </row>
    <row r="533" spans="1:2" ht="18">
      <c r="A533" s="3" t="s">
        <v>5069</v>
      </c>
      <c r="B533" s="3" t="str">
        <f ca="1">IFERROR(__xludf.DUMMYFUNCTION("IFERROR(GOOGLETRANSLATE(A536,""ko"",""en""),)"),"How about talking to a Korean friend?")</f>
        <v>How about talking to a Korean friend?</v>
      </c>
    </row>
    <row r="534" spans="1:2" ht="18">
      <c r="A534" s="20" t="s">
        <v>5070</v>
      </c>
      <c r="B534" s="3" t="str">
        <f ca="1">IFERROR(__xludf.DUMMYFUNCTION("IFERROR(GOOGLETRANSLATE(A537,""ko"",""en""),)"),"I always don't have time.")</f>
        <v>I always don't have time.</v>
      </c>
    </row>
    <row r="535" spans="1:2" ht="18">
      <c r="A535" s="3" t="s">
        <v>5071</v>
      </c>
      <c r="B535" s="3" t="str">
        <f ca="1">IFERROR(__xludf.DUMMYFUNCTION("IFERROR(GOOGLETRANSLATE(A538,""ko"",""en""),)"),"Then why don't you go to bed early?")</f>
        <v>Then why don't you go to bed early?</v>
      </c>
    </row>
    <row r="536" spans="1:2" ht="18">
      <c r="A536" s="3" t="s">
        <v>5073</v>
      </c>
      <c r="B536" s="3" t="str">
        <f ca="1">IFERROR(__xludf.DUMMYFUNCTION("IFERROR(GOOGLETRANSLATE(A539,""ko"",""en""),)"),"Then, how about having some wine?")</f>
        <v>Then, how about having some wine?</v>
      </c>
    </row>
    <row r="537" spans="1:2" ht="18">
      <c r="A537" s="3" t="s">
        <v>5074</v>
      </c>
      <c r="B537" s="3" t="str">
        <f ca="1">IFERROR(__xludf.DUMMYFUNCTION("IFERROR(GOOGLETRANSLATE(A540,""ko"",""en""),)"),"Then how about eating some delicious food?")</f>
        <v>Then how about eating some delicious food?</v>
      </c>
    </row>
    <row r="538" spans="1:2" ht="18">
      <c r="A538" s="3" t="s">
        <v>5075</v>
      </c>
      <c r="B538" s="3" t="str">
        <f ca="1">IFERROR(__xludf.DUMMYFUNCTION("IFERROR(GOOGLETRANSLATE(A541,""ko"",""en""),)"),"How about adding more water?")</f>
        <v>How about adding more water?</v>
      </c>
    </row>
    <row r="539" spans="1:2" ht="18">
      <c r="A539" s="3" t="s">
        <v>5076</v>
      </c>
      <c r="B539" s="3" t="str">
        <f ca="1">IFERROR(__xludf.DUMMYFUNCTION("IFERROR(GOOGLETRANSLATE(A542,""ko"",""en""),)"),"I'm so bored today.")</f>
        <v>I'm so bored today.</v>
      </c>
    </row>
    <row r="540" spans="1:2" ht="18">
      <c r="A540" s="3" t="s">
        <v>5077</v>
      </c>
      <c r="B540" s="3" t="str">
        <f ca="1">IFERROR(__xludf.DUMMYFUNCTION("IFERROR(GOOGLETRANSLATE(A543,""ko"",""en""),)"),"How about watching a movie?")</f>
        <v>How about watching a movie?</v>
      </c>
    </row>
    <row r="541" spans="1:2" ht="18">
      <c r="A541" s="3" t="s">
        <v>5078</v>
      </c>
      <c r="B541" s="3" t="str">
        <f ca="1">IFERROR(__xludf.DUMMYFUNCTION("IFERROR(GOOGLETRANSLATE(A544,""ko"",""en""),)"),"The room is messy.")</f>
        <v>The room is messy.</v>
      </c>
    </row>
    <row r="542" spans="1:2" ht="18">
      <c r="A542" s="3" t="s">
        <v>5079</v>
      </c>
      <c r="B542" s="3" t="str">
        <f ca="1">IFERROR(__xludf.DUMMYFUNCTION("IFERROR(GOOGLETRANSLATE(A545,""ko"",""en""),)"),"How about cleaning for ten minutes every day?")</f>
        <v>How about cleaning for ten minutes every day?</v>
      </c>
    </row>
    <row r="543" spans="1:2" ht="18">
      <c r="A543" s="5" t="s">
        <v>5080</v>
      </c>
      <c r="B543" s="3" t="str">
        <f ca="1">IFERROR(__xludf.DUMMYFUNCTION("IFERROR(GOOGLETRANSLATE(A546,""ko"",""en""),)"),"My shoulder hurts.")</f>
        <v>My shoulder hurts.</v>
      </c>
    </row>
    <row r="544" spans="1:2" ht="18">
      <c r="A544" s="5" t="s">
        <v>5081</v>
      </c>
      <c r="B544" s="3" t="str">
        <f ca="1">IFERROR(__xludf.DUMMYFUNCTION("IFERROR(GOOGLETRANSLATE(A547,""ko"",""en""),)"),"My back hurts.")</f>
        <v>My back hurts.</v>
      </c>
    </row>
    <row r="545" spans="1:2" ht="18">
      <c r="A545" s="3" t="s">
        <v>5082</v>
      </c>
      <c r="B545" s="3" t="str">
        <f ca="1">IFERROR(__xludf.DUMMYFUNCTION("IFERROR(GOOGLETRANSLATE(A548,""ko"",""en""),)"),"How about taking some medicine?")</f>
        <v>How about taking some medicine?</v>
      </c>
    </row>
    <row r="546" spans="1:2" ht="18">
      <c r="A546" s="3" t="s">
        <v>5083</v>
      </c>
      <c r="B546" s="3" t="str">
        <f ca="1">IFERROR(__xludf.DUMMYFUNCTION("IFERROR(GOOGLETRANSLATE(A549,""ko"",""en""),)"),"Jaemin: What are you going to order? Have you decided?")</f>
        <v>Jaemin: What are you going to order? Have you decided?</v>
      </c>
    </row>
    <row r="547" spans="1:2" ht="18">
      <c r="A547" s="3" t="s">
        <v>5084</v>
      </c>
      <c r="B547" s="3" t="str">
        <f ca="1">IFERROR(__xludf.DUMMYFUNCTION("IFERROR(GOOGLETRANSLATE(A550,""ko"",""en""),)"),"Mari: Not yet. What are you going to have Jaemin do?")</f>
        <v>Mari: Not yet. What are you going to have Jaemin do?</v>
      </c>
    </row>
    <row r="548" spans="1:2" ht="18">
      <c r="A548" s="3" t="s">
        <v>5085</v>
      </c>
      <c r="B548" s="3" t="str">
        <f ca="1">IFERROR(__xludf.DUMMYFUNCTION("IFERROR(GOOGLETRANSLATE(A551,""ko"",""en""),)"),"Jaemin: I'm planning to order kimchi jjigae. What about you, Mari?")</f>
        <v>Jaemin: I'm planning to order kimchi jjigae. What about you, Mari?</v>
      </c>
    </row>
    <row r="549" spans="1:2" ht="18">
      <c r="A549" s="3" t="s">
        <v>5087</v>
      </c>
      <c r="B549" s="3" t="str">
        <f ca="1">IFERROR(__xludf.DUMMYFUNCTION("IFERROR(GOOGLETRANSLATE(A552,""ko"",""en""),)"),"Mari: Hmm. I want to eat something that isn't spicy.")</f>
        <v>Mari: Hmm. I want to eat something that isn't spicy.</v>
      </c>
    </row>
    <row r="550" spans="1:2" ht="18">
      <c r="A550" s="3" t="s">
        <v>5088</v>
      </c>
      <c r="B550" s="3" t="str">
        <f ca="1">IFERROR(__xludf.DUMMYFUNCTION("IFERROR(GOOGLETRANSLATE(A553,""ko"",""en""),)"),"Is there any delicious food that isn't spicy?")</f>
        <v>Is there any delicious food that isn't spicy?</v>
      </c>
    </row>
    <row r="551" spans="1:2" ht="18">
      <c r="A551" s="3" t="s">
        <v>5089</v>
      </c>
      <c r="B551" s="3" t="str">
        <f ca="1">IFERROR(__xludf.DUMMYFUNCTION("IFERROR(GOOGLETRANSLATE(A554,""ko"",""en""),)"),"Jaemin: Then how about having kalguksu? Kalguksu won't be very spicy.")</f>
        <v>Jaemin: Then how about having kalguksu? Kalguksu won't be very spicy.</v>
      </c>
    </row>
    <row r="552" spans="1:2" ht="18">
      <c r="A552" s="3" t="s">
        <v>5090</v>
      </c>
      <c r="B552" s="3" t="str">
        <f ca="1">IFERROR(__xludf.DUMMYFUNCTION("IFERROR(GOOGLETRANSLATE(A555,""ko"",""en""),)"),"Mari: Okay. Here you go! Please give me kimchi stew and kalguksu.")</f>
        <v>Mari: Okay. Here you go! Please give me kimchi stew and kalguksu.</v>
      </c>
    </row>
    <row r="553" spans="1:2" ht="18">
      <c r="A553" s="22" t="s">
        <v>5092</v>
      </c>
      <c r="B553" s="3" t="str">
        <f ca="1">IFERROR(__xludf.DUMMYFUNCTION("IFERROR(GOOGLETRANSLATE(A556,""ko"",""en""),)"),"A: What are you going to order? Have you decided?")</f>
        <v>A: What are you going to order? Have you decided?</v>
      </c>
    </row>
    <row r="554" spans="1:2" ht="18">
      <c r="A554" s="23" t="s">
        <v>5093</v>
      </c>
      <c r="B554" s="3" t="str">
        <f ca="1">IFERROR(__xludf.DUMMYFUNCTION("IFERROR(GOOGLETRANSLATE(A557,""ko"",""en""),)"),"B: Yes. I've decided on Jjajangmyeon. What about you, Minho?")</f>
        <v>B: Yes. I've decided on Jjajangmyeon. What about you, Minho?</v>
      </c>
    </row>
    <row r="555" spans="1:2" ht="18">
      <c r="A555" s="22" t="s">
        <v>5095</v>
      </c>
      <c r="B555" s="3" t="str">
        <f ca="1">IFERROR(__xludf.DUMMYFUNCTION("IFERROR(GOOGLETRANSLATE(A558,""ko"",""en""),)"),"A: I think the Jajangmyeon will be delicious, too.")</f>
        <v>A: I think the Jajangmyeon will be delicious, too.</v>
      </c>
    </row>
    <row r="556" spans="1:2" ht="18">
      <c r="A556" s="23" t="s">
        <v>5096</v>
      </c>
      <c r="B556" s="3" t="str">
        <f ca="1">IFERROR(__xludf.DUMMYFUNCTION("IFERROR(GOOGLETRANSLATE(A559,""ko"",""en""),)"),"B: Then, Minho, why don't you have some Jajangmyeon too? Here's the Jajangmyeon.")</f>
        <v>B: Then, Minho, why don't you have some Jajangmyeon too? Here's the Jajangmyeon.</v>
      </c>
    </row>
    <row r="557" spans="1:2" ht="18">
      <c r="A557" s="23" t="s">
        <v>5092</v>
      </c>
      <c r="B557" s="3" t="str">
        <f ca="1">IFERROR(__xludf.DUMMYFUNCTION("IFERROR(GOOGLETRANSLATE(A560,""ko"",""en""),)"),"A: What are you going to order? Have you decided?")</f>
        <v>A: What are you going to order? Have you decided?</v>
      </c>
    </row>
    <row r="558" spans="1:2" ht="18">
      <c r="A558" s="23" t="s">
        <v>5098</v>
      </c>
      <c r="B558" s="3" t="str">
        <f ca="1">IFERROR(__xludf.DUMMYFUNCTION("IFERROR(GOOGLETRANSLATE(A561,""ko"",""en""),)"),"B: Yes. I've decided on spaghetti. What about you, Minho?")</f>
        <v>B: Yes. I've decided on spaghetti. What about you, Minho?</v>
      </c>
    </row>
    <row r="559" spans="1:2" ht="18">
      <c r="A559" s="22" t="s">
        <v>5099</v>
      </c>
      <c r="B559" s="3" t="str">
        <f ca="1">IFERROR(__xludf.DUMMYFUNCTION("IFERROR(GOOGLETRANSLATE(A562,""ko"",""en""),)"),"A: I think spaghetti would be good too.")</f>
        <v>A: I think spaghetti would be good too.</v>
      </c>
    </row>
    <row r="560" spans="1:2" ht="18">
      <c r="A560" s="23" t="s">
        <v>5100</v>
      </c>
      <c r="B560" s="3" t="str">
        <f ca="1">IFERROR(__xludf.DUMMYFUNCTION("IFERROR(GOOGLETRANSLATE(A563,""ko"",""en""),)"),"B: Then, Minho, why don't you order spaghetti too? The spaghetti here is pretty good.")</f>
        <v>B: Then, Minho, why don't you order spaghetti too? The spaghetti here is pretty good.</v>
      </c>
    </row>
    <row r="561" spans="1:2" ht="18">
      <c r="A561" s="3" t="s">
        <v>5101</v>
      </c>
      <c r="B561" s="3" t="str">
        <f ca="1">IFERROR(__xludf.DUMMYFUNCTION("IFERROR(GOOGLETRANSLATE(A564,""ko"",""en""),)"),"A: What are you going to order? Have you decided?
B: Yes. I've decided on bibimbap. What about you, Minho?
A: I think bibimbap would be delicious, too.
B: Then why don't you try bibimbap, Minho? The bibimbap here is really good.")</f>
        <v>A: What are you going to order? Have you decided?
B: Yes. I've decided on bibimbap. What about you, Minho?
A: I think bibimbap would be delicious, too.
B: Then why don't you try bibimbap, Minho? The bibimbap here is really good.</v>
      </c>
    </row>
    <row r="562" spans="1:2" ht="18">
      <c r="A562" s="3" t="s">
        <v>5103</v>
      </c>
      <c r="B562" s="3" t="str">
        <f ca="1">IFERROR(__xludf.DUMMYFUNCTION("IFERROR(GOOGLETRANSLATE(A565,""ko"",""en""),)"),"I have been so busy with work lately that I don't cook myself and usually eat out.
When I do eat at home, I either buy food from a restaurant or order delivery. However, this weekend, we have decided to cook and eat Korean food at my house with friends f"&amp;"rom the Sejong Institute. We will be making doenjang jjigae, which Yujin likes, and tteokbokki, which Anna likes. I think it will be a lot of fun to cook with my friends.")</f>
        <v>I have been so busy with work lately that I don't cook myself and usually eat out.
When I do eat at home, I either buy food from a restaurant or order delivery. However, this weekend, we have decided to cook and eat Korean food at my house with friends from the Sejong Institute. We will be making doenjang jjigae, which Yujin likes, and tteokbokki, which Anna likes. I think it will be a lot of fun to cook with my friends.</v>
      </c>
    </row>
    <row r="563" spans="1:2" ht="18">
      <c r="A563" s="3" t="s">
        <v>4886</v>
      </c>
      <c r="B563" s="3" t="str">
        <f ca="1">IFERROR(__xludf.DUMMYFUNCTION("IFERROR(GOOGLETRANSLATE(A566,""ko"",""en""),)"),"delivery")</f>
        <v>delivery</v>
      </c>
    </row>
    <row r="564" spans="1:2" ht="18">
      <c r="A564" s="3" t="s">
        <v>5105</v>
      </c>
      <c r="B564" s="3" t="str">
        <f ca="1">IFERROR(__xludf.DUMMYFUNCTION("IFERROR(GOOGLETRANSLATE(A567,""ko"",""en""),)"),"boil")</f>
        <v>boil</v>
      </c>
    </row>
    <row r="565" spans="1:2" ht="18">
      <c r="A565" s="3"/>
      <c r="B565" s="3" t="str">
        <f ca="1">IFERROR(__xludf.DUMMYFUNCTION("IFERROR(GOOGLETRANSLATE(A568,""ko"",""en""),)"),"")</f>
        <v/>
      </c>
    </row>
    <row r="566" spans="1:2" ht="18">
      <c r="A566" s="3" t="s">
        <v>5106</v>
      </c>
      <c r="B566" s="3" t="str">
        <f ca="1">IFERROR(__xludf.DUMMYFUNCTION("IFERROR(GOOGLETRANSLATE(A569,""ko"",""en""),)"),"Then, how about those black shoes?")</f>
        <v>Then, how about those black shoes?</v>
      </c>
    </row>
    <row r="567" spans="1:2" ht="18">
      <c r="A567" s="3" t="s">
        <v>1530</v>
      </c>
      <c r="B567" s="3" t="str">
        <f ca="1">IFERROR(__xludf.DUMMYFUNCTION("IFERROR(GOOGLETRANSLATE(A570,""ko"",""en""),)"),"red")</f>
        <v>red</v>
      </c>
    </row>
    <row r="568" spans="1:2" ht="18">
      <c r="A568" s="3" t="s">
        <v>1557</v>
      </c>
      <c r="B568" s="3" t="str">
        <f ca="1">IFERROR(__xludf.DUMMYFUNCTION("IFERROR(GOOGLETRANSLATE(A571,""ko"",""en""),)"),"blue")</f>
        <v>blue</v>
      </c>
    </row>
    <row r="569" spans="1:2" ht="18">
      <c r="A569" s="3" t="s">
        <v>1537</v>
      </c>
      <c r="B569" s="3" t="str">
        <f ca="1">IFERROR(__xludf.DUMMYFUNCTION("IFERROR(GOOGLETRANSLATE(A572,""ko"",""en""),)"),"yellow")</f>
        <v>yellow</v>
      </c>
    </row>
    <row r="570" spans="1:2" ht="18">
      <c r="A570" s="3" t="s">
        <v>1533</v>
      </c>
      <c r="B570" s="3" t="str">
        <f ca="1">IFERROR(__xludf.DUMMYFUNCTION("IFERROR(GOOGLETRANSLATE(A573,""ko"",""en""),)"),"orange")</f>
        <v>orange</v>
      </c>
    </row>
    <row r="571" spans="1:2" ht="18">
      <c r="A571" s="3" t="s">
        <v>1549</v>
      </c>
      <c r="B571" s="3" t="str">
        <f ca="1">IFERROR(__xludf.DUMMYFUNCTION("IFERROR(GOOGLETRANSLATE(A574,""ko"",""en""),)"),"green")</f>
        <v>green</v>
      </c>
    </row>
    <row r="572" spans="1:2" ht="18">
      <c r="A572" s="3" t="s">
        <v>1545</v>
      </c>
      <c r="B572" s="3" t="str">
        <f ca="1">IFERROR(__xludf.DUMMYFUNCTION("IFERROR(GOOGLETRANSLATE(A575,""ko"",""en""),)"),"greenness")</f>
        <v>greenness</v>
      </c>
    </row>
    <row r="573" spans="1:2" ht="18">
      <c r="A573" s="3" t="s">
        <v>1602</v>
      </c>
      <c r="B573" s="3" t="str">
        <f ca="1">IFERROR(__xludf.DUMMYFUNCTION("IFERROR(GOOGLETRANSLATE(A576,""ko"",""en""),)"),"white")</f>
        <v>white</v>
      </c>
    </row>
    <row r="574" spans="1:2" ht="18">
      <c r="A574" s="3" t="s">
        <v>1096</v>
      </c>
      <c r="B574" s="3" t="str">
        <f ca="1">IFERROR(__xludf.DUMMYFUNCTION("IFERROR(GOOGLETRANSLATE(A577,""ko"",""en""),)"),"white")</f>
        <v>white</v>
      </c>
    </row>
    <row r="575" spans="1:2" ht="18">
      <c r="A575" s="3" t="s">
        <v>1586</v>
      </c>
      <c r="B575" s="3" t="str">
        <f ca="1">IFERROR(__xludf.DUMMYFUNCTION("IFERROR(GOOGLETRANSLATE(A578,""ko"",""en""),)"),"black")</f>
        <v>black</v>
      </c>
    </row>
    <row r="576" spans="1:2" ht="18">
      <c r="A576" s="3" t="s">
        <v>1592</v>
      </c>
      <c r="B576" s="3" t="str">
        <f ca="1">IFERROR(__xludf.DUMMYFUNCTION("IFERROR(GOOGLETRANSLATE(A579,""ko"",""en""),)"),"black")</f>
        <v>black</v>
      </c>
    </row>
    <row r="577" spans="1:2" ht="18">
      <c r="A577" s="3" t="s">
        <v>1554</v>
      </c>
      <c r="B577" s="3" t="str">
        <f ca="1">IFERROR(__xludf.DUMMYFUNCTION("IFERROR(GOOGLETRANSLATE(A580,""ko"",""en""),)"),"sky blue")</f>
        <v>sky blue</v>
      </c>
    </row>
    <row r="578" spans="1:2" ht="18">
      <c r="A578" s="3" t="s">
        <v>1567</v>
      </c>
      <c r="B578" s="3" t="str">
        <f ca="1">IFERROR(__xludf.DUMMYFUNCTION("IFERROR(GOOGLETRANSLATE(A581,""ko"",""en""),)"),"purple")</f>
        <v>purple</v>
      </c>
    </row>
    <row r="579" spans="1:2" ht="18">
      <c r="A579" s="3" t="s">
        <v>5111</v>
      </c>
      <c r="B579" s="3" t="str">
        <f ca="1">IFERROR(__xludf.DUMMYFUNCTION("IFERROR(GOOGLETRANSLATE(A582,""ko"",""en""),)"),"Rose gold")</f>
        <v>Rose gold</v>
      </c>
    </row>
    <row r="580" spans="1:2" ht="18">
      <c r="A580" s="3" t="s">
        <v>5112</v>
      </c>
      <c r="B580" s="3" t="s">
        <v>5113</v>
      </c>
    </row>
    <row r="581" spans="1:2" ht="18">
      <c r="A581" s="3" t="s">
        <v>5114</v>
      </c>
      <c r="B581" s="3" t="str">
        <f ca="1">IFERROR(__xludf.DUMMYFUNCTION("IFERROR(GOOGLETRANSLATE(A584,""ko"",""en""),)"),"I am someone who works hard at everything.")</f>
        <v>I am someone who works hard at everything.</v>
      </c>
    </row>
    <row r="582" spans="1:2" ht="18">
      <c r="A582" s="3" t="s">
        <v>5115</v>
      </c>
      <c r="B582" s="3" t="str">
        <f ca="1">IFERROR(__xludf.DUMMYFUNCTION("IFERROR(GOOGLETRANSLATE(A585,""ko"",""en""),)"),"I am someone who is good at making fun things.")</f>
        <v>I am someone who is good at making fun things.</v>
      </c>
    </row>
    <row r="583" spans="1:2" ht="18">
      <c r="A583" s="3" t="s">
        <v>5118</v>
      </c>
      <c r="B583" s="3" t="str">
        <f ca="1">IFERROR(__xludf.DUMMYFUNCTION("IFERROR(GOOGLETRANSLATE(A586,""ko"",""en""),)"),"He is someone who only speaks the truth.")</f>
        <v>He is someone who only speaks the truth.</v>
      </c>
    </row>
    <row r="584" spans="1:2" ht="18">
      <c r="A584" s="3" t="s">
        <v>5119</v>
      </c>
      <c r="B584" s="3" t="str">
        <f ca="1">IFERROR(__xludf.DUMMYFUNCTION("IFERROR(GOOGLETRANSLATE(A587,""ko"",""en""),)"),"He is a person with many friends.")</f>
        <v>He is a person with many friends.</v>
      </c>
    </row>
    <row r="585" spans="1:2" ht="18">
      <c r="A585" s="3" t="s">
        <v>5120</v>
      </c>
      <c r="B585" s="3" t="str">
        <f ca="1">IFERROR(__xludf.DUMMYFUNCTION("IFERROR(GOOGLETRANSLATE(A588,""ko"",""en""),)"),"He is a person who receives a lot of love.")</f>
        <v>He is a person who receives a lot of love.</v>
      </c>
    </row>
    <row r="586" spans="1:2" ht="18">
      <c r="A586" s="3" t="s">
        <v>5122</v>
      </c>
      <c r="B586" s="3" t="str">
        <f ca="1">IFERROR(__xludf.DUMMYFUNCTION("IFERROR(GOOGLETRANSLATE(A589,""ko"",""en""),)"),"He is a very smart person.")</f>
        <v>He is a very smart person.</v>
      </c>
    </row>
    <row r="587" spans="1:2" ht="18">
      <c r="A587" s="3" t="s">
        <v>5123</v>
      </c>
      <c r="B587" s="3" t="str">
        <f ca="1">IFERROR(__xludf.DUMMYFUNCTION("IFERROR(GOOGLETRANSLATE(A590,""ko"",""en""),)"),"He is a well-dressed and stylish person.")</f>
        <v>He is a well-dressed and stylish person.</v>
      </c>
    </row>
    <row r="588" spans="1:2" ht="18">
      <c r="A588" s="3" t="s">
        <v>5124</v>
      </c>
      <c r="B588" s="3" t="str">
        <f ca="1">IFERROR(__xludf.DUMMYFUNCTION("IFERROR(GOOGLETRANSLATE(A591,""ko"",""en""),)"),"design")</f>
        <v>design</v>
      </c>
    </row>
    <row r="589" spans="1:2" ht="18">
      <c r="A589" s="3" t="s">
        <v>5125</v>
      </c>
      <c r="B589" s="3" t="str">
        <f ca="1">IFERROR(__xludf.DUMMYFUNCTION("IFERROR(GOOGLETRANSLATE(A592,""ko"",""en""),)"),"It is simple")</f>
        <v>It is simple</v>
      </c>
    </row>
    <row r="590" spans="1:2" ht="18">
      <c r="A590" s="3" t="s">
        <v>1431</v>
      </c>
      <c r="B590" s="3" t="str">
        <f ca="1">IFERROR(__xludf.DUMMYFUNCTION("IFERROR(GOOGLETRANSLATE(A593,""ko"",""en""),)"),"price")</f>
        <v>price</v>
      </c>
    </row>
    <row r="591" spans="1:2" ht="18">
      <c r="A591" s="3" t="s">
        <v>5127</v>
      </c>
      <c r="B591" s="3" t="str">
        <f ca="1">IFERROR(__xludf.DUMMYFUNCTION("IFERROR(GOOGLETRANSLATE(A594,""ko"",""en""),)"),"Appropriate")</f>
        <v>Appropriate</v>
      </c>
    </row>
    <row r="592" spans="1:2" ht="18">
      <c r="A592" s="3" t="s">
        <v>5128</v>
      </c>
      <c r="B592" s="3" t="str">
        <f ca="1">IFERROR(__xludf.DUMMYFUNCTION("IFERROR(GOOGLETRANSLATE(A595,""ko"",""en""),)"),"mark")</f>
        <v>mark</v>
      </c>
    </row>
    <row r="593" spans="1:2" ht="18">
      <c r="A593" s="3" t="s">
        <v>5129</v>
      </c>
      <c r="B593" s="3" t="str">
        <f ca="1">IFERROR(__xludf.DUMMYFUNCTION("IFERROR(GOOGLETRANSLATE(A596,""ko"",""en""),)"),"white")</f>
        <v>white</v>
      </c>
    </row>
    <row r="594" spans="1:2" ht="18">
      <c r="A594" s="3" t="s">
        <v>5130</v>
      </c>
      <c r="B594" s="3" t="str">
        <f ca="1">IFERROR(__xludf.DUMMYFUNCTION("IFERROR(GOOGLETRANSLATE(A597,""ko"",""en""),)"),"black")</f>
        <v>black</v>
      </c>
    </row>
    <row r="595" spans="1:2" ht="18">
      <c r="A595" s="3" t="s">
        <v>5131</v>
      </c>
      <c r="B595" s="3" t="str">
        <f ca="1">IFERROR(__xludf.DUMMYFUNCTION("IFERROR(GOOGLETRANSLATE(A598,""ko"",""en""),)"),"blue")</f>
        <v>blue</v>
      </c>
    </row>
    <row r="596" spans="1:2" ht="18">
      <c r="A596" s="3" t="s">
        <v>5133</v>
      </c>
      <c r="B596" s="3" t="str">
        <f ca="1">IFERROR(__xludf.DUMMYFUNCTION("IFERROR(GOOGLETRANSLATE(A599,""ko"",""en""),)"),"red")</f>
        <v>red</v>
      </c>
    </row>
    <row r="597" spans="1:2" ht="18">
      <c r="A597" s="3" t="s">
        <v>5134</v>
      </c>
      <c r="B597" s="3" t="str">
        <f ca="1">IFERROR(__xludf.DUMMYFUNCTION("IFERROR(GOOGLETRANSLATE(A600,""ko"",""en""),)"),"yellow")</f>
        <v>yellow</v>
      </c>
    </row>
    <row r="598" spans="1:2" ht="18">
      <c r="A598" s="3" t="s">
        <v>5130</v>
      </c>
      <c r="B598" s="3" t="str">
        <f ca="1">IFERROR(__xludf.DUMMYFUNCTION("IFERROR(GOOGLETRANSLATE(A601,""ko"",""en""),)"),"black")</f>
        <v>black</v>
      </c>
    </row>
    <row r="599" spans="1:2" ht="18">
      <c r="A599" s="3" t="s">
        <v>5135</v>
      </c>
      <c r="B599" s="3" t="str">
        <f ca="1">IFERROR(__xludf.DUMMYFUNCTION("IFERROR(GOOGLETRANSLATE(A602,""ko"",""en""),)"),"It's black")</f>
        <v>It's black</v>
      </c>
    </row>
    <row r="600" spans="1:2" ht="18">
      <c r="A600" s="3" t="s">
        <v>5131</v>
      </c>
      <c r="B600" s="3" t="str">
        <f ca="1">IFERROR(__xludf.DUMMYFUNCTION("IFERROR(GOOGLETRANSLATE(A603,""ko"",""en""),)"),"blue")</f>
        <v>blue</v>
      </c>
    </row>
    <row r="601" spans="1:2" ht="18">
      <c r="A601" s="3" t="s">
        <v>5137</v>
      </c>
      <c r="B601" s="3" t="str">
        <f ca="1">IFERROR(__xludf.DUMMYFUNCTION("IFERROR(GOOGLETRANSLATE(A604,""ko"",""en""),)"),"It's blue")</f>
        <v>It's blue</v>
      </c>
    </row>
    <row r="602" spans="1:2" ht="18">
      <c r="A602" s="3" t="s">
        <v>5134</v>
      </c>
      <c r="B602" s="3" t="str">
        <f ca="1">IFERROR(__xludf.DUMMYFUNCTION("IFERROR(GOOGLETRANSLATE(A605,""ko"",""en""),)"),"yellow")</f>
        <v>yellow</v>
      </c>
    </row>
    <row r="603" spans="1:2" ht="18">
      <c r="A603" s="3" t="s">
        <v>5138</v>
      </c>
      <c r="B603" s="3" t="str">
        <f ca="1">IFERROR(__xludf.DUMMYFUNCTION("IFERROR(GOOGLETRANSLATE(A606,""ko"",""en""),)"),"Song")</f>
        <v>Song</v>
      </c>
    </row>
    <row r="604" spans="1:2" ht="18">
      <c r="A604" s="3" t="s">
        <v>5139</v>
      </c>
      <c r="B604" s="3" t="str">
        <f ca="1">IFERROR(__xludf.DUMMYFUNCTION("IFERROR(GOOGLETRANSLATE(A607,""ko"",""en""),)"),"white")</f>
        <v>white</v>
      </c>
    </row>
    <row r="605" spans="1:2" ht="18">
      <c r="A605" s="3" t="s">
        <v>5129</v>
      </c>
      <c r="B605" s="3" t="str">
        <f ca="1">IFERROR(__xludf.DUMMYFUNCTION("IFERROR(GOOGLETRANSLATE(A608,""ko"",""en""),)"),"white")</f>
        <v>white</v>
      </c>
    </row>
    <row r="606" spans="1:2" ht="18">
      <c r="A606" s="3" t="s">
        <v>5141</v>
      </c>
      <c r="B606" s="3" t="str">
        <f ca="1">IFERROR(__xludf.DUMMYFUNCTION("IFERROR(GOOGLETRANSLATE(A609,""ko"",""en""),)"),"It's white.")</f>
        <v>It's white.</v>
      </c>
    </row>
    <row r="607" spans="1:2" ht="18">
      <c r="A607" s="3" t="s">
        <v>5133</v>
      </c>
      <c r="B607" s="3" t="str">
        <f ca="1">IFERROR(__xludf.DUMMYFUNCTION("IFERROR(GOOGLETRANSLATE(A610,""ko"",""en""),)"),"red")</f>
        <v>red</v>
      </c>
    </row>
    <row r="608" spans="1:2" ht="18">
      <c r="A608" s="3" t="s">
        <v>5142</v>
      </c>
      <c r="B608" s="3" t="str">
        <f ca="1">IFERROR(__xludf.DUMMYFUNCTION("IFERROR(GOOGLETRANSLATE(A611,""ko"",""en""),)"),"It's red")</f>
        <v>It's red</v>
      </c>
    </row>
    <row r="609" spans="1:2" ht="18">
      <c r="A609" s="3" t="s">
        <v>5143</v>
      </c>
      <c r="B609" s="3" t="str">
        <f ca="1">IFERROR(__xludf.DUMMYFUNCTION("IFERROR(GOOGLETRANSLATE(A612,""ko"",""en""),)"),"Should I buy this?")</f>
        <v>Should I buy this?</v>
      </c>
    </row>
    <row r="610" spans="1:2" ht="18">
      <c r="A610" s="3" t="s">
        <v>5144</v>
      </c>
      <c r="B610" s="3" t="str">
        <f ca="1">IFERROR(__xludf.DUMMYFUNCTION("IFERROR(GOOGLETRANSLATE(A613,""ko"",""en""),)"),"No. It's too big.")</f>
        <v>No. It's too big.</v>
      </c>
    </row>
    <row r="611" spans="1:2" ht="18">
      <c r="A611" s="3" t="s">
        <v>5146</v>
      </c>
      <c r="B611" s="3" t="str">
        <f ca="1">IFERROR(__xludf.DUMMYFUNCTION("IFERROR(GOOGLETRANSLATE(A614,""ko"",""en""),)"),"How about this bag?")</f>
        <v>How about this bag?</v>
      </c>
    </row>
    <row r="612" spans="1:2" ht="18">
      <c r="A612" s="3" t="s">
        <v>5147</v>
      </c>
      <c r="B612" s="3" t="str">
        <f ca="1">IFERROR(__xludf.DUMMYFUNCTION("IFERROR(GOOGLETRANSLATE(A615,""ko"",""en""),)"),"The price is a bit expensive.")</f>
        <v>The price is a bit expensive.</v>
      </c>
    </row>
    <row r="613" spans="1:2" ht="18">
      <c r="A613" s="3" t="s">
        <v>5148</v>
      </c>
      <c r="B613" s="3" t="str">
        <f ca="1">IFERROR(__xludf.DUMMYFUNCTION("IFERROR(GOOGLETRANSLATE(A616,""ko"",""en""),)"),"How is the clothing size?")</f>
        <v>How is the clothing size?</v>
      </c>
    </row>
    <row r="614" spans="1:2" ht="18">
      <c r="A614" s="3" t="s">
        <v>5149</v>
      </c>
      <c r="B614" s="3" t="str">
        <f ca="1">IFERROR(__xludf.DUMMYFUNCTION("IFERROR(GOOGLETRANSLATE(A617,""ko"",""en""),)"),"It's a bit small.")</f>
        <v>It's a bit small.</v>
      </c>
    </row>
    <row r="615" spans="1:2" ht="18">
      <c r="A615" s="3" t="s">
        <v>5151</v>
      </c>
      <c r="B615" s="3" t="str">
        <f ca="1">IFERROR(__xludf.DUMMYFUNCTION("IFERROR(GOOGLETRANSLATE(A618,""ko"",""en""),)"),"How do you like this phone design?")</f>
        <v>How do you like this phone design?</v>
      </c>
    </row>
    <row r="616" spans="1:2" ht="18">
      <c r="A616" s="3" t="s">
        <v>5152</v>
      </c>
      <c r="B616" s="3" t="str">
        <f ca="1">IFERROR(__xludf.DUMMYFUNCTION("IFERROR(GOOGLETRANSLATE(A619,""ko"",""en""),)"),"It's simple but pretty.")</f>
        <v>It's simple but pretty.</v>
      </c>
    </row>
    <row r="617" spans="1:2" ht="18">
      <c r="A617" s="3" t="s">
        <v>5153</v>
      </c>
      <c r="B617" s="3" t="str">
        <f ca="1">IFERROR(__xludf.DUMMYFUNCTION("IFERROR(GOOGLETRANSLATE(A620,""ko"",""en""),)"),"How about these shoes?")</f>
        <v>How about these shoes?</v>
      </c>
    </row>
    <row r="618" spans="1:2" ht="18">
      <c r="A618" s="3" t="s">
        <v>5154</v>
      </c>
      <c r="B618" s="3" t="str">
        <f ca="1">IFERROR(__xludf.DUMMYFUNCTION("IFERROR(GOOGLETRANSLATE(A621,""ko"",""en""),)"),"The design is good and the price is reasonable.")</f>
        <v>The design is good and the price is reasonable.</v>
      </c>
    </row>
    <row r="619" spans="1:2" ht="18">
      <c r="A619" s="3" t="s">
        <v>5155</v>
      </c>
      <c r="B619" s="3" t="str">
        <f ca="1">IFERROR(__xludf.DUMMYFUNCTION("IFERROR(GOOGLETRANSLATE(A622,""ko"",""en""),)"),"This bag is a good size and has a simple design.")</f>
        <v>This bag is a good size and has a simple design.</v>
      </c>
    </row>
    <row r="620" spans="1:2" ht="18">
      <c r="A620" s="3" t="s">
        <v>5157</v>
      </c>
      <c r="B620" s="3" t="str">
        <f ca="1">IFERROR(__xludf.DUMMYFUNCTION("IFERROR(GOOGLETRANSLATE(A623,""ko"",""en""),)"),"This wallet has a simple design. And it is expensive.")</f>
        <v>This wallet has a simple design. And it is expensive.</v>
      </c>
    </row>
    <row r="621" spans="1:2" ht="18">
      <c r="A621" s="3" t="s">
        <v>5158</v>
      </c>
      <c r="B621" s="3" t="str">
        <f ca="1">IFERROR(__xludf.DUMMYFUNCTION("IFERROR(GOOGLETRANSLATE(A624,""ko"",""en""),)"),"This phone is a good size and has a simple design.")</f>
        <v>This phone is a good size and has a simple design.</v>
      </c>
    </row>
    <row r="622" spans="1:2" ht="18">
      <c r="A622" s="3" t="s">
        <v>5159</v>
      </c>
      <c r="B622" s="3" t="str">
        <f ca="1">IFERROR(__xludf.DUMMYFUNCTION("IFERROR(GOOGLETRANSLATE(A625,""ko"",""en""),)"),"This wallet has a simple design. But it is expensive.")</f>
        <v>This wallet has a simple design. But it is expensive.</v>
      </c>
    </row>
    <row r="623" spans="1:2" ht="18">
      <c r="A623" s="5" t="s">
        <v>5160</v>
      </c>
      <c r="B623" s="3" t="str">
        <f ca="1">IFERROR(__xludf.DUMMYFUNCTION("IFERROR(GOOGLETRANSLATE(A626,""ko"",""en""),)"),"What would you like?")</f>
        <v>What would you like?</v>
      </c>
    </row>
    <row r="624" spans="1:2" ht="18">
      <c r="A624" s="3" t="s">
        <v>5161</v>
      </c>
      <c r="B624" s="3" t="str">
        <f ca="1">IFERROR(__xludf.DUMMYFUNCTION("IFERROR(GOOGLETRANSLATE(A627,""ko"",""en""),)"),"Please give me those white pants.")</f>
        <v>Please give me those white pants.</v>
      </c>
    </row>
    <row r="625" spans="1:2" ht="18">
      <c r="A625" s="3" t="s">
        <v>5163</v>
      </c>
      <c r="B625" s="3" t="str">
        <f ca="1">IFERROR(__xludf.DUMMYFUNCTION("IFERROR(GOOGLETRANSLATE(A628,""ko"",""en""),)"),"Mina, your face is red.")</f>
        <v>Mina, your face is red.</v>
      </c>
    </row>
    <row r="626" spans="1:2" ht="18">
      <c r="A626" s="3" t="s">
        <v>5164</v>
      </c>
      <c r="B626" s="3" t="str">
        <f ca="1">IFERROR(__xludf.DUMMYFUNCTION("IFERROR(GOOGLETRANSLATE(A629,""ko"",""en""),)"),"Yes, the classroom is a bit hot.")</f>
        <v>Yes, the classroom is a bit hot.</v>
      </c>
    </row>
    <row r="627" spans="1:2" ht="18">
      <c r="A627" s="3" t="s">
        <v>5165</v>
      </c>
      <c r="B627" s="3" t="str">
        <f ca="1">IFERROR(__xludf.DUMMYFUNCTION("IFERROR(GOOGLETRANSLATE(A630,""ko"",""en""),)"),"Snow White has black hair and white skin.")</f>
        <v>Snow White has black hair and white skin.</v>
      </c>
    </row>
    <row r="628" spans="1:2" ht="18">
      <c r="A628" s="3" t="s">
        <v>5166</v>
      </c>
      <c r="B628" s="3" t="str">
        <f ca="1">IFERROR(__xludf.DUMMYFUNCTION("IFERROR(GOOGLETRANSLATE(A631,""ko"",""en""),)"),"Snow White")</f>
        <v>Snow White</v>
      </c>
    </row>
    <row r="629" spans="1:2" ht="18">
      <c r="A629" s="3" t="s">
        <v>5167</v>
      </c>
      <c r="B629" s="3" t="str">
        <f ca="1">IFERROR(__xludf.DUMMYFUNCTION("IFERROR(GOOGLETRANSLATE(A632,""ko"",""en""),)"),"The Queen gave Snow White a red apple.")</f>
        <v>The Queen gave Snow White a red apple.</v>
      </c>
    </row>
    <row r="630" spans="1:2" ht="18">
      <c r="A630" s="3" t="s">
        <v>5168</v>
      </c>
      <c r="B630" s="3" t="str">
        <f ca="1">IFERROR(__xludf.DUMMYFUNCTION("IFERROR(GOOGLETRANSLATE(A633,""ko"",""en""),)"),"red and")</f>
        <v>red and</v>
      </c>
    </row>
    <row r="631" spans="1:2" ht="18">
      <c r="A631" s="3" t="s">
        <v>5142</v>
      </c>
      <c r="B631" s="3" t="str">
        <f ca="1">IFERROR(__xludf.DUMMYFUNCTION("IFERROR(GOOGLETRANSLATE(A634,""ko"",""en""),)"),"It's red")</f>
        <v>It's red</v>
      </c>
    </row>
    <row r="632" spans="1:2" ht="18">
      <c r="A632" s="3" t="s">
        <v>5170</v>
      </c>
      <c r="B632" s="3" t="str">
        <f ca="1">IFERROR(__xludf.DUMMYFUNCTION("IFERROR(GOOGLETRANSLATE(A635,""ko"",""en""),)"),"red")</f>
        <v>red</v>
      </c>
    </row>
    <row r="633" spans="1:2" ht="18">
      <c r="A633" s="3" t="s">
        <v>5171</v>
      </c>
      <c r="B633" s="3" t="str">
        <f ca="1">IFERROR(__xludf.DUMMYFUNCTION("IFERROR(GOOGLETRANSLATE(A636,""ko"",""en""),)"),"blue and")</f>
        <v>blue and</v>
      </c>
    </row>
    <row r="634" spans="1:2" ht="18">
      <c r="A634" s="3" t="s">
        <v>5137</v>
      </c>
      <c r="B634" s="3" t="str">
        <f ca="1">IFERROR(__xludf.DUMMYFUNCTION("IFERROR(GOOGLETRANSLATE(A637,""ko"",""en""),)"),"It's blue")</f>
        <v>It's blue</v>
      </c>
    </row>
    <row r="635" spans="1:2" ht="18">
      <c r="A635" s="3" t="s">
        <v>5172</v>
      </c>
      <c r="B635" s="3" t="str">
        <f ca="1">IFERROR(__xludf.DUMMYFUNCTION("IFERROR(GOOGLETRANSLATE(A638,""ko"",""en""),)"),"blue")</f>
        <v>blue</v>
      </c>
    </row>
    <row r="636" spans="1:2" ht="18">
      <c r="A636" s="3" t="s">
        <v>5173</v>
      </c>
      <c r="B636" s="3" t="str">
        <f ca="1">IFERROR(__xludf.DUMMYFUNCTION("IFERROR(GOOGLETRANSLATE(A639,""ko"",""en""),)"),"white and")</f>
        <v>white and</v>
      </c>
    </row>
    <row r="637" spans="1:2" ht="18">
      <c r="A637" s="3" t="s">
        <v>5141</v>
      </c>
      <c r="B637" s="3" t="str">
        <f ca="1">IFERROR(__xludf.DUMMYFUNCTION("IFERROR(GOOGLETRANSLATE(A640,""ko"",""en""),)"),"It's white.")</f>
        <v>It's white.</v>
      </c>
    </row>
    <row r="638" spans="1:2" ht="18">
      <c r="A638" s="3" t="s">
        <v>5174</v>
      </c>
      <c r="B638" s="3" t="str">
        <f ca="1">IFERROR(__xludf.DUMMYFUNCTION("IFERROR(GOOGLETRANSLATE(A641,""ko"",""en""),)"),"white")</f>
        <v>white</v>
      </c>
    </row>
    <row r="639" spans="1:2" ht="18">
      <c r="A639" s="3" t="s">
        <v>5175</v>
      </c>
      <c r="B639" s="3" t="str">
        <f ca="1">IFERROR(__xludf.DUMMYFUNCTION("IFERROR(GOOGLETRANSLATE(A642,""ko"",""en""),)"),"Like this")</f>
        <v>Like this</v>
      </c>
    </row>
    <row r="640" spans="1:2" ht="18">
      <c r="A640" s="3" t="s">
        <v>5176</v>
      </c>
      <c r="B640" s="3" t="str">
        <f ca="1">IFERROR(__xludf.DUMMYFUNCTION("IFERROR(GOOGLETRANSLATE(A643,""ko"",""en""),)"),"It's like this.")</f>
        <v>It's like this.</v>
      </c>
    </row>
    <row r="641" spans="1:2" ht="18">
      <c r="A641" s="3" t="s">
        <v>5178</v>
      </c>
      <c r="B641" s="3" t="str">
        <f ca="1">IFERROR(__xludf.DUMMYFUNCTION("IFERROR(GOOGLETRANSLATE(A644,""ko"",""en""),)"),"this")</f>
        <v>this</v>
      </c>
    </row>
    <row r="642" spans="1:2" ht="18">
      <c r="A642" s="3" t="s">
        <v>5180</v>
      </c>
      <c r="B642" s="3" t="str">
        <f ca="1">IFERROR(__xludf.DUMMYFUNCTION("IFERROR(GOOGLETRANSLATE(A645,""ko"",""en""),)"),"How about")</f>
        <v>How about</v>
      </c>
    </row>
    <row r="643" spans="1:2" ht="18">
      <c r="A643" s="3" t="s">
        <v>5181</v>
      </c>
      <c r="B643" s="3" t="str">
        <f ca="1">IFERROR(__xludf.DUMMYFUNCTION("IFERROR(GOOGLETRANSLATE(A646,""ko"",""en""),)"),"how is it")</f>
        <v>how is it</v>
      </c>
    </row>
    <row r="644" spans="1:2" ht="18">
      <c r="A644" s="3" t="s">
        <v>5182</v>
      </c>
      <c r="B644" s="3" t="str">
        <f ca="1">IFERROR(__xludf.DUMMYFUNCTION("IFERROR(GOOGLETRANSLATE(A647,""ko"",""en""),)"),"which")</f>
        <v>which</v>
      </c>
    </row>
    <row r="645" spans="1:2" ht="18">
      <c r="A645" s="3" t="s">
        <v>5184</v>
      </c>
      <c r="B645" s="3" t="str">
        <f ca="1">IFERROR(__xludf.DUMMYFUNCTION("IFERROR(GOOGLETRANSLATE(A648,""ko"",""en""),)"),"It's black")</f>
        <v>It's black</v>
      </c>
    </row>
    <row r="646" spans="1:2" ht="18">
      <c r="A646" s="3" t="s">
        <v>5185</v>
      </c>
      <c r="B646" s="3" t="str">
        <f ca="1">IFERROR(__xludf.DUMMYFUNCTION("IFERROR(GOOGLETRANSLATE(A649,""ko"",""en""),)"),"It's black, but")</f>
        <v>It's black, but</v>
      </c>
    </row>
    <row r="647" spans="1:2" ht="18">
      <c r="A647" s="3" t="s">
        <v>5186</v>
      </c>
      <c r="B647" s="3" t="str">
        <f ca="1">IFERROR(__xludf.DUMMYFUNCTION("IFERROR(GOOGLETRANSLATE(A650,""ko"",""en""),)"),"It's blue")</f>
        <v>It's blue</v>
      </c>
    </row>
    <row r="648" spans="1:2" ht="18">
      <c r="A648" s="3" t="s">
        <v>5187</v>
      </c>
      <c r="B648" s="3" t="str">
        <f ca="1">IFERROR(__xludf.DUMMYFUNCTION("IFERROR(GOOGLETRANSLATE(A651,""ko"",""en""),)"),"It's blue, but")</f>
        <v>It's blue, but</v>
      </c>
    </row>
    <row r="649" spans="1:2" ht="18">
      <c r="A649" s="3" t="s">
        <v>5188</v>
      </c>
      <c r="B649" s="3" t="str">
        <f ca="1">IFERROR(__xludf.DUMMYFUNCTION("IFERROR(GOOGLETRANSLATE(A652,""ko"",""en""),)"),"It's red")</f>
        <v>It's red</v>
      </c>
    </row>
    <row r="650" spans="1:2" ht="18">
      <c r="A650" s="3" t="s">
        <v>5190</v>
      </c>
      <c r="B650" s="3" t="str">
        <f ca="1">IFERROR(__xludf.DUMMYFUNCTION("IFERROR(GOOGLETRANSLATE(A653,""ko"",""en""),)"),"It's red, but")</f>
        <v>It's red, but</v>
      </c>
    </row>
    <row r="651" spans="1:2" ht="18">
      <c r="A651" s="3" t="s">
        <v>5191</v>
      </c>
      <c r="B651" s="3" t="str">
        <f ca="1">IFERROR(__xludf.DUMMYFUNCTION("IFERROR(GOOGLETRANSLATE(A654,""ko"",""en""),)"),"Songs")</f>
        <v>Songs</v>
      </c>
    </row>
    <row r="652" spans="1:2" ht="18">
      <c r="A652" s="3" t="s">
        <v>5192</v>
      </c>
      <c r="B652" s="3" t="str">
        <f ca="1">IFERROR(__xludf.DUMMYFUNCTION("IFERROR(GOOGLETRANSLATE(A655,""ko"",""en""),)"),"It's yellow, but")</f>
        <v>It's yellow, but</v>
      </c>
    </row>
    <row r="653" spans="1:2" ht="18">
      <c r="A653" s="3" t="s">
        <v>5193</v>
      </c>
      <c r="B653" s="3" t="str">
        <f ca="1">IFERROR(__xludf.DUMMYFUNCTION("IFERROR(GOOGLETRANSLATE(A656,""ko"",""en""),)"),"Because it's white")</f>
        <v>Because it's white</v>
      </c>
    </row>
    <row r="654" spans="1:2" ht="18">
      <c r="A654" s="3" t="s">
        <v>5194</v>
      </c>
      <c r="B654" s="3" t="str">
        <f ca="1">IFERROR(__xludf.DUMMYFUNCTION("IFERROR(GOOGLETRANSLATE(A657,""ko"",""en""),)"),"It's white, but")</f>
        <v>It's white, but</v>
      </c>
    </row>
    <row r="655" spans="1:2" ht="18">
      <c r="A655" s="3" t="s">
        <v>1651</v>
      </c>
      <c r="B655" s="3" t="str">
        <f ca="1">IFERROR(__xludf.DUMMYFUNCTION("IFERROR(GOOGLETRANSLATE(A658,""ko"",""en""),)"),"Because I like it")</f>
        <v>Because I like it</v>
      </c>
    </row>
    <row r="656" spans="1:2" ht="18">
      <c r="A656" s="3" t="s">
        <v>5196</v>
      </c>
      <c r="B656" s="3" t="str">
        <f ca="1">IFERROR(__xludf.DUMMYFUNCTION("IFERROR(GOOGLETRANSLATE(A659,""ko"",""en""),)"),"It's good, but")</f>
        <v>It's good, but</v>
      </c>
    </row>
    <row r="657" spans="1:2" ht="18">
      <c r="A657" s="3" t="s">
        <v>5197</v>
      </c>
      <c r="B657" s="3" t="str">
        <f ca="1">IFERROR(__xludf.DUMMYFUNCTION("IFERROR(GOOGLETRANSLATE(A660,""ko"",""en""),)"),"The red shirt suits you well.")</f>
        <v>The red shirt suits you well.</v>
      </c>
    </row>
    <row r="658" spans="1:2" ht="18">
      <c r="A658" s="3" t="s">
        <v>5198</v>
      </c>
      <c r="B658" s="3" t="str">
        <f ca="1">IFERROR(__xludf.DUMMYFUNCTION("IFERROR(GOOGLETRANSLATE(A661,""ko"",""en""),)"),"Thank you. I bought it at the department store yesterday.")</f>
        <v>Thank you. I bought it at the department store yesterday.</v>
      </c>
    </row>
    <row r="659" spans="1:2" ht="18">
      <c r="A659" s="3" t="s">
        <v>5199</v>
      </c>
      <c r="B659" s="3" t="str">
        <f ca="1">IFERROR(__xludf.DUMMYFUNCTION("IFERROR(GOOGLETRANSLATE(A662,""ko"",""en""),)"),"Are you going to buy these sneakers?")</f>
        <v>Are you going to buy these sneakers?</v>
      </c>
    </row>
    <row r="660" spans="1:2" ht="18">
      <c r="A660" s="5" t="s">
        <v>5201</v>
      </c>
      <c r="B660" s="3" t="str">
        <f ca="1">IFERROR(__xludf.DUMMYFUNCTION("IFERROR(GOOGLETRANSLATE(A663,""ko"",""en""),)"),"I want to buy it, but since it's white, I think it will get dirty quickly.")</f>
        <v>I want to buy it, but since it's white, I think it will get dirty quickly.</v>
      </c>
    </row>
    <row r="661" spans="1:2" ht="18">
      <c r="A661" s="3" t="s">
        <v>5202</v>
      </c>
      <c r="B661" s="3" t="str">
        <f ca="1">IFERROR(__xludf.DUMMYFUNCTION("IFERROR(GOOGLETRANSLATE(A664,""ko"",""en""),)"),"The weather is nice for the first time in a while.")</f>
        <v>The weather is nice for the first time in a while.</v>
      </c>
    </row>
    <row r="662" spans="1:2" ht="18">
      <c r="A662" s="3" t="s">
        <v>5203</v>
      </c>
      <c r="B662" s="3" t="str">
        <f ca="1">IFERROR(__xludf.DUMMYFUNCTION("IFERROR(GOOGLETRANSLATE(A665,""ko"",""en""),)"),"Yes. The air is nice and the sky is blue.")</f>
        <v>Yes. The air is nice and the sky is blue.</v>
      </c>
    </row>
    <row r="663" spans="1:2" ht="18">
      <c r="A663" s="3" t="s">
        <v>5204</v>
      </c>
      <c r="B663" s="3" t="str">
        <f ca="1">IFERROR(__xludf.DUMMYFUNCTION("IFERROR(GOOGLETRANSLATE(A666,""ko"",""en""),)"),"I eat ramen every day these days.")</f>
        <v>I eat ramen every day these days.</v>
      </c>
    </row>
    <row r="664" spans="1:2" ht="18">
      <c r="A664" s="3" t="s">
        <v>5206</v>
      </c>
      <c r="B664" s="3" t="str">
        <f ca="1">IFERROR(__xludf.DUMMYFUNCTION("IFERROR(GOOGLETRANSLATE(A667,""ko"",""en""),)"),"You shouldn't do that. Ramen is bad for your health.")</f>
        <v>You shouldn't do that. Ramen is bad for your health.</v>
      </c>
    </row>
    <row r="665" spans="1:2" ht="18">
      <c r="A665" s="3" t="s">
        <v>5207</v>
      </c>
      <c r="B665" s="3" t="str">
        <f ca="1">IFERROR(__xludf.DUMMYFUNCTION("IFERROR(GOOGLETRANSLATE(A668,""ko"",""en""),)"),"How was the movie you watched yesterday?")</f>
        <v>How was the movie you watched yesterday?</v>
      </c>
    </row>
    <row r="666" spans="1:2" ht="18">
      <c r="A666" s="3" t="s">
        <v>5208</v>
      </c>
      <c r="B666" s="3" t="str">
        <f ca="1">IFERROR(__xludf.DUMMYFUNCTION("IFERROR(GOOGLETRANSLATE(A669,""ko"",""en""),)"),"It was really fun. I want to see it again.")</f>
        <v>It was really fun. I want to see it again.</v>
      </c>
    </row>
    <row r="667" spans="1:2" ht="18">
      <c r="A667" s="3" t="s">
        <v>5209</v>
      </c>
      <c r="B667" s="3" t="str">
        <f ca="1">IFERROR(__xludf.DUMMYFUNCTION("IFERROR(GOOGLETRANSLATE(A670,""ko"",""en""),)"),"Please give me that yellow umbrella.")</f>
        <v>Please give me that yellow umbrella.</v>
      </c>
    </row>
    <row r="668" spans="1:2" ht="18">
      <c r="A668" s="3" t="s">
        <v>5211</v>
      </c>
      <c r="B668" s="3" t="str">
        <f ca="1">IFERROR(__xludf.DUMMYFUNCTION("IFERROR(GOOGLETRANSLATE(A671,""ko"",""en""),)"),"I like black hair.")</f>
        <v>I like black hair.</v>
      </c>
    </row>
    <row r="669" spans="1:2" ht="18">
      <c r="A669" s="3" t="s">
        <v>5212</v>
      </c>
      <c r="B669" s="3" t="str">
        <f ca="1">IFERROR(__xludf.DUMMYFUNCTION("IFERROR(GOOGLETRANSLATE(A672,""ko"",""en""),)"),"Please give me that red rose.")</f>
        <v>Please give me that red rose.</v>
      </c>
    </row>
    <row r="670" spans="1:2" ht="18">
      <c r="A670" s="3" t="s">
        <v>5213</v>
      </c>
      <c r="B670" s="3" t="str">
        <f ca="1">IFERROR(__xludf.DUMMYFUNCTION("IFERROR(GOOGLETRANSLATE(A673,""ko"",""en""),)"),"I want to see the blue sea.")</f>
        <v>I want to see the blue sea.</v>
      </c>
    </row>
    <row r="671" spans="1:2" ht="18">
      <c r="A671" s="3" t="s">
        <v>5214</v>
      </c>
      <c r="B671" s="3" t="str">
        <f ca="1">IFERROR(__xludf.DUMMYFUNCTION("IFERROR(GOOGLETRANSLATE(A674,""ko"",""en""),)"),"I like this yellow bag.")</f>
        <v>I like this yellow bag.</v>
      </c>
    </row>
    <row r="672" spans="1:2" ht="18">
      <c r="A672" s="3" t="s">
        <v>5215</v>
      </c>
      <c r="B672" s="3" t="str">
        <f ca="1">IFERROR(__xludf.DUMMYFUNCTION("IFERROR(GOOGLETRANSLATE(A675,""ko"",""en""),)"),"I put the book in my bag.")</f>
        <v>I put the book in my bag.</v>
      </c>
    </row>
    <row r="673" spans="1:2" ht="18">
      <c r="A673" s="3" t="s">
        <v>5217</v>
      </c>
      <c r="B673" s="3" t="str">
        <f ca="1">IFERROR(__xludf.DUMMYFUNCTION("IFERROR(GOOGLETRANSLATE(A676,""ko"",""en""),)"),"My dog ​​is white and cute.")</f>
        <v>My dog ​​is white and cute.</v>
      </c>
    </row>
    <row r="674" spans="1:2" ht="18">
      <c r="A674" s="3" t="s">
        <v>5218</v>
      </c>
      <c r="B674" s="3" t="str">
        <f ca="1">IFERROR(__xludf.DUMMYFUNCTION("IFERROR(GOOGLETRANSLATE(A677,""ko"",""en""),)"),"I placed a vase on the table.")</f>
        <v>I placed a vase on the table.</v>
      </c>
    </row>
    <row r="675" spans="1:2" ht="18">
      <c r="A675" s="3" t="s">
        <v>5219</v>
      </c>
      <c r="B675" s="3" t="str">
        <f ca="1">IFERROR(__xludf.DUMMYFUNCTION("IFERROR(GOOGLETRANSLATE(A678,""ko"",""en""),)"),"I want to see a clear blue sky.")</f>
        <v>I want to see a clear blue sky.</v>
      </c>
    </row>
    <row r="676" spans="1:2" ht="18">
      <c r="A676" s="3"/>
      <c r="B676" s="3" t="str">
        <f ca="1">IFERROR(__xludf.DUMMYFUNCTION("IFERROR(GOOGLETRANSLATE(A679,""ko"",""en""),)"),"")</f>
        <v/>
      </c>
    </row>
    <row r="677" spans="1:2" ht="18">
      <c r="A677" s="3" t="s">
        <v>5106</v>
      </c>
      <c r="B677" s="3" t="str">
        <f ca="1">IFERROR(__xludf.DUMMYFUNCTION("IFERROR(GOOGLETRANSLATE(A680,""ko"",""en""),)"),"Then, how about those black shoes?")</f>
        <v>Then, how about those black shoes?</v>
      </c>
    </row>
    <row r="678" spans="1:2" ht="18">
      <c r="A678" s="3" t="s">
        <v>5221</v>
      </c>
      <c r="B678" s="3" t="str">
        <f ca="1">IFERROR(__xludf.DUMMYFUNCTION("IFERROR(GOOGLETRANSLATE(A681,""ko"",""en""),)"),"How about this outfit?")</f>
        <v>How about this outfit?</v>
      </c>
    </row>
    <row r="679" spans="1:2" ht="18">
      <c r="A679" s="3" t="s">
        <v>5222</v>
      </c>
      <c r="B679" s="3" t="str">
        <f ca="1">IFERROR(__xludf.DUMMYFUNCTION("IFERROR(GOOGLETRANSLATE(A682,""ko"",""en""),)"),"I think it might be too small. I wish the size were a bit bigger.")</f>
        <v>I think it might be too small. I wish the size were a bit bigger.</v>
      </c>
    </row>
    <row r="680" spans="1:2" ht="18">
      <c r="A680" s="3" t="s">
        <v>5224</v>
      </c>
      <c r="B680" s="3" t="str">
        <f ca="1">IFERROR(__xludf.DUMMYFUNCTION("IFERROR(GOOGLETRANSLATE(A683,""ko"",""en""),)"),"I wish you would read this.")</f>
        <v>I wish you would read this.</v>
      </c>
    </row>
    <row r="681" spans="1:2" ht="18">
      <c r="A681" s="3" t="s">
        <v>5225</v>
      </c>
      <c r="B681" s="3" t="str">
        <f ca="1">IFERROR(__xludf.DUMMYFUNCTION("IFERROR(GOOGLETRANSLATE(A684,""ko"",""en""),)"),"I wish there were many.")</f>
        <v>I wish there were many.</v>
      </c>
    </row>
    <row r="682" spans="1:2" ht="18">
      <c r="A682" s="3" t="s">
        <v>5226</v>
      </c>
      <c r="B682" s="3" t="str">
        <f ca="1">IFERROR(__xludf.DUMMYFUNCTION("IFERROR(GOOGLETRANSLATE(A685,""ko"",""en""),)"),"I wish I could help.")</f>
        <v>I wish I could help.</v>
      </c>
    </row>
    <row r="683" spans="1:2" ht="18">
      <c r="A683" s="3" t="s">
        <v>5227</v>
      </c>
      <c r="B683" s="3" t="str">
        <f ca="1">IFERROR(__xludf.DUMMYFUNCTION("IFERROR(GOOGLETRANSLATE(A686,""ko"",""en""),)"),"I wish I could listen to this.")</f>
        <v>I wish I could listen to this.</v>
      </c>
    </row>
    <row r="684" spans="1:2" ht="18">
      <c r="A684" s="3" t="s">
        <v>5228</v>
      </c>
      <c r="B684" s="3" t="str">
        <f ca="1">IFERROR(__xludf.DUMMYFUNCTION("IFERROR(GOOGLETRANSLATE(A687,""ko"",""en""),)"),"I hope you get better.")</f>
        <v>I hope you get better.</v>
      </c>
    </row>
    <row r="685" spans="1:2" ht="18">
      <c r="A685" s="3" t="s">
        <v>5229</v>
      </c>
      <c r="B685" s="3" t="str">
        <f ca="1">IFERROR(__xludf.DUMMYFUNCTION("IFERROR(GOOGLETRANSLATE(A688,""ko"",""en""),)"),"I hope you come.")</f>
        <v>I hope you come.</v>
      </c>
    </row>
    <row r="686" spans="1:2" ht="18">
      <c r="A686" s="3" t="s">
        <v>5230</v>
      </c>
      <c r="B686" s="3" t="str">
        <f ca="1">IFERROR(__xludf.DUMMYFUNCTION("IFERROR(GOOGLETRANSLATE(A689,""ko"",""en""),)"),"I hope you are happy.")</f>
        <v>I hope you are happy.</v>
      </c>
    </row>
    <row r="687" spans="1:2" ht="18">
      <c r="A687" s="3" t="s">
        <v>5231</v>
      </c>
      <c r="B687" s="3" t="str">
        <f ca="1">IFERROR(__xludf.DUMMYFUNCTION("IFERROR(GOOGLETRANSLATE(A690,""ko"",""en""),)"),"I wish I could live.")</f>
        <v>I wish I could live.</v>
      </c>
    </row>
    <row r="688" spans="1:2" ht="18">
      <c r="A688" s="3" t="s">
        <v>5232</v>
      </c>
      <c r="B688" s="3" t="str">
        <f ca="1">IFERROR(__xludf.DUMMYFUNCTION("IFERROR(GOOGLETRANSLATE(A691,""ko"",""en""),)"),"I wish it were white.")</f>
        <v>I wish it were white.</v>
      </c>
    </row>
    <row r="689" spans="1:2" ht="18">
      <c r="A689" s="3" t="s">
        <v>5233</v>
      </c>
      <c r="B689" s="3" t="str">
        <f ca="1">IFERROR(__xludf.DUMMYFUNCTION("IFERROR(GOOGLETRANSLATE(A692,""ko"",""en""),)"),"I wish I could walk.")</f>
        <v>I wish I could walk.</v>
      </c>
    </row>
    <row r="690" spans="1:2" ht="18">
      <c r="A690" s="3" t="s">
        <v>5234</v>
      </c>
      <c r="B690" s="3" t="str">
        <f ca="1">IFERROR(__xludf.DUMMYFUNCTION("IFERROR(GOOGLETRANSLATE(A693,""ko"",""en""),)"),"I wish you would open it.")</f>
        <v>I wish you would open it.</v>
      </c>
    </row>
    <row r="691" spans="1:2" ht="18">
      <c r="A691" s="3" t="s">
        <v>5236</v>
      </c>
      <c r="B691" s="3" t="str">
        <f ca="1">IFERROR(__xludf.DUMMYFUNCTION("IFERROR(GOOGLETRANSLATE(A694,""ko"",""en""),)"),"I wish it were narrow.")</f>
        <v>I wish it were narrow.</v>
      </c>
    </row>
    <row r="692" spans="1:2" ht="18">
      <c r="A692" s="3" t="s">
        <v>5237</v>
      </c>
      <c r="B692" s="3" t="str">
        <f ca="1">IFERROR(__xludf.DUMMYFUNCTION("IFERROR(GOOGLETRANSLATE(A695,""ko"",""en""),)"),"I wish you would wear it.")</f>
        <v>I wish you would wear it.</v>
      </c>
    </row>
    <row r="693" spans="1:2" ht="18">
      <c r="A693" s="3" t="s">
        <v>5238</v>
      </c>
      <c r="B693" s="3" t="str">
        <f ca="1">IFERROR(__xludf.DUMMYFUNCTION("IFERROR(GOOGLETRANSLATE(A696,""ko"",""en""),)"),"I hope I can receive it.")</f>
        <v>I hope I can receive it.</v>
      </c>
    </row>
    <row r="694" spans="1:2" ht="18">
      <c r="A694" s="3" t="s">
        <v>5239</v>
      </c>
      <c r="B694" s="3" t="str">
        <f ca="1">IFERROR(__xludf.DUMMYFUNCTION("IFERROR(GOOGLETRANSLATE(A697,""ko"",""en""),)"),"I wish you would build it.")</f>
        <v>I wish you would build it.</v>
      </c>
    </row>
    <row r="695" spans="1:2" ht="18">
      <c r="A695" s="3" t="s">
        <v>5240</v>
      </c>
      <c r="B695" s="3" t="str">
        <f ca="1">IFERROR(__xludf.DUMMYFUNCTION("IFERROR(GOOGLETRANSLATE(A698,""ko"",""en""),)"),"I wish I could blow.")</f>
        <v>I wish I could blow.</v>
      </c>
    </row>
    <row r="696" spans="1:2" ht="18">
      <c r="A696" s="3" t="s">
        <v>5241</v>
      </c>
      <c r="B696" s="3" t="str">
        <f ca="1">IFERROR(__xludf.DUMMYFUNCTION("IFERROR(GOOGLETRANSLATE(A699,""ko"",""en""),)"),"I wish it were red.")</f>
        <v>I wish it were red.</v>
      </c>
    </row>
    <row r="697" spans="1:2" ht="18">
      <c r="A697" s="3" t="s">
        <v>5242</v>
      </c>
      <c r="B697" s="3" t="str">
        <f ca="1">IFERROR(__xludf.DUMMYFUNCTION("IFERROR(GOOGLETRANSLATE(A700,""ko"",""en""),)"),"I wish I had a lot of money.")</f>
        <v>I wish I had a lot of money.</v>
      </c>
    </row>
    <row r="698" spans="1:2" ht="18">
      <c r="A698" s="3" t="s">
        <v>5243</v>
      </c>
      <c r="B698" s="3" t="str">
        <f ca="1">IFERROR(__xludf.DUMMYFUNCTION("IFERROR(GOOGLETRANSLATE(A701,""ko"",""en""),)"),"I wish I had a lot of money.")</f>
        <v>I wish I had a lot of money.</v>
      </c>
    </row>
    <row r="699" spans="1:2" ht="18">
      <c r="A699" s="3" t="s">
        <v>5244</v>
      </c>
      <c r="B699" s="3" t="str">
        <f ca="1">IFERROR(__xludf.DUMMYFUNCTION("IFERROR(GOOGLETRANSLATE(A702,""ko"",""en""),)"),"How is your current school? Is it good?")</f>
        <v>How is your current school? Is it good?</v>
      </c>
    </row>
    <row r="700" spans="1:2" ht="18">
      <c r="A700" s="3" t="s">
        <v>5245</v>
      </c>
      <c r="B700" s="3" t="str">
        <f ca="1">IFERROR(__xludf.DUMMYFUNCTION("IFERROR(GOOGLETRANSLATE(A703,""ko"",""en""),)"),"Everything is good, but the tuition would be better.")</f>
        <v>Everything is good, but the tuition would be better.</v>
      </c>
    </row>
    <row r="701" spans="1:2" ht="18">
      <c r="A701" s="3" t="s">
        <v>5247</v>
      </c>
      <c r="B701" s="3" t="str">
        <f ca="1">IFERROR(__xludf.DUMMYFUNCTION("IFERROR(GOOGLETRANSLATE(A704,""ko"",""en""),)"),"The food at that restaurant is a bit spicy, isn't it?")</f>
        <v>The food at that restaurant is a bit spicy, isn't it?</v>
      </c>
    </row>
    <row r="702" spans="1:2" ht="18">
      <c r="A702" s="3" t="s">
        <v>5248</v>
      </c>
      <c r="B702" s="3" t="str">
        <f ca="1">IFERROR(__xludf.DUMMYFUNCTION("IFERROR(GOOGLETRANSLATE(A705,""ko"",""en""),)"),"Yes. I wish it were a little less spicy.")</f>
        <v>Yes. I wish it were a little less spicy.</v>
      </c>
    </row>
    <row r="703" spans="1:2" ht="18">
      <c r="A703" s="3"/>
      <c r="B703" s="3" t="str">
        <f ca="1">IFERROR(__xludf.DUMMYFUNCTION("IFERROR(GOOGLETRANSLATE(A706,""ko"",""en""),)"),"")</f>
        <v/>
      </c>
    </row>
    <row r="704" spans="1:2" ht="18">
      <c r="A704" s="3" t="s">
        <v>5249</v>
      </c>
      <c r="B704" s="3" t="str">
        <f ca="1">IFERROR(__xludf.DUMMYFUNCTION("IFERROR(GOOGLETRANSLATE(A707,""ko"",""en""),)"),"The weather is so hot these days.")</f>
        <v>The weather is so hot these days.</v>
      </c>
    </row>
    <row r="705" spans="1:2" ht="18">
      <c r="A705" s="3" t="s">
        <v>5251</v>
      </c>
      <c r="B705" s="3" t="str">
        <f ca="1">IFERROR(__xludf.DUMMYFUNCTION("IFERROR(GOOGLETRANSLATE(A708,""ko"",""en""),)"),"Yes, I hope winter comes soon.")</f>
        <v>Yes, I hope winter comes soon.</v>
      </c>
    </row>
    <row r="706" spans="1:2" ht="18">
      <c r="A706" s="3"/>
      <c r="B706" s="3" t="str">
        <f ca="1">IFERROR(__xludf.DUMMYFUNCTION("IFERROR(GOOGLETRANSLATE(A709,""ko"",""en""),)"),"")</f>
        <v/>
      </c>
    </row>
    <row r="707" spans="1:2" ht="18">
      <c r="A707" s="3" t="s">
        <v>5252</v>
      </c>
      <c r="B707" s="3" t="str">
        <f ca="1">IFERROR(__xludf.DUMMYFUNCTION("IFERROR(GOOGLETRANSLATE(A710,""ko"",""en""),)"),"I heard Yangyang is running in a marathon?")</f>
        <v>I heard Yangyang is running in a marathon?</v>
      </c>
    </row>
    <row r="708" spans="1:2" ht="18">
      <c r="A708" s="3" t="s">
        <v>5253</v>
      </c>
      <c r="B708" s="3" t="str">
        <f ca="1">IFERROR(__xludf.DUMMYFUNCTION("IFERROR(GOOGLETRANSLATE(A711,""ko"",""en""),)"),"Yes, I really hope Yaya runs all the way to the end.")</f>
        <v>Yes, I really hope Yaya runs all the way to the end.</v>
      </c>
    </row>
    <row r="709" spans="1:2" ht="18">
      <c r="A709" s="3" t="s">
        <v>5232</v>
      </c>
      <c r="B709" s="3" t="str">
        <f ca="1">IFERROR(__xludf.DUMMYFUNCTION("IFERROR(GOOGLETRANSLATE(A712,""ko"",""en""),)"),"I wish it were white.")</f>
        <v>I wish it were white.</v>
      </c>
    </row>
    <row r="710" spans="1:2" ht="18">
      <c r="A710" s="3" t="s">
        <v>5241</v>
      </c>
      <c r="B710" s="3" t="str">
        <f ca="1">IFERROR(__xludf.DUMMYFUNCTION("IFERROR(GOOGLETRANSLATE(A713,""ko"",""en""),)"),"I wish it were red.")</f>
        <v>I wish it were red.</v>
      </c>
    </row>
    <row r="711" spans="1:2" ht="18">
      <c r="A711" s="3" t="s">
        <v>5233</v>
      </c>
      <c r="B711" s="3" t="str">
        <f ca="1">IFERROR(__xludf.DUMMYFUNCTION("IFERROR(GOOGLETRANSLATE(A714,""ko"",""en""),)"),"I wish I could walk.")</f>
        <v>I wish I could walk.</v>
      </c>
    </row>
    <row r="712" spans="1:2" ht="18">
      <c r="A712" s="3" t="s">
        <v>5234</v>
      </c>
      <c r="B712" s="3" t="str">
        <f ca="1">IFERROR(__xludf.DUMMYFUNCTION("IFERROR(GOOGLETRANSLATE(A715,""ko"",""en""),)"),"I wish you would open it.")</f>
        <v>I wish you would open it.</v>
      </c>
    </row>
    <row r="713" spans="1:2" ht="18">
      <c r="A713" s="3" t="s">
        <v>5236</v>
      </c>
      <c r="B713" s="3" t="str">
        <f ca="1">IFERROR(__xludf.DUMMYFUNCTION("IFERROR(GOOGLETRANSLATE(A716,""ko"",""en""),)"),"I wish it were narrow.")</f>
        <v>I wish it were narrow.</v>
      </c>
    </row>
    <row r="714" spans="1:2" ht="18">
      <c r="A714" s="3" t="s">
        <v>5237</v>
      </c>
      <c r="B714" s="3" t="str">
        <f ca="1">IFERROR(__xludf.DUMMYFUNCTION("IFERROR(GOOGLETRANSLATE(A717,""ko"",""en""),)"),"I wish you would wear it.")</f>
        <v>I wish you would wear it.</v>
      </c>
    </row>
    <row r="715" spans="1:2" ht="18">
      <c r="A715" s="3" t="s">
        <v>5238</v>
      </c>
      <c r="B715" s="3" t="str">
        <f ca="1">IFERROR(__xludf.DUMMYFUNCTION("IFERROR(GOOGLETRANSLATE(A718,""ko"",""en""),)"),"I hope I can receive it.")</f>
        <v>I hope I can receive it.</v>
      </c>
    </row>
    <row r="716" spans="1:2" ht="18">
      <c r="A716" s="3" t="s">
        <v>5239</v>
      </c>
      <c r="B716" s="3" t="str">
        <f ca="1">IFERROR(__xludf.DUMMYFUNCTION("IFERROR(GOOGLETRANSLATE(A719,""ko"",""en""),)"),"I wish you would build it.")</f>
        <v>I wish you would build it.</v>
      </c>
    </row>
    <row r="717" spans="1:2" ht="18">
      <c r="A717" s="3" t="s">
        <v>5240</v>
      </c>
      <c r="B717" s="3" t="str">
        <f ca="1">IFERROR(__xludf.DUMMYFUNCTION("IFERROR(GOOGLETRANSLATE(A720,""ko"",""en""),)"),"I wish I could blow.")</f>
        <v>I wish I could blow.</v>
      </c>
    </row>
    <row r="718" spans="1:2" ht="18">
      <c r="A718" s="3" t="s">
        <v>5255</v>
      </c>
      <c r="B718" s="3" t="str">
        <f ca="1">IFERROR(__xludf.DUMMYFUNCTION("IFERROR(GOOGLETRANSLATE(A721,""ko"",""en""),)"),"I wish it were white.")</f>
        <v>I wish it were white.</v>
      </c>
    </row>
    <row r="719" spans="1:2" ht="18">
      <c r="A719" s="3" t="s">
        <v>5256</v>
      </c>
      <c r="B719" s="3" t="str">
        <f ca="1">IFERROR(__xludf.DUMMYFUNCTION("IFERROR(GOOGLETRANSLATE(A722,""ko"",""en""),)"),"I wish it were red")</f>
        <v>I wish it were red</v>
      </c>
    </row>
    <row r="720" spans="1:2" ht="18">
      <c r="A720" s="3" t="s">
        <v>5258</v>
      </c>
      <c r="B720" s="3" t="str">
        <f ca="1">IFERROR(__xludf.DUMMYFUNCTION("IFERROR(GOOGLETRANSLATE(A723,""ko"",""en""),)"),"I wish I could walk")</f>
        <v>I wish I could walk</v>
      </c>
    </row>
    <row r="721" spans="1:2" ht="18">
      <c r="A721" s="3" t="s">
        <v>5259</v>
      </c>
      <c r="B721" s="3" t="str">
        <f ca="1">IFERROR(__xludf.DUMMYFUNCTION("IFERROR(GOOGLETRANSLATE(A724,""ko"",""en""),)"),"I wish it were open.")</f>
        <v>I wish it were open.</v>
      </c>
    </row>
    <row r="722" spans="1:2" ht="18">
      <c r="A722" s="3" t="s">
        <v>5260</v>
      </c>
      <c r="B722" s="3" t="str">
        <f ca="1">IFERROR(__xludf.DUMMYFUNCTION("IFERROR(GOOGLETRANSLATE(A725,""ko"",""en""),)"),"I wish it were narrow.")</f>
        <v>I wish it were narrow.</v>
      </c>
    </row>
    <row r="723" spans="1:2" ht="18">
      <c r="A723" s="3" t="s">
        <v>5261</v>
      </c>
      <c r="B723" s="3" t="str">
        <f ca="1">IFERROR(__xludf.DUMMYFUNCTION("IFERROR(GOOGLETRANSLATE(A726,""ko"",""en""),)"),"I wish you would wear it.")</f>
        <v>I wish you would wear it.</v>
      </c>
    </row>
    <row r="724" spans="1:2" ht="18">
      <c r="A724" s="3" t="s">
        <v>5263</v>
      </c>
      <c r="B724" s="3" t="str">
        <f ca="1">IFERROR(__xludf.DUMMYFUNCTION("IFERROR(GOOGLETRANSLATE(A727,""ko"",""en""),)"),"I hope you receive it.")</f>
        <v>I hope you receive it.</v>
      </c>
    </row>
    <row r="725" spans="1:2" ht="18">
      <c r="A725" s="3" t="s">
        <v>5264</v>
      </c>
      <c r="B725" s="3" t="str">
        <f ca="1">IFERROR(__xludf.DUMMYFUNCTION("IFERROR(GOOGLETRANSLATE(A728,""ko"",""en""),)"),"I wish I could build it.")</f>
        <v>I wish I could build it.</v>
      </c>
    </row>
    <row r="726" spans="1:2" ht="18">
      <c r="A726" s="3" t="s">
        <v>5265</v>
      </c>
      <c r="B726" s="3" t="str">
        <f ca="1">IFERROR(__xludf.DUMMYFUNCTION("IFERROR(GOOGLETRANSLATE(A729,""ko"",""en""),)"),"I wish it would blow.")</f>
        <v>I wish it would blow.</v>
      </c>
    </row>
    <row r="727" spans="1:2" ht="18">
      <c r="A727" s="3" t="s">
        <v>5267</v>
      </c>
      <c r="B727" s="3" t="str">
        <f ca="1">IFERROR(__xludf.DUMMYFUNCTION("IFERROR(GOOGLETRANSLATE(A730,""ko"",""en""),)"),"I think it'll be really cool.")</f>
        <v>I think it'll be really cool.</v>
      </c>
    </row>
    <row r="728" spans="1:2" ht="18">
      <c r="A728" s="3" t="s">
        <v>5268</v>
      </c>
      <c r="B728" s="3" t="str">
        <f ca="1">IFERROR(__xludf.DUMMYFUNCTION("IFERROR(GOOGLETRANSLATE(A731,""ko"",""en""),)"),"I wish the size were a little smaller.")</f>
        <v>I wish the size were a little smaller.</v>
      </c>
    </row>
    <row r="729" spans="1:2" ht="18">
      <c r="A729" s="3" t="s">
        <v>5270</v>
      </c>
      <c r="B729" s="3" t="str">
        <f ca="1">IFERROR(__xludf.DUMMYFUNCTION("IFERROR(GOOGLETRANSLATE(A732,""ko"",""en""),)"),"I wish the price were a bit cheaper.")</f>
        <v>I wish the price were a bit cheaper.</v>
      </c>
    </row>
    <row r="730" spans="1:2" ht="18">
      <c r="A730" s="3" t="s">
        <v>5271</v>
      </c>
      <c r="B730" s="3" t="str">
        <f ca="1">IFERROR(__xludf.DUMMYFUNCTION("IFERROR(GOOGLETRANSLATE(A733,""ko"",""en""),)"),"I wish it were longer.")</f>
        <v>I wish it were longer.</v>
      </c>
    </row>
    <row r="731" spans="1:2" ht="18">
      <c r="A731" s="3" t="s">
        <v>5272</v>
      </c>
      <c r="B731" s="3" t="str">
        <f ca="1">IFERROR(__xludf.DUMMYFUNCTION("IFERROR(GOOGLETRANSLATE(A734,""ko"",""en""),)"),"I wish the design were simpler.")</f>
        <v>I wish the design were simpler.</v>
      </c>
    </row>
    <row r="732" spans="1:2" ht="18">
      <c r="A732" s="3" t="s">
        <v>5273</v>
      </c>
      <c r="B732" s="3" t="str">
        <f ca="1">IFERROR(__xludf.DUMMYFUNCTION("IFERROR(GOOGLETRANSLATE(A735,""ko"",""en""),)"),"I wish the design were less complex.")</f>
        <v>I wish the design were less complex.</v>
      </c>
    </row>
    <row r="733" spans="1:2" ht="18">
      <c r="A733" s="3" t="s">
        <v>5274</v>
      </c>
      <c r="B733" s="3" t="str">
        <f ca="1">IFERROR(__xludf.DUMMYFUNCTION("IFERROR(GOOGLETRANSLATE(A736,""ko"",""en""),)"),"Are you very hungry?")</f>
        <v>Are you very hungry?</v>
      </c>
    </row>
    <row r="734" spans="1:2" ht="18">
      <c r="A734" s="3" t="s">
        <v>5275</v>
      </c>
      <c r="B734" s="3" t="str">
        <f ca="1">IFERROR(__xludf.DUMMYFUNCTION("IFERROR(GOOGLETRANSLATE(A737,""ko"",""en""),)"),"Yes. I'd like to eat lunch soon.")</f>
        <v>Yes. I'd like to eat lunch soon.</v>
      </c>
    </row>
    <row r="735" spans="1:2" ht="18">
      <c r="A735" s="3" t="s">
        <v>5276</v>
      </c>
      <c r="B735" s="3" t="str">
        <f ca="1">IFERROR(__xludf.DUMMYFUNCTION("IFERROR(GOOGLETRANSLATE(A738,""ko"",""en""),)"),"How long does it take to get from home to school?")</f>
        <v>How long does it take to get from home to school?</v>
      </c>
    </row>
    <row r="736" spans="1:2" ht="18">
      <c r="A736" s="3" t="s">
        <v>5277</v>
      </c>
      <c r="B736" s="3" t="str">
        <f ca="1">IFERROR(__xludf.DUMMYFUNCTION("IFERROR(GOOGLETRANSLATE(A739,""ko"",""en""),)"),"Yes. I wish it were a bit closer to the school.")</f>
        <v>Yes. I wish it were a bit closer to the school.</v>
      </c>
    </row>
    <row r="737" spans="1:2" ht="18">
      <c r="A737" s="3" t="s">
        <v>5278</v>
      </c>
      <c r="B737" s="3" t="str">
        <f ca="1">IFERROR(__xludf.DUMMYFUNCTION("IFERROR(GOOGLETRANSLATE(A740,""ko"",""en""),)"),"Yes. I wish it were a bit closer to the school.")</f>
        <v>Yes. I wish it were a bit closer to the school.</v>
      </c>
    </row>
    <row r="738" spans="1:2" ht="18">
      <c r="A738" s="3" t="s">
        <v>5280</v>
      </c>
      <c r="B738" s="3" t="str">
        <f ca="1">IFERROR(__xludf.DUMMYFUNCTION("IFERROR(GOOGLETRANSLATE(A741,""ko"",""en""),)"),"Mahoi, is it hot? Shall I turn on the air conditioner?")</f>
        <v>Mahoi, is it hot? Shall I turn on the air conditioner?</v>
      </c>
    </row>
    <row r="739" spans="1:2" ht="18">
      <c r="A739" s="3" t="s">
        <v>5281</v>
      </c>
      <c r="B739" s="3" t="str">
        <f ca="1">IFERROR(__xludf.DUMMYFUNCTION("IFERROR(GOOGLETRANSLATE(A742,""ko"",""en""),)"),"No. I wish you would open the window.")</f>
        <v>No. I wish you would open the window.</v>
      </c>
    </row>
    <row r="740" spans="1:2" ht="18">
      <c r="A740" s="3" t="s">
        <v>5282</v>
      </c>
      <c r="B740" s="3" t="str">
        <f ca="1">IFERROR(__xludf.DUMMYFUNCTION("IFERROR(GOOGLETRANSLATE(A743,""ko"",""en""),)"),"No. I wish you would open the window.")</f>
        <v>No. I wish you would open the window.</v>
      </c>
    </row>
    <row r="741" spans="1:2" ht="18">
      <c r="A741" s="3" t="s">
        <v>5283</v>
      </c>
      <c r="B741" s="3" t="str">
        <f ca="1">IFERROR(__xludf.DUMMYFUNCTION("IFERROR(GOOGLETRANSLATE(A744,""ko"",""en""),)"),"Shall we watch television?")</f>
        <v>Shall we watch television?</v>
      </c>
    </row>
    <row r="742" spans="1:2" ht="18">
      <c r="A742" s="3" t="s">
        <v>5284</v>
      </c>
      <c r="B742" s="3" t="str">
        <f ca="1">IFERROR(__xludf.DUMMYFUNCTION("IFERROR(GOOGLETRANSLATE(A745,""ko"",""en""),)"),"No. I'd like you to listen to some music.")</f>
        <v>No. I'd like you to listen to some music.</v>
      </c>
    </row>
    <row r="743" spans="1:2" ht="18">
      <c r="A743" s="3" t="s">
        <v>5285</v>
      </c>
      <c r="B743" s="3" t="str">
        <f ca="1">IFERROR(__xludf.DUMMYFUNCTION("IFERROR(GOOGLETRANSLATE(A746,""ko"",""en""),)"),"No. I would like to listen to some music.")</f>
        <v>No. I would like to listen to some music.</v>
      </c>
    </row>
    <row r="744" spans="1:2" ht="18">
      <c r="A744" s="3" t="s">
        <v>5286</v>
      </c>
      <c r="B744" s="3" t="str">
        <f ca="1">IFERROR(__xludf.DUMMYFUNCTION("IFERROR(GOOGLETRANSLATE(A747,""ko"",""en""),)"),"Do you want to watch a movie now?")</f>
        <v>Do you want to watch a movie now?</v>
      </c>
    </row>
    <row r="745" spans="1:2" ht="18">
      <c r="A745" s="3" t="s">
        <v>5287</v>
      </c>
      <c r="B745" s="3" t="str">
        <f ca="1">IFERROR(__xludf.DUMMYFUNCTION("IFERROR(GOOGLETRANSLATE(A748,""ko"",""en""),)"),"I wish you would watch my movie.")</f>
        <v>I wish you would watch my movie.</v>
      </c>
    </row>
    <row r="746" spans="1:2" ht="18">
      <c r="A746" s="3" t="s">
        <v>5288</v>
      </c>
      <c r="B746" s="3" t="str">
        <f ca="1">IFERROR(__xludf.DUMMYFUNCTION("IFERROR(GOOGLETRANSLATE(A749,""ko"",""en""),)"),"No. I would like to listen to music.")</f>
        <v>No. I would like to listen to music.</v>
      </c>
    </row>
    <row r="747" spans="1:2" ht="18">
      <c r="A747" s="3" t="s">
        <v>5289</v>
      </c>
      <c r="B747" s="3" t="str">
        <f ca="1">IFERROR(__xludf.DUMMYFUNCTION("IFERROR(GOOGLETRANSLATE(A750,""ko"",""en""),)"),"How about that outfit?")</f>
        <v>How about that outfit?</v>
      </c>
    </row>
    <row r="748" spans="1:2" ht="18">
      <c r="A748" s="3" t="s">
        <v>5291</v>
      </c>
      <c r="B748" s="3" t="str">
        <f ca="1">IFERROR(__xludf.DUMMYFUNCTION("IFERROR(GOOGLETRANSLATE(A751,""ko"",""en""),)"),"The design is too complicated. I wish it were a bit simpler.")</f>
        <v>The design is too complicated. I wish it were a bit simpler.</v>
      </c>
    </row>
    <row r="749" spans="1:2" ht="18">
      <c r="A749" s="3" t="s">
        <v>5292</v>
      </c>
      <c r="B749" s="3" t="str">
        <f ca="1">IFERROR(__xludf.DUMMYFUNCTION("IFERROR(GOOGLETRANSLATE(A752,""ko"",""en""),)"),"How are those shoes?")</f>
        <v>How are those shoes?</v>
      </c>
    </row>
    <row r="750" spans="1:2" ht="18">
      <c r="A750" s="3" t="s">
        <v>5293</v>
      </c>
      <c r="B750" s="3" t="str">
        <f ca="1">IFERROR(__xludf.DUMMYFUNCTION("IFERROR(GOOGLETRANSLATE(A753,""ko"",""en""),)"),"It's too big. I wish the size were a bit smaller.")</f>
        <v>It's too big. I wish the size were a bit smaller.</v>
      </c>
    </row>
    <row r="751" spans="1:2" ht="18">
      <c r="A751" s="3" t="s">
        <v>5294</v>
      </c>
      <c r="B751" s="3" t="str">
        <f ca="1">IFERROR(__xludf.DUMMYFUNCTION("IFERROR(GOOGLETRANSLATE(A754,""ko"",""en""),)"),"How about this room?")</f>
        <v>How about this room?</v>
      </c>
    </row>
    <row r="752" spans="1:2" ht="18">
      <c r="A752" s="3" t="s">
        <v>5296</v>
      </c>
      <c r="B752" s="3" t="str">
        <f ca="1">IFERROR(__xludf.DUMMYFUNCTION("IFERROR(GOOGLETRANSLATE(A755,""ko"",""en""),)"),"It's too dark. I wish it were a little brighter.")</f>
        <v>It's too dark. I wish it were a little brighter.</v>
      </c>
    </row>
    <row r="753" spans="1:2" ht="18">
      <c r="A753" s="3" t="s">
        <v>5297</v>
      </c>
      <c r="B753" s="3" t="str">
        <f ca="1">IFERROR(__xludf.DUMMYFUNCTION("IFERROR(GOOGLETRANSLATE(A756,""ko"",""en""),)"),"How is that computer?")</f>
        <v>How is that computer?</v>
      </c>
    </row>
    <row r="754" spans="1:2" ht="18">
      <c r="A754" s="3" t="s">
        <v>5298</v>
      </c>
      <c r="B754" s="3" t="str">
        <f ca="1">IFERROR(__xludf.DUMMYFUNCTION("IFERROR(GOOGLETRANSLATE(A757,""ko"",""en""),)"),"The price is too expensive. I wish it were a bit cheaper.")</f>
        <v>The price is too expensive. I wish it were a bit cheaper.</v>
      </c>
    </row>
    <row r="755" spans="1:2" ht="18">
      <c r="A755" s="3" t="s">
        <v>5299</v>
      </c>
      <c r="B755" s="3" t="str">
        <f ca="1">IFERROR(__xludf.DUMMYFUNCTION("IFERROR(GOOGLETRANSLATE(A758,""ko"",""en""),)"),"How is that skirt?")</f>
        <v>How is that skirt?</v>
      </c>
    </row>
    <row r="756" spans="1:2" ht="18">
      <c r="A756" s="3" t="s">
        <v>5300</v>
      </c>
      <c r="B756" s="3" t="str">
        <f ca="1">IFERROR(__xludf.DUMMYFUNCTION("IFERROR(GOOGLETRANSLATE(A759,""ko"",""en""),)"),"I wish it were a little shorter.")</f>
        <v>I wish it were a little shorter.</v>
      </c>
    </row>
    <row r="757" spans="1:2" ht="18">
      <c r="A757" s="22" t="s">
        <v>5302</v>
      </c>
      <c r="B757" s="3" t="str">
        <f ca="1">IFERROR(__xludf.DUMMYFUNCTION("IFERROR(GOOGLETRANSLATE(A760,""ko"",""en""),)"),"A: This store has a lot of good items, doesn't it?")</f>
        <v>A: This store has a lot of good items, doesn't it?</v>
      </c>
    </row>
    <row r="758" spans="1:2" ht="18">
      <c r="A758" s="22" t="s">
        <v>5303</v>
      </c>
      <c r="B758" s="3" t="str">
        <f ca="1">IFERROR(__xludf.DUMMYFUNCTION("IFERROR(GOOGLETRANSLATE(A761,""ko"",""en""),)"),"B: Yes. I think it would be good to buy a new desk here.")</f>
        <v>B: Yes. I think it would be good to buy a new desk here.</v>
      </c>
    </row>
    <row r="759" spans="1:2" ht="18">
      <c r="A759" s="22" t="s">
        <v>5304</v>
      </c>
      <c r="B759" s="3" t="str">
        <f ca="1">IFERROR(__xludf.DUMMYFUNCTION("IFERROR(GOOGLETRANSLATE(A762,""ko"",""en""),)"),"A: What kind of desk do you want to buy?")</f>
        <v>A: What kind of desk do you want to buy?</v>
      </c>
    </row>
    <row r="760" spans="1:2" ht="18">
      <c r="A760" s="22" t="s">
        <v>5305</v>
      </c>
      <c r="B760" s="3" t="str">
        <f ca="1">IFERROR(__xludf.DUMMYFUNCTION("IFERROR(GOOGLETRANSLATE(A763,""ko"",""en""),)"),"B: A small, white desk.")</f>
        <v>B: A small, white desk.</v>
      </c>
    </row>
    <row r="761" spans="1:2" ht="18">
      <c r="A761" s="22" t="s">
        <v>5302</v>
      </c>
      <c r="B761" s="3" t="str">
        <f ca="1">IFERROR(__xludf.DUMMYFUNCTION("IFERROR(GOOGLETRANSLATE(A764,""ko"",""en""),)"),"A: This store has a lot of good items, doesn't it?")</f>
        <v>A: This store has a lot of good items, doesn't it?</v>
      </c>
    </row>
    <row r="762" spans="1:2" ht="18">
      <c r="A762" s="22" t="s">
        <v>5307</v>
      </c>
      <c r="B762" s="3" t="str">
        <f ca="1">IFERROR(__xludf.DUMMYFUNCTION("IFERROR(GOOGLETRANSLATE(A765,""ko"",""en""),)"),"B: Yes. I think I should buy a new pair of sneakers here.")</f>
        <v>B: Yes. I think I should buy a new pair of sneakers here.</v>
      </c>
    </row>
    <row r="763" spans="1:2" ht="18">
      <c r="A763" s="22" t="s">
        <v>5308</v>
      </c>
      <c r="B763" s="3" t="str">
        <f ca="1">IFERROR(__xludf.DUMMYFUNCTION("IFERROR(GOOGLETRANSLATE(A766,""ko"",""en""),)"),"A: What kind of sneakers do you want to buy?")</f>
        <v>A: What kind of sneakers do you want to buy?</v>
      </c>
    </row>
    <row r="764" spans="1:2" ht="18">
      <c r="A764" s="22" t="s">
        <v>5309</v>
      </c>
      <c r="B764" s="3" t="str">
        <f ca="1">IFERROR(__xludf.DUMMYFUNCTION("IFERROR(GOOGLETRANSLATE(A767,""ko"",""en""),)"),"B: Cheap black sneakers.")</f>
        <v>B: Cheap black sneakers.</v>
      </c>
    </row>
    <row r="765" spans="1:2" ht="18">
      <c r="A765" s="22" t="s">
        <v>5302</v>
      </c>
      <c r="B765" s="3" t="str">
        <f ca="1">IFERROR(__xludf.DUMMYFUNCTION("IFERROR(GOOGLETRANSLATE(A768,""ko"",""en""),)"),"A: This store has a lot of good items, doesn't it?")</f>
        <v>A: This store has a lot of good items, doesn't it?</v>
      </c>
    </row>
    <row r="766" spans="1:2" ht="18">
      <c r="A766" s="22" t="s">
        <v>5310</v>
      </c>
      <c r="B766" s="3" t="str">
        <f ca="1">IFERROR(__xludf.DUMMYFUNCTION("IFERROR(GOOGLETRANSLATE(A769,""ko"",""en""),)"),"B: Yes. I think I should buy a new bag here.")</f>
        <v>B: Yes. I think I should buy a new bag here.</v>
      </c>
    </row>
    <row r="767" spans="1:2" ht="18">
      <c r="A767" s="22" t="s">
        <v>5311</v>
      </c>
      <c r="B767" s="3" t="str">
        <f ca="1">IFERROR(__xludf.DUMMYFUNCTION("IFERROR(GOOGLETRANSLATE(A770,""ko"",""en""),)"),"A: What kind of bag do you want to buy?")</f>
        <v>A: What kind of bag do you want to buy?</v>
      </c>
    </row>
    <row r="768" spans="1:2" ht="18">
      <c r="A768" s="22" t="s">
        <v>5312</v>
      </c>
      <c r="B768" s="3" t="str">
        <f ca="1">IFERROR(__xludf.DUMMYFUNCTION("IFERROR(GOOGLETRANSLATE(A771,""ko"",""en""),)"),"B: A light blue bag.")</f>
        <v>B: A light blue bag.</v>
      </c>
    </row>
    <row r="769" spans="1:2" ht="18">
      <c r="A769" s="3" t="s">
        <v>5313</v>
      </c>
      <c r="B769" s="3" t="str">
        <f ca="1">IFERROR(__xludf.DUMMYFUNCTION("IFERROR(GOOGLETRANSLATE(A772,""ko"",""en""),)"),"")</f>
        <v/>
      </c>
    </row>
    <row r="770" spans="1:2" ht="18">
      <c r="A770" s="3" t="s">
        <v>5314</v>
      </c>
      <c r="B770" s="3" t="str">
        <f ca="1">IFERROR(__xludf.DUMMYFUNCTION("IFERROR(GOOGLETRANSLATE(A773,""ko"",""en""),)"),"If I'm hungry, I eat lunch early.")</f>
        <v>If I'm hungry, I eat lunch early.</v>
      </c>
    </row>
    <row r="771" spans="1:2" ht="18">
      <c r="A771" s="3" t="s">
        <v>5316</v>
      </c>
      <c r="B771" s="3" t="str">
        <f ca="1">IFERROR(__xludf.DUMMYFUNCTION("IFERROR(GOOGLETRANSLATE(A774,""ko"",""en""),)"),"I'm going to place a takeout order when the restaurant opens.")</f>
        <v>I'm going to place a takeout order when the restaurant opens.</v>
      </c>
    </row>
    <row r="772" spans="1:2" ht="18">
      <c r="A772" s="3" t="s">
        <v>5317</v>
      </c>
      <c r="B772" s="3" t="str">
        <f ca="1">IFERROR(__xludf.DUMMYFUNCTION("IFERROR(GOOGLETRANSLATE(A775,""ko"",""en""),)"),"Put sugar in a cup and stir.")</f>
        <v>Put sugar in a cup and stir.</v>
      </c>
    </row>
    <row r="773" spans="1:2" ht="18">
      <c r="A773" s="3" t="s">
        <v>5318</v>
      </c>
      <c r="B773" s="3" t="str">
        <f ca="1">IFERROR(__xludf.DUMMYFUNCTION("IFERROR(GOOGLETRANSLATE(A776,""ko"",""en""),)"),"I don't have much time, so I need to get ready quickly.")</f>
        <v>I don't have much time, so I need to get ready quickly.</v>
      </c>
    </row>
    <row r="774" spans="1:2" ht="18">
      <c r="A774" s="3" t="s">
        <v>5319</v>
      </c>
      <c r="B774" s="3" t="str">
        <f ca="1">IFERROR(__xludf.DUMMYFUNCTION("IFERROR(GOOGLETRANSLATE(A777,""ko"",""en""),)"),"My knees hurt so I can't walk.")</f>
        <v>My knees hurt so I can't walk.</v>
      </c>
    </row>
    <row r="775" spans="1:2" ht="18">
      <c r="A775" s="3" t="s">
        <v>5320</v>
      </c>
      <c r="B775" s="3" t="str">
        <f ca="1">IFERROR(__xludf.DUMMYFUNCTION("IFERROR(GOOGLETRANSLATE(A778,""ko"",""en""),)"),"My laptop is broken. Could I borrow yours for a moment, Mr. Gosa?")</f>
        <v>My laptop is broken. Could I borrow yours for a moment, Mr. Gosa?</v>
      </c>
    </row>
    <row r="776" spans="1:2" ht="18">
      <c r="A776" s="3" t="s">
        <v>5322</v>
      </c>
      <c r="B776" s="3" t="str">
        <f ca="1">IFERROR(__xludf.DUMMYFUNCTION("IFERROR(GOOGLETRANSLATE(A779,""ko"",""en""),)"),"My face is swollen because I ate a late-night snack yesterday.")</f>
        <v>My face is swollen because I ate a late-night snack yesterday.</v>
      </c>
    </row>
    <row r="777" spans="1:2" ht="18">
      <c r="A777" s="3" t="s">
        <v>5323</v>
      </c>
      <c r="B777" s="3" t="str">
        <f ca="1">IFERROR(__xludf.DUMMYFUNCTION("IFERROR(GOOGLETRANSLATE(A780,""ko"",""en""),)"),"Have you ever worked abroad?")</f>
        <v>Have you ever worked abroad?</v>
      </c>
    </row>
    <row r="778" spans="1:2" ht="18">
      <c r="A778" s="3" t="s">
        <v>5324</v>
      </c>
      <c r="B778" s="3" t="str">
        <f ca="1">IFERROR(__xludf.DUMMYFUNCTION("IFERROR(GOOGLETRANSLATE(A781,""ko"",""en""),)"),"This black jacket is cool. Try it on.")</f>
        <v>This black jacket is cool. Try it on.</v>
      </c>
    </row>
    <row r="779" spans="1:2" ht="18">
      <c r="A779" s="3" t="s">
        <v>5325</v>
      </c>
      <c r="B779" s="3" t="str">
        <f ca="1">IFERROR(__xludf.DUMMYFUNCTION("IFERROR(GOOGLETRANSLATE(A782,""ko"",""en""),)"),"Have you ever tried skydiving?")</f>
        <v>Have you ever tried skydiving?</v>
      </c>
    </row>
    <row r="780" spans="1:2" ht="18">
      <c r="A780" s="3" t="s">
        <v>5327</v>
      </c>
      <c r="B780" s="3" t="str">
        <f ca="1">IFERROR(__xludf.DUMMYFUNCTION("IFERROR(GOOGLETRANSLATE(A783,""ko"",""en""),)"),"I visited the Korean Cultural Center.")</f>
        <v>I visited the Korean Cultural Center.</v>
      </c>
    </row>
    <row r="781" spans="1:2" ht="18">
      <c r="A781" s="3" t="s">
        <v>5328</v>
      </c>
      <c r="B781" s="3" t="str">
        <f ca="1">IFERROR(__xludf.DUMMYFUNCTION("IFERROR(GOOGLETRANSLATE(A784,""ko"",""en""),)"),"bon appetite")</f>
        <v>bon appetite</v>
      </c>
    </row>
    <row r="782" spans="1:2" ht="18">
      <c r="A782" s="3" t="s">
        <v>5329</v>
      </c>
      <c r="B782" s="3" t="str">
        <f ca="1">IFERROR(__xludf.DUMMYFUNCTION("IFERROR(GOOGLETRANSLATE(A785,""ko"",""en""),)"),"If you're upset about doing poorly on your exam, how about going to karaoke?")</f>
        <v>If you're upset about doing poorly on your exam, how about going to karaoke?</v>
      </c>
    </row>
    <row r="783" spans="1:2" ht="18">
      <c r="A783" s="3" t="s">
        <v>5330</v>
      </c>
      <c r="B783" s="3" t="str">
        <f ca="1">IFERROR(__xludf.DUMMYFUNCTION("IFERROR(GOOGLETRANSLATE(A786,""ko"",""en""),)"),"Isn't that blue bag prettier?")</f>
        <v>Isn't that blue bag prettier?</v>
      </c>
    </row>
    <row r="784" spans="1:2" ht="18">
      <c r="A784" s="3" t="s">
        <v>5331</v>
      </c>
      <c r="B784" s="3" t="str">
        <f ca="1">IFERROR(__xludf.DUMMYFUNCTION("IFERROR(GOOGLETRANSLATE(A787,""ko"",""en""),)"),"My eyes are black.")</f>
        <v>My eyes are black.</v>
      </c>
    </row>
    <row r="785" spans="1:2" ht="18">
      <c r="A785" s="3" t="s">
        <v>5332</v>
      </c>
      <c r="B785" s="3" t="str">
        <f ca="1">IFERROR(__xludf.DUMMYFUNCTION("IFERROR(GOOGLETRANSLATE(A788,""ko"",""en""),)"),"My ears are red.")</f>
        <v>My ears are red.</v>
      </c>
    </row>
    <row r="786" spans="1:2" ht="18">
      <c r="A786" s="3" t="s">
        <v>5333</v>
      </c>
      <c r="B786" s="3" t="str">
        <f ca="1">IFERROR(__xludf.DUMMYFUNCTION("IFERROR(GOOGLETRANSLATE(A789,""ko"",""en""),)"),"Black hair is the prettiest.")</f>
        <v>Black hair is the prettiest.</v>
      </c>
    </row>
    <row r="787" spans="1:2" ht="18">
      <c r="A787" s="3" t="s">
        <v>5334</v>
      </c>
      <c r="B787" s="3" t="str">
        <f ca="1">IFERROR(__xludf.DUMMYFUNCTION("IFERROR(GOOGLETRANSLATE(A790,""ko"",""en""),)"),"I hope this T-shirt fits me well.")</f>
        <v>I hope this T-shirt fits me well.</v>
      </c>
    </row>
    <row r="788" spans="1:2" ht="18">
      <c r="A788" s="3" t="s">
        <v>5335</v>
      </c>
      <c r="B788" s="3" t="str">
        <f ca="1">IFERROR(__xludf.DUMMYFUNCTION("IFERROR(GOOGLETRANSLATE(A791,""ko"",""en""),)"),"I wish the weekend would come soon.")</f>
        <v>I wish the weekend would come soon.</v>
      </c>
    </row>
    <row r="789" spans="1:2" ht="18">
      <c r="A789" s="3" t="s">
        <v>5336</v>
      </c>
      <c r="B789" s="3" t="str">
        <f ca="1">IFERROR(__xludf.DUMMYFUNCTION("IFERROR(GOOGLETRANSLATE(A792,""ko"",""en""),)"),"I wish I could buy a Porsche.")</f>
        <v>I wish I could buy a Porsche.</v>
      </c>
    </row>
    <row r="790" spans="1:2" ht="18">
      <c r="A790" s="3" t="s">
        <v>5337</v>
      </c>
      <c r="B790" s="3" t="str">
        <f ca="1">IFERROR(__xludf.DUMMYFUNCTION("IFERROR(GOOGLETRANSLATE(A793,""ko"",""en""),)"),"I hope the child doesn't get sick.")</f>
        <v>I hope the child doesn't get sick.</v>
      </c>
    </row>
    <row r="791" spans="1:2" ht="18">
      <c r="A791" s="3" t="s">
        <v>5338</v>
      </c>
      <c r="B791" s="3" t="str">
        <f ca="1">IFERROR(__xludf.DUMMYFUNCTION("IFERROR(GOOGLETRANSLATE(A794,""ko"",""en""),)"),"I wish I could wake up late every day.")</f>
        <v>I wish I could wake up late every day.</v>
      </c>
    </row>
    <row r="792" spans="1:2" ht="18">
      <c r="A792" s="3" t="s">
        <v>5339</v>
      </c>
      <c r="B792" s="3" t="str">
        <f ca="1">IFERROR(__xludf.DUMMYFUNCTION("IFERROR(GOOGLETRANSLATE(A795,""ko"",""en""),)"),"Have you ever sung a Korean song?")</f>
        <v>Have you ever sung a Korean song?</v>
      </c>
    </row>
    <row r="793" spans="1:2" ht="18">
      <c r="A793" s="3" t="s">
        <v>5340</v>
      </c>
      <c r="B793" s="3" t="str">
        <f ca="1">IFERROR(__xludf.DUMMYFUNCTION("IFERROR(GOOGLETRANSLATE(A796,""ko"",""en""),)"),"That dress is too red.")</f>
        <v>That dress is too red.</v>
      </c>
    </row>
    <row r="794" spans="1:2" ht="18">
      <c r="A794" s="3" t="s">
        <v>5341</v>
      </c>
      <c r="B794" s="3" t="str">
        <f ca="1">IFERROR(__xludf.DUMMYFUNCTION("IFERROR(GOOGLETRANSLATE(A797,""ko"",""en""),)"),"If you take stress tests, you might not be able to sleep.")</f>
        <v>If you take stress tests, you might not be able to sleep.</v>
      </c>
    </row>
    <row r="795" spans="1:2" ht="18">
      <c r="A795" s="3"/>
      <c r="B795" s="3" t="str">
        <f ca="1">IFERROR(__xludf.DUMMYFUNCTION("IFERROR(GOOGLETRANSLATE(A798,""ko"",""en""),)"),"")</f>
        <v/>
      </c>
    </row>
    <row r="796" spans="1:2" ht="18">
      <c r="A796" s="3"/>
      <c r="B796" s="3" t="str">
        <f ca="1">IFERROR(__xludf.DUMMYFUNCTION("IFERROR(GOOGLETRANSLATE(A799,""ko"",""en""),)"),"")</f>
        <v/>
      </c>
    </row>
    <row r="797" spans="1:2" ht="18">
      <c r="A797" s="3"/>
      <c r="B797" s="3" t="str">
        <f ca="1">IFERROR(__xludf.DUMMYFUNCTION("IFERROR(GOOGLETRANSLATE(A800,""ko"",""en""),)"),"")</f>
        <v/>
      </c>
    </row>
    <row r="798" spans="1:2" ht="18">
      <c r="A798" s="3"/>
      <c r="B798" s="3" t="str">
        <f ca="1">IFERROR(__xludf.DUMMYFUNCTION("IFERROR(GOOGLETRANSLATE(A801,""ko"",""en""),)"),"")</f>
        <v/>
      </c>
    </row>
    <row r="799" spans="1:2" ht="18">
      <c r="A799" s="3"/>
      <c r="B799" s="3" t="str">
        <f ca="1">IFERROR(__xludf.DUMMYFUNCTION("IFERROR(GOOGLETRANSLATE(A802,""ko"",""en""),)"),"")</f>
        <v/>
      </c>
    </row>
    <row r="800" spans="1:2" ht="18">
      <c r="A800" s="3"/>
      <c r="B800" s="3" t="str">
        <f ca="1">IFERROR(__xludf.DUMMYFUNCTION("IFERROR(GOOGLETRANSLATE(A803,""ko"",""en""),)"),"")</f>
        <v/>
      </c>
    </row>
    <row r="801" spans="1:2" ht="18">
      <c r="A801" s="3"/>
      <c r="B801" s="3" t="str">
        <f ca="1">IFERROR(__xludf.DUMMYFUNCTION("IFERROR(GOOGLETRANSLATE(A804,""ko"",""en""),)"),"")</f>
        <v/>
      </c>
    </row>
    <row r="802" spans="1:2" ht="18">
      <c r="A802" s="3"/>
      <c r="B802" s="3" t="str">
        <f ca="1">IFERROR(__xludf.DUMMYFUNCTION("IFERROR(GOOGLETRANSLATE(A805,""ko"",""en""),)"),"")</f>
        <v/>
      </c>
    </row>
    <row r="803" spans="1:2" ht="18">
      <c r="A803" s="3"/>
      <c r="B803" s="3" t="str">
        <f ca="1">IFERROR(__xludf.DUMMYFUNCTION("IFERROR(GOOGLETRANSLATE(A806,""ko"",""en""),)"),"")</f>
        <v/>
      </c>
    </row>
    <row r="804" spans="1:2" ht="18">
      <c r="A804" s="3"/>
      <c r="B804" s="3" t="str">
        <f ca="1">IFERROR(__xludf.DUMMYFUNCTION("IFERROR(GOOGLETRANSLATE(A807,""ko"",""en""),)"),"")</f>
        <v/>
      </c>
    </row>
    <row r="805" spans="1:2" ht="18">
      <c r="A805" s="3"/>
      <c r="B805" s="3" t="str">
        <f ca="1">IFERROR(__xludf.DUMMYFUNCTION("IFERROR(GOOGLETRANSLATE(A808,""ko"",""en""),)"),"")</f>
        <v/>
      </c>
    </row>
    <row r="806" spans="1:2" ht="18">
      <c r="A806" s="3"/>
      <c r="B806" s="3" t="str">
        <f ca="1">IFERROR(__xludf.DUMMYFUNCTION("IFERROR(GOOGLETRANSLATE(A809,""ko"",""en""),)"),"")</f>
        <v/>
      </c>
    </row>
    <row r="807" spans="1:2" ht="18">
      <c r="A807" s="3"/>
      <c r="B807" s="3" t="str">
        <f ca="1">IFERROR(__xludf.DUMMYFUNCTION("IFERROR(GOOGLETRANSLATE(A810,""ko"",""en""),)"),"")</f>
        <v/>
      </c>
    </row>
    <row r="808" spans="1:2" ht="18">
      <c r="A808" s="3"/>
      <c r="B808" s="3" t="str">
        <f ca="1">IFERROR(__xludf.DUMMYFUNCTION("IFERROR(GOOGLETRANSLATE(A811,""ko"",""en""),)"),"")</f>
        <v/>
      </c>
    </row>
    <row r="809" spans="1:2" ht="18">
      <c r="A809" s="3"/>
      <c r="B809" s="3" t="str">
        <f ca="1">IFERROR(__xludf.DUMMYFUNCTION("IFERROR(GOOGLETRANSLATE(A812,""ko"",""en""),)"),"")</f>
        <v/>
      </c>
    </row>
    <row r="810" spans="1:2" ht="18">
      <c r="A810" s="3"/>
      <c r="B810" s="3" t="str">
        <f ca="1">IFERROR(__xludf.DUMMYFUNCTION("IFERROR(GOOGLETRANSLATE(A813,""ko"",""en""),)"),"")</f>
        <v/>
      </c>
    </row>
    <row r="811" spans="1:2" ht="18">
      <c r="A811" s="3"/>
      <c r="B811" s="3" t="str">
        <f ca="1">IFERROR(__xludf.DUMMYFUNCTION("IFERROR(GOOGLETRANSLATE(A814,""ko"",""en""),)"),"")</f>
        <v/>
      </c>
    </row>
    <row r="812" spans="1:2" ht="18">
      <c r="A812" s="3"/>
      <c r="B812" s="3" t="str">
        <f ca="1">IFERROR(__xludf.DUMMYFUNCTION("IFERROR(GOOGLETRANSLATE(A815,""ko"",""en""),)"),"")</f>
        <v/>
      </c>
    </row>
    <row r="813" spans="1:2" ht="18">
      <c r="A813" s="3"/>
      <c r="B813" s="3" t="str">
        <f ca="1">IFERROR(__xludf.DUMMYFUNCTION("IFERROR(GOOGLETRANSLATE(A816,""ko"",""en""),)"),"")</f>
        <v/>
      </c>
    </row>
    <row r="814" spans="1:2" ht="18">
      <c r="A814" s="3"/>
      <c r="B814" s="3" t="str">
        <f ca="1">IFERROR(__xludf.DUMMYFUNCTION("IFERROR(GOOGLETRANSLATE(A817,""ko"",""en""),)"),"")</f>
        <v/>
      </c>
    </row>
    <row r="815" spans="1:2" ht="18">
      <c r="A815" s="3"/>
      <c r="B815" s="3" t="str">
        <f ca="1">IFERROR(__xludf.DUMMYFUNCTION("IFERROR(GOOGLETRANSLATE(A818,""ko"",""en""),)"),"")</f>
        <v/>
      </c>
    </row>
    <row r="816" spans="1:2" ht="18">
      <c r="A816" s="3"/>
      <c r="B816" s="3" t="str">
        <f ca="1">IFERROR(__xludf.DUMMYFUNCTION("IFERROR(GOOGLETRANSLATE(A819,""ko"",""en""),)"),"")</f>
        <v/>
      </c>
    </row>
    <row r="817" spans="1:2" ht="18">
      <c r="A817" s="3"/>
      <c r="B817" s="3" t="str">
        <f ca="1">IFERROR(__xludf.DUMMYFUNCTION("IFERROR(GOOGLETRANSLATE(A820,""ko"",""en""),)"),"")</f>
        <v/>
      </c>
    </row>
    <row r="818" spans="1:2" ht="18">
      <c r="A818" s="3"/>
      <c r="B818" s="3" t="str">
        <f ca="1">IFERROR(__xludf.DUMMYFUNCTION("IFERROR(GOOGLETRANSLATE(A821,""ko"",""en""),)"),"")</f>
        <v/>
      </c>
    </row>
    <row r="819" spans="1:2" ht="18">
      <c r="A819" s="3"/>
      <c r="B819" s="3" t="str">
        <f ca="1">IFERROR(__xludf.DUMMYFUNCTION("IFERROR(GOOGLETRANSLATE(A822,""ko"",""en""),)"),"")</f>
        <v/>
      </c>
    </row>
    <row r="820" spans="1:2" ht="18">
      <c r="A820" s="3"/>
      <c r="B820" s="3" t="str">
        <f ca="1">IFERROR(__xludf.DUMMYFUNCTION("IFERROR(GOOGLETRANSLATE(A823,""ko"",""en""),)"),"")</f>
        <v/>
      </c>
    </row>
    <row r="821" spans="1:2" ht="18">
      <c r="A821" s="3"/>
      <c r="B821" s="3" t="str">
        <f ca="1">IFERROR(__xludf.DUMMYFUNCTION("IFERROR(GOOGLETRANSLATE(A824,""ko"",""en""),)"),"")</f>
        <v/>
      </c>
    </row>
    <row r="822" spans="1:2" ht="18">
      <c r="A822" s="3"/>
      <c r="B822" s="3" t="str">
        <f ca="1">IFERROR(__xludf.DUMMYFUNCTION("IFERROR(GOOGLETRANSLATE(A825,""ko"",""en""),)"),"")</f>
        <v/>
      </c>
    </row>
    <row r="823" spans="1:2" ht="18">
      <c r="A823" s="3"/>
      <c r="B823" s="3" t="str">
        <f ca="1">IFERROR(__xludf.DUMMYFUNCTION("IFERROR(GOOGLETRANSLATE(A826,""ko"",""en""),)"),"")</f>
        <v/>
      </c>
    </row>
    <row r="824" spans="1:2" ht="18">
      <c r="A824" s="3"/>
      <c r="B824" s="3" t="str">
        <f ca="1">IFERROR(__xludf.DUMMYFUNCTION("IFERROR(GOOGLETRANSLATE(A827,""ko"",""en""),)"),"")</f>
        <v/>
      </c>
    </row>
    <row r="825" spans="1:2" ht="18">
      <c r="A825" s="3"/>
      <c r="B825" s="3" t="str">
        <f ca="1">IFERROR(__xludf.DUMMYFUNCTION("IFERROR(GOOGLETRANSLATE(A828,""ko"",""en""),)"),"")</f>
        <v/>
      </c>
    </row>
    <row r="826" spans="1:2" ht="18">
      <c r="A826" s="3"/>
      <c r="B826" s="3" t="str">
        <f ca="1">IFERROR(__xludf.DUMMYFUNCTION("IFERROR(GOOGLETRANSLATE(A829,""ko"",""en""),)"),"")</f>
        <v/>
      </c>
    </row>
    <row r="827" spans="1:2" ht="18">
      <c r="A827" s="3"/>
      <c r="B827" s="3" t="str">
        <f ca="1">IFERROR(__xludf.DUMMYFUNCTION("IFERROR(GOOGLETRANSLATE(A830,""ko"",""en""),)"),"")</f>
        <v/>
      </c>
    </row>
    <row r="828" spans="1:2" ht="18">
      <c r="A828" s="3"/>
      <c r="B828" s="3" t="str">
        <f ca="1">IFERROR(__xludf.DUMMYFUNCTION("IFERROR(GOOGLETRANSLATE(A831,""ko"",""en""),)"),"")</f>
        <v/>
      </c>
    </row>
    <row r="829" spans="1:2" ht="18">
      <c r="A829" s="3"/>
      <c r="B829" s="3" t="str">
        <f ca="1">IFERROR(__xludf.DUMMYFUNCTION("IFERROR(GOOGLETRANSLATE(A832,""ko"",""en""),)"),"")</f>
        <v/>
      </c>
    </row>
    <row r="830" spans="1:2" ht="18">
      <c r="A830" s="3"/>
      <c r="B830" s="3" t="str">
        <f ca="1">IFERROR(__xludf.DUMMYFUNCTION("IFERROR(GOOGLETRANSLATE(A833,""ko"",""en""),)"),"")</f>
        <v/>
      </c>
    </row>
    <row r="831" spans="1:2" ht="18">
      <c r="A831" s="3"/>
      <c r="B831" s="3" t="str">
        <f ca="1">IFERROR(__xludf.DUMMYFUNCTION("IFERROR(GOOGLETRANSLATE(A834,""ko"",""en""),)"),"")</f>
        <v/>
      </c>
    </row>
    <row r="832" spans="1:2" ht="18">
      <c r="A832" s="3"/>
      <c r="B832" s="3" t="str">
        <f ca="1">IFERROR(__xludf.DUMMYFUNCTION("IFERROR(GOOGLETRANSLATE(A835,""ko"",""en""),)"),"")</f>
        <v/>
      </c>
    </row>
    <row r="833" spans="1:2" ht="18">
      <c r="A833" s="3"/>
      <c r="B833" s="3" t="str">
        <f ca="1">IFERROR(__xludf.DUMMYFUNCTION("IFERROR(GOOGLETRANSLATE(A836,""ko"",""en""),)"),"")</f>
        <v/>
      </c>
    </row>
    <row r="834" spans="1:2" ht="18">
      <c r="A834" s="3"/>
      <c r="B834" s="3" t="str">
        <f ca="1">IFERROR(__xludf.DUMMYFUNCTION("IFERROR(GOOGLETRANSLATE(A837,""ko"",""en""),)"),"")</f>
        <v/>
      </c>
    </row>
    <row r="835" spans="1:2" ht="18">
      <c r="A835" s="3"/>
      <c r="B835" s="3" t="str">
        <f ca="1">IFERROR(__xludf.DUMMYFUNCTION("IFERROR(GOOGLETRANSLATE(A838,""ko"",""en""),)"),"")</f>
        <v/>
      </c>
    </row>
    <row r="836" spans="1:2" ht="18">
      <c r="A836" s="3"/>
      <c r="B836" s="3" t="str">
        <f ca="1">IFERROR(__xludf.DUMMYFUNCTION("IFERROR(GOOGLETRANSLATE(A839,""ko"",""en""),)"),"")</f>
        <v/>
      </c>
    </row>
    <row r="837" spans="1:2" ht="18">
      <c r="A837" s="3"/>
      <c r="B837" s="3" t="str">
        <f ca="1">IFERROR(__xludf.DUMMYFUNCTION("IFERROR(GOOGLETRANSLATE(A840,""ko"",""en""),)"),"")</f>
        <v/>
      </c>
    </row>
    <row r="838" spans="1:2" ht="18">
      <c r="A838" s="3"/>
      <c r="B838" s="3" t="str">
        <f ca="1">IFERROR(__xludf.DUMMYFUNCTION("IFERROR(GOOGLETRANSLATE(A841,""ko"",""en""),)"),"")</f>
        <v/>
      </c>
    </row>
    <row r="839" spans="1:2" ht="18">
      <c r="A839" s="3"/>
      <c r="B839" s="3" t="str">
        <f ca="1">IFERROR(__xludf.DUMMYFUNCTION("IFERROR(GOOGLETRANSLATE(A842,""ko"",""en""),)"),"")</f>
        <v/>
      </c>
    </row>
    <row r="840" spans="1:2" ht="18">
      <c r="A840" s="3"/>
      <c r="B840" s="3" t="str">
        <f ca="1">IFERROR(__xludf.DUMMYFUNCTION("IFERROR(GOOGLETRANSLATE(A843,""ko"",""en""),)"),"")</f>
        <v/>
      </c>
    </row>
    <row r="841" spans="1:2" ht="18">
      <c r="A841" s="3"/>
      <c r="B841" s="3" t="str">
        <f ca="1">IFERROR(__xludf.DUMMYFUNCTION("IFERROR(GOOGLETRANSLATE(A844,""ko"",""en""),)"),"")</f>
        <v/>
      </c>
    </row>
    <row r="842" spans="1:2" ht="18">
      <c r="A842" s="3"/>
      <c r="B842" s="3" t="str">
        <f ca="1">IFERROR(__xludf.DUMMYFUNCTION("IFERROR(GOOGLETRANSLATE(A845,""ko"",""en""),)"),"")</f>
        <v/>
      </c>
    </row>
    <row r="843" spans="1:2" ht="18">
      <c r="A843" s="3"/>
      <c r="B843" s="3" t="str">
        <f ca="1">IFERROR(__xludf.DUMMYFUNCTION("IFERROR(GOOGLETRANSLATE(A846,""ko"",""en""),)"),"")</f>
        <v/>
      </c>
    </row>
    <row r="844" spans="1:2" ht="18">
      <c r="A844" s="3"/>
      <c r="B844" s="3" t="str">
        <f ca="1">IFERROR(__xludf.DUMMYFUNCTION("IFERROR(GOOGLETRANSLATE(A847,""ko"",""en""),)"),"")</f>
        <v/>
      </c>
    </row>
    <row r="845" spans="1:2" ht="18">
      <c r="A845" s="3"/>
      <c r="B845" s="3" t="str">
        <f ca="1">IFERROR(__xludf.DUMMYFUNCTION("IFERROR(GOOGLETRANSLATE(A848,""ko"",""en""),)"),"")</f>
        <v/>
      </c>
    </row>
    <row r="846" spans="1:2" ht="18">
      <c r="A846" s="3"/>
      <c r="B846" s="3" t="str">
        <f ca="1">IFERROR(__xludf.DUMMYFUNCTION("IFERROR(GOOGLETRANSLATE(A849,""ko"",""en""),)"),"")</f>
        <v/>
      </c>
    </row>
    <row r="847" spans="1:2" ht="18">
      <c r="A847" s="3"/>
      <c r="B847" s="3" t="str">
        <f ca="1">IFERROR(__xludf.DUMMYFUNCTION("IFERROR(GOOGLETRANSLATE(A850,""ko"",""en""),)"),"")</f>
        <v/>
      </c>
    </row>
    <row r="848" spans="1:2" ht="18">
      <c r="A848" s="3"/>
      <c r="B848" s="3" t="str">
        <f ca="1">IFERROR(__xludf.DUMMYFUNCTION("IFERROR(GOOGLETRANSLATE(A851,""ko"",""en""),)"),"")</f>
        <v/>
      </c>
    </row>
    <row r="849" spans="1:2" ht="18">
      <c r="A849" s="3"/>
      <c r="B849" s="3" t="str">
        <f ca="1">IFERROR(__xludf.DUMMYFUNCTION("IFERROR(GOOGLETRANSLATE(A852,""ko"",""en""),)"),"")</f>
        <v/>
      </c>
    </row>
    <row r="850" spans="1:2" ht="18">
      <c r="A850" s="3"/>
      <c r="B850" s="3" t="str">
        <f ca="1">IFERROR(__xludf.DUMMYFUNCTION("IFERROR(GOOGLETRANSLATE(A853,""ko"",""en""),)"),"")</f>
        <v/>
      </c>
    </row>
    <row r="851" spans="1:2" ht="18">
      <c r="A851" s="3"/>
      <c r="B851" s="3" t="str">
        <f ca="1">IFERROR(__xludf.DUMMYFUNCTION("IFERROR(GOOGLETRANSLATE(A854,""ko"",""en""),)"),"")</f>
        <v/>
      </c>
    </row>
    <row r="852" spans="1:2" ht="18">
      <c r="A852" s="3"/>
      <c r="B852" s="3" t="str">
        <f ca="1">IFERROR(__xludf.DUMMYFUNCTION("IFERROR(GOOGLETRANSLATE(A855,""ko"",""en""),)"),"")</f>
        <v/>
      </c>
    </row>
    <row r="853" spans="1:2" ht="18">
      <c r="A853" s="3"/>
      <c r="B853" s="3" t="str">
        <f ca="1">IFERROR(__xludf.DUMMYFUNCTION("IFERROR(GOOGLETRANSLATE(A856,""ko"",""en""),)"),"")</f>
        <v/>
      </c>
    </row>
    <row r="854" spans="1:2" ht="18">
      <c r="A854" s="3"/>
      <c r="B854" s="3" t="str">
        <f ca="1">IFERROR(__xludf.DUMMYFUNCTION("IFERROR(GOOGLETRANSLATE(A857,""ko"",""en""),)"),"")</f>
        <v/>
      </c>
    </row>
    <row r="855" spans="1:2" ht="18">
      <c r="A855" s="3"/>
      <c r="B855" s="3" t="str">
        <f ca="1">IFERROR(__xludf.DUMMYFUNCTION("IFERROR(GOOGLETRANSLATE(A858,""ko"",""en""),)"),"")</f>
        <v/>
      </c>
    </row>
    <row r="856" spans="1:2" ht="18">
      <c r="A856" s="3"/>
      <c r="B856" s="3" t="str">
        <f ca="1">IFERROR(__xludf.DUMMYFUNCTION("IFERROR(GOOGLETRANSLATE(A859,""ko"",""en""),)"),"")</f>
        <v/>
      </c>
    </row>
    <row r="857" spans="1:2" ht="18">
      <c r="A857" s="3"/>
      <c r="B857" s="3" t="str">
        <f ca="1">IFERROR(__xludf.DUMMYFUNCTION("IFERROR(GOOGLETRANSLATE(A860,""ko"",""en""),)"),"")</f>
        <v/>
      </c>
    </row>
    <row r="858" spans="1:2" ht="18">
      <c r="A858" s="3"/>
      <c r="B858" s="3" t="str">
        <f ca="1">IFERROR(__xludf.DUMMYFUNCTION("IFERROR(GOOGLETRANSLATE(A861,""ko"",""en""),)"),"")</f>
        <v/>
      </c>
    </row>
    <row r="859" spans="1:2" ht="18">
      <c r="A859" s="3"/>
      <c r="B859" s="3" t="str">
        <f ca="1">IFERROR(__xludf.DUMMYFUNCTION("IFERROR(GOOGLETRANSLATE(A862,""ko"",""en""),)"),"")</f>
        <v/>
      </c>
    </row>
    <row r="860" spans="1:2" ht="18">
      <c r="A860" s="3"/>
      <c r="B860" s="3" t="str">
        <f ca="1">IFERROR(__xludf.DUMMYFUNCTION("IFERROR(GOOGLETRANSLATE(A863,""ko"",""en""),)"),"")</f>
        <v/>
      </c>
    </row>
    <row r="861" spans="1:2" ht="18">
      <c r="A861" s="3"/>
      <c r="B861" s="3" t="str">
        <f ca="1">IFERROR(__xludf.DUMMYFUNCTION("IFERROR(GOOGLETRANSLATE(A864,""ko"",""en""),)"),"")</f>
        <v/>
      </c>
    </row>
    <row r="862" spans="1:2" ht="18">
      <c r="A862" s="3"/>
      <c r="B862" s="3" t="str">
        <f ca="1">IFERROR(__xludf.DUMMYFUNCTION("IFERROR(GOOGLETRANSLATE(A865,""ko"",""en""),)"),"")</f>
        <v/>
      </c>
    </row>
    <row r="863" spans="1:2" ht="18">
      <c r="A863" s="3"/>
      <c r="B863" s="3" t="str">
        <f ca="1">IFERROR(__xludf.DUMMYFUNCTION("IFERROR(GOOGLETRANSLATE(A866,""ko"",""en""),)"),"")</f>
        <v/>
      </c>
    </row>
    <row r="864" spans="1:2" ht="18">
      <c r="A864" s="3"/>
      <c r="B864" s="3" t="str">
        <f ca="1">IFERROR(__xludf.DUMMYFUNCTION("IFERROR(GOOGLETRANSLATE(A867,""ko"",""en""),)"),"")</f>
        <v/>
      </c>
    </row>
    <row r="865" spans="1:2" ht="18">
      <c r="A865" s="3"/>
      <c r="B865" s="3" t="str">
        <f ca="1">IFERROR(__xludf.DUMMYFUNCTION("IFERROR(GOOGLETRANSLATE(A868,""ko"",""en""),)"),"")</f>
        <v/>
      </c>
    </row>
    <row r="866" spans="1:2" ht="18">
      <c r="A866" s="3"/>
      <c r="B866" s="3" t="str">
        <f ca="1">IFERROR(__xludf.DUMMYFUNCTION("IFERROR(GOOGLETRANSLATE(A869,""ko"",""en""),)"),"")</f>
        <v/>
      </c>
    </row>
    <row r="867" spans="1:2" ht="18">
      <c r="A867" s="3"/>
      <c r="B867" s="3" t="str">
        <f ca="1">IFERROR(__xludf.DUMMYFUNCTION("IFERROR(GOOGLETRANSLATE(A870,""ko"",""en""),)"),"")</f>
        <v/>
      </c>
    </row>
    <row r="868" spans="1:2" ht="18">
      <c r="A868" s="3"/>
      <c r="B868" s="3" t="str">
        <f ca="1">IFERROR(__xludf.DUMMYFUNCTION("IFERROR(GOOGLETRANSLATE(A871,""ko"",""en""),)"),"")</f>
        <v/>
      </c>
    </row>
    <row r="869" spans="1:2" ht="18">
      <c r="A869" s="3"/>
      <c r="B869" s="3" t="str">
        <f ca="1">IFERROR(__xludf.DUMMYFUNCTION("IFERROR(GOOGLETRANSLATE(A872,""ko"",""en""),)"),"")</f>
        <v/>
      </c>
    </row>
    <row r="870" spans="1:2" ht="18">
      <c r="A870" s="3"/>
      <c r="B870" s="3" t="str">
        <f ca="1">IFERROR(__xludf.DUMMYFUNCTION("IFERROR(GOOGLETRANSLATE(A873,""ko"",""en""),)"),"")</f>
        <v/>
      </c>
    </row>
    <row r="871" spans="1:2" ht="18">
      <c r="A871" s="3"/>
      <c r="B871" s="3" t="str">
        <f ca="1">IFERROR(__xludf.DUMMYFUNCTION("IFERROR(GOOGLETRANSLATE(A874,""ko"",""en""),)"),"")</f>
        <v/>
      </c>
    </row>
    <row r="872" spans="1:2" ht="18">
      <c r="A872" s="3"/>
      <c r="B872" s="3" t="str">
        <f ca="1">IFERROR(__xludf.DUMMYFUNCTION("IFERROR(GOOGLETRANSLATE(A875,""ko"",""en""),)"),"")</f>
        <v/>
      </c>
    </row>
    <row r="873" spans="1:2" ht="18">
      <c r="A873" s="3"/>
      <c r="B873" s="3" t="str">
        <f ca="1">IFERROR(__xludf.DUMMYFUNCTION("IFERROR(GOOGLETRANSLATE(A876,""ko"",""en""),)"),"")</f>
        <v/>
      </c>
    </row>
    <row r="874" spans="1:2" ht="18">
      <c r="A874" s="3"/>
      <c r="B874" s="3" t="str">
        <f ca="1">IFERROR(__xludf.DUMMYFUNCTION("IFERROR(GOOGLETRANSLATE(A877,""ko"",""en""),)"),"")</f>
        <v/>
      </c>
    </row>
    <row r="875" spans="1:2" ht="18">
      <c r="A875" s="3"/>
      <c r="B875" s="3" t="str">
        <f ca="1">IFERROR(__xludf.DUMMYFUNCTION("IFERROR(GOOGLETRANSLATE(A878,""ko"",""en""),)"),"")</f>
        <v/>
      </c>
    </row>
    <row r="876" spans="1:2" ht="18">
      <c r="A876" s="3"/>
      <c r="B876" s="3" t="str">
        <f ca="1">IFERROR(__xludf.DUMMYFUNCTION("IFERROR(GOOGLETRANSLATE(A879,""ko"",""en""),)"),"")</f>
        <v/>
      </c>
    </row>
    <row r="877" spans="1:2" ht="18">
      <c r="A877" s="3"/>
      <c r="B877" s="3" t="str">
        <f ca="1">IFERROR(__xludf.DUMMYFUNCTION("IFERROR(GOOGLETRANSLATE(A880,""ko"",""en""),)"),"")</f>
        <v/>
      </c>
    </row>
    <row r="878" spans="1:2" ht="18">
      <c r="A878" s="3"/>
      <c r="B878" s="3" t="str">
        <f ca="1">IFERROR(__xludf.DUMMYFUNCTION("IFERROR(GOOGLETRANSLATE(A881,""ko"",""en""),)"),"")</f>
        <v/>
      </c>
    </row>
    <row r="879" spans="1:2" ht="18">
      <c r="A879" s="3"/>
      <c r="B879" s="3" t="str">
        <f ca="1">IFERROR(__xludf.DUMMYFUNCTION("IFERROR(GOOGLETRANSLATE(A882,""ko"",""en""),)"),"")</f>
        <v/>
      </c>
    </row>
    <row r="880" spans="1:2" ht="18">
      <c r="A880" s="3"/>
      <c r="B880" s="3" t="str">
        <f ca="1">IFERROR(__xludf.DUMMYFUNCTION("IFERROR(GOOGLETRANSLATE(A883,""ko"",""en""),)"),"")</f>
        <v/>
      </c>
    </row>
    <row r="881" spans="1:2" ht="18">
      <c r="A881" s="3"/>
      <c r="B881" s="3" t="str">
        <f ca="1">IFERROR(__xludf.DUMMYFUNCTION("IFERROR(GOOGLETRANSLATE(A884,""ko"",""en""),)"),"")</f>
        <v/>
      </c>
    </row>
    <row r="882" spans="1:2" ht="18">
      <c r="A882" s="3"/>
      <c r="B882" s="3" t="str">
        <f ca="1">IFERROR(__xludf.DUMMYFUNCTION("IFERROR(GOOGLETRANSLATE(A885,""ko"",""en""),)"),"")</f>
        <v/>
      </c>
    </row>
    <row r="883" spans="1:2" ht="18">
      <c r="A883" s="3"/>
      <c r="B883" s="3" t="str">
        <f ca="1">IFERROR(__xludf.DUMMYFUNCTION("IFERROR(GOOGLETRANSLATE(A886,""ko"",""en""),)"),"")</f>
        <v/>
      </c>
    </row>
    <row r="884" spans="1:2" ht="18">
      <c r="A884" s="3"/>
      <c r="B884" s="3" t="str">
        <f ca="1">IFERROR(__xludf.DUMMYFUNCTION("IFERROR(GOOGLETRANSLATE(A887,""ko"",""en""),)"),"")</f>
        <v/>
      </c>
    </row>
    <row r="885" spans="1:2" ht="18">
      <c r="A885" s="3"/>
      <c r="B885" s="3" t="str">
        <f ca="1">IFERROR(__xludf.DUMMYFUNCTION("IFERROR(GOOGLETRANSLATE(A888,""ko"",""en""),)"),"")</f>
        <v/>
      </c>
    </row>
    <row r="886" spans="1:2" ht="18">
      <c r="A886" s="3"/>
      <c r="B886" s="3" t="str">
        <f ca="1">IFERROR(__xludf.DUMMYFUNCTION("IFERROR(GOOGLETRANSLATE(A889,""ko"",""en""),)"),"")</f>
        <v/>
      </c>
    </row>
    <row r="887" spans="1:2" ht="18">
      <c r="A887" s="3"/>
      <c r="B887" s="3" t="str">
        <f ca="1">IFERROR(__xludf.DUMMYFUNCTION("IFERROR(GOOGLETRANSLATE(A890,""ko"",""en""),)"),"")</f>
        <v/>
      </c>
    </row>
    <row r="888" spans="1:2" ht="18">
      <c r="A888" s="3"/>
      <c r="B888" s="3" t="str">
        <f ca="1">IFERROR(__xludf.DUMMYFUNCTION("IFERROR(GOOGLETRANSLATE(A891,""ko"",""en""),)"),"")</f>
        <v/>
      </c>
    </row>
    <row r="889" spans="1:2" ht="18">
      <c r="A889" s="3"/>
      <c r="B889" s="3" t="str">
        <f ca="1">IFERROR(__xludf.DUMMYFUNCTION("IFERROR(GOOGLETRANSLATE(A892,""ko"",""en""),)"),"")</f>
        <v/>
      </c>
    </row>
    <row r="890" spans="1:2" ht="18">
      <c r="A890" s="3"/>
      <c r="B890" s="3" t="str">
        <f ca="1">IFERROR(__xludf.DUMMYFUNCTION("IFERROR(GOOGLETRANSLATE(A893,""ko"",""en""),)"),"")</f>
        <v/>
      </c>
    </row>
    <row r="891" spans="1:2" ht="18">
      <c r="A891" s="3"/>
      <c r="B891" s="3" t="str">
        <f ca="1">IFERROR(__xludf.DUMMYFUNCTION("IFERROR(GOOGLETRANSLATE(A894,""ko"",""en""),)"),"")</f>
        <v/>
      </c>
    </row>
    <row r="892" spans="1:2" ht="18">
      <c r="A892" s="3"/>
      <c r="B892" s="3" t="str">
        <f ca="1">IFERROR(__xludf.DUMMYFUNCTION("IFERROR(GOOGLETRANSLATE(A895,""ko"",""en""),)"),"")</f>
        <v/>
      </c>
    </row>
    <row r="893" spans="1:2" ht="18">
      <c r="A893" s="3"/>
      <c r="B893" s="3" t="str">
        <f ca="1">IFERROR(__xludf.DUMMYFUNCTION("IFERROR(GOOGLETRANSLATE(A896,""ko"",""en""),)"),"")</f>
        <v/>
      </c>
    </row>
    <row r="894" spans="1:2" ht="18">
      <c r="A894" s="3"/>
      <c r="B894" s="3" t="str">
        <f ca="1">IFERROR(__xludf.DUMMYFUNCTION("IFERROR(GOOGLETRANSLATE(A897,""ko"",""en""),)"),"")</f>
        <v/>
      </c>
    </row>
    <row r="895" spans="1:2" ht="18">
      <c r="A895" s="3"/>
      <c r="B895" s="3" t="str">
        <f ca="1">IFERROR(__xludf.DUMMYFUNCTION("IFERROR(GOOGLETRANSLATE(A898,""ko"",""en""),)"),"")</f>
        <v/>
      </c>
    </row>
    <row r="896" spans="1:2" ht="18">
      <c r="A896" s="3"/>
      <c r="B896" s="3" t="str">
        <f ca="1">IFERROR(__xludf.DUMMYFUNCTION("IFERROR(GOOGLETRANSLATE(A899,""ko"",""en""),)"),"")</f>
        <v/>
      </c>
    </row>
    <row r="897" spans="1:2" ht="18">
      <c r="A897" s="3"/>
      <c r="B897" s="3" t="str">
        <f ca="1">IFERROR(__xludf.DUMMYFUNCTION("IFERROR(GOOGLETRANSLATE(A900,""ko"",""en""),)"),"")</f>
        <v/>
      </c>
    </row>
    <row r="898" spans="1:2" ht="18">
      <c r="A898" s="3"/>
      <c r="B898" s="3" t="str">
        <f ca="1">IFERROR(__xludf.DUMMYFUNCTION("IFERROR(GOOGLETRANSLATE(A901,""ko"",""en""),)"),"")</f>
        <v/>
      </c>
    </row>
    <row r="899" spans="1:2" ht="18">
      <c r="A899" s="3"/>
      <c r="B899" s="3" t="str">
        <f ca="1">IFERROR(__xludf.DUMMYFUNCTION("IFERROR(GOOGLETRANSLATE(A902,""ko"",""en""),)"),"")</f>
        <v/>
      </c>
    </row>
    <row r="900" spans="1:2" ht="18">
      <c r="A900" s="3"/>
      <c r="B900" s="3" t="str">
        <f ca="1">IFERROR(__xludf.DUMMYFUNCTION("IFERROR(GOOGLETRANSLATE(A903,""ko"",""en""),)"),"")</f>
        <v/>
      </c>
    </row>
    <row r="901" spans="1:2" ht="18">
      <c r="A901" s="3"/>
      <c r="B901" s="3" t="str">
        <f ca="1">IFERROR(__xludf.DUMMYFUNCTION("IFERROR(GOOGLETRANSLATE(A904,""ko"",""en""),)"),"")</f>
        <v/>
      </c>
    </row>
    <row r="902" spans="1:2" ht="18">
      <c r="A902" s="3"/>
      <c r="B902" s="3" t="str">
        <f ca="1">IFERROR(__xludf.DUMMYFUNCTION("IFERROR(GOOGLETRANSLATE(A905,""ko"",""en""),)"),"")</f>
        <v/>
      </c>
    </row>
    <row r="903" spans="1:2" ht="18">
      <c r="A903" s="3"/>
      <c r="B903" s="3" t="str">
        <f ca="1">IFERROR(__xludf.DUMMYFUNCTION("IFERROR(GOOGLETRANSLATE(A906,""ko"",""en""),)"),"")</f>
        <v/>
      </c>
    </row>
    <row r="904" spans="1:2" ht="18">
      <c r="A904" s="3"/>
      <c r="B904" s="3" t="str">
        <f ca="1">IFERROR(__xludf.DUMMYFUNCTION("IFERROR(GOOGLETRANSLATE(A907,""ko"",""en""),)"),"")</f>
        <v/>
      </c>
    </row>
    <row r="905" spans="1:2" ht="18">
      <c r="A905" s="3"/>
      <c r="B905" s="3" t="str">
        <f ca="1">IFERROR(__xludf.DUMMYFUNCTION("IFERROR(GOOGLETRANSLATE(A908,""ko"",""en""),)"),"")</f>
        <v/>
      </c>
    </row>
    <row r="906" spans="1:2" ht="18">
      <c r="A906" s="3"/>
      <c r="B906" s="3" t="str">
        <f ca="1">IFERROR(__xludf.DUMMYFUNCTION("IFERROR(GOOGLETRANSLATE(A909,""ko"",""en""),)"),"")</f>
        <v/>
      </c>
    </row>
    <row r="907" spans="1:2" ht="18">
      <c r="A907" s="3"/>
      <c r="B907" s="3" t="str">
        <f ca="1">IFERROR(__xludf.DUMMYFUNCTION("IFERROR(GOOGLETRANSLATE(A910,""ko"",""en""),)"),"")</f>
        <v/>
      </c>
    </row>
    <row r="908" spans="1:2" ht="18">
      <c r="A908" s="3"/>
      <c r="B908" s="3" t="str">
        <f ca="1">IFERROR(__xludf.DUMMYFUNCTION("IFERROR(GOOGLETRANSLATE(A911,""ko"",""en""),)"),"")</f>
        <v/>
      </c>
    </row>
    <row r="909" spans="1:2" ht="18">
      <c r="A909" s="3"/>
      <c r="B909" s="3" t="str">
        <f ca="1">IFERROR(__xludf.DUMMYFUNCTION("IFERROR(GOOGLETRANSLATE(A912,""ko"",""en""),)"),"")</f>
        <v/>
      </c>
    </row>
    <row r="910" spans="1:2" ht="18">
      <c r="A910" s="3"/>
      <c r="B910" s="3" t="str">
        <f ca="1">IFERROR(__xludf.DUMMYFUNCTION("IFERROR(GOOGLETRANSLATE(A913,""ko"",""en""),)"),"")</f>
        <v/>
      </c>
    </row>
    <row r="911" spans="1:2" ht="18">
      <c r="A911" s="3"/>
      <c r="B911" s="3" t="str">
        <f ca="1">IFERROR(__xludf.DUMMYFUNCTION("IFERROR(GOOGLETRANSLATE(A914,""ko"",""en""),)"),"")</f>
        <v/>
      </c>
    </row>
    <row r="912" spans="1:2" ht="18">
      <c r="A912" s="3"/>
      <c r="B912" s="3" t="str">
        <f ca="1">IFERROR(__xludf.DUMMYFUNCTION("IFERROR(GOOGLETRANSLATE(A915,""ko"",""en""),)"),"")</f>
        <v/>
      </c>
    </row>
    <row r="913" spans="1:2" ht="18">
      <c r="A913" s="3"/>
      <c r="B913" s="3" t="str">
        <f ca="1">IFERROR(__xludf.DUMMYFUNCTION("IFERROR(GOOGLETRANSLATE(A916,""ko"",""en""),)"),"")</f>
        <v/>
      </c>
    </row>
    <row r="914" spans="1:2" ht="18">
      <c r="A914" s="3"/>
      <c r="B914" s="3" t="str">
        <f ca="1">IFERROR(__xludf.DUMMYFUNCTION("IFERROR(GOOGLETRANSLATE(A917,""ko"",""en""),)"),"")</f>
        <v/>
      </c>
    </row>
    <row r="915" spans="1:2" ht="18">
      <c r="A915" s="3"/>
      <c r="B915" s="3" t="str">
        <f ca="1">IFERROR(__xludf.DUMMYFUNCTION("IFERROR(GOOGLETRANSLATE(A918,""ko"",""en""),)"),"")</f>
        <v/>
      </c>
    </row>
    <row r="916" spans="1:2" ht="18">
      <c r="A916" s="3"/>
      <c r="B916" s="3" t="str">
        <f ca="1">IFERROR(__xludf.DUMMYFUNCTION("IFERROR(GOOGLETRANSLATE(A919,""ko"",""en""),)"),"")</f>
        <v/>
      </c>
    </row>
    <row r="917" spans="1:2" ht="18">
      <c r="A917" s="3"/>
      <c r="B917" s="3" t="str">
        <f ca="1">IFERROR(__xludf.DUMMYFUNCTION("IFERROR(GOOGLETRANSLATE(A920,""ko"",""en""),)"),"")</f>
        <v/>
      </c>
    </row>
    <row r="918" spans="1:2" ht="18">
      <c r="A918" s="3"/>
      <c r="B918" s="3" t="str">
        <f ca="1">IFERROR(__xludf.DUMMYFUNCTION("IFERROR(GOOGLETRANSLATE(A921,""ko"",""en""),)"),"")</f>
        <v/>
      </c>
    </row>
    <row r="919" spans="1:2" ht="18">
      <c r="A919" s="3"/>
      <c r="B919" s="3" t="str">
        <f ca="1">IFERROR(__xludf.DUMMYFUNCTION("IFERROR(GOOGLETRANSLATE(A922,""ko"",""en""),)"),"")</f>
        <v/>
      </c>
    </row>
    <row r="920" spans="1:2" ht="18">
      <c r="A920" s="3"/>
      <c r="B920" s="3" t="str">
        <f ca="1">IFERROR(__xludf.DUMMYFUNCTION("IFERROR(GOOGLETRANSLATE(A923,""ko"",""en""),)"),"")</f>
        <v/>
      </c>
    </row>
    <row r="921" spans="1:2" ht="18">
      <c r="A921" s="3"/>
      <c r="B921" s="3" t="str">
        <f ca="1">IFERROR(__xludf.DUMMYFUNCTION("IFERROR(GOOGLETRANSLATE(A924,""ko"",""en""),)"),"")</f>
        <v/>
      </c>
    </row>
    <row r="922" spans="1:2" ht="18">
      <c r="A922" s="3"/>
      <c r="B922" s="3" t="str">
        <f ca="1">IFERROR(__xludf.DUMMYFUNCTION("IFERROR(GOOGLETRANSLATE(A925,""ko"",""en""),)"),"")</f>
        <v/>
      </c>
    </row>
    <row r="923" spans="1:2" ht="18">
      <c r="A923" s="3"/>
      <c r="B923" s="3" t="str">
        <f ca="1">IFERROR(__xludf.DUMMYFUNCTION("IFERROR(GOOGLETRANSLATE(A926,""ko"",""en""),)"),"")</f>
        <v/>
      </c>
    </row>
    <row r="924" spans="1:2" ht="18">
      <c r="A924" s="3"/>
      <c r="B924" s="3" t="str">
        <f ca="1">IFERROR(__xludf.DUMMYFUNCTION("IFERROR(GOOGLETRANSLATE(A927,""ko"",""en""),)"),"")</f>
        <v/>
      </c>
    </row>
    <row r="925" spans="1:2" ht="18">
      <c r="A925" s="3"/>
      <c r="B925" s="3" t="str">
        <f ca="1">IFERROR(__xludf.DUMMYFUNCTION("IFERROR(GOOGLETRANSLATE(A928,""ko"",""en""),)"),"")</f>
        <v/>
      </c>
    </row>
    <row r="926" spans="1:2" ht="18">
      <c r="A926" s="3"/>
      <c r="B926" s="3" t="str">
        <f ca="1">IFERROR(__xludf.DUMMYFUNCTION("IFERROR(GOOGLETRANSLATE(A929,""ko"",""en""),)"),"")</f>
        <v/>
      </c>
    </row>
    <row r="927" spans="1:2" ht="18">
      <c r="A927" s="3"/>
      <c r="B927" s="3" t="str">
        <f ca="1">IFERROR(__xludf.DUMMYFUNCTION("IFERROR(GOOGLETRANSLATE(A930,""ko"",""en""),)"),"")</f>
        <v/>
      </c>
    </row>
    <row r="928" spans="1:2" ht="18">
      <c r="A928" s="3"/>
      <c r="B928" s="3" t="str">
        <f ca="1">IFERROR(__xludf.DUMMYFUNCTION("IFERROR(GOOGLETRANSLATE(A931,""ko"",""en""),)"),"")</f>
        <v/>
      </c>
    </row>
    <row r="929" spans="1:2" ht="18">
      <c r="A929" s="3"/>
      <c r="B929" s="3" t="str">
        <f ca="1">IFERROR(__xludf.DUMMYFUNCTION("IFERROR(GOOGLETRANSLATE(A932,""ko"",""en""),)"),"")</f>
        <v/>
      </c>
    </row>
    <row r="930" spans="1:2" ht="18">
      <c r="A930" s="3"/>
      <c r="B930" s="3" t="str">
        <f ca="1">IFERROR(__xludf.DUMMYFUNCTION("IFERROR(GOOGLETRANSLATE(A933,""ko"",""en""),)"),"")</f>
        <v/>
      </c>
    </row>
    <row r="931" spans="1:2" ht="18">
      <c r="A931" s="3"/>
      <c r="B931" s="3" t="str">
        <f ca="1">IFERROR(__xludf.DUMMYFUNCTION("IFERROR(GOOGLETRANSLATE(A934,""ko"",""en""),)"),"")</f>
        <v/>
      </c>
    </row>
    <row r="932" spans="1:2" ht="18">
      <c r="A932" s="3"/>
      <c r="B932" s="3" t="str">
        <f ca="1">IFERROR(__xludf.DUMMYFUNCTION("IFERROR(GOOGLETRANSLATE(A935,""ko"",""en""),)"),"")</f>
        <v/>
      </c>
    </row>
    <row r="933" spans="1:2" ht="18">
      <c r="A933" s="3"/>
      <c r="B933" s="3" t="str">
        <f ca="1">IFERROR(__xludf.DUMMYFUNCTION("IFERROR(GOOGLETRANSLATE(A936,""ko"",""en""),)"),"")</f>
        <v/>
      </c>
    </row>
    <row r="934" spans="1:2" ht="18">
      <c r="A934" s="3"/>
      <c r="B934" s="3" t="str">
        <f ca="1">IFERROR(__xludf.DUMMYFUNCTION("IFERROR(GOOGLETRANSLATE(A937,""ko"",""en""),)"),"")</f>
        <v/>
      </c>
    </row>
    <row r="935" spans="1:2" ht="18">
      <c r="A935" s="3"/>
      <c r="B935" s="3" t="str">
        <f ca="1">IFERROR(__xludf.DUMMYFUNCTION("IFERROR(GOOGLETRANSLATE(A938,""ko"",""en""),)"),"")</f>
        <v/>
      </c>
    </row>
    <row r="936" spans="1:2" ht="18">
      <c r="A936" s="3"/>
      <c r="B936" s="3" t="str">
        <f ca="1">IFERROR(__xludf.DUMMYFUNCTION("IFERROR(GOOGLETRANSLATE(A939,""ko"",""en""),)"),"")</f>
        <v/>
      </c>
    </row>
    <row r="937" spans="1:2" ht="18">
      <c r="A937" s="3"/>
      <c r="B937" s="3" t="str">
        <f ca="1">IFERROR(__xludf.DUMMYFUNCTION("IFERROR(GOOGLETRANSLATE(A940,""ko"",""en""),)"),"")</f>
        <v/>
      </c>
    </row>
    <row r="938" spans="1:2" ht="18">
      <c r="A938" s="3"/>
      <c r="B938" s="3" t="str">
        <f ca="1">IFERROR(__xludf.DUMMYFUNCTION("IFERROR(GOOGLETRANSLATE(A941,""ko"",""en""),)"),"")</f>
        <v/>
      </c>
    </row>
    <row r="939" spans="1:2" ht="18">
      <c r="A939" s="3"/>
      <c r="B939" s="3" t="str">
        <f ca="1">IFERROR(__xludf.DUMMYFUNCTION("IFERROR(GOOGLETRANSLATE(A942,""ko"",""en""),)"),"")</f>
        <v/>
      </c>
    </row>
    <row r="940" spans="1:2" ht="18">
      <c r="A940" s="3"/>
      <c r="B940" s="3" t="str">
        <f ca="1">IFERROR(__xludf.DUMMYFUNCTION("IFERROR(GOOGLETRANSLATE(A943,""ko"",""en""),)"),"")</f>
        <v/>
      </c>
    </row>
    <row r="941" spans="1:2" ht="18">
      <c r="A941" s="3"/>
      <c r="B941" s="3" t="str">
        <f ca="1">IFERROR(__xludf.DUMMYFUNCTION("IFERROR(GOOGLETRANSLATE(A944,""ko"",""en""),)"),"")</f>
        <v/>
      </c>
    </row>
    <row r="942" spans="1:2" ht="18">
      <c r="A942" s="3"/>
      <c r="B942" s="3" t="str">
        <f ca="1">IFERROR(__xludf.DUMMYFUNCTION("IFERROR(GOOGLETRANSLATE(A945,""ko"",""en""),)"),"")</f>
        <v/>
      </c>
    </row>
    <row r="943" spans="1:2" ht="18">
      <c r="A943" s="3"/>
      <c r="B943" s="3" t="str">
        <f ca="1">IFERROR(__xludf.DUMMYFUNCTION("IFERROR(GOOGLETRANSLATE(A946,""ko"",""en""),)"),"")</f>
        <v/>
      </c>
    </row>
    <row r="944" spans="1:2" ht="18">
      <c r="A944" s="3"/>
      <c r="B944" s="3" t="str">
        <f ca="1">IFERROR(__xludf.DUMMYFUNCTION("IFERROR(GOOGLETRANSLATE(A947,""ko"",""en""),)"),"")</f>
        <v/>
      </c>
    </row>
    <row r="945" spans="1:2" ht="18">
      <c r="A945" s="3"/>
      <c r="B945" s="3" t="str">
        <f ca="1">IFERROR(__xludf.DUMMYFUNCTION("IFERROR(GOOGLETRANSLATE(A948,""ko"",""en""),)"),"")</f>
        <v/>
      </c>
    </row>
    <row r="946" spans="1:2" ht="18">
      <c r="A946" s="3"/>
      <c r="B946" s="3" t="str">
        <f ca="1">IFERROR(__xludf.DUMMYFUNCTION("IFERROR(GOOGLETRANSLATE(A949,""ko"",""en""),)"),"")</f>
        <v/>
      </c>
    </row>
    <row r="947" spans="1:2" ht="18">
      <c r="A947" s="3"/>
      <c r="B947" s="3" t="str">
        <f ca="1">IFERROR(__xludf.DUMMYFUNCTION("IFERROR(GOOGLETRANSLATE(A950,""ko"",""en""),)"),"")</f>
        <v/>
      </c>
    </row>
    <row r="948" spans="1:2" ht="18">
      <c r="A948" s="3"/>
      <c r="B948" s="3" t="str">
        <f ca="1">IFERROR(__xludf.DUMMYFUNCTION("IFERROR(GOOGLETRANSLATE(A951,""ko"",""en""),)"),"")</f>
        <v/>
      </c>
    </row>
    <row r="949" spans="1:2" ht="18">
      <c r="A949" s="3"/>
      <c r="B949" s="3" t="str">
        <f ca="1">IFERROR(__xludf.DUMMYFUNCTION("IFERROR(GOOGLETRANSLATE(A952,""ko"",""en""),)"),"")</f>
        <v/>
      </c>
    </row>
    <row r="950" spans="1:2" ht="18">
      <c r="A950" s="3"/>
      <c r="B950" s="3" t="str">
        <f ca="1">IFERROR(__xludf.DUMMYFUNCTION("IFERROR(GOOGLETRANSLATE(A953,""ko"",""en""),)"),"")</f>
        <v/>
      </c>
    </row>
    <row r="951" spans="1:2" ht="18">
      <c r="A951" s="3"/>
      <c r="B951" s="3" t="str">
        <f ca="1">IFERROR(__xludf.DUMMYFUNCTION("IFERROR(GOOGLETRANSLATE(A954,""ko"",""en""),)"),"")</f>
        <v/>
      </c>
    </row>
    <row r="952" spans="1:2" ht="18">
      <c r="A952" s="3"/>
      <c r="B952" s="3" t="str">
        <f ca="1">IFERROR(__xludf.DUMMYFUNCTION("IFERROR(GOOGLETRANSLATE(A955,""ko"",""en""),)"),"")</f>
        <v/>
      </c>
    </row>
    <row r="953" spans="1:2" ht="18">
      <c r="A953" s="3"/>
      <c r="B953" s="3" t="str">
        <f ca="1">IFERROR(__xludf.DUMMYFUNCTION("IFERROR(GOOGLETRANSLATE(A956,""ko"",""en""),)"),"")</f>
        <v/>
      </c>
    </row>
    <row r="954" spans="1:2" ht="18">
      <c r="A954" s="3"/>
      <c r="B954" s="3" t="str">
        <f ca="1">IFERROR(__xludf.DUMMYFUNCTION("IFERROR(GOOGLETRANSLATE(A957,""ko"",""en""),)"),"")</f>
        <v/>
      </c>
    </row>
    <row r="955" spans="1:2" ht="18">
      <c r="A955" s="3"/>
      <c r="B955" s="3" t="str">
        <f ca="1">IFERROR(__xludf.DUMMYFUNCTION("IFERROR(GOOGLETRANSLATE(A958,""ko"",""en""),)"),"")</f>
        <v/>
      </c>
    </row>
    <row r="956" spans="1:2" ht="18">
      <c r="A956" s="3"/>
      <c r="B956" s="3" t="str">
        <f ca="1">IFERROR(__xludf.DUMMYFUNCTION("IFERROR(GOOGLETRANSLATE(A959,""ko"",""en""),)"),"")</f>
        <v/>
      </c>
    </row>
    <row r="957" spans="1:2" ht="18">
      <c r="A957" s="3"/>
      <c r="B957" s="3" t="str">
        <f ca="1">IFERROR(__xludf.DUMMYFUNCTION("IFERROR(GOOGLETRANSLATE(A960,""ko"",""en""),)"),"")</f>
        <v/>
      </c>
    </row>
    <row r="958" spans="1:2" ht="18">
      <c r="A958" s="3"/>
      <c r="B958" s="3" t="str">
        <f ca="1">IFERROR(__xludf.DUMMYFUNCTION("IFERROR(GOOGLETRANSLATE(A961,""ko"",""en""),)"),"")</f>
        <v/>
      </c>
    </row>
    <row r="959" spans="1:2" ht="18">
      <c r="A959" s="3"/>
      <c r="B959" s="3" t="str">
        <f ca="1">IFERROR(__xludf.DUMMYFUNCTION("IFERROR(GOOGLETRANSLATE(A962,""ko"",""en""),)"),"")</f>
        <v/>
      </c>
    </row>
    <row r="960" spans="1:2" ht="18">
      <c r="A960" s="3"/>
      <c r="B960" s="3" t="str">
        <f ca="1">IFERROR(__xludf.DUMMYFUNCTION("IFERROR(GOOGLETRANSLATE(A963,""ko"",""en""),)"),"")</f>
        <v/>
      </c>
    </row>
    <row r="961" spans="1:2" ht="18">
      <c r="A961" s="3"/>
      <c r="B961" s="3" t="str">
        <f ca="1">IFERROR(__xludf.DUMMYFUNCTION("IFERROR(GOOGLETRANSLATE(A964,""ko"",""en""),)"),"")</f>
        <v/>
      </c>
    </row>
    <row r="962" spans="1:2" ht="18">
      <c r="A962" s="3"/>
      <c r="B962" s="3" t="str">
        <f ca="1">IFERROR(__xludf.DUMMYFUNCTION("IFERROR(GOOGLETRANSLATE(A965,""ko"",""en""),)"),"")</f>
        <v/>
      </c>
    </row>
    <row r="963" spans="1:2" ht="18">
      <c r="A963" s="3"/>
      <c r="B963" s="3" t="str">
        <f ca="1">IFERROR(__xludf.DUMMYFUNCTION("IFERROR(GOOGLETRANSLATE(A966,""ko"",""en""),)"),"")</f>
        <v/>
      </c>
    </row>
    <row r="964" spans="1:2" ht="18">
      <c r="A964" s="3"/>
      <c r="B964" s="3" t="str">
        <f ca="1">IFERROR(__xludf.DUMMYFUNCTION("IFERROR(GOOGLETRANSLATE(A967,""ko"",""en""),)"),"")</f>
        <v/>
      </c>
    </row>
    <row r="965" spans="1:2" ht="18">
      <c r="A965" s="3"/>
      <c r="B965" s="3" t="str">
        <f ca="1">IFERROR(__xludf.DUMMYFUNCTION("IFERROR(GOOGLETRANSLATE(A968,""ko"",""en""),)"),"")</f>
        <v/>
      </c>
    </row>
    <row r="966" spans="1:2" ht="18">
      <c r="A966" s="3"/>
      <c r="B966" s="3" t="str">
        <f ca="1">IFERROR(__xludf.DUMMYFUNCTION("IFERROR(GOOGLETRANSLATE(A969,""ko"",""en""),)"),"")</f>
        <v/>
      </c>
    </row>
    <row r="967" spans="1:2" ht="18">
      <c r="A967" s="3"/>
      <c r="B967" s="3" t="str">
        <f ca="1">IFERROR(__xludf.DUMMYFUNCTION("IFERROR(GOOGLETRANSLATE(A970,""ko"",""en""),)"),"")</f>
        <v/>
      </c>
    </row>
    <row r="968" spans="1:2" ht="18">
      <c r="A968" s="3"/>
      <c r="B968" s="3" t="str">
        <f ca="1">IFERROR(__xludf.DUMMYFUNCTION("IFERROR(GOOGLETRANSLATE(A971,""ko"",""en""),)"),"")</f>
        <v/>
      </c>
    </row>
    <row r="969" spans="1:2" ht="18">
      <c r="A969" s="3"/>
      <c r="B969" s="3" t="str">
        <f ca="1">IFERROR(__xludf.DUMMYFUNCTION("IFERROR(GOOGLETRANSLATE(A972,""ko"",""en""),)"),"")</f>
        <v/>
      </c>
    </row>
    <row r="970" spans="1:2" ht="18">
      <c r="A970" s="3"/>
      <c r="B970" s="3" t="str">
        <f ca="1">IFERROR(__xludf.DUMMYFUNCTION("IFERROR(GOOGLETRANSLATE(A973,""ko"",""en""),)"),"")</f>
        <v/>
      </c>
    </row>
    <row r="971" spans="1:2" ht="18">
      <c r="A971" s="3"/>
      <c r="B971" s="3" t="str">
        <f ca="1">IFERROR(__xludf.DUMMYFUNCTION("IFERROR(GOOGLETRANSLATE(A974,""ko"",""en""),)"),"")</f>
        <v/>
      </c>
    </row>
    <row r="972" spans="1:2" ht="18">
      <c r="A972" s="3"/>
      <c r="B972" s="3" t="str">
        <f ca="1">IFERROR(__xludf.DUMMYFUNCTION("IFERROR(GOOGLETRANSLATE(A975,""ko"",""en""),)"),"")</f>
        <v/>
      </c>
    </row>
    <row r="973" spans="1:2" ht="18">
      <c r="A973" s="3"/>
      <c r="B973" s="3" t="str">
        <f ca="1">IFERROR(__xludf.DUMMYFUNCTION("IFERROR(GOOGLETRANSLATE(A976,""ko"",""en""),)"),"")</f>
        <v/>
      </c>
    </row>
    <row r="974" spans="1:2" ht="18">
      <c r="A974" s="3"/>
      <c r="B974" s="3" t="str">
        <f ca="1">IFERROR(__xludf.DUMMYFUNCTION("IFERROR(GOOGLETRANSLATE(A977,""ko"",""en""),)"),"")</f>
        <v/>
      </c>
    </row>
    <row r="975" spans="1:2" ht="18">
      <c r="A975" s="3"/>
      <c r="B975" s="3" t="str">
        <f ca="1">IFERROR(__xludf.DUMMYFUNCTION("IFERROR(GOOGLETRANSLATE(A978,""ko"",""en""),)"),"")</f>
        <v/>
      </c>
    </row>
    <row r="976" spans="1:2" ht="18">
      <c r="A976" s="3"/>
      <c r="B976" s="3" t="str">
        <f ca="1">IFERROR(__xludf.DUMMYFUNCTION("IFERROR(GOOGLETRANSLATE(A979,""ko"",""en""),)"),"")</f>
        <v/>
      </c>
    </row>
    <row r="977" spans="1:2" ht="18">
      <c r="A977" s="3"/>
      <c r="B977" s="3" t="str">
        <f ca="1">IFERROR(__xludf.DUMMYFUNCTION("IFERROR(GOOGLETRANSLATE(A980,""ko"",""en""),)"),"")</f>
        <v/>
      </c>
    </row>
    <row r="978" spans="1:2" ht="18">
      <c r="A978" s="3"/>
      <c r="B978" s="3" t="str">
        <f ca="1">IFERROR(__xludf.DUMMYFUNCTION("IFERROR(GOOGLETRANSLATE(A981,""ko"",""en""),)"),"")</f>
        <v/>
      </c>
    </row>
    <row r="979" spans="1:2" ht="18">
      <c r="A979" s="3"/>
      <c r="B979" s="3" t="str">
        <f ca="1">IFERROR(__xludf.DUMMYFUNCTION("IFERROR(GOOGLETRANSLATE(A982,""ko"",""en""),)"),"")</f>
        <v/>
      </c>
    </row>
    <row r="980" spans="1:2" ht="18">
      <c r="A980" s="3"/>
      <c r="B980" s="3" t="str">
        <f ca="1">IFERROR(__xludf.DUMMYFUNCTION("IFERROR(GOOGLETRANSLATE(A983,""ko"",""en""),)"),"")</f>
        <v/>
      </c>
    </row>
    <row r="981" spans="1:2" ht="18">
      <c r="A981" s="3"/>
      <c r="B981" s="3" t="str">
        <f ca="1">IFERROR(__xludf.DUMMYFUNCTION("IFERROR(GOOGLETRANSLATE(A984,""ko"",""en""),)"),"")</f>
        <v/>
      </c>
    </row>
    <row r="982" spans="1:2" ht="18">
      <c r="A982" s="3"/>
      <c r="B982" s="3" t="str">
        <f ca="1">IFERROR(__xludf.DUMMYFUNCTION("IFERROR(GOOGLETRANSLATE(A985,""ko"",""en""),)"),"")</f>
        <v/>
      </c>
    </row>
    <row r="983" spans="1:2" ht="18">
      <c r="A983" s="3"/>
      <c r="B983" s="3" t="str">
        <f ca="1">IFERROR(__xludf.DUMMYFUNCTION("IFERROR(GOOGLETRANSLATE(A986,""ko"",""en""),)"),"")</f>
        <v/>
      </c>
    </row>
    <row r="984" spans="1:2" ht="18">
      <c r="A984" s="3"/>
      <c r="B984" s="3" t="str">
        <f ca="1">IFERROR(__xludf.DUMMYFUNCTION("IFERROR(GOOGLETRANSLATE(A987,""ko"",""en""),)"),"")</f>
        <v/>
      </c>
    </row>
    <row r="985" spans="1:2" ht="18">
      <c r="A985" s="3"/>
      <c r="B985" s="3" t="str">
        <f ca="1">IFERROR(__xludf.DUMMYFUNCTION("IFERROR(GOOGLETRANSLATE(A988,""ko"",""en""),)"),"")</f>
        <v/>
      </c>
    </row>
    <row r="986" spans="1:2" ht="18">
      <c r="A986" s="3"/>
      <c r="B986" s="3" t="str">
        <f ca="1">IFERROR(__xludf.DUMMYFUNCTION("IFERROR(GOOGLETRANSLATE(A989,""ko"",""en""),)"),"")</f>
        <v/>
      </c>
    </row>
    <row r="987" spans="1:2" ht="18">
      <c r="A987" s="3"/>
      <c r="B987" s="3" t="str">
        <f ca="1">IFERROR(__xludf.DUMMYFUNCTION("IFERROR(GOOGLETRANSLATE(A990,""ko"",""en""),)"),"")</f>
        <v/>
      </c>
    </row>
    <row r="988" spans="1:2" ht="18">
      <c r="A988" s="3"/>
      <c r="B988" s="3" t="str">
        <f ca="1">IFERROR(__xludf.DUMMYFUNCTION("IFERROR(GOOGLETRANSLATE(A991,""ko"",""en""),)"),"")</f>
        <v/>
      </c>
    </row>
    <row r="989" spans="1:2" ht="18">
      <c r="A989" s="3"/>
      <c r="B989" s="3" t="str">
        <f ca="1">IFERROR(__xludf.DUMMYFUNCTION("IFERROR(GOOGLETRANSLATE(A992,""ko"",""en""),)"),"")</f>
        <v/>
      </c>
    </row>
    <row r="990" spans="1:2" ht="18">
      <c r="A990" s="3"/>
      <c r="B990" s="3" t="str">
        <f ca="1">IFERROR(__xludf.DUMMYFUNCTION("IFERROR(GOOGLETRANSLATE(A993,""ko"",""en""),)"),"")</f>
        <v/>
      </c>
    </row>
    <row r="991" spans="1:2" ht="18">
      <c r="A991" s="3"/>
      <c r="B991" s="3" t="str">
        <f ca="1">IFERROR(__xludf.DUMMYFUNCTION("IFERROR(GOOGLETRANSLATE(A994,""ko"",""en""),)"),"")</f>
        <v/>
      </c>
    </row>
    <row r="992" spans="1:2" ht="18">
      <c r="A992" s="3"/>
      <c r="B992" s="3" t="str">
        <f ca="1">IFERROR(__xludf.DUMMYFUNCTION("IFERROR(GOOGLETRANSLATE(A995,""ko"",""en""),)"),"")</f>
        <v/>
      </c>
    </row>
    <row r="993" spans="1:2" ht="18">
      <c r="A993" s="3"/>
      <c r="B993" s="3" t="str">
        <f ca="1">IFERROR(__xludf.DUMMYFUNCTION("IFERROR(GOOGLETRANSLATE(A996,""ko"",""en""),)"),"")</f>
        <v/>
      </c>
    </row>
    <row r="994" spans="1:2" ht="18">
      <c r="A994" s="3"/>
      <c r="B994" s="3" t="str">
        <f ca="1">IFERROR(__xludf.DUMMYFUNCTION("IFERROR(GOOGLETRANSLATE(A997,""ko"",""en""),)"),"")</f>
        <v/>
      </c>
    </row>
    <row r="995" spans="1:2" ht="18">
      <c r="A995" s="3"/>
      <c r="B995" s="3" t="str">
        <f ca="1">IFERROR(__xludf.DUMMYFUNCTION("IFERROR(GOOGLETRANSLATE(A998,""ko"",""en""),)"),"")</f>
        <v/>
      </c>
    </row>
    <row r="996" spans="1:2" ht="18">
      <c r="A996" s="3"/>
      <c r="B996" s="3" t="str">
        <f ca="1">IFERROR(__xludf.DUMMYFUNCTION("IFERROR(GOOGLETRANSLATE(A999,""ko"",""en""),)"),"")</f>
        <v/>
      </c>
    </row>
    <row r="997" spans="1:2" ht="18">
      <c r="A997" s="3"/>
      <c r="B997" s="3" t="str">
        <f ca="1">IFERROR(__xludf.DUMMYFUNCTION("IFERROR(GOOGLETRANSLATE(A1000,""ko"",""en""),)"),"")</f>
        <v/>
      </c>
    </row>
    <row r="998" spans="1:2" ht="18">
      <c r="A998" s="3"/>
      <c r="B998" s="3" t="str">
        <f ca="1">IFERROR(__xludf.DUMMYFUNCTION("IFERROR(GOOGLETRANSLATE(A1001,""ko"",""en""),)"),"")</f>
        <v/>
      </c>
    </row>
    <row r="999" spans="1:2" ht="18">
      <c r="A999" s="3"/>
      <c r="B999" s="3" t="str">
        <f ca="1">IFERROR(__xludf.DUMMYFUNCTION("IFERROR(GOOGLETRANSLATE(A1002,""ko"",""en""),)"),"")</f>
        <v/>
      </c>
    </row>
    <row r="1000" spans="1:2" ht="18">
      <c r="A1000" s="3"/>
      <c r="B1000" s="3" t="str">
        <f ca="1">IFERROR(__xludf.DUMMYFUNCTION("IFERROR(GOOGLETRANSLATE(A1003,""ko"",""en""),)"),"")</f>
        <v/>
      </c>
    </row>
    <row r="1001" spans="1:2" ht="18">
      <c r="A1001" s="3"/>
      <c r="B1001" s="3" t="str">
        <f ca="1">IFERROR(__xludf.DUMMYFUNCTION("IFERROR(GOOGLETRANSLATE(A1004,""ko"",""en""),)"),"")</f>
        <v/>
      </c>
    </row>
    <row r="1002" spans="1:2" ht="18">
      <c r="A1002" s="3"/>
      <c r="B1002" s="3" t="str">
        <f ca="1">IFERROR(__xludf.DUMMYFUNCTION("IFERROR(GOOGLETRANSLATE(A1005,""ko"",""en""),)"),"")</f>
        <v/>
      </c>
    </row>
    <row r="1003" spans="1:2" ht="18">
      <c r="A1003" s="3"/>
      <c r="B1003" s="3" t="str">
        <f ca="1">IFERROR(__xludf.DUMMYFUNCTION("IFERROR(GOOGLETRANSLATE(A1006,""ko"",""en""),)"),"")</f>
        <v/>
      </c>
    </row>
    <row r="1004" spans="1:2" ht="18">
      <c r="A1004" s="3"/>
      <c r="B1004" s="3" t="str">
        <f ca="1">IFERROR(__xludf.DUMMYFUNCTION("IFERROR(GOOGLETRANSLATE(A1007,""ko"",""en""),)"),"")</f>
        <v/>
      </c>
    </row>
    <row r="1005" spans="1:2" ht="18">
      <c r="A1005" s="3"/>
      <c r="B1005" s="3" t="str">
        <f ca="1">IFERROR(__xludf.DUMMYFUNCTION("IFERROR(GOOGLETRANSLATE(A1008,""ko"",""en""),)"),"")</f>
        <v/>
      </c>
    </row>
    <row r="1006" spans="1:2" ht="18">
      <c r="A1006" s="3"/>
      <c r="B1006" s="3" t="str">
        <f ca="1">IFERROR(__xludf.DUMMYFUNCTION("IFERROR(GOOGLETRANSLATE(A1009,""ko"",""en""),)"),"")</f>
        <v/>
      </c>
    </row>
    <row r="1007" spans="1:2" ht="18">
      <c r="A1007" s="3"/>
      <c r="B1007" s="3" t="str">
        <f ca="1">IFERROR(__xludf.DUMMYFUNCTION("IFERROR(GOOGLETRANSLATE(A1010,""ko"",""en""),)"),"")</f>
        <v/>
      </c>
    </row>
    <row r="1008" spans="1:2" ht="18">
      <c r="A1008" s="3"/>
      <c r="B1008" s="3" t="str">
        <f ca="1">IFERROR(__xludf.DUMMYFUNCTION("IFERROR(GOOGLETRANSLATE(A1011,""ko"",""en""),)"),"")</f>
        <v/>
      </c>
    </row>
    <row r="1009" spans="1:2" ht="18">
      <c r="A1009" s="3"/>
      <c r="B1009" s="3" t="str">
        <f ca="1">IFERROR(__xludf.DUMMYFUNCTION("IFERROR(GOOGLETRANSLATE(A1012,""ko"",""en""),)"),"")</f>
        <v/>
      </c>
    </row>
    <row r="1010" spans="1:2" ht="18">
      <c r="A1010" s="3"/>
      <c r="B1010" s="3" t="str">
        <f ca="1">IFERROR(__xludf.DUMMYFUNCTION("IFERROR(GOOGLETRANSLATE(A1013,""ko"",""en""),)"),"")</f>
        <v/>
      </c>
    </row>
    <row r="1011" spans="1:2" ht="18">
      <c r="A1011" s="3"/>
      <c r="B1011" s="3" t="str">
        <f ca="1">IFERROR(__xludf.DUMMYFUNCTION("IFERROR(GOOGLETRANSLATE(A1014,""ko"",""en""),)"),"")</f>
        <v/>
      </c>
    </row>
    <row r="1012" spans="1:2" ht="18">
      <c r="A1012" s="3"/>
      <c r="B1012" s="3" t="str">
        <f ca="1">IFERROR(__xludf.DUMMYFUNCTION("IFERROR(GOOGLETRANSLATE(A1015,""ko"",""en""),)"),"")</f>
        <v/>
      </c>
    </row>
    <row r="1013" spans="1:2" ht="18">
      <c r="A1013" s="3"/>
      <c r="B1013" s="3" t="str">
        <f ca="1">IFERROR(__xludf.DUMMYFUNCTION("IFERROR(GOOGLETRANSLATE(A1016,""ko"",""en""),)"),"")</f>
        <v/>
      </c>
    </row>
    <row r="1014" spans="1:2" ht="18">
      <c r="A1014" s="3"/>
      <c r="B1014" s="3" t="str">
        <f ca="1">IFERROR(__xludf.DUMMYFUNCTION("IFERROR(GOOGLETRANSLATE(A1017,""ko"",""en""),)"),"")</f>
        <v/>
      </c>
    </row>
    <row r="1015" spans="1:2" ht="18">
      <c r="A1015" s="3"/>
      <c r="B1015" s="3" t="str">
        <f ca="1">IFERROR(__xludf.DUMMYFUNCTION("IFERROR(GOOGLETRANSLATE(A1018,""ko"",""en""),)"),"")</f>
        <v/>
      </c>
    </row>
    <row r="1016" spans="1:2" ht="18">
      <c r="A1016" s="3"/>
      <c r="B1016" s="3" t="str">
        <f ca="1">IFERROR(__xludf.DUMMYFUNCTION("IFERROR(GOOGLETRANSLATE(A1019,""ko"",""en""),)"),"")</f>
        <v/>
      </c>
    </row>
    <row r="1017" spans="1:2" ht="18">
      <c r="A1017" s="3"/>
      <c r="B1017" s="3" t="str">
        <f ca="1">IFERROR(__xludf.DUMMYFUNCTION("IFERROR(GOOGLETRANSLATE(A1020,""ko"",""en""),)"),"")</f>
        <v/>
      </c>
    </row>
    <row r="1018" spans="1:2" ht="18">
      <c r="A1018" s="3"/>
      <c r="B1018" s="3" t="str">
        <f ca="1">IFERROR(__xludf.DUMMYFUNCTION("IFERROR(GOOGLETRANSLATE(A1021,""ko"",""en""),)"),"")</f>
        <v/>
      </c>
    </row>
    <row r="1019" spans="1:2" ht="18">
      <c r="A1019" s="3"/>
      <c r="B1019" s="3" t="str">
        <f ca="1">IFERROR(__xludf.DUMMYFUNCTION("IFERROR(GOOGLETRANSLATE(A1022,""ko"",""en""),)"),"")</f>
        <v/>
      </c>
    </row>
    <row r="1020" spans="1:2" ht="18">
      <c r="A1020" s="3"/>
      <c r="B1020" s="3" t="str">
        <f ca="1">IFERROR(__xludf.DUMMYFUNCTION("IFERROR(GOOGLETRANSLATE(A1023,""ko"",""en""),)"),"")</f>
        <v/>
      </c>
    </row>
    <row r="1021" spans="1:2" ht="18">
      <c r="A1021" s="3"/>
      <c r="B1021" s="3" t="str">
        <f ca="1">IFERROR(__xludf.DUMMYFUNCTION("IFERROR(GOOGLETRANSLATE(A1024,""ko"",""en""),)"),"")</f>
        <v/>
      </c>
    </row>
    <row r="1022" spans="1:2" ht="18">
      <c r="A1022" s="3"/>
      <c r="B1022" s="3" t="str">
        <f ca="1">IFERROR(__xludf.DUMMYFUNCTION("IFERROR(GOOGLETRANSLATE(A1025,""ko"",""en""),)"),"")</f>
        <v/>
      </c>
    </row>
    <row r="1023" spans="1:2" ht="18">
      <c r="A1023" s="3"/>
      <c r="B1023" s="3" t="str">
        <f ca="1">IFERROR(__xludf.DUMMYFUNCTION("IFERROR(GOOGLETRANSLATE(A1026,""ko"",""en""),)"),"")</f>
        <v/>
      </c>
    </row>
    <row r="1024" spans="1:2" ht="18">
      <c r="A1024" s="3"/>
      <c r="B1024" s="3" t="str">
        <f ca="1">IFERROR(__xludf.DUMMYFUNCTION("IFERROR(GOOGLETRANSLATE(A1027,""ko"",""en""),)"),"")</f>
        <v/>
      </c>
    </row>
    <row r="1025" spans="1:2" ht="18">
      <c r="A1025" s="3"/>
      <c r="B1025" s="3" t="str">
        <f ca="1">IFERROR(__xludf.DUMMYFUNCTION("IFERROR(GOOGLETRANSLATE(A1028,""ko"",""en""),)"),"")</f>
        <v/>
      </c>
    </row>
    <row r="1026" spans="1:2" ht="18">
      <c r="A1026" s="3"/>
      <c r="B1026" s="3" t="str">
        <f ca="1">IFERROR(__xludf.DUMMYFUNCTION("IFERROR(GOOGLETRANSLATE(A1029,""ko"",""en""),)"),"")</f>
        <v/>
      </c>
    </row>
    <row r="1027" spans="1:2" ht="18">
      <c r="A1027" s="3"/>
      <c r="B1027" s="3" t="str">
        <f ca="1">IFERROR(__xludf.DUMMYFUNCTION("IFERROR(GOOGLETRANSLATE(A1030,""ko"",""en""),)"),"")</f>
        <v/>
      </c>
    </row>
    <row r="1028" spans="1:2" ht="18">
      <c r="A1028" s="3"/>
      <c r="B1028" s="3" t="str">
        <f ca="1">IFERROR(__xludf.DUMMYFUNCTION("IFERROR(GOOGLETRANSLATE(A1031,""ko"",""en""),)"),"")</f>
        <v/>
      </c>
    </row>
    <row r="1029" spans="1:2" ht="18">
      <c r="A1029" s="3"/>
      <c r="B1029" s="3" t="str">
        <f ca="1">IFERROR(__xludf.DUMMYFUNCTION("IFERROR(GOOGLETRANSLATE(A1032,""ko"",""en""),)"),"")</f>
        <v/>
      </c>
    </row>
    <row r="1030" spans="1:2" ht="18">
      <c r="A1030" s="3"/>
      <c r="B1030" s="3" t="str">
        <f ca="1">IFERROR(__xludf.DUMMYFUNCTION("IFERROR(GOOGLETRANSLATE(A1033,""ko"",""en""),)"),"")</f>
        <v/>
      </c>
    </row>
    <row r="1031" spans="1:2" ht="18">
      <c r="A1031" s="3"/>
      <c r="B1031" s="3" t="str">
        <f ca="1">IFERROR(__xludf.DUMMYFUNCTION("IFERROR(GOOGLETRANSLATE(A1034,""ko"",""en""),)"),"")</f>
        <v/>
      </c>
    </row>
    <row r="1032" spans="1:2" ht="18">
      <c r="A1032" s="3"/>
      <c r="B1032" s="3" t="str">
        <f ca="1">IFERROR(__xludf.DUMMYFUNCTION("IFERROR(GOOGLETRANSLATE(A1035,""ko"",""en""),)"),"")</f>
        <v/>
      </c>
    </row>
    <row r="1033" spans="1:2" ht="18">
      <c r="A1033" s="3"/>
      <c r="B1033" s="3" t="str">
        <f ca="1">IFERROR(__xludf.DUMMYFUNCTION("IFERROR(GOOGLETRANSLATE(A1036,""ko"",""en""),)"),"")</f>
        <v/>
      </c>
    </row>
    <row r="1034" spans="1:2" ht="18">
      <c r="A1034" s="3"/>
      <c r="B1034" s="3" t="str">
        <f ca="1">IFERROR(__xludf.DUMMYFUNCTION("IFERROR(GOOGLETRANSLATE(A1037,""ko"",""en""),)"),"")</f>
        <v/>
      </c>
    </row>
    <row r="1035" spans="1:2" ht="18">
      <c r="A1035" s="3"/>
      <c r="B1035" s="3" t="str">
        <f ca="1">IFERROR(__xludf.DUMMYFUNCTION("IFERROR(GOOGLETRANSLATE(A1038,""ko"",""en""),)"),"")</f>
        <v/>
      </c>
    </row>
    <row r="1036" spans="1:2" ht="18">
      <c r="A1036" s="3"/>
      <c r="B1036" s="3" t="str">
        <f ca="1">IFERROR(__xludf.DUMMYFUNCTION("IFERROR(GOOGLETRANSLATE(A1039,""ko"",""en""),)"),"")</f>
        <v/>
      </c>
    </row>
    <row r="1037" spans="1:2" ht="18">
      <c r="A1037" s="3"/>
      <c r="B1037" s="3" t="str">
        <f ca="1">IFERROR(__xludf.DUMMYFUNCTION("IFERROR(GOOGLETRANSLATE(A1040,""ko"",""en""),)"),"")</f>
        <v/>
      </c>
    </row>
    <row r="1038" spans="1:2" ht="18">
      <c r="A1038" s="3"/>
      <c r="B1038" s="3" t="str">
        <f ca="1">IFERROR(__xludf.DUMMYFUNCTION("IFERROR(GOOGLETRANSLATE(A1041,""ko"",""en""),)"),"")</f>
        <v/>
      </c>
    </row>
    <row r="1039" spans="1:2" ht="18">
      <c r="A1039" s="3"/>
      <c r="B1039" s="3" t="str">
        <f ca="1">IFERROR(__xludf.DUMMYFUNCTION("IFERROR(GOOGLETRANSLATE(A1042,""ko"",""en""),)"),"")</f>
        <v/>
      </c>
    </row>
    <row r="1040" spans="1:2" ht="18">
      <c r="A1040" s="3"/>
      <c r="B1040" s="3" t="str">
        <f ca="1">IFERROR(__xludf.DUMMYFUNCTION("IFERROR(GOOGLETRANSLATE(A1043,""ko"",""en""),)"),"")</f>
        <v/>
      </c>
    </row>
    <row r="1041" spans="1:2" ht="18">
      <c r="A1041" s="3"/>
      <c r="B1041" s="3" t="str">
        <f ca="1">IFERROR(__xludf.DUMMYFUNCTION("IFERROR(GOOGLETRANSLATE(A1044,""ko"",""en""),)"),"")</f>
        <v/>
      </c>
    </row>
    <row r="1042" spans="1:2" ht="18">
      <c r="A1042" s="3"/>
      <c r="B1042" s="3" t="str">
        <f ca="1">IFERROR(__xludf.DUMMYFUNCTION("IFERROR(GOOGLETRANSLATE(A1045,""ko"",""en""),)"),"")</f>
        <v/>
      </c>
    </row>
    <row r="1043" spans="1:2" ht="18">
      <c r="A1043" s="3"/>
      <c r="B1043" s="3" t="str">
        <f ca="1">IFERROR(__xludf.DUMMYFUNCTION("IFERROR(GOOGLETRANSLATE(A1046,""ko"",""en""),)"),"")</f>
        <v/>
      </c>
    </row>
    <row r="1044" spans="1:2" ht="18">
      <c r="A1044" s="3"/>
      <c r="B1044" s="3" t="str">
        <f ca="1">IFERROR(__xludf.DUMMYFUNCTION("IFERROR(GOOGLETRANSLATE(A1047,""ko"",""en""),)"),"")</f>
        <v/>
      </c>
    </row>
    <row r="1045" spans="1:2" ht="18">
      <c r="A1045" s="3"/>
      <c r="B1045" s="3" t="str">
        <f ca="1">IFERROR(__xludf.DUMMYFUNCTION("IFERROR(GOOGLETRANSLATE(A1048,""ko"",""en""),)"),"")</f>
        <v/>
      </c>
    </row>
    <row r="1046" spans="1:2" ht="18">
      <c r="A1046" s="3"/>
      <c r="B1046" s="3" t="str">
        <f ca="1">IFERROR(__xludf.DUMMYFUNCTION("IFERROR(GOOGLETRANSLATE(A1049,""ko"",""en""),)"),"")</f>
        <v/>
      </c>
    </row>
    <row r="1047" spans="1:2" ht="18">
      <c r="A1047" s="3"/>
      <c r="B1047" s="3" t="str">
        <f ca="1">IFERROR(__xludf.DUMMYFUNCTION("IFERROR(GOOGLETRANSLATE(A1050,""ko"",""en""),)"),"")</f>
        <v/>
      </c>
    </row>
    <row r="1048" spans="1:2" ht="18">
      <c r="A1048" s="3"/>
      <c r="B1048" s="3" t="str">
        <f ca="1">IFERROR(__xludf.DUMMYFUNCTION("IFERROR(GOOGLETRANSLATE(A1051,""ko"",""en""),)"),"")</f>
        <v/>
      </c>
    </row>
    <row r="1049" spans="1:2" ht="18">
      <c r="A1049" s="3"/>
      <c r="B1049" s="3" t="str">
        <f ca="1">IFERROR(__xludf.DUMMYFUNCTION("IFERROR(GOOGLETRANSLATE(A1052,""ko"",""en""),)"),"")</f>
        <v/>
      </c>
    </row>
    <row r="1050" spans="1:2" ht="18">
      <c r="A1050" s="3"/>
      <c r="B1050" s="3" t="str">
        <f ca="1">IFERROR(__xludf.DUMMYFUNCTION("IFERROR(GOOGLETRANSLATE(A1053,""ko"",""en""),)"),"")</f>
        <v/>
      </c>
    </row>
    <row r="1051" spans="1:2" ht="18">
      <c r="A1051" s="3"/>
      <c r="B1051" s="3" t="str">
        <f ca="1">IFERROR(__xludf.DUMMYFUNCTION("IFERROR(GOOGLETRANSLATE(A1054,""ko"",""en""),)"),"")</f>
        <v/>
      </c>
    </row>
    <row r="1052" spans="1:2" ht="18">
      <c r="A1052" s="3"/>
      <c r="B1052" s="3" t="str">
        <f ca="1">IFERROR(__xludf.DUMMYFUNCTION("IFERROR(GOOGLETRANSLATE(A1055,""ko"",""en""),)"),"")</f>
        <v/>
      </c>
    </row>
    <row r="1053" spans="1:2" ht="18">
      <c r="A1053" s="3"/>
      <c r="B1053" s="3" t="str">
        <f ca="1">IFERROR(__xludf.DUMMYFUNCTION("IFERROR(GOOGLETRANSLATE(A1056,""ko"",""en""),)"),"")</f>
        <v/>
      </c>
    </row>
    <row r="1054" spans="1:2" ht="18">
      <c r="A1054" s="3"/>
      <c r="B1054" s="3" t="str">
        <f ca="1">IFERROR(__xludf.DUMMYFUNCTION("IFERROR(GOOGLETRANSLATE(A1057,""ko"",""en""),)"),"")</f>
        <v/>
      </c>
    </row>
    <row r="1055" spans="1:2" ht="18">
      <c r="A1055" s="3"/>
      <c r="B1055" s="3" t="str">
        <f ca="1">IFERROR(__xludf.DUMMYFUNCTION("IFERROR(GOOGLETRANSLATE(A1058,""ko"",""en""),)"),"")</f>
        <v/>
      </c>
    </row>
    <row r="1056" spans="1:2" ht="18">
      <c r="A1056" s="3"/>
      <c r="B1056" s="3" t="str">
        <f ca="1">IFERROR(__xludf.DUMMYFUNCTION("IFERROR(GOOGLETRANSLATE(A1059,""ko"",""en""),)"),"")</f>
        <v/>
      </c>
    </row>
    <row r="1057" spans="1:2" ht="18">
      <c r="A1057" s="3"/>
      <c r="B1057" s="3" t="str">
        <f ca="1">IFERROR(__xludf.DUMMYFUNCTION("IFERROR(GOOGLETRANSLATE(A1060,""ko"",""en""),)"),"")</f>
        <v/>
      </c>
    </row>
    <row r="1058" spans="1:2" ht="18">
      <c r="A1058" s="3"/>
      <c r="B1058" s="3" t="str">
        <f ca="1">IFERROR(__xludf.DUMMYFUNCTION("IFERROR(GOOGLETRANSLATE(A1061,""ko"",""en""),)"),"")</f>
        <v/>
      </c>
    </row>
    <row r="1059" spans="1:2" ht="18">
      <c r="A1059" s="3"/>
      <c r="B1059" s="3" t="str">
        <f ca="1">IFERROR(__xludf.DUMMYFUNCTION("IFERROR(GOOGLETRANSLATE(A1062,""ko"",""en""),)"),"")</f>
        <v/>
      </c>
    </row>
    <row r="1060" spans="1:2" ht="18">
      <c r="A1060" s="3"/>
      <c r="B1060" s="3" t="str">
        <f ca="1">IFERROR(__xludf.DUMMYFUNCTION("IFERROR(GOOGLETRANSLATE(A1063,""ko"",""en""),)"),"")</f>
        <v/>
      </c>
    </row>
    <row r="1061" spans="1:2" ht="18">
      <c r="A1061" s="3"/>
      <c r="B1061" s="3" t="str">
        <f ca="1">IFERROR(__xludf.DUMMYFUNCTION("IFERROR(GOOGLETRANSLATE(A1064,""ko"",""en""),)"),"")</f>
        <v/>
      </c>
    </row>
    <row r="1062" spans="1:2" ht="18">
      <c r="A1062" s="3"/>
      <c r="B1062" s="3" t="str">
        <f ca="1">IFERROR(__xludf.DUMMYFUNCTION("IFERROR(GOOGLETRANSLATE(A1065,""ko"",""en""),)"),"")</f>
        <v/>
      </c>
    </row>
    <row r="1063" spans="1:2" ht="18">
      <c r="A1063" s="3"/>
      <c r="B1063" s="3" t="str">
        <f ca="1">IFERROR(__xludf.DUMMYFUNCTION("IFERROR(GOOGLETRANSLATE(A1066,""ko"",""en""),)"),"")</f>
        <v/>
      </c>
    </row>
    <row r="1064" spans="1:2" ht="18">
      <c r="A1064" s="3"/>
      <c r="B1064" s="3" t="str">
        <f ca="1">IFERROR(__xludf.DUMMYFUNCTION("IFERROR(GOOGLETRANSLATE(A1067,""ko"",""en""),)"),"")</f>
        <v/>
      </c>
    </row>
    <row r="1065" spans="1:2" ht="18">
      <c r="A1065" s="3"/>
      <c r="B1065" s="3" t="str">
        <f ca="1">IFERROR(__xludf.DUMMYFUNCTION("IFERROR(GOOGLETRANSLATE(A1068,""ko"",""en""),)"),"")</f>
        <v/>
      </c>
    </row>
    <row r="1066" spans="1:2" ht="18">
      <c r="A1066" s="3"/>
      <c r="B1066" s="3" t="str">
        <f ca="1">IFERROR(__xludf.DUMMYFUNCTION("IFERROR(GOOGLETRANSLATE(A1069,""ko"",""en""),)"),"")</f>
        <v/>
      </c>
    </row>
    <row r="1067" spans="1:2" ht="18">
      <c r="A1067" s="3"/>
      <c r="B1067" s="3" t="str">
        <f ca="1">IFERROR(__xludf.DUMMYFUNCTION("IFERROR(GOOGLETRANSLATE(A1070,""ko"",""en""),)"),"")</f>
        <v/>
      </c>
    </row>
    <row r="1068" spans="1:2" ht="18">
      <c r="A1068" s="3"/>
      <c r="B1068" s="3" t="str">
        <f ca="1">IFERROR(__xludf.DUMMYFUNCTION("IFERROR(GOOGLETRANSLATE(A1071,""ko"",""en""),)"),"")</f>
        <v/>
      </c>
    </row>
    <row r="1069" spans="1:2" ht="18">
      <c r="A1069" s="3"/>
      <c r="B1069" s="3" t="str">
        <f ca="1">IFERROR(__xludf.DUMMYFUNCTION("IFERROR(GOOGLETRANSLATE(A1072,""ko"",""en""),)"),"")</f>
        <v/>
      </c>
    </row>
    <row r="1070" spans="1:2" ht="18">
      <c r="A1070" s="3"/>
      <c r="B1070" s="3" t="str">
        <f ca="1">IFERROR(__xludf.DUMMYFUNCTION("IFERROR(GOOGLETRANSLATE(A1073,""ko"",""en""),)"),"")</f>
        <v/>
      </c>
    </row>
    <row r="1071" spans="1:2" ht="18">
      <c r="A1071" s="3"/>
      <c r="B1071" s="3" t="str">
        <f ca="1">IFERROR(__xludf.DUMMYFUNCTION("IFERROR(GOOGLETRANSLATE(A1074,""ko"",""en""),)"),"")</f>
        <v/>
      </c>
    </row>
    <row r="1072" spans="1:2" ht="18">
      <c r="A1072" s="3"/>
      <c r="B1072" s="3" t="str">
        <f ca="1">IFERROR(__xludf.DUMMYFUNCTION("IFERROR(GOOGLETRANSLATE(A1075,""ko"",""en""),)"),"")</f>
        <v/>
      </c>
    </row>
    <row r="1073" spans="1:2" ht="18">
      <c r="A1073" s="3"/>
      <c r="B1073" s="3" t="str">
        <f ca="1">IFERROR(__xludf.DUMMYFUNCTION("IFERROR(GOOGLETRANSLATE(A1076,""ko"",""en""),)"),"")</f>
        <v/>
      </c>
    </row>
    <row r="1074" spans="1:2" ht="18">
      <c r="A1074" s="3"/>
      <c r="B1074" s="3" t="str">
        <f ca="1">IFERROR(__xludf.DUMMYFUNCTION("IFERROR(GOOGLETRANSLATE(A1077,""ko"",""en""),)"),"")</f>
        <v/>
      </c>
    </row>
    <row r="1075" spans="1:2" ht="18">
      <c r="A1075" s="3"/>
      <c r="B1075" s="3" t="str">
        <f ca="1">IFERROR(__xludf.DUMMYFUNCTION("IFERROR(GOOGLETRANSLATE(A1078,""ko"",""en""),)"),"")</f>
        <v/>
      </c>
    </row>
    <row r="1076" spans="1:2" ht="18">
      <c r="A1076" s="3"/>
      <c r="B1076" s="3" t="str">
        <f ca="1">IFERROR(__xludf.DUMMYFUNCTION("IFERROR(GOOGLETRANSLATE(A1079,""ko"",""en""),)"),"")</f>
        <v/>
      </c>
    </row>
    <row r="1077" spans="1:2" ht="18">
      <c r="A1077" s="3"/>
      <c r="B1077" s="3" t="str">
        <f ca="1">IFERROR(__xludf.DUMMYFUNCTION("IFERROR(GOOGLETRANSLATE(A1080,""ko"",""en""),)"),"")</f>
        <v/>
      </c>
    </row>
    <row r="1078" spans="1:2" ht="18">
      <c r="A1078" s="3"/>
      <c r="B1078" s="3" t="str">
        <f ca="1">IFERROR(__xludf.DUMMYFUNCTION("IFERROR(GOOGLETRANSLATE(A1081,""ko"",""en""),)"),"")</f>
        <v/>
      </c>
    </row>
    <row r="1079" spans="1:2" ht="18">
      <c r="A1079" s="3"/>
      <c r="B1079" s="3" t="str">
        <f ca="1">IFERROR(__xludf.DUMMYFUNCTION("IFERROR(GOOGLETRANSLATE(A1082,""ko"",""en""),)"),"")</f>
        <v/>
      </c>
    </row>
    <row r="1080" spans="1:2" ht="18">
      <c r="A1080" s="3"/>
      <c r="B1080" s="3" t="str">
        <f ca="1">IFERROR(__xludf.DUMMYFUNCTION("IFERROR(GOOGLETRANSLATE(A1083,""ko"",""en""),)"),"")</f>
        <v/>
      </c>
    </row>
    <row r="1081" spans="1:2" ht="18">
      <c r="A1081" s="3"/>
      <c r="B1081" s="3" t="str">
        <f ca="1">IFERROR(__xludf.DUMMYFUNCTION("IFERROR(GOOGLETRANSLATE(A1084,""ko"",""en""),)"),"")</f>
        <v/>
      </c>
    </row>
    <row r="1082" spans="1:2" ht="18">
      <c r="A1082" s="3"/>
      <c r="B1082" s="3" t="str">
        <f ca="1">IFERROR(__xludf.DUMMYFUNCTION("IFERROR(GOOGLETRANSLATE(A1085,""ko"",""en""),)"),"")</f>
        <v/>
      </c>
    </row>
    <row r="1083" spans="1:2" ht="18">
      <c r="A1083" s="3"/>
      <c r="B1083" s="3" t="str">
        <f ca="1">IFERROR(__xludf.DUMMYFUNCTION("IFERROR(GOOGLETRANSLATE(A1086,""ko"",""en""),)"),"")</f>
        <v/>
      </c>
    </row>
    <row r="1084" spans="1:2" ht="18">
      <c r="A1084" s="3"/>
      <c r="B1084" s="3" t="str">
        <f ca="1">IFERROR(__xludf.DUMMYFUNCTION("IFERROR(GOOGLETRANSLATE(A1087,""ko"",""en""),)"),"")</f>
        <v/>
      </c>
    </row>
    <row r="1085" spans="1:2" ht="18">
      <c r="A1085" s="3"/>
      <c r="B1085" s="3" t="str">
        <f ca="1">IFERROR(__xludf.DUMMYFUNCTION("IFERROR(GOOGLETRANSLATE(A1088,""ko"",""en""),)"),"")</f>
        <v/>
      </c>
    </row>
    <row r="1086" spans="1:2" ht="18">
      <c r="A1086" s="3"/>
      <c r="B1086" s="3" t="str">
        <f ca="1">IFERROR(__xludf.DUMMYFUNCTION("IFERROR(GOOGLETRANSLATE(A1089,""ko"",""en""),)"),"")</f>
        <v/>
      </c>
    </row>
    <row r="1087" spans="1:2" ht="18">
      <c r="A1087" s="3"/>
      <c r="B1087" s="3" t="str">
        <f ca="1">IFERROR(__xludf.DUMMYFUNCTION("IFERROR(GOOGLETRANSLATE(A1090,""ko"",""en""),)"),"")</f>
        <v/>
      </c>
    </row>
    <row r="1088" spans="1:2" ht="18">
      <c r="A1088" s="3"/>
      <c r="B1088" s="3" t="str">
        <f ca="1">IFERROR(__xludf.DUMMYFUNCTION("IFERROR(GOOGLETRANSLATE(A1091,""ko"",""en""),)"),"")</f>
        <v/>
      </c>
    </row>
    <row r="1089" spans="1:2" ht="18">
      <c r="A1089" s="3"/>
      <c r="B1089" s="3" t="str">
        <f ca="1">IFERROR(__xludf.DUMMYFUNCTION("IFERROR(GOOGLETRANSLATE(A1092,""ko"",""en""),)"),"")</f>
        <v/>
      </c>
    </row>
    <row r="1090" spans="1:2" ht="18">
      <c r="A1090" s="3"/>
      <c r="B1090" s="3" t="str">
        <f ca="1">IFERROR(__xludf.DUMMYFUNCTION("IFERROR(GOOGLETRANSLATE(A1093,""ko"",""en""),)"),"")</f>
        <v/>
      </c>
    </row>
    <row r="1091" spans="1:2" ht="18">
      <c r="A1091" s="3"/>
      <c r="B1091" s="3" t="str">
        <f ca="1">IFERROR(__xludf.DUMMYFUNCTION("IFERROR(GOOGLETRANSLATE(A1094,""ko"",""en""),)"),"")</f>
        <v/>
      </c>
    </row>
    <row r="1092" spans="1:2" ht="18">
      <c r="A1092" s="3"/>
      <c r="B1092" s="3" t="str">
        <f ca="1">IFERROR(__xludf.DUMMYFUNCTION("IFERROR(GOOGLETRANSLATE(A1095,""ko"",""en""),)"),"")</f>
        <v/>
      </c>
    </row>
    <row r="1093" spans="1:2" ht="18">
      <c r="A1093" s="3"/>
      <c r="B1093" s="3" t="str">
        <f ca="1">IFERROR(__xludf.DUMMYFUNCTION("IFERROR(GOOGLETRANSLATE(A1096,""ko"",""en""),)"),"")</f>
        <v/>
      </c>
    </row>
    <row r="1094" spans="1:2" ht="18">
      <c r="A1094" s="3"/>
      <c r="B1094" s="3" t="str">
        <f ca="1">IFERROR(__xludf.DUMMYFUNCTION("IFERROR(GOOGLETRANSLATE(A1097,""ko"",""en""),)"),"")</f>
        <v/>
      </c>
    </row>
    <row r="1095" spans="1:2" ht="18">
      <c r="A1095" s="3"/>
      <c r="B1095" s="3" t="str">
        <f ca="1">IFERROR(__xludf.DUMMYFUNCTION("IFERROR(GOOGLETRANSLATE(A1098,""ko"",""en""),)"),"")</f>
        <v/>
      </c>
    </row>
    <row r="1096" spans="1:2" ht="18">
      <c r="A1096" s="3"/>
      <c r="B1096" s="3" t="str">
        <f ca="1">IFERROR(__xludf.DUMMYFUNCTION("IFERROR(GOOGLETRANSLATE(A1099,""ko"",""en""),)"),"")</f>
        <v/>
      </c>
    </row>
    <row r="1097" spans="1:2" ht="18">
      <c r="A1097" s="3"/>
      <c r="B1097" s="3" t="str">
        <f ca="1">IFERROR(__xludf.DUMMYFUNCTION("IFERROR(GOOGLETRANSLATE(A1100,""ko"",""en""),)"),"")</f>
        <v/>
      </c>
    </row>
    <row r="1098" spans="1:2" ht="18">
      <c r="A1098" s="3"/>
      <c r="B1098" s="3" t="str">
        <f ca="1">IFERROR(__xludf.DUMMYFUNCTION("IFERROR(GOOGLETRANSLATE(A1101,""ko"",""en""),)"),"")</f>
        <v/>
      </c>
    </row>
    <row r="1099" spans="1:2" ht="18">
      <c r="A1099" s="3"/>
      <c r="B1099" s="3" t="str">
        <f ca="1">IFERROR(__xludf.DUMMYFUNCTION("IFERROR(GOOGLETRANSLATE(A1102,""ko"",""en""),)"),"")</f>
        <v/>
      </c>
    </row>
    <row r="1100" spans="1:2" ht="18">
      <c r="A1100" s="3"/>
      <c r="B1100" s="3" t="str">
        <f ca="1">IFERROR(__xludf.DUMMYFUNCTION("IFERROR(GOOGLETRANSLATE(A1103,""ko"",""en""),)"),"")</f>
        <v/>
      </c>
    </row>
    <row r="1101" spans="1:2" ht="18">
      <c r="A1101" s="3"/>
      <c r="B1101" s="3" t="str">
        <f ca="1">IFERROR(__xludf.DUMMYFUNCTION("IFERROR(GOOGLETRANSLATE(A1104,""ko"",""en""),)"),"")</f>
        <v/>
      </c>
    </row>
    <row r="1102" spans="1:2" ht="18">
      <c r="A1102" s="3"/>
      <c r="B1102" s="3" t="str">
        <f ca="1">IFERROR(__xludf.DUMMYFUNCTION("IFERROR(GOOGLETRANSLATE(A1105,""ko"",""en""),)"),"")</f>
        <v/>
      </c>
    </row>
    <row r="1103" spans="1:2" ht="18">
      <c r="A1103" s="3"/>
      <c r="B1103" s="3" t="str">
        <f ca="1">IFERROR(__xludf.DUMMYFUNCTION("IFERROR(GOOGLETRANSLATE(A1106,""ko"",""en""),)"),"")</f>
        <v/>
      </c>
    </row>
    <row r="1104" spans="1:2" ht="18">
      <c r="A1104" s="3"/>
      <c r="B1104" s="3" t="str">
        <f ca="1">IFERROR(__xludf.DUMMYFUNCTION("IFERROR(GOOGLETRANSLATE(A1107,""ko"",""en""),)"),"")</f>
        <v/>
      </c>
    </row>
    <row r="1105" spans="1:2" ht="18">
      <c r="A1105" s="3"/>
      <c r="B1105" s="3" t="str">
        <f ca="1">IFERROR(__xludf.DUMMYFUNCTION("IFERROR(GOOGLETRANSLATE(A1108,""ko"",""en""),)"),"")</f>
        <v/>
      </c>
    </row>
    <row r="1106" spans="1:2" ht="18">
      <c r="A1106" s="3"/>
      <c r="B1106" s="3" t="str">
        <f ca="1">IFERROR(__xludf.DUMMYFUNCTION("IFERROR(GOOGLETRANSLATE(A1109,""ko"",""en""),)"),"")</f>
        <v/>
      </c>
    </row>
    <row r="1107" spans="1:2" ht="18">
      <c r="A1107" s="3"/>
      <c r="B1107" s="3" t="str">
        <f ca="1">IFERROR(__xludf.DUMMYFUNCTION("IFERROR(GOOGLETRANSLATE(A1110,""ko"",""en""),)"),"")</f>
        <v/>
      </c>
    </row>
    <row r="1108" spans="1:2" ht="18">
      <c r="A1108" s="3"/>
      <c r="B1108" s="3" t="str">
        <f ca="1">IFERROR(__xludf.DUMMYFUNCTION("IFERROR(GOOGLETRANSLATE(A1111,""ko"",""en""),)"),"")</f>
        <v/>
      </c>
    </row>
    <row r="1109" spans="1:2" ht="18">
      <c r="A1109" s="3"/>
      <c r="B1109" s="3" t="str">
        <f ca="1">IFERROR(__xludf.DUMMYFUNCTION("IFERROR(GOOGLETRANSLATE(A1112,""ko"",""en""),)"),"")</f>
        <v/>
      </c>
    </row>
    <row r="1110" spans="1:2" ht="18">
      <c r="A1110" s="3"/>
      <c r="B1110" s="3" t="str">
        <f ca="1">IFERROR(__xludf.DUMMYFUNCTION("IFERROR(GOOGLETRANSLATE(A1113,""ko"",""en""),)"),"")</f>
        <v/>
      </c>
    </row>
    <row r="1111" spans="1:2" ht="18">
      <c r="A1111" s="3"/>
      <c r="B1111" s="3" t="str">
        <f ca="1">IFERROR(__xludf.DUMMYFUNCTION("IFERROR(GOOGLETRANSLATE(A1114,""ko"",""en""),)"),"")</f>
        <v/>
      </c>
    </row>
    <row r="1112" spans="1:2" ht="18">
      <c r="A1112" s="3"/>
      <c r="B1112" s="3" t="str">
        <f ca="1">IFERROR(__xludf.DUMMYFUNCTION("IFERROR(GOOGLETRANSLATE(A1115,""ko"",""en""),)"),"")</f>
        <v/>
      </c>
    </row>
    <row r="1113" spans="1:2" ht="18">
      <c r="A1113" s="3"/>
      <c r="B1113" s="3" t="str">
        <f ca="1">IFERROR(__xludf.DUMMYFUNCTION("IFERROR(GOOGLETRANSLATE(A1116,""ko"",""en""),)"),"")</f>
        <v/>
      </c>
    </row>
    <row r="1114" spans="1:2" ht="18">
      <c r="A1114" s="3"/>
      <c r="B1114" s="3" t="str">
        <f ca="1">IFERROR(__xludf.DUMMYFUNCTION("IFERROR(GOOGLETRANSLATE(A1117,""ko"",""en""),)"),"")</f>
        <v/>
      </c>
    </row>
    <row r="1115" spans="1:2" ht="18">
      <c r="A1115" s="3"/>
      <c r="B1115" s="3" t="str">
        <f ca="1">IFERROR(__xludf.DUMMYFUNCTION("IFERROR(GOOGLETRANSLATE(A1118,""ko"",""en""),)"),"")</f>
        <v/>
      </c>
    </row>
    <row r="1116" spans="1:2" ht="18">
      <c r="A1116" s="3"/>
      <c r="B1116" s="3" t="str">
        <f ca="1">IFERROR(__xludf.DUMMYFUNCTION("IFERROR(GOOGLETRANSLATE(A1119,""ko"",""en""),)"),"")</f>
        <v/>
      </c>
    </row>
    <row r="1117" spans="1:2" ht="18">
      <c r="A1117" s="3"/>
      <c r="B1117" s="3" t="str">
        <f ca="1">IFERROR(__xludf.DUMMYFUNCTION("IFERROR(GOOGLETRANSLATE(A1120,""ko"",""en""),)"),"")</f>
        <v/>
      </c>
    </row>
    <row r="1118" spans="1:2" ht="18">
      <c r="A1118" s="3"/>
      <c r="B1118" s="3" t="str">
        <f ca="1">IFERROR(__xludf.DUMMYFUNCTION("IFERROR(GOOGLETRANSLATE(A1121,""ko"",""en""),)"),"")</f>
        <v/>
      </c>
    </row>
    <row r="1119" spans="1:2" ht="18">
      <c r="A1119" s="3"/>
      <c r="B1119" s="3" t="str">
        <f ca="1">IFERROR(__xludf.DUMMYFUNCTION("IFERROR(GOOGLETRANSLATE(A1122,""ko"",""en""),)"),"")</f>
        <v/>
      </c>
    </row>
    <row r="1120" spans="1:2" ht="18">
      <c r="A1120" s="3"/>
      <c r="B1120" s="3" t="str">
        <f ca="1">IFERROR(__xludf.DUMMYFUNCTION("IFERROR(GOOGLETRANSLATE(A1123,""ko"",""en""),)"),"")</f>
        <v/>
      </c>
    </row>
    <row r="1121" spans="1:2" ht="18">
      <c r="A1121" s="3"/>
      <c r="B1121" s="3" t="str">
        <f ca="1">IFERROR(__xludf.DUMMYFUNCTION("IFERROR(GOOGLETRANSLATE(A1124,""ko"",""en""),)"),"")</f>
        <v/>
      </c>
    </row>
    <row r="1122" spans="1:2" ht="18">
      <c r="A1122" s="3"/>
      <c r="B1122" s="3" t="str">
        <f ca="1">IFERROR(__xludf.DUMMYFUNCTION("IFERROR(GOOGLETRANSLATE(A1125,""ko"",""en""),)"),"")</f>
        <v/>
      </c>
    </row>
    <row r="1123" spans="1:2" ht="18">
      <c r="A1123" s="3"/>
      <c r="B1123" s="3" t="str">
        <f ca="1">IFERROR(__xludf.DUMMYFUNCTION("IFERROR(GOOGLETRANSLATE(A1126,""ko"",""en""),)"),"")</f>
        <v/>
      </c>
    </row>
    <row r="1124" spans="1:2" ht="18">
      <c r="A1124" s="3"/>
      <c r="B1124" s="3" t="str">
        <f ca="1">IFERROR(__xludf.DUMMYFUNCTION("IFERROR(GOOGLETRANSLATE(A1127,""ko"",""en""),)"),"")</f>
        <v/>
      </c>
    </row>
    <row r="1125" spans="1:2" ht="18">
      <c r="A1125" s="3"/>
      <c r="B1125" s="3" t="str">
        <f ca="1">IFERROR(__xludf.DUMMYFUNCTION("IFERROR(GOOGLETRANSLATE(A1128,""ko"",""en""),)"),"")</f>
        <v/>
      </c>
    </row>
    <row r="1126" spans="1:2" ht="18">
      <c r="A1126" s="3"/>
      <c r="B1126" s="3" t="str">
        <f ca="1">IFERROR(__xludf.DUMMYFUNCTION("IFERROR(GOOGLETRANSLATE(A1129,""ko"",""en""),)"),"")</f>
        <v/>
      </c>
    </row>
    <row r="1127" spans="1:2" ht="18">
      <c r="A1127" s="3"/>
      <c r="B1127" s="3" t="str">
        <f ca="1">IFERROR(__xludf.DUMMYFUNCTION("IFERROR(GOOGLETRANSLATE(A1130,""ko"",""en""),)"),"")</f>
        <v/>
      </c>
    </row>
    <row r="1128" spans="1:2" ht="18">
      <c r="A1128" s="3"/>
      <c r="B1128" s="3" t="str">
        <f ca="1">IFERROR(__xludf.DUMMYFUNCTION("IFERROR(GOOGLETRANSLATE(A1131,""ko"",""en""),)"),"")</f>
        <v/>
      </c>
    </row>
    <row r="1129" spans="1:2" ht="18">
      <c r="A1129" s="3"/>
      <c r="B1129" s="3" t="str">
        <f ca="1">IFERROR(__xludf.DUMMYFUNCTION("IFERROR(GOOGLETRANSLATE(A1132,""ko"",""en""),)"),"")</f>
        <v/>
      </c>
    </row>
    <row r="1130" spans="1:2" ht="18">
      <c r="A1130" s="3"/>
      <c r="B1130" s="3" t="str">
        <f ca="1">IFERROR(__xludf.DUMMYFUNCTION("IFERROR(GOOGLETRANSLATE(A1133,""ko"",""en""),)"),"")</f>
        <v/>
      </c>
    </row>
    <row r="1131" spans="1:2" ht="18">
      <c r="A1131" s="3"/>
      <c r="B1131" s="3" t="str">
        <f ca="1">IFERROR(__xludf.DUMMYFUNCTION("IFERROR(GOOGLETRANSLATE(A1134,""ko"",""en""),)"),"")</f>
        <v/>
      </c>
    </row>
    <row r="1132" spans="1:2" ht="18">
      <c r="A1132" s="3"/>
      <c r="B1132" s="3" t="str">
        <f ca="1">IFERROR(__xludf.DUMMYFUNCTION("IFERROR(GOOGLETRANSLATE(A1135,""ko"",""en""),)"),"")</f>
        <v/>
      </c>
    </row>
    <row r="1133" spans="1:2" ht="18">
      <c r="A1133" s="3"/>
      <c r="B1133" s="3" t="str">
        <f ca="1">IFERROR(__xludf.DUMMYFUNCTION("IFERROR(GOOGLETRANSLATE(A1136,""ko"",""en""),)"),"")</f>
        <v/>
      </c>
    </row>
    <row r="1134" spans="1:2" ht="18">
      <c r="A1134" s="3"/>
      <c r="B1134" s="3" t="str">
        <f ca="1">IFERROR(__xludf.DUMMYFUNCTION("IFERROR(GOOGLETRANSLATE(A1137,""ko"",""en""),)"),"")</f>
        <v/>
      </c>
    </row>
    <row r="1135" spans="1:2" ht="18">
      <c r="A1135" s="3"/>
      <c r="B1135" s="3" t="str">
        <f ca="1">IFERROR(__xludf.DUMMYFUNCTION("IFERROR(GOOGLETRANSLATE(A1138,""ko"",""en""),)"),"")</f>
        <v/>
      </c>
    </row>
    <row r="1136" spans="1:2" ht="18">
      <c r="A1136" s="3"/>
      <c r="B1136" s="3" t="str">
        <f ca="1">IFERROR(__xludf.DUMMYFUNCTION("IFERROR(GOOGLETRANSLATE(A1139,""ko"",""en""),)"),"")</f>
        <v/>
      </c>
    </row>
    <row r="1137" spans="1:2" ht="18">
      <c r="A1137" s="3"/>
      <c r="B1137" s="3" t="str">
        <f ca="1">IFERROR(__xludf.DUMMYFUNCTION("IFERROR(GOOGLETRANSLATE(A1140,""ko"",""en""),)"),"")</f>
        <v/>
      </c>
    </row>
    <row r="1138" spans="1:2" ht="18">
      <c r="A1138" s="3"/>
      <c r="B1138" s="3" t="str">
        <f ca="1">IFERROR(__xludf.DUMMYFUNCTION("IFERROR(GOOGLETRANSLATE(A1141,""ko"",""en""),)"),"")</f>
        <v/>
      </c>
    </row>
    <row r="1139" spans="1:2" ht="18">
      <c r="A1139" s="3"/>
      <c r="B1139" s="3" t="str">
        <f ca="1">IFERROR(__xludf.DUMMYFUNCTION("IFERROR(GOOGLETRANSLATE(A1142,""ko"",""en""),)"),"")</f>
        <v/>
      </c>
    </row>
    <row r="1140" spans="1:2" ht="18">
      <c r="A1140" s="3"/>
      <c r="B1140" s="3" t="str">
        <f ca="1">IFERROR(__xludf.DUMMYFUNCTION("IFERROR(GOOGLETRANSLATE(A1143,""ko"",""en""),)"),"")</f>
        <v/>
      </c>
    </row>
    <row r="1141" spans="1:2" ht="18">
      <c r="A1141" s="3"/>
      <c r="B1141" s="3" t="str">
        <f ca="1">IFERROR(__xludf.DUMMYFUNCTION("IFERROR(GOOGLETRANSLATE(A1144,""ko"",""en""),)"),"")</f>
        <v/>
      </c>
    </row>
    <row r="1142" spans="1:2" ht="18">
      <c r="A1142" s="3"/>
      <c r="B1142" s="3" t="str">
        <f ca="1">IFERROR(__xludf.DUMMYFUNCTION("IFERROR(GOOGLETRANSLATE(A1145,""ko"",""en""),)"),"")</f>
        <v/>
      </c>
    </row>
    <row r="1143" spans="1:2" ht="18">
      <c r="A1143" s="3"/>
      <c r="B1143" s="3" t="str">
        <f ca="1">IFERROR(__xludf.DUMMYFUNCTION("IFERROR(GOOGLETRANSLATE(A1146,""ko"",""en""),)"),"")</f>
        <v/>
      </c>
    </row>
    <row r="1144" spans="1:2" ht="18">
      <c r="A1144" s="3"/>
      <c r="B1144" s="3" t="str">
        <f ca="1">IFERROR(__xludf.DUMMYFUNCTION("IFERROR(GOOGLETRANSLATE(A1147,""ko"",""en""),)"),"")</f>
        <v/>
      </c>
    </row>
    <row r="1145" spans="1:2" ht="18">
      <c r="A1145" s="3"/>
      <c r="B1145" s="3" t="str">
        <f ca="1">IFERROR(__xludf.DUMMYFUNCTION("IFERROR(GOOGLETRANSLATE(A1148,""ko"",""en""),)"),"")</f>
        <v/>
      </c>
    </row>
    <row r="1146" spans="1:2" ht="18">
      <c r="A1146" s="3"/>
      <c r="B1146" s="3" t="str">
        <f ca="1">IFERROR(__xludf.DUMMYFUNCTION("IFERROR(GOOGLETRANSLATE(A1149,""ko"",""en""),)"),"")</f>
        <v/>
      </c>
    </row>
    <row r="1147" spans="1:2" ht="18">
      <c r="A1147" s="3"/>
      <c r="B1147" s="3" t="str">
        <f ca="1">IFERROR(__xludf.DUMMYFUNCTION("IFERROR(GOOGLETRANSLATE(A1150,""ko"",""en""),)"),"")</f>
        <v/>
      </c>
    </row>
    <row r="1148" spans="1:2" ht="18">
      <c r="A1148" s="3"/>
      <c r="B1148" s="3" t="str">
        <f ca="1">IFERROR(__xludf.DUMMYFUNCTION("IFERROR(GOOGLETRANSLATE(A1151,""ko"",""en""),)"),"")</f>
        <v/>
      </c>
    </row>
    <row r="1149" spans="1:2" ht="18">
      <c r="A1149" s="3"/>
      <c r="B1149" s="3" t="str">
        <f ca="1">IFERROR(__xludf.DUMMYFUNCTION("IFERROR(GOOGLETRANSLATE(A1152,""ko"",""en""),)"),"")</f>
        <v/>
      </c>
    </row>
    <row r="1150" spans="1:2" ht="18">
      <c r="A1150" s="3"/>
      <c r="B1150" s="3" t="str">
        <f ca="1">IFERROR(__xludf.DUMMYFUNCTION("IFERROR(GOOGLETRANSLATE(A1153,""ko"",""en""),)"),"")</f>
        <v/>
      </c>
    </row>
    <row r="1151" spans="1:2" ht="18">
      <c r="A1151" s="3"/>
      <c r="B1151" s="3" t="str">
        <f ca="1">IFERROR(__xludf.DUMMYFUNCTION("IFERROR(GOOGLETRANSLATE(A1154,""ko"",""en""),)"),"")</f>
        <v/>
      </c>
    </row>
    <row r="1152" spans="1:2" ht="18">
      <c r="A1152" s="3"/>
      <c r="B1152" s="3" t="str">
        <f ca="1">IFERROR(__xludf.DUMMYFUNCTION("IFERROR(GOOGLETRANSLATE(A1155,""ko"",""en""),)"),"")</f>
        <v/>
      </c>
    </row>
    <row r="1153" spans="1:2" ht="18">
      <c r="A1153" s="3"/>
      <c r="B1153" s="3" t="str">
        <f ca="1">IFERROR(__xludf.DUMMYFUNCTION("IFERROR(GOOGLETRANSLATE(A1156,""ko"",""en""),)"),"")</f>
        <v/>
      </c>
    </row>
    <row r="1154" spans="1:2" ht="18">
      <c r="A1154" s="3"/>
      <c r="B1154" s="3" t="str">
        <f ca="1">IFERROR(__xludf.DUMMYFUNCTION("IFERROR(GOOGLETRANSLATE(A1157,""ko"",""en""),)"),"")</f>
        <v/>
      </c>
    </row>
    <row r="1155" spans="1:2" ht="18">
      <c r="A1155" s="3"/>
      <c r="B1155" s="3" t="str">
        <f ca="1">IFERROR(__xludf.DUMMYFUNCTION("IFERROR(GOOGLETRANSLATE(A1158,""ko"",""en""),)"),"")</f>
        <v/>
      </c>
    </row>
    <row r="1156" spans="1:2" ht="18">
      <c r="A1156" s="3"/>
      <c r="B1156" s="3" t="str">
        <f ca="1">IFERROR(__xludf.DUMMYFUNCTION("IFERROR(GOOGLETRANSLATE(A1159,""ko"",""en""),)"),"")</f>
        <v/>
      </c>
    </row>
    <row r="1157" spans="1:2" ht="18">
      <c r="A1157" s="3"/>
      <c r="B1157" s="3" t="str">
        <f ca="1">IFERROR(__xludf.DUMMYFUNCTION("IFERROR(GOOGLETRANSLATE(A1160,""ko"",""en""),)"),"")</f>
        <v/>
      </c>
    </row>
    <row r="1158" spans="1:2" ht="18">
      <c r="A1158" s="3"/>
      <c r="B1158" s="3" t="str">
        <f ca="1">IFERROR(__xludf.DUMMYFUNCTION("IFERROR(GOOGLETRANSLATE(A1161,""ko"",""en""),)"),"")</f>
        <v/>
      </c>
    </row>
    <row r="1159" spans="1:2" ht="18">
      <c r="A1159" s="3"/>
      <c r="B1159" s="3" t="str">
        <f ca="1">IFERROR(__xludf.DUMMYFUNCTION("IFERROR(GOOGLETRANSLATE(A1162,""ko"",""en""),)"),"")</f>
        <v/>
      </c>
    </row>
    <row r="1160" spans="1:2" ht="18">
      <c r="A1160" s="3"/>
      <c r="B1160" s="3" t="str">
        <f ca="1">IFERROR(__xludf.DUMMYFUNCTION("IFERROR(GOOGLETRANSLATE(A1163,""ko"",""en""),)"),"")</f>
        <v/>
      </c>
    </row>
    <row r="1161" spans="1:2" ht="18">
      <c r="A1161" s="3"/>
      <c r="B1161" s="3" t="str">
        <f ca="1">IFERROR(__xludf.DUMMYFUNCTION("IFERROR(GOOGLETRANSLATE(A1164,""ko"",""en""),)"),"")</f>
        <v/>
      </c>
    </row>
    <row r="1162" spans="1:2" ht="18">
      <c r="A1162" s="3"/>
      <c r="B1162" s="3" t="str">
        <f ca="1">IFERROR(__xludf.DUMMYFUNCTION("IFERROR(GOOGLETRANSLATE(A1165,""ko"",""en""),)"),"")</f>
        <v/>
      </c>
    </row>
    <row r="1163" spans="1:2" ht="18">
      <c r="A1163" s="3"/>
      <c r="B1163" s="3" t="str">
        <f ca="1">IFERROR(__xludf.DUMMYFUNCTION("IFERROR(GOOGLETRANSLATE(A1166,""ko"",""en""),)"),"")</f>
        <v/>
      </c>
    </row>
    <row r="1164" spans="1:2" ht="18">
      <c r="A1164" s="3"/>
      <c r="B1164" s="3" t="str">
        <f ca="1">IFERROR(__xludf.DUMMYFUNCTION("IFERROR(GOOGLETRANSLATE(A1167,""ko"",""en""),)"),"")</f>
        <v/>
      </c>
    </row>
    <row r="1165" spans="1:2" ht="18">
      <c r="A1165" s="3"/>
      <c r="B1165" s="3" t="str">
        <f ca="1">IFERROR(__xludf.DUMMYFUNCTION("IFERROR(GOOGLETRANSLATE(A1168,""ko"",""en""),)"),"")</f>
        <v/>
      </c>
    </row>
    <row r="1166" spans="1:2" ht="18">
      <c r="A1166" s="3"/>
      <c r="B1166" s="3" t="str">
        <f ca="1">IFERROR(__xludf.DUMMYFUNCTION("IFERROR(GOOGLETRANSLATE(A1169,""ko"",""en""),)"),"")</f>
        <v/>
      </c>
    </row>
    <row r="1167" spans="1:2" ht="18">
      <c r="A1167" s="3"/>
      <c r="B1167" s="3" t="str">
        <f ca="1">IFERROR(__xludf.DUMMYFUNCTION("IFERROR(GOOGLETRANSLATE(A1170,""ko"",""en""),)"),"")</f>
        <v/>
      </c>
    </row>
    <row r="1168" spans="1:2" ht="18">
      <c r="A1168" s="3"/>
      <c r="B1168" s="3" t="str">
        <f ca="1">IFERROR(__xludf.DUMMYFUNCTION("IFERROR(GOOGLETRANSLATE(A1171,""ko"",""en""),)"),"")</f>
        <v/>
      </c>
    </row>
    <row r="1169" spans="1:2" ht="18">
      <c r="A1169" s="3"/>
      <c r="B1169" s="3" t="str">
        <f ca="1">IFERROR(__xludf.DUMMYFUNCTION("IFERROR(GOOGLETRANSLATE(A1172,""ko"",""en""),)"),"")</f>
        <v/>
      </c>
    </row>
    <row r="1170" spans="1:2" ht="18">
      <c r="A1170" s="3"/>
      <c r="B1170" s="3" t="str">
        <f ca="1">IFERROR(__xludf.DUMMYFUNCTION("IFERROR(GOOGLETRANSLATE(A1173,""ko"",""en""),)"),"")</f>
        <v/>
      </c>
    </row>
    <row r="1171" spans="1:2" ht="18">
      <c r="A1171" s="3"/>
      <c r="B1171" s="3" t="str">
        <f ca="1">IFERROR(__xludf.DUMMYFUNCTION("IFERROR(GOOGLETRANSLATE(A1174,""ko"",""en""),)"),"")</f>
        <v/>
      </c>
    </row>
    <row r="1172" spans="1:2" ht="18">
      <c r="A1172" s="3"/>
      <c r="B1172" s="3" t="str">
        <f ca="1">IFERROR(__xludf.DUMMYFUNCTION("IFERROR(GOOGLETRANSLATE(A1175,""ko"",""en""),)"),"")</f>
        <v/>
      </c>
    </row>
    <row r="1173" spans="1:2" ht="18">
      <c r="A1173" s="3"/>
      <c r="B1173" s="3" t="str">
        <f ca="1">IFERROR(__xludf.DUMMYFUNCTION("IFERROR(GOOGLETRANSLATE(A1176,""ko"",""en""),)"),"")</f>
        <v/>
      </c>
    </row>
    <row r="1174" spans="1:2" ht="18">
      <c r="A1174" s="3"/>
      <c r="B1174" s="3" t="str">
        <f ca="1">IFERROR(__xludf.DUMMYFUNCTION("IFERROR(GOOGLETRANSLATE(A1177,""ko"",""en""),)"),"")</f>
        <v/>
      </c>
    </row>
    <row r="1175" spans="1:2" ht="18">
      <c r="A1175" s="3"/>
      <c r="B1175" s="3" t="str">
        <f ca="1">IFERROR(__xludf.DUMMYFUNCTION("IFERROR(GOOGLETRANSLATE(A1178,""ko"",""en""),)"),"")</f>
        <v/>
      </c>
    </row>
    <row r="1176" spans="1:2" ht="18">
      <c r="A1176" s="3"/>
      <c r="B1176" s="3" t="str">
        <f ca="1">IFERROR(__xludf.DUMMYFUNCTION("IFERROR(GOOGLETRANSLATE(A1179,""ko"",""en""),)"),"")</f>
        <v/>
      </c>
    </row>
    <row r="1177" spans="1:2" ht="18">
      <c r="A1177" s="3"/>
      <c r="B1177" s="3" t="str">
        <f ca="1">IFERROR(__xludf.DUMMYFUNCTION("IFERROR(GOOGLETRANSLATE(A1180,""ko"",""en""),)"),"")</f>
        <v/>
      </c>
    </row>
    <row r="1178" spans="1:2" ht="18">
      <c r="A1178" s="3"/>
      <c r="B1178" s="3" t="str">
        <f ca="1">IFERROR(__xludf.DUMMYFUNCTION("IFERROR(GOOGLETRANSLATE(A1181,""ko"",""en""),)"),"")</f>
        <v/>
      </c>
    </row>
    <row r="1179" spans="1:2" ht="18">
      <c r="A1179" s="3"/>
      <c r="B1179" s="3" t="str">
        <f ca="1">IFERROR(__xludf.DUMMYFUNCTION("IFERROR(GOOGLETRANSLATE(A1182,""ko"",""en""),)"),"")</f>
        <v/>
      </c>
    </row>
    <row r="1180" spans="1:2" ht="18">
      <c r="A1180" s="3"/>
      <c r="B1180" s="3" t="str">
        <f ca="1">IFERROR(__xludf.DUMMYFUNCTION("IFERROR(GOOGLETRANSLATE(A1183,""ko"",""en""),)"),"")</f>
        <v/>
      </c>
    </row>
    <row r="1181" spans="1:2" ht="18">
      <c r="A1181" s="3"/>
      <c r="B1181" s="3" t="str">
        <f ca="1">IFERROR(__xludf.DUMMYFUNCTION("IFERROR(GOOGLETRANSLATE(A1184,""ko"",""en""),)"),"")</f>
        <v/>
      </c>
    </row>
    <row r="1182" spans="1:2" ht="18">
      <c r="A1182" s="3"/>
      <c r="B1182" s="3" t="str">
        <f ca="1">IFERROR(__xludf.DUMMYFUNCTION("IFERROR(GOOGLETRANSLATE(A1185,""ko"",""en""),)"),"")</f>
        <v/>
      </c>
    </row>
    <row r="1183" spans="1:2" ht="18">
      <c r="A1183" s="3"/>
      <c r="B1183" s="3" t="str">
        <f ca="1">IFERROR(__xludf.DUMMYFUNCTION("IFERROR(GOOGLETRANSLATE(A1186,""ko"",""en""),)"),"")</f>
        <v/>
      </c>
    </row>
    <row r="1184" spans="1:2" ht="18">
      <c r="A1184" s="3"/>
      <c r="B1184" s="3" t="str">
        <f ca="1">IFERROR(__xludf.DUMMYFUNCTION("IFERROR(GOOGLETRANSLATE(A1187,""ko"",""en""),)"),"")</f>
        <v/>
      </c>
    </row>
    <row r="1185" spans="1:2" ht="18">
      <c r="A1185" s="3"/>
      <c r="B1185" s="3" t="str">
        <f ca="1">IFERROR(__xludf.DUMMYFUNCTION("IFERROR(GOOGLETRANSLATE(A1188,""ko"",""en""),)"),"")</f>
        <v/>
      </c>
    </row>
    <row r="1186" spans="1:2" ht="18">
      <c r="A1186" s="3"/>
      <c r="B1186" s="3" t="str">
        <f ca="1">IFERROR(__xludf.DUMMYFUNCTION("IFERROR(GOOGLETRANSLATE(A1189,""ko"",""en""),)"),"")</f>
        <v/>
      </c>
    </row>
    <row r="1187" spans="1:2" ht="18">
      <c r="A1187" s="3"/>
      <c r="B1187" s="3" t="str">
        <f ca="1">IFERROR(__xludf.DUMMYFUNCTION("IFERROR(GOOGLETRANSLATE(A1190,""ko"",""en""),)"),"")</f>
        <v/>
      </c>
    </row>
    <row r="1188" spans="1:2" ht="18">
      <c r="A1188" s="3"/>
      <c r="B1188" s="3" t="str">
        <f ca="1">IFERROR(__xludf.DUMMYFUNCTION("IFERROR(GOOGLETRANSLATE(A1191,""ko"",""en""),)"),"")</f>
        <v/>
      </c>
    </row>
    <row r="1189" spans="1:2" ht="18">
      <c r="A1189" s="3"/>
      <c r="B1189" s="3" t="str">
        <f ca="1">IFERROR(__xludf.DUMMYFUNCTION("IFERROR(GOOGLETRANSLATE(A1192,""ko"",""en""),)"),"")</f>
        <v/>
      </c>
    </row>
    <row r="1190" spans="1:2" ht="18">
      <c r="A1190" s="3"/>
      <c r="B1190" s="3" t="str">
        <f ca="1">IFERROR(__xludf.DUMMYFUNCTION("IFERROR(GOOGLETRANSLATE(A1193,""ko"",""en""),)"),"")</f>
        <v/>
      </c>
    </row>
    <row r="1191" spans="1:2" ht="18">
      <c r="A1191" s="3"/>
      <c r="B1191" s="3" t="str">
        <f ca="1">IFERROR(__xludf.DUMMYFUNCTION("IFERROR(GOOGLETRANSLATE(A1194,""ko"",""en""),)"),"")</f>
        <v/>
      </c>
    </row>
    <row r="1192" spans="1:2" ht="18">
      <c r="A1192" s="3"/>
      <c r="B1192" s="3" t="str">
        <f ca="1">IFERROR(__xludf.DUMMYFUNCTION("IFERROR(GOOGLETRANSLATE(A1195,""ko"",""en""),)"),"")</f>
        <v/>
      </c>
    </row>
    <row r="1193" spans="1:2" ht="18">
      <c r="A1193" s="3"/>
      <c r="B1193" s="3" t="str">
        <f ca="1">IFERROR(__xludf.DUMMYFUNCTION("IFERROR(GOOGLETRANSLATE(A1196,""ko"",""en""),)"),"")</f>
        <v/>
      </c>
    </row>
    <row r="1194" spans="1:2" ht="18">
      <c r="A1194" s="3"/>
      <c r="B1194" s="3" t="str">
        <f ca="1">IFERROR(__xludf.DUMMYFUNCTION("IFERROR(GOOGLETRANSLATE(A1197,""ko"",""en""),)"),"")</f>
        <v/>
      </c>
    </row>
    <row r="1195" spans="1:2" ht="18">
      <c r="A1195" s="3"/>
      <c r="B1195" s="3" t="str">
        <f ca="1">IFERROR(__xludf.DUMMYFUNCTION("IFERROR(GOOGLETRANSLATE(A1198,""ko"",""en""),)"),"")</f>
        <v/>
      </c>
    </row>
    <row r="1196" spans="1:2" ht="18">
      <c r="A1196" s="3"/>
      <c r="B1196" s="3" t="str">
        <f ca="1">IFERROR(__xludf.DUMMYFUNCTION("IFERROR(GOOGLETRANSLATE(A1199,""ko"",""en""),)"),"")</f>
        <v/>
      </c>
    </row>
    <row r="1197" spans="1:2" ht="18">
      <c r="A1197" s="3"/>
      <c r="B1197" s="3" t="str">
        <f ca="1">IFERROR(__xludf.DUMMYFUNCTION("IFERROR(GOOGLETRANSLATE(A1200,""ko"",""en""),)"),"")</f>
        <v/>
      </c>
    </row>
    <row r="1198" spans="1:2" ht="18">
      <c r="A1198" s="3"/>
      <c r="B1198" s="3" t="str">
        <f ca="1">IFERROR(__xludf.DUMMYFUNCTION("IFERROR(GOOGLETRANSLATE(A1201,""ko"",""en""),)"),"")</f>
        <v/>
      </c>
    </row>
    <row r="1199" spans="1:2" ht="18">
      <c r="A1199" s="3"/>
      <c r="B1199" s="3" t="str">
        <f ca="1">IFERROR(__xludf.DUMMYFUNCTION("IFERROR(GOOGLETRANSLATE(A1202,""ko"",""en""),)"),"")</f>
        <v/>
      </c>
    </row>
    <row r="1200" spans="1:2" ht="18">
      <c r="A1200" s="3"/>
      <c r="B1200" s="3" t="str">
        <f ca="1">IFERROR(__xludf.DUMMYFUNCTION("IFERROR(GOOGLETRANSLATE(A1203,""ko"",""en""),)"),"")</f>
        <v/>
      </c>
    </row>
    <row r="1201" spans="1:2" ht="18">
      <c r="A1201" s="3"/>
      <c r="B1201" s="3" t="str">
        <f ca="1">IFERROR(__xludf.DUMMYFUNCTION("IFERROR(GOOGLETRANSLATE(A1204,""ko"",""en""),)"),"")</f>
        <v/>
      </c>
    </row>
    <row r="1202" spans="1:2" ht="18">
      <c r="A1202" s="3"/>
      <c r="B1202" s="3" t="str">
        <f ca="1">IFERROR(__xludf.DUMMYFUNCTION("IFERROR(GOOGLETRANSLATE(A1205,""ko"",""en""),)"),"")</f>
        <v/>
      </c>
    </row>
    <row r="1203" spans="1:2" ht="18">
      <c r="A1203" s="3"/>
      <c r="B1203" s="3" t="str">
        <f ca="1">IFERROR(__xludf.DUMMYFUNCTION("IFERROR(GOOGLETRANSLATE(A1206,""ko"",""en""),)"),"")</f>
        <v/>
      </c>
    </row>
    <row r="1204" spans="1:2" ht="18">
      <c r="A1204" s="3"/>
      <c r="B1204" s="3" t="str">
        <f ca="1">IFERROR(__xludf.DUMMYFUNCTION("IFERROR(GOOGLETRANSLATE(A1207,""ko"",""en""),)"),"")</f>
        <v/>
      </c>
    </row>
    <row r="1205" spans="1:2" ht="18">
      <c r="A1205" s="3"/>
      <c r="B1205" s="3" t="str">
        <f ca="1">IFERROR(__xludf.DUMMYFUNCTION("IFERROR(GOOGLETRANSLATE(A1208,""ko"",""en""),)"),"")</f>
        <v/>
      </c>
    </row>
    <row r="1206" spans="1:2" ht="18">
      <c r="A1206" s="3"/>
      <c r="B1206" s="3" t="str">
        <f ca="1">IFERROR(__xludf.DUMMYFUNCTION("IFERROR(GOOGLETRANSLATE(A1209,""ko"",""en""),)"),"")</f>
        <v/>
      </c>
    </row>
    <row r="1207" spans="1:2" ht="18">
      <c r="A1207" s="3"/>
      <c r="B1207" s="3" t="str">
        <f ca="1">IFERROR(__xludf.DUMMYFUNCTION("IFERROR(GOOGLETRANSLATE(A1210,""ko"",""en""),)"),"")</f>
        <v/>
      </c>
    </row>
    <row r="1208" spans="1:2" ht="18">
      <c r="A1208" s="3"/>
      <c r="B1208" s="3" t="str">
        <f ca="1">IFERROR(__xludf.DUMMYFUNCTION("IFERROR(GOOGLETRANSLATE(A1211,""ko"",""en""),)"),"")</f>
        <v/>
      </c>
    </row>
    <row r="1209" spans="1:2" ht="18">
      <c r="A1209" s="3"/>
      <c r="B1209" s="3" t="str">
        <f ca="1">IFERROR(__xludf.DUMMYFUNCTION("IFERROR(GOOGLETRANSLATE(A1212,""ko"",""en""),)"),"")</f>
        <v/>
      </c>
    </row>
    <row r="1210" spans="1:2" ht="18">
      <c r="A1210" s="3"/>
      <c r="B1210" s="3" t="str">
        <f ca="1">IFERROR(__xludf.DUMMYFUNCTION("IFERROR(GOOGLETRANSLATE(A1213,""ko"",""en""),)"),"")</f>
        <v/>
      </c>
    </row>
    <row r="1211" spans="1:2" ht="18">
      <c r="A1211" s="3"/>
      <c r="B1211" s="3" t="str">
        <f ca="1">IFERROR(__xludf.DUMMYFUNCTION("IFERROR(GOOGLETRANSLATE(A1214,""ko"",""en""),)"),"")</f>
        <v/>
      </c>
    </row>
    <row r="1212" spans="1:2" ht="18">
      <c r="A1212" s="3"/>
      <c r="B1212" s="3" t="str">
        <f ca="1">IFERROR(__xludf.DUMMYFUNCTION("IFERROR(GOOGLETRANSLATE(A1215,""ko"",""en""),)"),"")</f>
        <v/>
      </c>
    </row>
    <row r="1213" spans="1:2" ht="18">
      <c r="A1213" s="3"/>
      <c r="B1213" s="3" t="str">
        <f ca="1">IFERROR(__xludf.DUMMYFUNCTION("IFERROR(GOOGLETRANSLATE(A1216,""ko"",""en""),)"),"")</f>
        <v/>
      </c>
    </row>
    <row r="1214" spans="1:2" ht="18">
      <c r="A1214" s="3"/>
      <c r="B1214" s="3" t="str">
        <f ca="1">IFERROR(__xludf.DUMMYFUNCTION("IFERROR(GOOGLETRANSLATE(A1217,""ko"",""en""),)"),"")</f>
        <v/>
      </c>
    </row>
    <row r="1215" spans="1:2" ht="18">
      <c r="A1215" s="3"/>
      <c r="B1215" s="3" t="str">
        <f ca="1">IFERROR(__xludf.DUMMYFUNCTION("IFERROR(GOOGLETRANSLATE(A1218,""ko"",""en""),)"),"")</f>
        <v/>
      </c>
    </row>
    <row r="1216" spans="1:2" ht="18">
      <c r="A1216" s="3"/>
      <c r="B1216" s="3" t="str">
        <f ca="1">IFERROR(__xludf.DUMMYFUNCTION("IFERROR(GOOGLETRANSLATE(A1219,""ko"",""en""),)"),"")</f>
        <v/>
      </c>
    </row>
    <row r="1217" spans="1:2" ht="18">
      <c r="A1217" s="3"/>
      <c r="B1217" s="3" t="str">
        <f ca="1">IFERROR(__xludf.DUMMYFUNCTION("IFERROR(GOOGLETRANSLATE(A1220,""ko"",""en""),)"),"")</f>
        <v/>
      </c>
    </row>
    <row r="1218" spans="1:2" ht="18">
      <c r="A1218" s="3"/>
      <c r="B1218" s="3" t="str">
        <f ca="1">IFERROR(__xludf.DUMMYFUNCTION("IFERROR(GOOGLETRANSLATE(A1221,""ko"",""en""),)"),"")</f>
        <v/>
      </c>
    </row>
    <row r="1219" spans="1:2" ht="18">
      <c r="A1219" s="3"/>
      <c r="B1219" s="3" t="str">
        <f ca="1">IFERROR(__xludf.DUMMYFUNCTION("IFERROR(GOOGLETRANSLATE(A1222,""ko"",""en""),)"),"")</f>
        <v/>
      </c>
    </row>
    <row r="1220" spans="1:2" ht="18">
      <c r="A1220" s="3"/>
      <c r="B1220" s="3" t="str">
        <f ca="1">IFERROR(__xludf.DUMMYFUNCTION("IFERROR(GOOGLETRANSLATE(A1223,""ko"",""en""),)"),"")</f>
        <v/>
      </c>
    </row>
    <row r="1221" spans="1:2" ht="18">
      <c r="A1221" s="3"/>
      <c r="B1221" s="3" t="str">
        <f ca="1">IFERROR(__xludf.DUMMYFUNCTION("IFERROR(GOOGLETRANSLATE(A1224,""ko"",""en""),)"),"")</f>
        <v/>
      </c>
    </row>
    <row r="1222" spans="1:2" ht="18">
      <c r="A1222" s="3"/>
      <c r="B1222" s="3" t="str">
        <f ca="1">IFERROR(__xludf.DUMMYFUNCTION("IFERROR(GOOGLETRANSLATE(A1225,""ko"",""en""),)"),"")</f>
        <v/>
      </c>
    </row>
    <row r="1223" spans="1:2" ht="18">
      <c r="A1223" s="3"/>
      <c r="B1223" s="3" t="str">
        <f ca="1">IFERROR(__xludf.DUMMYFUNCTION("IFERROR(GOOGLETRANSLATE(A1226,""ko"",""en""),)"),"")</f>
        <v/>
      </c>
    </row>
    <row r="1224" spans="1:2" ht="18">
      <c r="A1224" s="3"/>
      <c r="B1224" s="3" t="str">
        <f ca="1">IFERROR(__xludf.DUMMYFUNCTION("IFERROR(GOOGLETRANSLATE(A1227,""ko"",""en""),)"),"")</f>
        <v/>
      </c>
    </row>
    <row r="1225" spans="1:2" ht="18">
      <c r="A1225" s="3"/>
      <c r="B1225" s="3" t="str">
        <f ca="1">IFERROR(__xludf.DUMMYFUNCTION("IFERROR(GOOGLETRANSLATE(A1228,""ko"",""en""),)"),"")</f>
        <v/>
      </c>
    </row>
    <row r="1226" spans="1:2" ht="18">
      <c r="A1226" s="3"/>
      <c r="B1226" s="3" t="str">
        <f ca="1">IFERROR(__xludf.DUMMYFUNCTION("IFERROR(GOOGLETRANSLATE(A1229,""ko"",""en""),)"),"")</f>
        <v/>
      </c>
    </row>
    <row r="1227" spans="1:2" ht="18">
      <c r="A1227" s="3"/>
      <c r="B1227" s="3" t="str">
        <f ca="1">IFERROR(__xludf.DUMMYFUNCTION("IFERROR(GOOGLETRANSLATE(A1230,""ko"",""en""),)"),"")</f>
        <v/>
      </c>
    </row>
    <row r="1228" spans="1:2" ht="18">
      <c r="A1228" s="3"/>
      <c r="B1228" s="3" t="str">
        <f ca="1">IFERROR(__xludf.DUMMYFUNCTION("IFERROR(GOOGLETRANSLATE(A1231,""ko"",""en""),)"),"")</f>
        <v/>
      </c>
    </row>
    <row r="1229" spans="1:2" ht="18">
      <c r="A1229" s="3"/>
      <c r="B1229" s="3" t="str">
        <f ca="1">IFERROR(__xludf.DUMMYFUNCTION("IFERROR(GOOGLETRANSLATE(A1232,""ko"",""en""),)"),"")</f>
        <v/>
      </c>
    </row>
    <row r="1230" spans="1:2" ht="18">
      <c r="A1230" s="3"/>
      <c r="B1230" s="3" t="str">
        <f ca="1">IFERROR(__xludf.DUMMYFUNCTION("IFERROR(GOOGLETRANSLATE(A1233,""ko"",""en""),)"),"")</f>
        <v/>
      </c>
    </row>
    <row r="1231" spans="1:2" ht="18">
      <c r="A1231" s="3"/>
      <c r="B1231" s="3" t="str">
        <f ca="1">IFERROR(__xludf.DUMMYFUNCTION("IFERROR(GOOGLETRANSLATE(A1234,""ko"",""en""),)"),"")</f>
        <v/>
      </c>
    </row>
    <row r="1232" spans="1:2" ht="18">
      <c r="A1232" s="3"/>
      <c r="B1232" s="3" t="str">
        <f ca="1">IFERROR(__xludf.DUMMYFUNCTION("IFERROR(GOOGLETRANSLATE(A1235,""ko"",""en""),)"),"")</f>
        <v/>
      </c>
    </row>
    <row r="1233" spans="1:2" ht="18">
      <c r="A1233" s="3"/>
      <c r="B1233" s="3" t="str">
        <f ca="1">IFERROR(__xludf.DUMMYFUNCTION("IFERROR(GOOGLETRANSLATE(A1236,""ko"",""en""),)"),"")</f>
        <v/>
      </c>
    </row>
    <row r="1234" spans="1:2" ht="18">
      <c r="A1234" s="3"/>
      <c r="B1234" s="3" t="str">
        <f ca="1">IFERROR(__xludf.DUMMYFUNCTION("IFERROR(GOOGLETRANSLATE(A1237,""ko"",""en""),)"),"")</f>
        <v/>
      </c>
    </row>
    <row r="1235" spans="1:2" ht="18">
      <c r="A1235" s="3"/>
      <c r="B1235" s="3" t="str">
        <f ca="1">IFERROR(__xludf.DUMMYFUNCTION("IFERROR(GOOGLETRANSLATE(A1238,""ko"",""en""),)"),"")</f>
        <v/>
      </c>
    </row>
    <row r="1236" spans="1:2" ht="18">
      <c r="A1236" s="3"/>
      <c r="B1236" s="3" t="str">
        <f ca="1">IFERROR(__xludf.DUMMYFUNCTION("IFERROR(GOOGLETRANSLATE(A1239,""ko"",""en""),)"),"")</f>
        <v/>
      </c>
    </row>
    <row r="1237" spans="1:2" ht="18">
      <c r="A1237" s="3"/>
      <c r="B1237" s="3" t="str">
        <f ca="1">IFERROR(__xludf.DUMMYFUNCTION("IFERROR(GOOGLETRANSLATE(A1240,""ko"",""en""),)"),"")</f>
        <v/>
      </c>
    </row>
    <row r="1238" spans="1:2" ht="18">
      <c r="A1238" s="3"/>
      <c r="B1238" s="3" t="str">
        <f ca="1">IFERROR(__xludf.DUMMYFUNCTION("IFERROR(GOOGLETRANSLATE(A1241,""ko"",""en""),)"),"")</f>
        <v/>
      </c>
    </row>
    <row r="1239" spans="1:2" ht="18">
      <c r="A1239" s="3"/>
      <c r="B1239" s="3" t="str">
        <f ca="1">IFERROR(__xludf.DUMMYFUNCTION("IFERROR(GOOGLETRANSLATE(A1242,""ko"",""en""),)"),"")</f>
        <v/>
      </c>
    </row>
    <row r="1240" spans="1:2" ht="18">
      <c r="A1240" s="3"/>
      <c r="B1240" s="3" t="str">
        <f ca="1">IFERROR(__xludf.DUMMYFUNCTION("IFERROR(GOOGLETRANSLATE(A1243,""ko"",""en""),)"),"")</f>
        <v/>
      </c>
    </row>
    <row r="1241" spans="1:2" ht="18">
      <c r="A1241" s="3"/>
      <c r="B1241" s="3" t="str">
        <f ca="1">IFERROR(__xludf.DUMMYFUNCTION("IFERROR(GOOGLETRANSLATE(A1244,""ko"",""en""),)"),"")</f>
        <v/>
      </c>
    </row>
    <row r="1242" spans="1:2" ht="18">
      <c r="A1242" s="3"/>
      <c r="B1242" s="3" t="str">
        <f ca="1">IFERROR(__xludf.DUMMYFUNCTION("IFERROR(GOOGLETRANSLATE(A1245,""ko"",""en""),)"),"")</f>
        <v/>
      </c>
    </row>
    <row r="1243" spans="1:2" ht="18">
      <c r="A1243" s="3"/>
      <c r="B1243" s="3" t="str">
        <f ca="1">IFERROR(__xludf.DUMMYFUNCTION("IFERROR(GOOGLETRANSLATE(A1246,""ko"",""en""),)"),"")</f>
        <v/>
      </c>
    </row>
    <row r="1244" spans="1:2" ht="18">
      <c r="A1244" s="3"/>
      <c r="B1244" s="3" t="str">
        <f ca="1">IFERROR(__xludf.DUMMYFUNCTION("IFERROR(GOOGLETRANSLATE(A1247,""ko"",""en""),)"),"")</f>
        <v/>
      </c>
    </row>
    <row r="1245" spans="1:2" ht="18">
      <c r="A1245" s="3"/>
      <c r="B1245" s="3" t="str">
        <f ca="1">IFERROR(__xludf.DUMMYFUNCTION("IFERROR(GOOGLETRANSLATE(A1248,""ko"",""en""),)"),"")</f>
        <v/>
      </c>
    </row>
    <row r="1246" spans="1:2" ht="18">
      <c r="A1246" s="3"/>
      <c r="B1246" s="3" t="str">
        <f ca="1">IFERROR(__xludf.DUMMYFUNCTION("IFERROR(GOOGLETRANSLATE(A1249,""ko"",""en""),)"),"")</f>
        <v/>
      </c>
    </row>
    <row r="1247" spans="1:2" ht="18">
      <c r="A1247" s="3"/>
      <c r="B1247" s="3" t="str">
        <f ca="1">IFERROR(__xludf.DUMMYFUNCTION("IFERROR(GOOGLETRANSLATE(A1250,""ko"",""en""),)"),"")</f>
        <v/>
      </c>
    </row>
    <row r="1248" spans="1:2" ht="18">
      <c r="A1248" s="3"/>
      <c r="B1248" s="3" t="str">
        <f ca="1">IFERROR(__xludf.DUMMYFUNCTION("IFERROR(GOOGLETRANSLATE(A1251,""ko"",""en""),)"),"")</f>
        <v/>
      </c>
    </row>
    <row r="1249" spans="1:2" ht="18">
      <c r="A1249" s="3"/>
      <c r="B1249" s="3" t="str">
        <f ca="1">IFERROR(__xludf.DUMMYFUNCTION("IFERROR(GOOGLETRANSLATE(A1252,""ko"",""en""),)"),"")</f>
        <v/>
      </c>
    </row>
    <row r="1250" spans="1:2" ht="18">
      <c r="A1250" s="3"/>
      <c r="B1250" s="3" t="str">
        <f ca="1">IFERROR(__xludf.DUMMYFUNCTION("IFERROR(GOOGLETRANSLATE(A1253,""ko"",""en""),)"),"")</f>
        <v/>
      </c>
    </row>
    <row r="1251" spans="1:2" ht="18">
      <c r="A1251" s="3"/>
      <c r="B1251" s="3" t="str">
        <f ca="1">IFERROR(__xludf.DUMMYFUNCTION("IFERROR(GOOGLETRANSLATE(A1254,""ko"",""en""),)"),"")</f>
        <v/>
      </c>
    </row>
    <row r="1252" spans="1:2" ht="18">
      <c r="A1252" s="3"/>
      <c r="B1252" s="3" t="str">
        <f ca="1">IFERROR(__xludf.DUMMYFUNCTION("IFERROR(GOOGLETRANSLATE(A1255,""ko"",""en""),)"),"")</f>
        <v/>
      </c>
    </row>
    <row r="1253" spans="1:2" ht="18">
      <c r="A1253" s="3"/>
      <c r="B1253" s="3" t="str">
        <f ca="1">IFERROR(__xludf.DUMMYFUNCTION("IFERROR(GOOGLETRANSLATE(A1256,""ko"",""en""),)"),"")</f>
        <v/>
      </c>
    </row>
    <row r="1254" spans="1:2" ht="18">
      <c r="A1254" s="3"/>
      <c r="B1254" s="3" t="str">
        <f ca="1">IFERROR(__xludf.DUMMYFUNCTION("IFERROR(GOOGLETRANSLATE(A1257,""ko"",""en""),)"),"")</f>
        <v/>
      </c>
    </row>
    <row r="1255" spans="1:2" ht="18">
      <c r="A1255" s="3"/>
      <c r="B1255" s="3" t="str">
        <f ca="1">IFERROR(__xludf.DUMMYFUNCTION("IFERROR(GOOGLETRANSLATE(A1258,""ko"",""en""),)"),"")</f>
        <v/>
      </c>
    </row>
    <row r="1256" spans="1:2" ht="18">
      <c r="A1256" s="3"/>
      <c r="B1256" s="3" t="str">
        <f ca="1">IFERROR(__xludf.DUMMYFUNCTION("IFERROR(GOOGLETRANSLATE(A1259,""ko"",""en""),)"),"")</f>
        <v/>
      </c>
    </row>
    <row r="1257" spans="1:2" ht="18">
      <c r="A1257" s="3"/>
      <c r="B1257" s="3" t="str">
        <f ca="1">IFERROR(__xludf.DUMMYFUNCTION("IFERROR(GOOGLETRANSLATE(A1260,""ko"",""en""),)"),"")</f>
        <v/>
      </c>
    </row>
    <row r="1258" spans="1:2" ht="18">
      <c r="A1258" s="3"/>
      <c r="B1258" s="3" t="str">
        <f ca="1">IFERROR(__xludf.DUMMYFUNCTION("IFERROR(GOOGLETRANSLATE(A1261,""ko"",""en""),)"),"")</f>
        <v/>
      </c>
    </row>
    <row r="1259" spans="1:2" ht="18">
      <c r="A1259" s="3"/>
      <c r="B1259" s="3" t="str">
        <f ca="1">IFERROR(__xludf.DUMMYFUNCTION("IFERROR(GOOGLETRANSLATE(A1262,""ko"",""en""),)"),"")</f>
        <v/>
      </c>
    </row>
    <row r="1260" spans="1:2" ht="18">
      <c r="A1260" s="3"/>
      <c r="B1260" s="3" t="str">
        <f ca="1">IFERROR(__xludf.DUMMYFUNCTION("IFERROR(GOOGLETRANSLATE(A1263,""ko"",""en""),)"),"")</f>
        <v/>
      </c>
    </row>
    <row r="1261" spans="1:2" ht="18">
      <c r="A1261" s="3"/>
      <c r="B1261" s="3" t="str">
        <f ca="1">IFERROR(__xludf.DUMMYFUNCTION("IFERROR(GOOGLETRANSLATE(A1264,""ko"",""en""),)"),"")</f>
        <v/>
      </c>
    </row>
    <row r="1262" spans="1:2" ht="18">
      <c r="A1262" s="3"/>
      <c r="B1262" s="3" t="str">
        <f ca="1">IFERROR(__xludf.DUMMYFUNCTION("IFERROR(GOOGLETRANSLATE(A1265,""ko"",""en""),)"),"")</f>
        <v/>
      </c>
    </row>
    <row r="1263" spans="1:2" ht="18">
      <c r="A1263" s="3"/>
      <c r="B1263" s="3" t="str">
        <f ca="1">IFERROR(__xludf.DUMMYFUNCTION("IFERROR(GOOGLETRANSLATE(A1266,""ko"",""en""),)"),"")</f>
        <v/>
      </c>
    </row>
    <row r="1264" spans="1:2" ht="18">
      <c r="A1264" s="3"/>
      <c r="B1264" s="3" t="str">
        <f ca="1">IFERROR(__xludf.DUMMYFUNCTION("IFERROR(GOOGLETRANSLATE(A1267,""ko"",""en""),)"),"")</f>
        <v/>
      </c>
    </row>
    <row r="1265" spans="1:2" ht="18">
      <c r="A1265" s="3"/>
      <c r="B1265" s="3" t="str">
        <f ca="1">IFERROR(__xludf.DUMMYFUNCTION("IFERROR(GOOGLETRANSLATE(A1268,""ko"",""en""),)"),"")</f>
        <v/>
      </c>
    </row>
    <row r="1266" spans="1:2" ht="18">
      <c r="A1266" s="3"/>
      <c r="B1266" s="3" t="str">
        <f ca="1">IFERROR(__xludf.DUMMYFUNCTION("IFERROR(GOOGLETRANSLATE(A1269,""ko"",""en""),)"),"")</f>
        <v/>
      </c>
    </row>
    <row r="1267" spans="1:2" ht="18">
      <c r="A1267" s="3"/>
      <c r="B1267" s="3" t="str">
        <f ca="1">IFERROR(__xludf.DUMMYFUNCTION("IFERROR(GOOGLETRANSLATE(A1270,""ko"",""en""),)"),"")</f>
        <v/>
      </c>
    </row>
    <row r="1268" spans="1:2" ht="18">
      <c r="A1268" s="3"/>
      <c r="B1268" s="3" t="str">
        <f ca="1">IFERROR(__xludf.DUMMYFUNCTION("IFERROR(GOOGLETRANSLATE(A1271,""ko"",""en""),)"),"")</f>
        <v/>
      </c>
    </row>
    <row r="1269" spans="1:2" ht="18">
      <c r="A1269" s="3"/>
      <c r="B1269" s="3" t="str">
        <f ca="1">IFERROR(__xludf.DUMMYFUNCTION("IFERROR(GOOGLETRANSLATE(A1272,""ko"",""en""),)"),"")</f>
        <v/>
      </c>
    </row>
    <row r="1270" spans="1:2" ht="18">
      <c r="A1270" s="3"/>
      <c r="B1270" s="3" t="str">
        <f ca="1">IFERROR(__xludf.DUMMYFUNCTION("IFERROR(GOOGLETRANSLATE(A1273,""ko"",""en""),)"),"")</f>
        <v/>
      </c>
    </row>
    <row r="1271" spans="1:2" ht="18">
      <c r="A1271" s="3"/>
      <c r="B1271" s="3" t="str">
        <f ca="1">IFERROR(__xludf.DUMMYFUNCTION("IFERROR(GOOGLETRANSLATE(A1274,""ko"",""en""),)"),"")</f>
        <v/>
      </c>
    </row>
    <row r="1272" spans="1:2" ht="18">
      <c r="A1272" s="3"/>
      <c r="B1272" s="3" t="str">
        <f ca="1">IFERROR(__xludf.DUMMYFUNCTION("IFERROR(GOOGLETRANSLATE(A1275,""ko"",""en""),)"),"")</f>
        <v/>
      </c>
    </row>
    <row r="1273" spans="1:2" ht="18">
      <c r="A1273" s="3"/>
      <c r="B1273" s="3" t="str">
        <f ca="1">IFERROR(__xludf.DUMMYFUNCTION("IFERROR(GOOGLETRANSLATE(A1276,""ko"",""en""),)"),"")</f>
        <v/>
      </c>
    </row>
    <row r="1274" spans="1:2" ht="18">
      <c r="A1274" s="3"/>
      <c r="B1274" s="3" t="str">
        <f ca="1">IFERROR(__xludf.DUMMYFUNCTION("IFERROR(GOOGLETRANSLATE(A1277,""ko"",""en""),)"),"")</f>
        <v/>
      </c>
    </row>
    <row r="1275" spans="1:2" ht="18">
      <c r="A1275" s="3"/>
      <c r="B1275" s="3" t="str">
        <f ca="1">IFERROR(__xludf.DUMMYFUNCTION("IFERROR(GOOGLETRANSLATE(A1278,""ko"",""en""),)"),"")</f>
        <v/>
      </c>
    </row>
    <row r="1276" spans="1:2" ht="18">
      <c r="A1276" s="3"/>
      <c r="B1276" s="3" t="str">
        <f ca="1">IFERROR(__xludf.DUMMYFUNCTION("IFERROR(GOOGLETRANSLATE(A1279,""ko"",""en""),)"),"")</f>
        <v/>
      </c>
    </row>
    <row r="1277" spans="1:2" ht="18">
      <c r="A1277" s="3"/>
      <c r="B1277" s="3" t="str">
        <f ca="1">IFERROR(__xludf.DUMMYFUNCTION("IFERROR(GOOGLETRANSLATE(A1280,""ko"",""en""),)"),"")</f>
        <v/>
      </c>
    </row>
    <row r="1278" spans="1:2" ht="18">
      <c r="A1278" s="3"/>
      <c r="B1278" s="3" t="str">
        <f ca="1">IFERROR(__xludf.DUMMYFUNCTION("IFERROR(GOOGLETRANSLATE(A1281,""ko"",""en""),)"),"")</f>
        <v/>
      </c>
    </row>
    <row r="1279" spans="1:2" ht="18">
      <c r="A1279" s="3"/>
      <c r="B1279" s="3" t="str">
        <f ca="1">IFERROR(__xludf.DUMMYFUNCTION("IFERROR(GOOGLETRANSLATE(A1282,""ko"",""en""),)"),"")</f>
        <v/>
      </c>
    </row>
    <row r="1280" spans="1:2" ht="18">
      <c r="A1280" s="3"/>
      <c r="B1280" s="3" t="str">
        <f ca="1">IFERROR(__xludf.DUMMYFUNCTION("IFERROR(GOOGLETRANSLATE(A1283,""ko"",""en""),)"),"")</f>
        <v/>
      </c>
    </row>
    <row r="1281" spans="1:2" ht="18">
      <c r="A1281" s="3"/>
      <c r="B1281" s="3" t="str">
        <f ca="1">IFERROR(__xludf.DUMMYFUNCTION("IFERROR(GOOGLETRANSLATE(A1284,""ko"",""en""),)"),"")</f>
        <v/>
      </c>
    </row>
    <row r="1282" spans="1:2" ht="18">
      <c r="A1282" s="3"/>
      <c r="B1282" s="3" t="str">
        <f ca="1">IFERROR(__xludf.DUMMYFUNCTION("IFERROR(GOOGLETRANSLATE(A1285,""ko"",""en""),)"),"")</f>
        <v/>
      </c>
    </row>
    <row r="1283" spans="1:2" ht="18">
      <c r="A1283" s="3"/>
      <c r="B1283" s="3" t="str">
        <f ca="1">IFERROR(__xludf.DUMMYFUNCTION("IFERROR(GOOGLETRANSLATE(A1286,""ko"",""en""),)"),"")</f>
        <v/>
      </c>
    </row>
    <row r="1284" spans="1:2" ht="18">
      <c r="A1284" s="3"/>
      <c r="B1284" s="3" t="str">
        <f ca="1">IFERROR(__xludf.DUMMYFUNCTION("IFERROR(GOOGLETRANSLATE(A1287,""ko"",""en""),)"),"")</f>
        <v/>
      </c>
    </row>
    <row r="1285" spans="1:2" ht="18">
      <c r="A1285" s="3"/>
      <c r="B1285" s="3" t="str">
        <f ca="1">IFERROR(__xludf.DUMMYFUNCTION("IFERROR(GOOGLETRANSLATE(A1288,""ko"",""en""),)"),"")</f>
        <v/>
      </c>
    </row>
    <row r="1286" spans="1:2" ht="18">
      <c r="A1286" s="3"/>
      <c r="B1286" s="3" t="str">
        <f ca="1">IFERROR(__xludf.DUMMYFUNCTION("IFERROR(GOOGLETRANSLATE(A1289,""ko"",""en""),)"),"")</f>
        <v/>
      </c>
    </row>
    <row r="1287" spans="1:2" ht="18">
      <c r="A1287" s="3"/>
      <c r="B1287" s="3" t="str">
        <f ca="1">IFERROR(__xludf.DUMMYFUNCTION("IFERROR(GOOGLETRANSLATE(A1290,""ko"",""en""),)"),"")</f>
        <v/>
      </c>
    </row>
    <row r="1288" spans="1:2" ht="18">
      <c r="A1288" s="3"/>
      <c r="B1288" s="3" t="str">
        <f ca="1">IFERROR(__xludf.DUMMYFUNCTION("IFERROR(GOOGLETRANSLATE(A1291,""ko"",""en""),)"),"")</f>
        <v/>
      </c>
    </row>
    <row r="1289" spans="1:2" ht="18">
      <c r="A1289" s="3"/>
      <c r="B1289" s="3" t="str">
        <f ca="1">IFERROR(__xludf.DUMMYFUNCTION("IFERROR(GOOGLETRANSLATE(A1292,""ko"",""en""),)"),"")</f>
        <v/>
      </c>
    </row>
    <row r="1290" spans="1:2" ht="18">
      <c r="A1290" s="3"/>
      <c r="B1290" s="3" t="str">
        <f ca="1">IFERROR(__xludf.DUMMYFUNCTION("IFERROR(GOOGLETRANSLATE(A1293,""ko"",""en""),)"),"")</f>
        <v/>
      </c>
    </row>
    <row r="1291" spans="1:2" ht="18">
      <c r="A1291" s="3"/>
      <c r="B1291" s="3" t="str">
        <f ca="1">IFERROR(__xludf.DUMMYFUNCTION("IFERROR(GOOGLETRANSLATE(A1294,""ko"",""en""),)"),"")</f>
        <v/>
      </c>
    </row>
    <row r="1292" spans="1:2" ht="18">
      <c r="A1292" s="3"/>
      <c r="B1292" s="3" t="str">
        <f ca="1">IFERROR(__xludf.DUMMYFUNCTION("IFERROR(GOOGLETRANSLATE(A1295,""ko"",""en""),)"),"")</f>
        <v/>
      </c>
    </row>
    <row r="1293" spans="1:2" ht="18">
      <c r="A1293" s="3"/>
      <c r="B1293" s="3" t="str">
        <f ca="1">IFERROR(__xludf.DUMMYFUNCTION("IFERROR(GOOGLETRANSLATE(A1296,""ko"",""en""),)"),"")</f>
        <v/>
      </c>
    </row>
    <row r="1294" spans="1:2" ht="18">
      <c r="A1294" s="3"/>
      <c r="B1294" s="3" t="str">
        <f ca="1">IFERROR(__xludf.DUMMYFUNCTION("IFERROR(GOOGLETRANSLATE(A1297,""ko"",""en""),)"),"")</f>
        <v/>
      </c>
    </row>
    <row r="1295" spans="1:2" ht="18">
      <c r="A1295" s="3"/>
      <c r="B1295" s="3" t="str">
        <f ca="1">IFERROR(__xludf.DUMMYFUNCTION("IFERROR(GOOGLETRANSLATE(A1298,""ko"",""en""),)"),"")</f>
        <v/>
      </c>
    </row>
    <row r="1296" spans="1:2" ht="18">
      <c r="A1296" s="3"/>
      <c r="B1296" s="3" t="str">
        <f ca="1">IFERROR(__xludf.DUMMYFUNCTION("IFERROR(GOOGLETRANSLATE(A1299,""ko"",""en""),)"),"")</f>
        <v/>
      </c>
    </row>
    <row r="1297" spans="1:2" ht="18">
      <c r="A1297" s="3"/>
      <c r="B1297" s="3" t="str">
        <f ca="1">IFERROR(__xludf.DUMMYFUNCTION("IFERROR(GOOGLETRANSLATE(A1300,""ko"",""en""),)"),"")</f>
        <v/>
      </c>
    </row>
    <row r="1298" spans="1:2" ht="18">
      <c r="A1298" s="3"/>
      <c r="B1298" s="3" t="str">
        <f ca="1">IFERROR(__xludf.DUMMYFUNCTION("IFERROR(GOOGLETRANSLATE(A1301,""ko"",""en""),)"),"")</f>
        <v/>
      </c>
    </row>
    <row r="1299" spans="1:2" ht="18">
      <c r="A1299" s="3"/>
      <c r="B1299" s="3" t="str">
        <f ca="1">IFERROR(__xludf.DUMMYFUNCTION("IFERROR(GOOGLETRANSLATE(A1302,""ko"",""en""),)"),"")</f>
        <v/>
      </c>
    </row>
    <row r="1300" spans="1:2" ht="18">
      <c r="A1300" s="3"/>
      <c r="B1300" s="3" t="str">
        <f ca="1">IFERROR(__xludf.DUMMYFUNCTION("IFERROR(GOOGLETRANSLATE(A1303,""ko"",""en""),)"),"")</f>
        <v/>
      </c>
    </row>
    <row r="1301" spans="1:2" ht="18">
      <c r="A1301" s="3"/>
      <c r="B1301" s="3" t="str">
        <f ca="1">IFERROR(__xludf.DUMMYFUNCTION("IFERROR(GOOGLETRANSLATE(A1304,""ko"",""en""),)"),"")</f>
        <v/>
      </c>
    </row>
    <row r="1302" spans="1:2" ht="18">
      <c r="A1302" s="3"/>
      <c r="B1302" s="3" t="str">
        <f ca="1">IFERROR(__xludf.DUMMYFUNCTION("IFERROR(GOOGLETRANSLATE(A1305,""ko"",""en""),)"),"")</f>
        <v/>
      </c>
    </row>
    <row r="1303" spans="1:2" ht="18">
      <c r="A1303" s="3"/>
      <c r="B1303" s="3" t="str">
        <f ca="1">IFERROR(__xludf.DUMMYFUNCTION("IFERROR(GOOGLETRANSLATE(A1306,""ko"",""en""),)"),"")</f>
        <v/>
      </c>
    </row>
    <row r="1304" spans="1:2" ht="18">
      <c r="A1304" s="3"/>
      <c r="B1304" s="3" t="str">
        <f ca="1">IFERROR(__xludf.DUMMYFUNCTION("IFERROR(GOOGLETRANSLATE(A1307,""ko"",""en""),)"),"")</f>
        <v/>
      </c>
    </row>
    <row r="1305" spans="1:2" ht="18">
      <c r="A1305" s="3"/>
      <c r="B1305" s="3" t="str">
        <f ca="1">IFERROR(__xludf.DUMMYFUNCTION("IFERROR(GOOGLETRANSLATE(A1308,""ko"",""en""),)"),"")</f>
        <v/>
      </c>
    </row>
    <row r="1306" spans="1:2" ht="18">
      <c r="A1306" s="3"/>
      <c r="B1306" s="3" t="str">
        <f ca="1">IFERROR(__xludf.DUMMYFUNCTION("IFERROR(GOOGLETRANSLATE(A1309,""ko"",""en""),)"),"")</f>
        <v/>
      </c>
    </row>
    <row r="1307" spans="1:2" ht="18">
      <c r="A1307" s="3"/>
      <c r="B1307" s="3" t="str">
        <f ca="1">IFERROR(__xludf.DUMMYFUNCTION("IFERROR(GOOGLETRANSLATE(A1310,""ko"",""en""),)"),"")</f>
        <v/>
      </c>
    </row>
    <row r="1308" spans="1:2" ht="18">
      <c r="A1308" s="3"/>
      <c r="B1308" s="3" t="str">
        <f ca="1">IFERROR(__xludf.DUMMYFUNCTION("IFERROR(GOOGLETRANSLATE(A1311,""ko"",""en""),)"),"")</f>
        <v/>
      </c>
    </row>
    <row r="1309" spans="1:2" ht="18">
      <c r="A1309" s="3"/>
      <c r="B1309" s="3" t="str">
        <f ca="1">IFERROR(__xludf.DUMMYFUNCTION("IFERROR(GOOGLETRANSLATE(A1312,""ko"",""en""),)"),"")</f>
        <v/>
      </c>
    </row>
    <row r="1310" spans="1:2" ht="18">
      <c r="A1310" s="3"/>
      <c r="B1310" s="3" t="str">
        <f ca="1">IFERROR(__xludf.DUMMYFUNCTION("IFERROR(GOOGLETRANSLATE(A1313,""ko"",""en""),)"),"")</f>
        <v/>
      </c>
    </row>
    <row r="1311" spans="1:2" ht="18">
      <c r="A1311" s="3"/>
      <c r="B1311" s="3" t="str">
        <f ca="1">IFERROR(__xludf.DUMMYFUNCTION("IFERROR(GOOGLETRANSLATE(A1314,""ko"",""en""),)"),"")</f>
        <v/>
      </c>
    </row>
    <row r="1312" spans="1:2" ht="18">
      <c r="A1312" s="3"/>
      <c r="B1312" s="3" t="str">
        <f ca="1">IFERROR(__xludf.DUMMYFUNCTION("IFERROR(GOOGLETRANSLATE(A1315,""ko"",""en""),)"),"")</f>
        <v/>
      </c>
    </row>
    <row r="1313" spans="1:2" ht="18">
      <c r="A1313" s="3"/>
      <c r="B1313" s="3" t="str">
        <f ca="1">IFERROR(__xludf.DUMMYFUNCTION("IFERROR(GOOGLETRANSLATE(A1316,""ko"",""en""),)"),"")</f>
        <v/>
      </c>
    </row>
    <row r="1314" spans="1:2" ht="18">
      <c r="A1314" s="3"/>
      <c r="B1314" s="3" t="str">
        <f ca="1">IFERROR(__xludf.DUMMYFUNCTION("IFERROR(GOOGLETRANSLATE(A1317,""ko"",""en""),)"),"")</f>
        <v/>
      </c>
    </row>
    <row r="1315" spans="1:2" ht="18">
      <c r="A1315" s="3"/>
      <c r="B1315" s="3" t="str">
        <f ca="1">IFERROR(__xludf.DUMMYFUNCTION("IFERROR(GOOGLETRANSLATE(A1318,""ko"",""en""),)"),"")</f>
        <v/>
      </c>
    </row>
    <row r="1316" spans="1:2" ht="18">
      <c r="A1316" s="3"/>
      <c r="B1316" s="3" t="str">
        <f ca="1">IFERROR(__xludf.DUMMYFUNCTION("IFERROR(GOOGLETRANSLATE(A1319,""ko"",""en""),)"),"")</f>
        <v/>
      </c>
    </row>
    <row r="1317" spans="1:2" ht="18">
      <c r="A1317" s="3"/>
      <c r="B1317" s="3" t="str">
        <f ca="1">IFERROR(__xludf.DUMMYFUNCTION("IFERROR(GOOGLETRANSLATE(A1320,""ko"",""en""),)"),"")</f>
        <v/>
      </c>
    </row>
    <row r="1318" spans="1:2" ht="18">
      <c r="A1318" s="3"/>
      <c r="B1318" s="3" t="str">
        <f ca="1">IFERROR(__xludf.DUMMYFUNCTION("IFERROR(GOOGLETRANSLATE(A1321,""ko"",""en""),)"),"")</f>
        <v/>
      </c>
    </row>
    <row r="1319" spans="1:2" ht="18">
      <c r="A1319" s="3"/>
      <c r="B1319" s="3" t="str">
        <f ca="1">IFERROR(__xludf.DUMMYFUNCTION("IFERROR(GOOGLETRANSLATE(A1322,""ko"",""en""),)"),"")</f>
        <v/>
      </c>
    </row>
    <row r="1320" spans="1:2" ht="18">
      <c r="A1320" s="3"/>
      <c r="B1320" s="3" t="str">
        <f ca="1">IFERROR(__xludf.DUMMYFUNCTION("IFERROR(GOOGLETRANSLATE(A1323,""ko"",""en""),)"),"")</f>
        <v/>
      </c>
    </row>
    <row r="1321" spans="1:2" ht="18">
      <c r="A1321" s="3"/>
      <c r="B1321" s="3" t="str">
        <f ca="1">IFERROR(__xludf.DUMMYFUNCTION("IFERROR(GOOGLETRANSLATE(A1324,""ko"",""en""),)"),"")</f>
        <v/>
      </c>
    </row>
    <row r="1322" spans="1:2" ht="18">
      <c r="A1322" s="3"/>
      <c r="B1322" s="3" t="str">
        <f ca="1">IFERROR(__xludf.DUMMYFUNCTION("IFERROR(GOOGLETRANSLATE(A1325,""ko"",""en""),)"),"")</f>
        <v/>
      </c>
    </row>
    <row r="1323" spans="1:2" ht="18">
      <c r="A1323" s="3"/>
      <c r="B1323" s="3" t="str">
        <f ca="1">IFERROR(__xludf.DUMMYFUNCTION("IFERROR(GOOGLETRANSLATE(A1326,""ko"",""en""),)"),"")</f>
        <v/>
      </c>
    </row>
    <row r="1324" spans="1:2" ht="18">
      <c r="A1324" s="3"/>
      <c r="B1324" s="3" t="str">
        <f ca="1">IFERROR(__xludf.DUMMYFUNCTION("IFERROR(GOOGLETRANSLATE(A1327,""ko"",""en""),)"),"")</f>
        <v/>
      </c>
    </row>
    <row r="1325" spans="1:2" ht="18">
      <c r="A1325" s="3"/>
      <c r="B1325" s="3" t="str">
        <f ca="1">IFERROR(__xludf.DUMMYFUNCTION("IFERROR(GOOGLETRANSLATE(A1328,""ko"",""en""),)"),"")</f>
        <v/>
      </c>
    </row>
    <row r="1326" spans="1:2" ht="18">
      <c r="A1326" s="3"/>
      <c r="B1326" s="3" t="str">
        <f ca="1">IFERROR(__xludf.DUMMYFUNCTION("IFERROR(GOOGLETRANSLATE(A1329,""ko"",""en""),)"),"")</f>
        <v/>
      </c>
    </row>
    <row r="1327" spans="1:2" ht="18">
      <c r="A1327" s="3"/>
      <c r="B1327" s="3" t="str">
        <f ca="1">IFERROR(__xludf.DUMMYFUNCTION("IFERROR(GOOGLETRANSLATE(A1330,""ko"",""en""),)"),"")</f>
        <v/>
      </c>
    </row>
    <row r="1328" spans="1:2" ht="18">
      <c r="A1328" s="3"/>
      <c r="B1328" s="3" t="str">
        <f ca="1">IFERROR(__xludf.DUMMYFUNCTION("IFERROR(GOOGLETRANSLATE(A1331,""ko"",""en""),)"),"")</f>
        <v/>
      </c>
    </row>
    <row r="1329" spans="1:2" ht="18">
      <c r="A1329" s="3"/>
      <c r="B1329" s="3" t="str">
        <f ca="1">IFERROR(__xludf.DUMMYFUNCTION("IFERROR(GOOGLETRANSLATE(A1332,""ko"",""en""),)"),"")</f>
        <v/>
      </c>
    </row>
    <row r="1330" spans="1:2" ht="18">
      <c r="A1330" s="3"/>
      <c r="B1330" s="3" t="str">
        <f ca="1">IFERROR(__xludf.DUMMYFUNCTION("IFERROR(GOOGLETRANSLATE(A1333,""ko"",""en""),)"),"")</f>
        <v/>
      </c>
    </row>
    <row r="1331" spans="1:2" ht="18">
      <c r="A1331" s="3"/>
      <c r="B1331" s="3" t="str">
        <f ca="1">IFERROR(__xludf.DUMMYFUNCTION("IFERROR(GOOGLETRANSLATE(A1334,""ko"",""en""),)"),"")</f>
        <v/>
      </c>
    </row>
    <row r="1332" spans="1:2" ht="18">
      <c r="A1332" s="3"/>
      <c r="B1332" s="3" t="str">
        <f ca="1">IFERROR(__xludf.DUMMYFUNCTION("IFERROR(GOOGLETRANSLATE(A1335,""ko"",""en""),)"),"")</f>
        <v/>
      </c>
    </row>
    <row r="1333" spans="1:2" ht="18">
      <c r="A1333" s="3"/>
      <c r="B1333" s="3" t="str">
        <f ca="1">IFERROR(__xludf.DUMMYFUNCTION("IFERROR(GOOGLETRANSLATE(A1336,""ko"",""en""),)"),"")</f>
        <v/>
      </c>
    </row>
    <row r="1334" spans="1:2" ht="18">
      <c r="A1334" s="3"/>
      <c r="B1334" s="3" t="str">
        <f ca="1">IFERROR(__xludf.DUMMYFUNCTION("IFERROR(GOOGLETRANSLATE(A1337,""ko"",""en""),)"),"")</f>
        <v/>
      </c>
    </row>
    <row r="1335" spans="1:2" ht="18">
      <c r="A1335" s="3"/>
      <c r="B1335" s="3" t="str">
        <f ca="1">IFERROR(__xludf.DUMMYFUNCTION("IFERROR(GOOGLETRANSLATE(A1338,""ko"",""en""),)"),"")</f>
        <v/>
      </c>
    </row>
    <row r="1336" spans="1:2" ht="18">
      <c r="A1336" s="3"/>
      <c r="B1336" s="3" t="str">
        <f ca="1">IFERROR(__xludf.DUMMYFUNCTION("IFERROR(GOOGLETRANSLATE(A1339,""ko"",""en""),)"),"")</f>
        <v/>
      </c>
    </row>
    <row r="1337" spans="1:2" ht="18">
      <c r="A1337" s="3"/>
      <c r="B1337" s="3" t="str">
        <f ca="1">IFERROR(__xludf.DUMMYFUNCTION("IFERROR(GOOGLETRANSLATE(A1340,""ko"",""en""),)"),"")</f>
        <v/>
      </c>
    </row>
    <row r="1338" spans="1:2" ht="18">
      <c r="A1338" s="3"/>
      <c r="B1338" s="3" t="str">
        <f ca="1">IFERROR(__xludf.DUMMYFUNCTION("IFERROR(GOOGLETRANSLATE(A1341,""ko"",""en""),)"),"")</f>
        <v/>
      </c>
    </row>
    <row r="1339" spans="1:2" ht="18">
      <c r="A1339" s="3"/>
      <c r="B1339" s="3" t="str">
        <f ca="1">IFERROR(__xludf.DUMMYFUNCTION("IFERROR(GOOGLETRANSLATE(A1342,""ko"",""en""),)"),"")</f>
        <v/>
      </c>
    </row>
    <row r="1340" spans="1:2" ht="18">
      <c r="A1340" s="3"/>
      <c r="B1340" s="3" t="str">
        <f ca="1">IFERROR(__xludf.DUMMYFUNCTION("IFERROR(GOOGLETRANSLATE(A1343,""ko"",""en""),)"),"")</f>
        <v/>
      </c>
    </row>
    <row r="1341" spans="1:2" ht="18">
      <c r="A1341" s="3"/>
      <c r="B1341" s="3" t="str">
        <f ca="1">IFERROR(__xludf.DUMMYFUNCTION("IFERROR(GOOGLETRANSLATE(A1344,""ko"",""en""),)"),"")</f>
        <v/>
      </c>
    </row>
    <row r="1342" spans="1:2" ht="18">
      <c r="A1342" s="3"/>
      <c r="B1342" s="3" t="str">
        <f ca="1">IFERROR(__xludf.DUMMYFUNCTION("IFERROR(GOOGLETRANSLATE(A1345,""ko"",""en""),)"),"")</f>
        <v/>
      </c>
    </row>
    <row r="1343" spans="1:2" ht="18">
      <c r="A1343" s="3"/>
      <c r="B1343" s="3" t="str">
        <f ca="1">IFERROR(__xludf.DUMMYFUNCTION("IFERROR(GOOGLETRANSLATE(A1346,""ko"",""en""),)"),"")</f>
        <v/>
      </c>
    </row>
    <row r="1344" spans="1:2" ht="18">
      <c r="A1344" s="3"/>
      <c r="B1344" s="3" t="str">
        <f ca="1">IFERROR(__xludf.DUMMYFUNCTION("IFERROR(GOOGLETRANSLATE(A1347,""ko"",""en""),)"),"")</f>
        <v/>
      </c>
    </row>
    <row r="1345" spans="1:2" ht="18">
      <c r="A1345" s="3"/>
      <c r="B1345" s="3" t="str">
        <f ca="1">IFERROR(__xludf.DUMMYFUNCTION("IFERROR(GOOGLETRANSLATE(A1348,""ko"",""en""),)"),"")</f>
        <v/>
      </c>
    </row>
    <row r="1346" spans="1:2" ht="18">
      <c r="A1346" s="3"/>
      <c r="B1346" s="3" t="str">
        <f ca="1">IFERROR(__xludf.DUMMYFUNCTION("IFERROR(GOOGLETRANSLATE(A1349,""ko"",""en""),)"),"")</f>
        <v/>
      </c>
    </row>
    <row r="1347" spans="1:2" ht="18">
      <c r="A1347" s="3"/>
      <c r="B1347" s="3" t="str">
        <f ca="1">IFERROR(__xludf.DUMMYFUNCTION("IFERROR(GOOGLETRANSLATE(A1350,""ko"",""en""),)"),"")</f>
        <v/>
      </c>
    </row>
    <row r="1348" spans="1:2" ht="18">
      <c r="A1348" s="3"/>
      <c r="B1348" s="3" t="str">
        <f ca="1">IFERROR(__xludf.DUMMYFUNCTION("IFERROR(GOOGLETRANSLATE(A1351,""ko"",""en""),)"),"")</f>
        <v/>
      </c>
    </row>
    <row r="1349" spans="1:2" ht="18">
      <c r="A1349" s="3"/>
      <c r="B1349" s="3" t="str">
        <f ca="1">IFERROR(__xludf.DUMMYFUNCTION("IFERROR(GOOGLETRANSLATE(A1352,""ko"",""en""),)"),"")</f>
        <v/>
      </c>
    </row>
    <row r="1350" spans="1:2" ht="18">
      <c r="A1350" s="3"/>
      <c r="B1350" s="3" t="str">
        <f ca="1">IFERROR(__xludf.DUMMYFUNCTION("IFERROR(GOOGLETRANSLATE(A1353,""ko"",""en""),)"),"")</f>
        <v/>
      </c>
    </row>
    <row r="1351" spans="1:2" ht="18">
      <c r="A1351" s="3"/>
      <c r="B1351" s="3" t="str">
        <f ca="1">IFERROR(__xludf.DUMMYFUNCTION("IFERROR(GOOGLETRANSLATE(A1354,""ko"",""en""),)"),"")</f>
        <v/>
      </c>
    </row>
    <row r="1352" spans="1:2" ht="18">
      <c r="A1352" s="3"/>
      <c r="B1352" s="3" t="str">
        <f ca="1">IFERROR(__xludf.DUMMYFUNCTION("IFERROR(GOOGLETRANSLATE(A1355,""ko"",""en""),)"),"")</f>
        <v/>
      </c>
    </row>
    <row r="1353" spans="1:2" ht="18">
      <c r="A1353" s="3"/>
      <c r="B1353" s="3" t="str">
        <f ca="1">IFERROR(__xludf.DUMMYFUNCTION("IFERROR(GOOGLETRANSLATE(A1356,""ko"",""en""),)"),"")</f>
        <v/>
      </c>
    </row>
    <row r="1354" spans="1:2" ht="18">
      <c r="A1354" s="3"/>
      <c r="B1354" s="3" t="str">
        <f ca="1">IFERROR(__xludf.DUMMYFUNCTION("IFERROR(GOOGLETRANSLATE(A1357,""ko"",""en""),)"),"")</f>
        <v/>
      </c>
    </row>
    <row r="1355" spans="1:2" ht="18">
      <c r="A1355" s="3"/>
      <c r="B1355" s="3" t="str">
        <f ca="1">IFERROR(__xludf.DUMMYFUNCTION("IFERROR(GOOGLETRANSLATE(A1358,""ko"",""en""),)"),"")</f>
        <v/>
      </c>
    </row>
    <row r="1356" spans="1:2" ht="18">
      <c r="A1356" s="3"/>
      <c r="B1356" s="3" t="str">
        <f ca="1">IFERROR(__xludf.DUMMYFUNCTION("IFERROR(GOOGLETRANSLATE(A1359,""ko"",""en""),)"),"")</f>
        <v/>
      </c>
    </row>
    <row r="1357" spans="1:2" ht="18">
      <c r="A1357" s="3"/>
      <c r="B1357" s="3" t="str">
        <f ca="1">IFERROR(__xludf.DUMMYFUNCTION("IFERROR(GOOGLETRANSLATE(A1360,""ko"",""en""),)"),"")</f>
        <v/>
      </c>
    </row>
    <row r="1358" spans="1:2" ht="18">
      <c r="A1358" s="3"/>
      <c r="B1358" s="3" t="str">
        <f ca="1">IFERROR(__xludf.DUMMYFUNCTION("IFERROR(GOOGLETRANSLATE(A1361,""ko"",""en""),)"),"")</f>
        <v/>
      </c>
    </row>
    <row r="1359" spans="1:2" ht="18">
      <c r="A1359" s="3"/>
      <c r="B1359" s="3" t="str">
        <f ca="1">IFERROR(__xludf.DUMMYFUNCTION("IFERROR(GOOGLETRANSLATE(A1362,""ko"",""en""),)"),"")</f>
        <v/>
      </c>
    </row>
    <row r="1360" spans="1:2" ht="18">
      <c r="A1360" s="3"/>
      <c r="B1360" s="3" t="str">
        <f ca="1">IFERROR(__xludf.DUMMYFUNCTION("IFERROR(GOOGLETRANSLATE(A1363,""ko"",""en""),)"),"")</f>
        <v/>
      </c>
    </row>
    <row r="1361" spans="1:2" ht="18">
      <c r="A1361" s="3"/>
      <c r="B1361" s="3" t="str">
        <f ca="1">IFERROR(__xludf.DUMMYFUNCTION("IFERROR(GOOGLETRANSLATE(A1364,""ko"",""en""),)"),"")</f>
        <v/>
      </c>
    </row>
    <row r="1362" spans="1:2" ht="18">
      <c r="A1362" s="3"/>
      <c r="B1362" s="3" t="str">
        <f ca="1">IFERROR(__xludf.DUMMYFUNCTION("IFERROR(GOOGLETRANSLATE(A1365,""ko"",""en""),)"),"")</f>
        <v/>
      </c>
    </row>
    <row r="1363" spans="1:2" ht="18">
      <c r="A1363" s="3"/>
      <c r="B1363" s="3" t="str">
        <f ca="1">IFERROR(__xludf.DUMMYFUNCTION("IFERROR(GOOGLETRANSLATE(A1366,""ko"",""en""),)"),"")</f>
        <v/>
      </c>
    </row>
    <row r="1364" spans="1:2" ht="18">
      <c r="A1364" s="3"/>
      <c r="B1364" s="3" t="str">
        <f ca="1">IFERROR(__xludf.DUMMYFUNCTION("IFERROR(GOOGLETRANSLATE(A1367,""ko"",""en""),)"),"")</f>
        <v/>
      </c>
    </row>
    <row r="1365" spans="1:2" ht="18">
      <c r="A1365" s="3"/>
      <c r="B1365" s="3" t="str">
        <f ca="1">IFERROR(__xludf.DUMMYFUNCTION("IFERROR(GOOGLETRANSLATE(A1368,""ko"",""en""),)"),"")</f>
        <v/>
      </c>
    </row>
    <row r="1366" spans="1:2" ht="18">
      <c r="A1366" s="3"/>
      <c r="B1366" s="3" t="str">
        <f ca="1">IFERROR(__xludf.DUMMYFUNCTION("IFERROR(GOOGLETRANSLATE(A1369,""ko"",""en""),)"),"")</f>
        <v/>
      </c>
    </row>
    <row r="1367" spans="1:2" ht="18">
      <c r="A1367" s="3"/>
      <c r="B1367" s="3" t="str">
        <f ca="1">IFERROR(__xludf.DUMMYFUNCTION("IFERROR(GOOGLETRANSLATE(A1370,""ko"",""en""),)"),"")</f>
        <v/>
      </c>
    </row>
    <row r="1368" spans="1:2" ht="18">
      <c r="A1368" s="3"/>
      <c r="B1368" s="3" t="str">
        <f ca="1">IFERROR(__xludf.DUMMYFUNCTION("IFERROR(GOOGLETRANSLATE(A1371,""ko"",""en""),)"),"")</f>
        <v/>
      </c>
    </row>
    <row r="1369" spans="1:2" ht="18">
      <c r="A1369" s="3"/>
      <c r="B1369" s="3" t="str">
        <f ca="1">IFERROR(__xludf.DUMMYFUNCTION("IFERROR(GOOGLETRANSLATE(A1372,""ko"",""en""),)"),"")</f>
        <v/>
      </c>
    </row>
    <row r="1370" spans="1:2" ht="18">
      <c r="A1370" s="3"/>
      <c r="B1370" s="3" t="str">
        <f ca="1">IFERROR(__xludf.DUMMYFUNCTION("IFERROR(GOOGLETRANSLATE(A1373,""ko"",""en""),)"),"")</f>
        <v/>
      </c>
    </row>
    <row r="1371" spans="1:2" ht="18">
      <c r="A1371" s="3"/>
      <c r="B1371" s="3" t="str">
        <f ca="1">IFERROR(__xludf.DUMMYFUNCTION("IFERROR(GOOGLETRANSLATE(A1374,""ko"",""en""),)"),"")</f>
        <v/>
      </c>
    </row>
    <row r="1372" spans="1:2" ht="18">
      <c r="A1372" s="3"/>
      <c r="B1372" s="3" t="str">
        <f ca="1">IFERROR(__xludf.DUMMYFUNCTION("IFERROR(GOOGLETRANSLATE(A1375,""ko"",""en""),)"),"")</f>
        <v/>
      </c>
    </row>
    <row r="1373" spans="1:2" ht="18">
      <c r="A1373" s="3"/>
      <c r="B1373" s="3" t="str">
        <f ca="1">IFERROR(__xludf.DUMMYFUNCTION("IFERROR(GOOGLETRANSLATE(A1376,""ko"",""en""),)"),"")</f>
        <v/>
      </c>
    </row>
    <row r="1374" spans="1:2" ht="18">
      <c r="A1374" s="3"/>
      <c r="B1374" s="3" t="str">
        <f ca="1">IFERROR(__xludf.DUMMYFUNCTION("IFERROR(GOOGLETRANSLATE(A1377,""ko"",""en""),)"),"")</f>
        <v/>
      </c>
    </row>
    <row r="1375" spans="1:2" ht="18">
      <c r="A1375" s="3"/>
      <c r="B1375" s="3" t="str">
        <f ca="1">IFERROR(__xludf.DUMMYFUNCTION("IFERROR(GOOGLETRANSLATE(A1378,""ko"",""en""),)"),"")</f>
        <v/>
      </c>
    </row>
    <row r="1376" spans="1:2" ht="18">
      <c r="A1376" s="3"/>
      <c r="B1376" s="3" t="str">
        <f ca="1">IFERROR(__xludf.DUMMYFUNCTION("IFERROR(GOOGLETRANSLATE(A1379,""ko"",""en""),)"),"")</f>
        <v/>
      </c>
    </row>
    <row r="1377" spans="1:2" ht="18">
      <c r="A1377" s="3"/>
      <c r="B1377" s="3" t="str">
        <f ca="1">IFERROR(__xludf.DUMMYFUNCTION("IFERROR(GOOGLETRANSLATE(A1380,""ko"",""en""),)"),"")</f>
        <v/>
      </c>
    </row>
    <row r="1378" spans="1:2" ht="18">
      <c r="A1378" s="3"/>
      <c r="B1378" s="3" t="str">
        <f ca="1">IFERROR(__xludf.DUMMYFUNCTION("IFERROR(GOOGLETRANSLATE(A1381,""ko"",""en""),)"),"")</f>
        <v/>
      </c>
    </row>
    <row r="1379" spans="1:2" ht="18">
      <c r="A1379" s="3"/>
      <c r="B1379" s="3" t="str">
        <f ca="1">IFERROR(__xludf.DUMMYFUNCTION("IFERROR(GOOGLETRANSLATE(A1382,""ko"",""en""),)"),"")</f>
        <v/>
      </c>
    </row>
    <row r="1380" spans="1:2" ht="18">
      <c r="A1380" s="3"/>
      <c r="B1380" s="3" t="str">
        <f ca="1">IFERROR(__xludf.DUMMYFUNCTION("IFERROR(GOOGLETRANSLATE(A1383,""ko"",""en""),)"),"")</f>
        <v/>
      </c>
    </row>
    <row r="1381" spans="1:2" ht="18">
      <c r="A1381" s="3"/>
      <c r="B1381" s="3" t="str">
        <f ca="1">IFERROR(__xludf.DUMMYFUNCTION("IFERROR(GOOGLETRANSLATE(A1384,""ko"",""en""),)"),"")</f>
        <v/>
      </c>
    </row>
    <row r="1382" spans="1:2" ht="18">
      <c r="A1382" s="3"/>
      <c r="B1382" s="3" t="str">
        <f ca="1">IFERROR(__xludf.DUMMYFUNCTION("IFERROR(GOOGLETRANSLATE(A1385,""ko"",""en""),)"),"")</f>
        <v/>
      </c>
    </row>
    <row r="1383" spans="1:2" ht="18">
      <c r="A1383" s="3"/>
      <c r="B1383" s="3" t="str">
        <f ca="1">IFERROR(__xludf.DUMMYFUNCTION("IFERROR(GOOGLETRANSLATE(A1386,""ko"",""en""),)"),"")</f>
        <v/>
      </c>
    </row>
    <row r="1384" spans="1:2" ht="18">
      <c r="A1384" s="3"/>
      <c r="B1384" s="3" t="str">
        <f ca="1">IFERROR(__xludf.DUMMYFUNCTION("IFERROR(GOOGLETRANSLATE(A1387,""ko"",""en""),)"),"")</f>
        <v/>
      </c>
    </row>
    <row r="1385" spans="1:2" ht="18">
      <c r="A1385" s="3"/>
      <c r="B1385" s="3" t="str">
        <f ca="1">IFERROR(__xludf.DUMMYFUNCTION("IFERROR(GOOGLETRANSLATE(A1388,""ko"",""en""),)"),"")</f>
        <v/>
      </c>
    </row>
    <row r="1386" spans="1:2" ht="18">
      <c r="A1386" s="3"/>
      <c r="B1386" s="3" t="str">
        <f ca="1">IFERROR(__xludf.DUMMYFUNCTION("IFERROR(GOOGLETRANSLATE(A1389,""ko"",""en""),)"),"")</f>
        <v/>
      </c>
    </row>
    <row r="1387" spans="1:2" ht="18">
      <c r="A1387" s="3"/>
      <c r="B1387" s="3" t="str">
        <f ca="1">IFERROR(__xludf.DUMMYFUNCTION("IFERROR(GOOGLETRANSLATE(A1390,""ko"",""en""),)"),"")</f>
        <v/>
      </c>
    </row>
    <row r="1388" spans="1:2" ht="18">
      <c r="A1388" s="3"/>
      <c r="B1388" s="3" t="str">
        <f ca="1">IFERROR(__xludf.DUMMYFUNCTION("IFERROR(GOOGLETRANSLATE(A1391,""ko"",""en""),)"),"")</f>
        <v/>
      </c>
    </row>
    <row r="1389" spans="1:2" ht="18">
      <c r="A1389" s="3"/>
      <c r="B1389" s="3" t="str">
        <f ca="1">IFERROR(__xludf.DUMMYFUNCTION("IFERROR(GOOGLETRANSLATE(A1392,""ko"",""en""),)"),"")</f>
        <v/>
      </c>
    </row>
    <row r="1390" spans="1:2" ht="18">
      <c r="A1390" s="3"/>
      <c r="B1390" s="3" t="str">
        <f ca="1">IFERROR(__xludf.DUMMYFUNCTION("IFERROR(GOOGLETRANSLATE(A1393,""ko"",""en""),)"),"")</f>
        <v/>
      </c>
    </row>
    <row r="1391" spans="1:2" ht="18">
      <c r="A1391" s="3"/>
      <c r="B1391" s="3" t="str">
        <f ca="1">IFERROR(__xludf.DUMMYFUNCTION("IFERROR(GOOGLETRANSLATE(A1394,""ko"",""en""),)"),"")</f>
        <v/>
      </c>
    </row>
    <row r="1392" spans="1:2" ht="18">
      <c r="A1392" s="3"/>
      <c r="B1392" s="3" t="str">
        <f ca="1">IFERROR(__xludf.DUMMYFUNCTION("IFERROR(GOOGLETRANSLATE(A1395,""ko"",""en""),)"),"")</f>
        <v/>
      </c>
    </row>
    <row r="1393" spans="1:2" ht="18">
      <c r="A1393" s="3"/>
      <c r="B1393" s="3" t="str">
        <f ca="1">IFERROR(__xludf.DUMMYFUNCTION("IFERROR(GOOGLETRANSLATE(A1396,""ko"",""en""),)"),"")</f>
        <v/>
      </c>
    </row>
    <row r="1394" spans="1:2" ht="18">
      <c r="A1394" s="3"/>
      <c r="B1394" s="3" t="str">
        <f ca="1">IFERROR(__xludf.DUMMYFUNCTION("IFERROR(GOOGLETRANSLATE(A1397,""ko"",""en""),)"),"")</f>
        <v/>
      </c>
    </row>
    <row r="1395" spans="1:2" ht="18">
      <c r="A1395" s="3"/>
      <c r="B1395" s="3" t="str">
        <f ca="1">IFERROR(__xludf.DUMMYFUNCTION("IFERROR(GOOGLETRANSLATE(A1398,""ko"",""en""),)"),"")</f>
        <v/>
      </c>
    </row>
    <row r="1396" spans="1:2" ht="18">
      <c r="A1396" s="3"/>
      <c r="B1396" s="3" t="str">
        <f ca="1">IFERROR(__xludf.DUMMYFUNCTION("IFERROR(GOOGLETRANSLATE(A1399,""ko"",""en""),)"),"")</f>
        <v/>
      </c>
    </row>
    <row r="1397" spans="1:2" ht="18">
      <c r="A1397" s="3"/>
      <c r="B1397" s="3" t="str">
        <f ca="1">IFERROR(__xludf.DUMMYFUNCTION("IFERROR(GOOGLETRANSLATE(A1400,""ko"",""en""),)"),"")</f>
        <v/>
      </c>
    </row>
    <row r="1398" spans="1:2" ht="18">
      <c r="A1398" s="3"/>
      <c r="B1398" s="3" t="str">
        <f ca="1">IFERROR(__xludf.DUMMYFUNCTION("IFERROR(GOOGLETRANSLATE(A1401,""ko"",""en""),)"),"")</f>
        <v/>
      </c>
    </row>
    <row r="1399" spans="1:2" ht="18">
      <c r="A1399" s="3"/>
      <c r="B1399" s="3" t="str">
        <f ca="1">IFERROR(__xludf.DUMMYFUNCTION("IFERROR(GOOGLETRANSLATE(A1402,""ko"",""en""),)"),"")</f>
        <v/>
      </c>
    </row>
    <row r="1400" spans="1:2" ht="18">
      <c r="A1400" s="3"/>
      <c r="B1400" s="3" t="str">
        <f ca="1">IFERROR(__xludf.DUMMYFUNCTION("IFERROR(GOOGLETRANSLATE(A1403,""ko"",""en""),)"),"")</f>
        <v/>
      </c>
    </row>
    <row r="1401" spans="1:2" ht="18">
      <c r="A1401" s="3"/>
      <c r="B1401" s="3" t="str">
        <f ca="1">IFERROR(__xludf.DUMMYFUNCTION("IFERROR(GOOGLETRANSLATE(A1404,""ko"",""en""),)"),"")</f>
        <v/>
      </c>
    </row>
    <row r="1402" spans="1:2" ht="18">
      <c r="A1402" s="3"/>
      <c r="B1402" s="3" t="str">
        <f ca="1">IFERROR(__xludf.DUMMYFUNCTION("IFERROR(GOOGLETRANSLATE(A1405,""ko"",""en""),)"),"")</f>
        <v/>
      </c>
    </row>
    <row r="1403" spans="1:2" ht="18">
      <c r="A1403" s="3"/>
      <c r="B1403" s="3" t="str">
        <f ca="1">IFERROR(__xludf.DUMMYFUNCTION("IFERROR(GOOGLETRANSLATE(A1406,""ko"",""en""),)"),"")</f>
        <v/>
      </c>
    </row>
    <row r="1404" spans="1:2" ht="18">
      <c r="A1404" s="3"/>
      <c r="B1404" s="3" t="str">
        <f ca="1">IFERROR(__xludf.DUMMYFUNCTION("IFERROR(GOOGLETRANSLATE(A1407,""ko"",""en""),)"),"")</f>
        <v/>
      </c>
    </row>
    <row r="1405" spans="1:2" ht="18">
      <c r="A1405" s="3"/>
      <c r="B1405" s="3" t="str">
        <f ca="1">IFERROR(__xludf.DUMMYFUNCTION("IFERROR(GOOGLETRANSLATE(A1408,""ko"",""en""),)"),"")</f>
        <v/>
      </c>
    </row>
    <row r="1406" spans="1:2" ht="18">
      <c r="A1406" s="3"/>
      <c r="B1406" s="3" t="str">
        <f ca="1">IFERROR(__xludf.DUMMYFUNCTION("IFERROR(GOOGLETRANSLATE(A1409,""ko"",""en""),)"),"")</f>
        <v/>
      </c>
    </row>
    <row r="1407" spans="1:2" ht="18">
      <c r="A1407" s="3"/>
      <c r="B1407" s="3" t="str">
        <f ca="1">IFERROR(__xludf.DUMMYFUNCTION("IFERROR(GOOGLETRANSLATE(A1410,""ko"",""en""),)"),"")</f>
        <v/>
      </c>
    </row>
    <row r="1408" spans="1:2" ht="18">
      <c r="A1408" s="3"/>
      <c r="B1408" s="3" t="str">
        <f ca="1">IFERROR(__xludf.DUMMYFUNCTION("IFERROR(GOOGLETRANSLATE(A1411,""ko"",""en""),)"),"")</f>
        <v/>
      </c>
    </row>
    <row r="1409" spans="1:2" ht="18">
      <c r="A1409" s="3"/>
      <c r="B1409" s="3" t="str">
        <f ca="1">IFERROR(__xludf.DUMMYFUNCTION("IFERROR(GOOGLETRANSLATE(A1412,""ko"",""en""),)"),"")</f>
        <v/>
      </c>
    </row>
    <row r="1410" spans="1:2" ht="18">
      <c r="A1410" s="3"/>
      <c r="B1410" s="3" t="str">
        <f ca="1">IFERROR(__xludf.DUMMYFUNCTION("IFERROR(GOOGLETRANSLATE(A1413,""ko"",""en""),)"),"")</f>
        <v/>
      </c>
    </row>
    <row r="1411" spans="1:2" ht="18">
      <c r="A1411" s="3"/>
      <c r="B1411" s="3" t="str">
        <f ca="1">IFERROR(__xludf.DUMMYFUNCTION("IFERROR(GOOGLETRANSLATE(A1414,""ko"",""en""),)"),"")</f>
        <v/>
      </c>
    </row>
    <row r="1412" spans="1:2" ht="18">
      <c r="A1412" s="3"/>
      <c r="B1412" s="3" t="str">
        <f ca="1">IFERROR(__xludf.DUMMYFUNCTION("IFERROR(GOOGLETRANSLATE(A1415,""ko"",""en""),)"),"")</f>
        <v/>
      </c>
    </row>
    <row r="1413" spans="1:2" ht="18">
      <c r="A1413" s="3"/>
      <c r="B1413" s="3" t="str">
        <f ca="1">IFERROR(__xludf.DUMMYFUNCTION("IFERROR(GOOGLETRANSLATE(A1416,""ko"",""en""),)"),"")</f>
        <v/>
      </c>
    </row>
    <row r="1414" spans="1:2" ht="18">
      <c r="A1414" s="3"/>
      <c r="B1414" s="3" t="str">
        <f ca="1">IFERROR(__xludf.DUMMYFUNCTION("IFERROR(GOOGLETRANSLATE(A1417,""ko"",""en""),)"),"")</f>
        <v/>
      </c>
    </row>
    <row r="1415" spans="1:2" ht="18">
      <c r="A1415" s="3"/>
      <c r="B1415" s="3" t="str">
        <f ca="1">IFERROR(__xludf.DUMMYFUNCTION("IFERROR(GOOGLETRANSLATE(A1418,""ko"",""en""),)"),"")</f>
        <v/>
      </c>
    </row>
    <row r="1416" spans="1:2" ht="18">
      <c r="A1416" s="3"/>
      <c r="B1416" s="3" t="str">
        <f ca="1">IFERROR(__xludf.DUMMYFUNCTION("IFERROR(GOOGLETRANSLATE(A1419,""ko"",""en""),)"),"")</f>
        <v/>
      </c>
    </row>
    <row r="1417" spans="1:2" ht="18">
      <c r="A1417" s="3"/>
      <c r="B1417" s="3" t="str">
        <f ca="1">IFERROR(__xludf.DUMMYFUNCTION("IFERROR(GOOGLETRANSLATE(A1420,""ko"",""en""),)"),"")</f>
        <v/>
      </c>
    </row>
    <row r="1418" spans="1:2" ht="18">
      <c r="A1418" s="3"/>
      <c r="B1418" s="3" t="str">
        <f ca="1">IFERROR(__xludf.DUMMYFUNCTION("IFERROR(GOOGLETRANSLATE(A1421,""ko"",""en""),)"),"")</f>
        <v/>
      </c>
    </row>
    <row r="1419" spans="1:2" ht="18">
      <c r="A1419" s="3"/>
      <c r="B1419" s="3" t="str">
        <f ca="1">IFERROR(__xludf.DUMMYFUNCTION("IFERROR(GOOGLETRANSLATE(A1422,""ko"",""en""),)"),"")</f>
        <v/>
      </c>
    </row>
    <row r="1420" spans="1:2" ht="18">
      <c r="A1420" s="3"/>
      <c r="B1420" s="3" t="str">
        <f ca="1">IFERROR(__xludf.DUMMYFUNCTION("IFERROR(GOOGLETRANSLATE(A1423,""ko"",""en""),)"),"")</f>
        <v/>
      </c>
    </row>
    <row r="1421" spans="1:2" ht="18">
      <c r="A1421" s="3"/>
      <c r="B1421" s="3" t="str">
        <f ca="1">IFERROR(__xludf.DUMMYFUNCTION("IFERROR(GOOGLETRANSLATE(A1424,""ko"",""en""),)"),"")</f>
        <v/>
      </c>
    </row>
    <row r="1422" spans="1:2" ht="18">
      <c r="A1422" s="3"/>
      <c r="B1422" s="3" t="str">
        <f ca="1">IFERROR(__xludf.DUMMYFUNCTION("IFERROR(GOOGLETRANSLATE(A1425,""ko"",""en""),)"),"")</f>
        <v/>
      </c>
    </row>
    <row r="1423" spans="1:2" ht="18">
      <c r="A1423" s="3"/>
      <c r="B1423" s="3" t="str">
        <f ca="1">IFERROR(__xludf.DUMMYFUNCTION("IFERROR(GOOGLETRANSLATE(A1426,""ko"",""en""),)"),"")</f>
        <v/>
      </c>
    </row>
    <row r="1424" spans="1:2" ht="18">
      <c r="A1424" s="3"/>
      <c r="B1424" s="3" t="str">
        <f ca="1">IFERROR(__xludf.DUMMYFUNCTION("IFERROR(GOOGLETRANSLATE(A1427,""ko"",""en""),)"),"")</f>
        <v/>
      </c>
    </row>
    <row r="1425" spans="1:2" ht="18">
      <c r="A1425" s="3"/>
      <c r="B1425" s="3" t="str">
        <f ca="1">IFERROR(__xludf.DUMMYFUNCTION("IFERROR(GOOGLETRANSLATE(A1428,""ko"",""en""),)"),"")</f>
        <v/>
      </c>
    </row>
    <row r="1426" spans="1:2" ht="18">
      <c r="A1426" s="3"/>
      <c r="B1426" s="3" t="str">
        <f ca="1">IFERROR(__xludf.DUMMYFUNCTION("IFERROR(GOOGLETRANSLATE(A1429,""ko"",""en""),)"),"")</f>
        <v/>
      </c>
    </row>
    <row r="1427" spans="1:2" ht="18">
      <c r="A1427" s="3"/>
      <c r="B1427" s="3" t="str">
        <f ca="1">IFERROR(__xludf.DUMMYFUNCTION("IFERROR(GOOGLETRANSLATE(A1430,""ko"",""en""),)"),"")</f>
        <v/>
      </c>
    </row>
    <row r="1428" spans="1:2" ht="18">
      <c r="A1428" s="3"/>
      <c r="B1428" s="3" t="str">
        <f ca="1">IFERROR(__xludf.DUMMYFUNCTION("IFERROR(GOOGLETRANSLATE(A1431,""ko"",""en""),)"),"")</f>
        <v/>
      </c>
    </row>
    <row r="1429" spans="1:2" ht="18">
      <c r="A1429" s="3"/>
      <c r="B1429" s="3" t="str">
        <f ca="1">IFERROR(__xludf.DUMMYFUNCTION("IFERROR(GOOGLETRANSLATE(A1432,""ko"",""en""),)"),"")</f>
        <v/>
      </c>
    </row>
    <row r="1430" spans="1:2" ht="18">
      <c r="A1430" s="3"/>
      <c r="B1430" s="3" t="str">
        <f ca="1">IFERROR(__xludf.DUMMYFUNCTION("IFERROR(GOOGLETRANSLATE(A1433,""ko"",""en""),)"),"")</f>
        <v/>
      </c>
    </row>
    <row r="1431" spans="1:2" ht="18">
      <c r="A1431" s="3"/>
      <c r="B1431" s="3" t="str">
        <f ca="1">IFERROR(__xludf.DUMMYFUNCTION("IFERROR(GOOGLETRANSLATE(A1434,""ko"",""en""),)"),"")</f>
        <v/>
      </c>
    </row>
    <row r="1432" spans="1:2" ht="18">
      <c r="A1432" s="3"/>
      <c r="B1432" s="3" t="str">
        <f ca="1">IFERROR(__xludf.DUMMYFUNCTION("IFERROR(GOOGLETRANSLATE(A1435,""ko"",""en""),)"),"")</f>
        <v/>
      </c>
    </row>
    <row r="1433" spans="1:2" ht="18">
      <c r="A1433" s="3"/>
      <c r="B1433" s="3" t="str">
        <f ca="1">IFERROR(__xludf.DUMMYFUNCTION("IFERROR(GOOGLETRANSLATE(A1436,""ko"",""en""),)"),"")</f>
        <v/>
      </c>
    </row>
    <row r="1434" spans="1:2" ht="18">
      <c r="A1434" s="3"/>
      <c r="B1434" s="3" t="str">
        <f ca="1">IFERROR(__xludf.DUMMYFUNCTION("IFERROR(GOOGLETRANSLATE(A1437,""ko"",""en""),)"),"")</f>
        <v/>
      </c>
    </row>
    <row r="1435" spans="1:2" ht="18">
      <c r="A1435" s="3"/>
      <c r="B1435" s="3" t="str">
        <f ca="1">IFERROR(__xludf.DUMMYFUNCTION("IFERROR(GOOGLETRANSLATE(A1438,""ko"",""en""),)"),"")</f>
        <v/>
      </c>
    </row>
    <row r="1436" spans="1:2" ht="18">
      <c r="A1436" s="3"/>
      <c r="B1436" s="3" t="str">
        <f ca="1">IFERROR(__xludf.DUMMYFUNCTION("IFERROR(GOOGLETRANSLATE(A1439,""ko"",""en""),)"),"")</f>
        <v/>
      </c>
    </row>
    <row r="1437" spans="1:2" ht="18">
      <c r="A1437" s="3"/>
      <c r="B1437" s="3" t="str">
        <f ca="1">IFERROR(__xludf.DUMMYFUNCTION("IFERROR(GOOGLETRANSLATE(A1440,""ko"",""en""),)"),"")</f>
        <v/>
      </c>
    </row>
    <row r="1438" spans="1:2" ht="18">
      <c r="A1438" s="3"/>
      <c r="B1438" s="3" t="str">
        <f ca="1">IFERROR(__xludf.DUMMYFUNCTION("IFERROR(GOOGLETRANSLATE(A1441,""ko"",""en""),)"),"")</f>
        <v/>
      </c>
    </row>
    <row r="1439" spans="1:2" ht="18">
      <c r="A1439" s="3"/>
      <c r="B1439" s="3" t="str">
        <f ca="1">IFERROR(__xludf.DUMMYFUNCTION("IFERROR(GOOGLETRANSLATE(A1442,""ko"",""en""),)"),"")</f>
        <v/>
      </c>
    </row>
    <row r="1440" spans="1:2" ht="18">
      <c r="A1440" s="3"/>
      <c r="B1440" s="3" t="str">
        <f ca="1">IFERROR(__xludf.DUMMYFUNCTION("IFERROR(GOOGLETRANSLATE(A1443,""ko"",""en""),)"),"")</f>
        <v/>
      </c>
    </row>
    <row r="1441" spans="1:2" ht="18">
      <c r="A1441" s="3"/>
      <c r="B1441" s="3" t="str">
        <f ca="1">IFERROR(__xludf.DUMMYFUNCTION("IFERROR(GOOGLETRANSLATE(A1444,""ko"",""en""),)"),"")</f>
        <v/>
      </c>
    </row>
    <row r="1442" spans="1:2" ht="18">
      <c r="A1442" s="3"/>
      <c r="B1442" s="3" t="str">
        <f ca="1">IFERROR(__xludf.DUMMYFUNCTION("IFERROR(GOOGLETRANSLATE(A1445,""ko"",""en""),)"),"")</f>
        <v/>
      </c>
    </row>
    <row r="1443" spans="1:2" ht="18">
      <c r="A1443" s="3"/>
      <c r="B1443" s="3" t="str">
        <f ca="1">IFERROR(__xludf.DUMMYFUNCTION("IFERROR(GOOGLETRANSLATE(A1446,""ko"",""en""),)"),"")</f>
        <v/>
      </c>
    </row>
    <row r="1444" spans="1:2" ht="18">
      <c r="A1444" s="3"/>
      <c r="B1444" s="3" t="str">
        <f ca="1">IFERROR(__xludf.DUMMYFUNCTION("IFERROR(GOOGLETRANSLATE(A1447,""ko"",""en""),)"),"")</f>
        <v/>
      </c>
    </row>
    <row r="1445" spans="1:2" ht="18">
      <c r="A1445" s="3"/>
      <c r="B1445" s="3" t="str">
        <f ca="1">IFERROR(__xludf.DUMMYFUNCTION("IFERROR(GOOGLETRANSLATE(A1448,""ko"",""en""),)"),"")</f>
        <v/>
      </c>
    </row>
    <row r="1446" spans="1:2" ht="18">
      <c r="A1446" s="3"/>
      <c r="B1446" s="3" t="str">
        <f ca="1">IFERROR(__xludf.DUMMYFUNCTION("IFERROR(GOOGLETRANSLATE(A1449,""ko"",""en""),)"),"")</f>
        <v/>
      </c>
    </row>
    <row r="1447" spans="1:2" ht="18">
      <c r="A1447" s="3"/>
      <c r="B1447" s="3" t="str">
        <f ca="1">IFERROR(__xludf.DUMMYFUNCTION("IFERROR(GOOGLETRANSLATE(A1450,""ko"",""en""),)"),"")</f>
        <v/>
      </c>
    </row>
    <row r="1448" spans="1:2" ht="18">
      <c r="A1448" s="3"/>
      <c r="B1448" s="3" t="str">
        <f ca="1">IFERROR(__xludf.DUMMYFUNCTION("IFERROR(GOOGLETRANSLATE(A1451,""ko"",""en""),)"),"")</f>
        <v/>
      </c>
    </row>
    <row r="1449" spans="1:2" ht="18">
      <c r="A1449" s="3"/>
      <c r="B1449" s="3" t="str">
        <f ca="1">IFERROR(__xludf.DUMMYFUNCTION("IFERROR(GOOGLETRANSLATE(A1452,""ko"",""en""),)"),"")</f>
        <v/>
      </c>
    </row>
    <row r="1450" spans="1:2" ht="18">
      <c r="A1450" s="3"/>
      <c r="B1450" s="3" t="str">
        <f ca="1">IFERROR(__xludf.DUMMYFUNCTION("IFERROR(GOOGLETRANSLATE(A1453,""ko"",""en""),)"),"")</f>
        <v/>
      </c>
    </row>
    <row r="1451" spans="1:2" ht="18">
      <c r="A1451" s="3"/>
      <c r="B1451" s="3" t="str">
        <f ca="1">IFERROR(__xludf.DUMMYFUNCTION("IFERROR(GOOGLETRANSLATE(A1454,""ko"",""en""),)"),"")</f>
        <v/>
      </c>
    </row>
    <row r="1452" spans="1:2" ht="18">
      <c r="A1452" s="3"/>
      <c r="B1452" s="3" t="str">
        <f ca="1">IFERROR(__xludf.DUMMYFUNCTION("IFERROR(GOOGLETRANSLATE(A1455,""ko"",""en""),)"),"")</f>
        <v/>
      </c>
    </row>
    <row r="1453" spans="1:2" ht="18">
      <c r="A1453" s="3"/>
      <c r="B1453" s="3" t="str">
        <f ca="1">IFERROR(__xludf.DUMMYFUNCTION("IFERROR(GOOGLETRANSLATE(A1456,""ko"",""en""),)"),"")</f>
        <v/>
      </c>
    </row>
    <row r="1454" spans="1:2" ht="18">
      <c r="A1454" s="3"/>
      <c r="B1454" s="3" t="str">
        <f ca="1">IFERROR(__xludf.DUMMYFUNCTION("IFERROR(GOOGLETRANSLATE(A1457,""ko"",""en""),)"),"")</f>
        <v/>
      </c>
    </row>
    <row r="1455" spans="1:2" ht="18">
      <c r="A1455" s="3"/>
      <c r="B1455" s="3" t="str">
        <f ca="1">IFERROR(__xludf.DUMMYFUNCTION("IFERROR(GOOGLETRANSLATE(A1458,""ko"",""en""),)"),"")</f>
        <v/>
      </c>
    </row>
    <row r="1456" spans="1:2" ht="18">
      <c r="A1456" s="3"/>
      <c r="B1456" s="3" t="str">
        <f ca="1">IFERROR(__xludf.DUMMYFUNCTION("IFERROR(GOOGLETRANSLATE(A1459,""ko"",""en""),)"),"")</f>
        <v/>
      </c>
    </row>
    <row r="1457" spans="1:2" ht="18">
      <c r="A1457" s="3"/>
      <c r="B1457" s="3" t="str">
        <f ca="1">IFERROR(__xludf.DUMMYFUNCTION("IFERROR(GOOGLETRANSLATE(A1460,""ko"",""en""),)"),"")</f>
        <v/>
      </c>
    </row>
    <row r="1458" spans="1:2" ht="18">
      <c r="A1458" s="3"/>
      <c r="B1458" s="3" t="str">
        <f ca="1">IFERROR(__xludf.DUMMYFUNCTION("IFERROR(GOOGLETRANSLATE(A1461,""ko"",""en""),)"),"")</f>
        <v/>
      </c>
    </row>
    <row r="1459" spans="1:2" ht="18">
      <c r="A1459" s="3"/>
      <c r="B1459" s="3" t="str">
        <f ca="1">IFERROR(__xludf.DUMMYFUNCTION("IFERROR(GOOGLETRANSLATE(A1462,""ko"",""en""),)"),"")</f>
        <v/>
      </c>
    </row>
    <row r="1460" spans="1:2" ht="18">
      <c r="A1460" s="3"/>
      <c r="B1460" s="3" t="str">
        <f ca="1">IFERROR(__xludf.DUMMYFUNCTION("IFERROR(GOOGLETRANSLATE(A1463,""ko"",""en""),)"),"")</f>
        <v/>
      </c>
    </row>
    <row r="1461" spans="1:2" ht="18">
      <c r="A1461" s="3"/>
      <c r="B1461" s="3" t="str">
        <f ca="1">IFERROR(__xludf.DUMMYFUNCTION("IFERROR(GOOGLETRANSLATE(A1464,""ko"",""en""),)"),"")</f>
        <v/>
      </c>
    </row>
    <row r="1462" spans="1:2" ht="18">
      <c r="A1462" s="3"/>
      <c r="B1462" s="3" t="str">
        <f ca="1">IFERROR(__xludf.DUMMYFUNCTION("IFERROR(GOOGLETRANSLATE(A1465,""ko"",""en""),)"),"")</f>
        <v/>
      </c>
    </row>
    <row r="1463" spans="1:2" ht="18">
      <c r="A1463" s="3"/>
      <c r="B1463" s="3" t="str">
        <f ca="1">IFERROR(__xludf.DUMMYFUNCTION("IFERROR(GOOGLETRANSLATE(A1466,""ko"",""en""),)"),"")</f>
        <v/>
      </c>
    </row>
    <row r="1464" spans="1:2" ht="18">
      <c r="A1464" s="3"/>
      <c r="B1464" s="3" t="str">
        <f ca="1">IFERROR(__xludf.DUMMYFUNCTION("IFERROR(GOOGLETRANSLATE(A1467,""ko"",""en""),)"),"")</f>
        <v/>
      </c>
    </row>
    <row r="1465" spans="1:2" ht="18">
      <c r="A1465" s="3"/>
      <c r="B1465" s="3" t="str">
        <f ca="1">IFERROR(__xludf.DUMMYFUNCTION("IFERROR(GOOGLETRANSLATE(A1468,""ko"",""en""),)"),"")</f>
        <v/>
      </c>
    </row>
    <row r="1466" spans="1:2" ht="18">
      <c r="A1466" s="3"/>
      <c r="B1466" s="3" t="str">
        <f ca="1">IFERROR(__xludf.DUMMYFUNCTION("IFERROR(GOOGLETRANSLATE(A1469,""ko"",""en""),)"),"")</f>
        <v/>
      </c>
    </row>
    <row r="1467" spans="1:2" ht="18">
      <c r="A1467" s="3"/>
      <c r="B1467" s="3" t="str">
        <f ca="1">IFERROR(__xludf.DUMMYFUNCTION("IFERROR(GOOGLETRANSLATE(A1470,""ko"",""en""),)"),"")</f>
        <v/>
      </c>
    </row>
    <row r="1468" spans="1:2" ht="18">
      <c r="A1468" s="3"/>
      <c r="B1468" s="3" t="str">
        <f ca="1">IFERROR(__xludf.DUMMYFUNCTION("IFERROR(GOOGLETRANSLATE(A1471,""ko"",""en""),)"),"")</f>
        <v/>
      </c>
    </row>
    <row r="1469" spans="1:2" ht="18">
      <c r="A1469" s="3"/>
      <c r="B1469" s="3" t="str">
        <f ca="1">IFERROR(__xludf.DUMMYFUNCTION("IFERROR(GOOGLETRANSLATE(A1472,""ko"",""en""),)"),"")</f>
        <v/>
      </c>
    </row>
    <row r="1470" spans="1:2" ht="18">
      <c r="A1470" s="3"/>
      <c r="B1470" s="3" t="str">
        <f ca="1">IFERROR(__xludf.DUMMYFUNCTION("IFERROR(GOOGLETRANSLATE(A1473,""ko"",""en""),)"),"")</f>
        <v/>
      </c>
    </row>
    <row r="1471" spans="1:2" ht="18">
      <c r="A1471" s="3"/>
      <c r="B1471" s="3" t="str">
        <f ca="1">IFERROR(__xludf.DUMMYFUNCTION("IFERROR(GOOGLETRANSLATE(A1474,""ko"",""en""),)"),"")</f>
        <v/>
      </c>
    </row>
    <row r="1472" spans="1:2" ht="18">
      <c r="A1472" s="3"/>
      <c r="B1472" s="3" t="str">
        <f ca="1">IFERROR(__xludf.DUMMYFUNCTION("IFERROR(GOOGLETRANSLATE(A1475,""ko"",""en""),)"),"")</f>
        <v/>
      </c>
    </row>
    <row r="1473" spans="1:2" ht="18">
      <c r="A1473" s="3"/>
      <c r="B1473" s="3" t="str">
        <f ca="1">IFERROR(__xludf.DUMMYFUNCTION("IFERROR(GOOGLETRANSLATE(A1476,""ko"",""en""),)"),"")</f>
        <v/>
      </c>
    </row>
    <row r="1474" spans="1:2" ht="18">
      <c r="A1474" s="3"/>
      <c r="B1474" s="3" t="str">
        <f ca="1">IFERROR(__xludf.DUMMYFUNCTION("IFERROR(GOOGLETRANSLATE(A1477,""ko"",""en""),)"),"")</f>
        <v/>
      </c>
    </row>
    <row r="1475" spans="1:2" ht="18">
      <c r="A1475" s="3"/>
      <c r="B1475" s="3" t="str">
        <f ca="1">IFERROR(__xludf.DUMMYFUNCTION("IFERROR(GOOGLETRANSLATE(A1478,""ko"",""en""),)"),"")</f>
        <v/>
      </c>
    </row>
    <row r="1476" spans="1:2" ht="18">
      <c r="A1476" s="3"/>
      <c r="B1476" s="3" t="str">
        <f ca="1">IFERROR(__xludf.DUMMYFUNCTION("IFERROR(GOOGLETRANSLATE(A1479,""ko"",""en""),)"),"")</f>
        <v/>
      </c>
    </row>
    <row r="1477" spans="1:2" ht="18">
      <c r="A1477" s="3"/>
      <c r="B1477" s="3" t="str">
        <f ca="1">IFERROR(__xludf.DUMMYFUNCTION("IFERROR(GOOGLETRANSLATE(A1480,""ko"",""en""),)"),"")</f>
        <v/>
      </c>
    </row>
    <row r="1478" spans="1:2" ht="18">
      <c r="A1478" s="3"/>
      <c r="B1478" s="3" t="str">
        <f ca="1">IFERROR(__xludf.DUMMYFUNCTION("IFERROR(GOOGLETRANSLATE(A1481,""ko"",""en""),)"),"")</f>
        <v/>
      </c>
    </row>
    <row r="1479" spans="1:2" ht="18">
      <c r="A1479" s="3"/>
      <c r="B1479" s="3" t="str">
        <f ca="1">IFERROR(__xludf.DUMMYFUNCTION("IFERROR(GOOGLETRANSLATE(A1482,""ko"",""en""),)"),"")</f>
        <v/>
      </c>
    </row>
    <row r="1480" spans="1:2" ht="18">
      <c r="A1480" s="3"/>
      <c r="B1480" s="3" t="str">
        <f ca="1">IFERROR(__xludf.DUMMYFUNCTION("IFERROR(GOOGLETRANSLATE(A1483,""ko"",""en""),)"),"")</f>
        <v/>
      </c>
    </row>
    <row r="1481" spans="1:2" ht="18">
      <c r="A1481" s="3"/>
      <c r="B1481" s="3" t="str">
        <f ca="1">IFERROR(__xludf.DUMMYFUNCTION("IFERROR(GOOGLETRANSLATE(A1484,""ko"",""en""),)"),"")</f>
        <v/>
      </c>
    </row>
    <row r="1482" spans="1:2" ht="18">
      <c r="A1482" s="3"/>
      <c r="B1482" s="3" t="str">
        <f ca="1">IFERROR(__xludf.DUMMYFUNCTION("IFERROR(GOOGLETRANSLATE(A1485,""ko"",""en""),)"),"")</f>
        <v/>
      </c>
    </row>
    <row r="1483" spans="1:2" ht="18">
      <c r="A1483" s="3"/>
      <c r="B1483" s="3" t="str">
        <f ca="1">IFERROR(__xludf.DUMMYFUNCTION("IFERROR(GOOGLETRANSLATE(A1486,""ko"",""en""),)"),"")</f>
        <v/>
      </c>
    </row>
    <row r="1484" spans="1:2" ht="18">
      <c r="A1484" s="3"/>
      <c r="B1484" s="3" t="str">
        <f ca="1">IFERROR(__xludf.DUMMYFUNCTION("IFERROR(GOOGLETRANSLATE(A1487,""ko"",""en""),)"),"")</f>
        <v/>
      </c>
    </row>
    <row r="1485" spans="1:2" ht="18">
      <c r="A1485" s="3"/>
      <c r="B1485" s="3" t="str">
        <f ca="1">IFERROR(__xludf.DUMMYFUNCTION("IFERROR(GOOGLETRANSLATE(A1488,""ko"",""en""),)"),"")</f>
        <v/>
      </c>
    </row>
    <row r="1486" spans="1:2" ht="18">
      <c r="A1486" s="3"/>
      <c r="B1486" s="3" t="str">
        <f ca="1">IFERROR(__xludf.DUMMYFUNCTION("IFERROR(GOOGLETRANSLATE(A1489,""ko"",""en""),)"),"")</f>
        <v/>
      </c>
    </row>
    <row r="1487" spans="1:2" ht="18">
      <c r="A1487" s="3"/>
      <c r="B1487" s="3" t="str">
        <f ca="1">IFERROR(__xludf.DUMMYFUNCTION("IFERROR(GOOGLETRANSLATE(A1490,""ko"",""en""),)"),"")</f>
        <v/>
      </c>
    </row>
    <row r="1488" spans="1:2" ht="18">
      <c r="A1488" s="3"/>
      <c r="B1488" s="3" t="str">
        <f ca="1">IFERROR(__xludf.DUMMYFUNCTION("IFERROR(GOOGLETRANSLATE(A1491,""ko"",""en""),)"),"")</f>
        <v/>
      </c>
    </row>
    <row r="1489" spans="1:2" ht="18">
      <c r="A1489" s="3"/>
      <c r="B1489" s="3" t="str">
        <f ca="1">IFERROR(__xludf.DUMMYFUNCTION("IFERROR(GOOGLETRANSLATE(A1492,""ko"",""en""),)"),"")</f>
        <v/>
      </c>
    </row>
    <row r="1490" spans="1:2" ht="18">
      <c r="A1490" s="3"/>
      <c r="B1490" s="3" t="str">
        <f ca="1">IFERROR(__xludf.DUMMYFUNCTION("IFERROR(GOOGLETRANSLATE(A1493,""ko"",""en""),)"),"")</f>
        <v/>
      </c>
    </row>
    <row r="1491" spans="1:2" ht="18">
      <c r="A1491" s="3"/>
      <c r="B1491" s="3" t="str">
        <f ca="1">IFERROR(__xludf.DUMMYFUNCTION("IFERROR(GOOGLETRANSLATE(A1494,""ko"",""en""),)"),"")</f>
        <v/>
      </c>
    </row>
    <row r="1492" spans="1:2" ht="18">
      <c r="A1492" s="3"/>
      <c r="B1492" s="3" t="str">
        <f ca="1">IFERROR(__xludf.DUMMYFUNCTION("IFERROR(GOOGLETRANSLATE(A1495,""ko"",""en""),)"),"")</f>
        <v/>
      </c>
    </row>
    <row r="1493" spans="1:2" ht="18">
      <c r="A1493" s="3"/>
      <c r="B1493" s="3" t="str">
        <f ca="1">IFERROR(__xludf.DUMMYFUNCTION("IFERROR(GOOGLETRANSLATE(A1496,""ko"",""en""),)"),"")</f>
        <v/>
      </c>
    </row>
    <row r="1494" spans="1:2" ht="18">
      <c r="A1494" s="3"/>
      <c r="B1494" s="3" t="str">
        <f ca="1">IFERROR(__xludf.DUMMYFUNCTION("IFERROR(GOOGLETRANSLATE(A1497,""ko"",""en""),)"),"")</f>
        <v/>
      </c>
    </row>
    <row r="1495" spans="1:2" ht="18">
      <c r="A1495" s="3"/>
      <c r="B1495" s="3" t="str">
        <f ca="1">IFERROR(__xludf.DUMMYFUNCTION("IFERROR(GOOGLETRANSLATE(A1498,""ko"",""en""),)"),"")</f>
        <v/>
      </c>
    </row>
    <row r="1496" spans="1:2" ht="18">
      <c r="A1496" s="3"/>
      <c r="B1496" s="3" t="str">
        <f ca="1">IFERROR(__xludf.DUMMYFUNCTION("IFERROR(GOOGLETRANSLATE(A1499,""ko"",""en""),)"),"")</f>
        <v/>
      </c>
    </row>
    <row r="1497" spans="1:2" ht="18">
      <c r="A1497" s="3"/>
      <c r="B1497" s="3" t="str">
        <f ca="1">IFERROR(__xludf.DUMMYFUNCTION("IFERROR(GOOGLETRANSLATE(A1500,""ko"",""en""),)"),"")</f>
        <v/>
      </c>
    </row>
    <row r="1498" spans="1:2" ht="18">
      <c r="A1498" s="3"/>
      <c r="B1498" s="3" t="str">
        <f ca="1">IFERROR(__xludf.DUMMYFUNCTION("IFERROR(GOOGLETRANSLATE(A1501,""ko"",""en""),)"),"")</f>
        <v/>
      </c>
    </row>
    <row r="1499" spans="1:2" ht="18">
      <c r="A1499" s="3"/>
      <c r="B1499" s="3" t="str">
        <f ca="1">IFERROR(__xludf.DUMMYFUNCTION("IFERROR(GOOGLETRANSLATE(A1502,""ko"",""en""),)"),"")</f>
        <v/>
      </c>
    </row>
    <row r="1500" spans="1:2" ht="18">
      <c r="A1500" s="3"/>
      <c r="B1500" s="3" t="str">
        <f ca="1">IFERROR(__xludf.DUMMYFUNCTION("IFERROR(GOOGLETRANSLATE(A1503,""ko"",""en""),)"),"")</f>
        <v/>
      </c>
    </row>
    <row r="1501" spans="1:2" ht="18">
      <c r="A1501" s="3"/>
      <c r="B1501" s="3" t="str">
        <f ca="1">IFERROR(__xludf.DUMMYFUNCTION("IFERROR(GOOGLETRANSLATE(A1504,""ko"",""en""),)"),"")</f>
        <v/>
      </c>
    </row>
    <row r="1502" spans="1:2" ht="18">
      <c r="A1502" s="3"/>
      <c r="B1502" s="3" t="str">
        <f ca="1">IFERROR(__xludf.DUMMYFUNCTION("IFERROR(GOOGLETRANSLATE(A1505,""ko"",""en""),)"),"")</f>
        <v/>
      </c>
    </row>
    <row r="1503" spans="1:2" ht="18">
      <c r="A1503" s="3"/>
      <c r="B1503" s="3" t="str">
        <f ca="1">IFERROR(__xludf.DUMMYFUNCTION("IFERROR(GOOGLETRANSLATE(A1506,""ko"",""en""),)"),"")</f>
        <v/>
      </c>
    </row>
    <row r="1504" spans="1:2" ht="18">
      <c r="A1504" s="3"/>
      <c r="B1504" s="3" t="str">
        <f ca="1">IFERROR(__xludf.DUMMYFUNCTION("IFERROR(GOOGLETRANSLATE(A1507,""ko"",""en""),)"),"")</f>
        <v/>
      </c>
    </row>
    <row r="1505" spans="1:2" ht="18">
      <c r="A1505" s="3"/>
      <c r="B1505" s="3" t="str">
        <f ca="1">IFERROR(__xludf.DUMMYFUNCTION("IFERROR(GOOGLETRANSLATE(A1508,""ko"",""en""),)"),"")</f>
        <v/>
      </c>
    </row>
    <row r="1506" spans="1:2" ht="18">
      <c r="A1506" s="3"/>
      <c r="B1506" s="3" t="str">
        <f ca="1">IFERROR(__xludf.DUMMYFUNCTION("IFERROR(GOOGLETRANSLATE(A1509,""ko"",""en""),)"),"")</f>
        <v/>
      </c>
    </row>
    <row r="1507" spans="1:2" ht="18">
      <c r="A1507" s="3"/>
      <c r="B1507" s="3" t="str">
        <f ca="1">IFERROR(__xludf.DUMMYFUNCTION("IFERROR(GOOGLETRANSLATE(A1510,""ko"",""en""),)"),"")</f>
        <v/>
      </c>
    </row>
    <row r="1508" spans="1:2" ht="18">
      <c r="A1508" s="3"/>
      <c r="B1508" s="3" t="str">
        <f ca="1">IFERROR(__xludf.DUMMYFUNCTION("IFERROR(GOOGLETRANSLATE(A1511,""ko"",""en""),)"),"")</f>
        <v/>
      </c>
    </row>
    <row r="1509" spans="1:2" ht="18">
      <c r="A1509" s="3"/>
      <c r="B1509" s="3" t="str">
        <f ca="1">IFERROR(__xludf.DUMMYFUNCTION("IFERROR(GOOGLETRANSLATE(A1512,""ko"",""en""),)"),"")</f>
        <v/>
      </c>
    </row>
    <row r="1510" spans="1:2" ht="18">
      <c r="A1510" s="3"/>
      <c r="B1510" s="3" t="str">
        <f ca="1">IFERROR(__xludf.DUMMYFUNCTION("IFERROR(GOOGLETRANSLATE(A1513,""ko"",""en""),)"),"")</f>
        <v/>
      </c>
    </row>
    <row r="1511" spans="1:2" ht="18">
      <c r="A1511" s="3"/>
      <c r="B1511" s="3" t="str">
        <f ca="1">IFERROR(__xludf.DUMMYFUNCTION("IFERROR(GOOGLETRANSLATE(A1514,""ko"",""en""),)"),"")</f>
        <v/>
      </c>
    </row>
    <row r="1512" spans="1:2" ht="18">
      <c r="A1512" s="3"/>
      <c r="B1512" s="3" t="str">
        <f ca="1">IFERROR(__xludf.DUMMYFUNCTION("IFERROR(GOOGLETRANSLATE(A1515,""ko"",""en""),)"),"")</f>
        <v/>
      </c>
    </row>
    <row r="1513" spans="1:2" ht="18">
      <c r="A1513" s="3"/>
      <c r="B1513" s="3" t="str">
        <f ca="1">IFERROR(__xludf.DUMMYFUNCTION("IFERROR(GOOGLETRANSLATE(A1516,""ko"",""en""),)"),"")</f>
        <v/>
      </c>
    </row>
    <row r="1514" spans="1:2" ht="18">
      <c r="A1514" s="3"/>
      <c r="B1514" s="3" t="str">
        <f ca="1">IFERROR(__xludf.DUMMYFUNCTION("IFERROR(GOOGLETRANSLATE(A1517,""ko"",""en""),)"),"")</f>
        <v/>
      </c>
    </row>
    <row r="1515" spans="1:2" ht="18">
      <c r="A1515" s="3"/>
      <c r="B1515" s="3" t="str">
        <f ca="1">IFERROR(__xludf.DUMMYFUNCTION("IFERROR(GOOGLETRANSLATE(A1518,""ko"",""en""),)"),"")</f>
        <v/>
      </c>
    </row>
    <row r="1516" spans="1:2" ht="18">
      <c r="A1516" s="3"/>
      <c r="B1516" s="3" t="str">
        <f ca="1">IFERROR(__xludf.DUMMYFUNCTION("IFERROR(GOOGLETRANSLATE(A1519,""ko"",""en""),)"),"")</f>
        <v/>
      </c>
    </row>
    <row r="1517" spans="1:2" ht="18">
      <c r="A1517" s="3"/>
      <c r="B1517" s="3" t="str">
        <f ca="1">IFERROR(__xludf.DUMMYFUNCTION("IFERROR(GOOGLETRANSLATE(A1520,""ko"",""en""),)"),"")</f>
        <v/>
      </c>
    </row>
    <row r="1518" spans="1:2" ht="18">
      <c r="A1518" s="3"/>
      <c r="B1518" s="3" t="str">
        <f ca="1">IFERROR(__xludf.DUMMYFUNCTION("IFERROR(GOOGLETRANSLATE(A1521,""ko"",""en""),)"),"")</f>
        <v/>
      </c>
    </row>
    <row r="1519" spans="1:2" ht="18">
      <c r="A1519" s="3"/>
      <c r="B1519" s="3" t="str">
        <f ca="1">IFERROR(__xludf.DUMMYFUNCTION("IFERROR(GOOGLETRANSLATE(A1522,""ko"",""en""),)"),"")</f>
        <v/>
      </c>
    </row>
    <row r="1520" spans="1:2" ht="18">
      <c r="A1520" s="3"/>
      <c r="B1520" s="3" t="str">
        <f ca="1">IFERROR(__xludf.DUMMYFUNCTION("IFERROR(GOOGLETRANSLATE(A1523,""ko"",""en""),)"),"")</f>
        <v/>
      </c>
    </row>
    <row r="1521" spans="1:2" ht="18">
      <c r="A1521" s="3"/>
      <c r="B1521" s="3" t="str">
        <f ca="1">IFERROR(__xludf.DUMMYFUNCTION("IFERROR(GOOGLETRANSLATE(A1524,""ko"",""en""),)"),"")</f>
        <v/>
      </c>
    </row>
    <row r="1522" spans="1:2" ht="18">
      <c r="A1522" s="3"/>
      <c r="B1522" s="3" t="str">
        <f ca="1">IFERROR(__xludf.DUMMYFUNCTION("IFERROR(GOOGLETRANSLATE(A1525,""ko"",""en""),)"),"")</f>
        <v/>
      </c>
    </row>
    <row r="1523" spans="1:2" ht="18">
      <c r="A1523" s="3"/>
      <c r="B1523" s="3" t="str">
        <f ca="1">IFERROR(__xludf.DUMMYFUNCTION("IFERROR(GOOGLETRANSLATE(A1526,""ko"",""en""),)"),"")</f>
        <v/>
      </c>
    </row>
    <row r="1524" spans="1:2" ht="18">
      <c r="A1524" s="3"/>
      <c r="B1524" s="3" t="str">
        <f ca="1">IFERROR(__xludf.DUMMYFUNCTION("IFERROR(GOOGLETRANSLATE(A1527,""ko"",""en""),)"),"")</f>
        <v/>
      </c>
    </row>
    <row r="1525" spans="1:2" ht="18">
      <c r="A1525" s="3"/>
      <c r="B1525" s="3" t="str">
        <f ca="1">IFERROR(__xludf.DUMMYFUNCTION("IFERROR(GOOGLETRANSLATE(A1528,""ko"",""en""),)"),"")</f>
        <v/>
      </c>
    </row>
    <row r="1526" spans="1:2" ht="18">
      <c r="A1526" s="3"/>
      <c r="B1526" s="3" t="str">
        <f ca="1">IFERROR(__xludf.DUMMYFUNCTION("IFERROR(GOOGLETRANSLATE(A1529,""ko"",""en""),)"),"")</f>
        <v/>
      </c>
    </row>
    <row r="1527" spans="1:2" ht="18">
      <c r="A1527" s="3"/>
      <c r="B1527" s="3" t="str">
        <f ca="1">IFERROR(__xludf.DUMMYFUNCTION("IFERROR(GOOGLETRANSLATE(A1530,""ko"",""en""),)"),"")</f>
        <v/>
      </c>
    </row>
    <row r="1528" spans="1:2" ht="18">
      <c r="A1528" s="3"/>
      <c r="B1528" s="3" t="str">
        <f ca="1">IFERROR(__xludf.DUMMYFUNCTION("IFERROR(GOOGLETRANSLATE(A1531,""ko"",""en""),)"),"")</f>
        <v/>
      </c>
    </row>
    <row r="1529" spans="1:2" ht="18">
      <c r="A1529" s="3"/>
      <c r="B1529" s="3" t="str">
        <f ca="1">IFERROR(__xludf.DUMMYFUNCTION("IFERROR(GOOGLETRANSLATE(A1532,""ko"",""en""),)"),"")</f>
        <v/>
      </c>
    </row>
    <row r="1530" spans="1:2" ht="18">
      <c r="A1530" s="3"/>
      <c r="B1530" s="3" t="str">
        <f ca="1">IFERROR(__xludf.DUMMYFUNCTION("IFERROR(GOOGLETRANSLATE(A1533,""ko"",""en""),)"),"")</f>
        <v/>
      </c>
    </row>
    <row r="1531" spans="1:2" ht="18">
      <c r="A1531" s="3"/>
      <c r="B1531" s="3" t="str">
        <f ca="1">IFERROR(__xludf.DUMMYFUNCTION("IFERROR(GOOGLETRANSLATE(A1534,""ko"",""en""),)"),"")</f>
        <v/>
      </c>
    </row>
    <row r="1532" spans="1:2" ht="18">
      <c r="A1532" s="3"/>
      <c r="B1532" s="3" t="str">
        <f ca="1">IFERROR(__xludf.DUMMYFUNCTION("IFERROR(GOOGLETRANSLATE(A1535,""ko"",""en""),)"),"")</f>
        <v/>
      </c>
    </row>
    <row r="1533" spans="1:2" ht="18">
      <c r="A1533" s="3"/>
      <c r="B1533" s="3" t="str">
        <f ca="1">IFERROR(__xludf.DUMMYFUNCTION("IFERROR(GOOGLETRANSLATE(A1536,""ko"",""en""),)"),"")</f>
        <v/>
      </c>
    </row>
    <row r="1534" spans="1:2" ht="18">
      <c r="A1534" s="3"/>
      <c r="B1534" s="3" t="str">
        <f ca="1">IFERROR(__xludf.DUMMYFUNCTION("IFERROR(GOOGLETRANSLATE(A1537,""ko"",""en""),)"),"")</f>
        <v/>
      </c>
    </row>
    <row r="1535" spans="1:2" ht="18">
      <c r="A1535" s="3"/>
      <c r="B1535" s="3" t="str">
        <f ca="1">IFERROR(__xludf.DUMMYFUNCTION("IFERROR(GOOGLETRANSLATE(A1538,""ko"",""en""),)"),"")</f>
        <v/>
      </c>
    </row>
    <row r="1536" spans="1:2" ht="18">
      <c r="A1536" s="3"/>
      <c r="B1536" s="3" t="str">
        <f ca="1">IFERROR(__xludf.DUMMYFUNCTION("IFERROR(GOOGLETRANSLATE(A1539,""ko"",""en""),)"),"")</f>
        <v/>
      </c>
    </row>
    <row r="1537" spans="1:2" ht="18">
      <c r="A1537" s="3"/>
      <c r="B1537" s="3" t="str">
        <f ca="1">IFERROR(__xludf.DUMMYFUNCTION("IFERROR(GOOGLETRANSLATE(A1540,""ko"",""en""),)"),"")</f>
        <v/>
      </c>
    </row>
    <row r="1538" spans="1:2" ht="18">
      <c r="A1538" s="3"/>
      <c r="B1538" s="3" t="str">
        <f ca="1">IFERROR(__xludf.DUMMYFUNCTION("IFERROR(GOOGLETRANSLATE(A1541,""ko"",""en""),)"),"")</f>
        <v/>
      </c>
    </row>
    <row r="1539" spans="1:2" ht="18">
      <c r="A1539" s="3"/>
      <c r="B1539" s="3" t="str">
        <f ca="1">IFERROR(__xludf.DUMMYFUNCTION("IFERROR(GOOGLETRANSLATE(A1542,""ko"",""en""),)"),"")</f>
        <v/>
      </c>
    </row>
    <row r="1540" spans="1:2" ht="18">
      <c r="A1540" s="3"/>
      <c r="B1540" s="3" t="str">
        <f ca="1">IFERROR(__xludf.DUMMYFUNCTION("IFERROR(GOOGLETRANSLATE(A1543,""ko"",""en""),)"),"")</f>
        <v/>
      </c>
    </row>
    <row r="1541" spans="1:2" ht="18">
      <c r="A1541" s="3"/>
      <c r="B1541" s="3" t="str">
        <f ca="1">IFERROR(__xludf.DUMMYFUNCTION("IFERROR(GOOGLETRANSLATE(A1544,""ko"",""en""),)"),"")</f>
        <v/>
      </c>
    </row>
    <row r="1542" spans="1:2" ht="18">
      <c r="A1542" s="3"/>
      <c r="B1542" s="3" t="str">
        <f ca="1">IFERROR(__xludf.DUMMYFUNCTION("IFERROR(GOOGLETRANSLATE(A1545,""ko"",""en""),)"),"")</f>
        <v/>
      </c>
    </row>
    <row r="1543" spans="1:2" ht="18">
      <c r="A1543" s="3"/>
      <c r="B1543" s="3" t="str">
        <f ca="1">IFERROR(__xludf.DUMMYFUNCTION("IFERROR(GOOGLETRANSLATE(A1546,""ko"",""en""),)"),"")</f>
        <v/>
      </c>
    </row>
    <row r="1544" spans="1:2" ht="18">
      <c r="A1544" s="3"/>
      <c r="B1544" s="3" t="str">
        <f ca="1">IFERROR(__xludf.DUMMYFUNCTION("IFERROR(GOOGLETRANSLATE(A1547,""ko"",""en""),)"),"")</f>
        <v/>
      </c>
    </row>
    <row r="1545" spans="1:2" ht="18">
      <c r="A1545" s="3"/>
      <c r="B1545" s="3" t="str">
        <f ca="1">IFERROR(__xludf.DUMMYFUNCTION("IFERROR(GOOGLETRANSLATE(A1548,""ko"",""en""),)"),"")</f>
        <v/>
      </c>
    </row>
    <row r="1546" spans="1:2" ht="18">
      <c r="A1546" s="3"/>
      <c r="B1546" s="3" t="str">
        <f ca="1">IFERROR(__xludf.DUMMYFUNCTION("IFERROR(GOOGLETRANSLATE(A1549,""ko"",""en""),)"),"")</f>
        <v/>
      </c>
    </row>
    <row r="1547" spans="1:2" ht="18">
      <c r="A1547" s="3"/>
      <c r="B1547" s="3" t="str">
        <f ca="1">IFERROR(__xludf.DUMMYFUNCTION("IFERROR(GOOGLETRANSLATE(A1550,""ko"",""en""),)"),"")</f>
        <v/>
      </c>
    </row>
    <row r="1548" spans="1:2" ht="18">
      <c r="A1548" s="3"/>
      <c r="B1548" s="3" t="str">
        <f ca="1">IFERROR(__xludf.DUMMYFUNCTION("IFERROR(GOOGLETRANSLATE(A1551,""ko"",""en""),)"),"")</f>
        <v/>
      </c>
    </row>
    <row r="1549" spans="1:2" ht="18">
      <c r="A1549" s="3"/>
      <c r="B1549" s="3" t="str">
        <f ca="1">IFERROR(__xludf.DUMMYFUNCTION("IFERROR(GOOGLETRANSLATE(A1552,""ko"",""en""),)"),"")</f>
        <v/>
      </c>
    </row>
    <row r="1550" spans="1:2" ht="18">
      <c r="A1550" s="3"/>
      <c r="B1550" s="3" t="str">
        <f ca="1">IFERROR(__xludf.DUMMYFUNCTION("IFERROR(GOOGLETRANSLATE(A1553,""ko"",""en""),)"),"")</f>
        <v/>
      </c>
    </row>
    <row r="1551" spans="1:2" ht="18">
      <c r="A1551" s="3"/>
      <c r="B1551" s="3" t="str">
        <f ca="1">IFERROR(__xludf.DUMMYFUNCTION("IFERROR(GOOGLETRANSLATE(A1554,""ko"",""en""),)"),"")</f>
        <v/>
      </c>
    </row>
    <row r="1552" spans="1:2" ht="18">
      <c r="A1552" s="3"/>
      <c r="B1552" s="3" t="str">
        <f ca="1">IFERROR(__xludf.DUMMYFUNCTION("IFERROR(GOOGLETRANSLATE(A1555,""ko"",""en""),)"),"")</f>
        <v/>
      </c>
    </row>
    <row r="1553" spans="1:2" ht="18">
      <c r="A1553" s="3"/>
      <c r="B1553" s="3" t="str">
        <f ca="1">IFERROR(__xludf.DUMMYFUNCTION("IFERROR(GOOGLETRANSLATE(A1556,""ko"",""en""),)"),"")</f>
        <v/>
      </c>
    </row>
    <row r="1554" spans="1:2" ht="18">
      <c r="A1554" s="3"/>
      <c r="B1554" s="3" t="str">
        <f ca="1">IFERROR(__xludf.DUMMYFUNCTION("IFERROR(GOOGLETRANSLATE(A1557,""ko"",""en""),)"),"")</f>
        <v/>
      </c>
    </row>
    <row r="1555" spans="1:2" ht="18">
      <c r="A1555" s="3"/>
      <c r="B1555" s="3" t="str">
        <f ca="1">IFERROR(__xludf.DUMMYFUNCTION("IFERROR(GOOGLETRANSLATE(A1558,""ko"",""en""),)"),"")</f>
        <v/>
      </c>
    </row>
    <row r="1556" spans="1:2" ht="18">
      <c r="A1556" s="3"/>
      <c r="B1556" s="3" t="str">
        <f ca="1">IFERROR(__xludf.DUMMYFUNCTION("IFERROR(GOOGLETRANSLATE(A1559,""ko"",""en""),)"),"")</f>
        <v/>
      </c>
    </row>
    <row r="1557" spans="1:2" ht="18">
      <c r="A1557" s="3"/>
      <c r="B1557" s="3" t="str">
        <f ca="1">IFERROR(__xludf.DUMMYFUNCTION("IFERROR(GOOGLETRANSLATE(A1560,""ko"",""en""),)"),"")</f>
        <v/>
      </c>
    </row>
    <row r="1558" spans="1:2" ht="18">
      <c r="A1558" s="3"/>
      <c r="B1558" s="3" t="str">
        <f ca="1">IFERROR(__xludf.DUMMYFUNCTION("IFERROR(GOOGLETRANSLATE(A1561,""ko"",""en""),)"),"")</f>
        <v/>
      </c>
    </row>
    <row r="1559" spans="1:2" ht="18">
      <c r="A1559" s="3"/>
      <c r="B1559" s="3" t="str">
        <f ca="1">IFERROR(__xludf.DUMMYFUNCTION("IFERROR(GOOGLETRANSLATE(A1562,""ko"",""en""),)"),"")</f>
        <v/>
      </c>
    </row>
    <row r="1560" spans="1:2" ht="18">
      <c r="A1560" s="3"/>
      <c r="B1560" s="3" t="str">
        <f ca="1">IFERROR(__xludf.DUMMYFUNCTION("IFERROR(GOOGLETRANSLATE(A1563,""ko"",""en""),)"),"")</f>
        <v/>
      </c>
    </row>
    <row r="1561" spans="1:2" ht="18">
      <c r="A1561" s="3"/>
      <c r="B1561" s="3" t="str">
        <f ca="1">IFERROR(__xludf.DUMMYFUNCTION("IFERROR(GOOGLETRANSLATE(A1564,""ko"",""en""),)"),"")</f>
        <v/>
      </c>
    </row>
    <row r="1562" spans="1:2" ht="18">
      <c r="A1562" s="3"/>
      <c r="B1562" s="3" t="str">
        <f ca="1">IFERROR(__xludf.DUMMYFUNCTION("IFERROR(GOOGLETRANSLATE(A1565,""ko"",""en""),)"),"")</f>
        <v/>
      </c>
    </row>
    <row r="1563" spans="1:2" ht="18">
      <c r="A1563" s="3"/>
      <c r="B1563" s="3" t="str">
        <f ca="1">IFERROR(__xludf.DUMMYFUNCTION("IFERROR(GOOGLETRANSLATE(A1566,""ko"",""en""),)"),"")</f>
        <v/>
      </c>
    </row>
    <row r="1564" spans="1:2" ht="18">
      <c r="A1564" s="3"/>
      <c r="B1564" s="3" t="str">
        <f ca="1">IFERROR(__xludf.DUMMYFUNCTION("IFERROR(GOOGLETRANSLATE(A1567,""ko"",""en""),)"),"")</f>
        <v/>
      </c>
    </row>
    <row r="1565" spans="1:2" ht="18">
      <c r="A1565" s="3"/>
      <c r="B1565" s="3" t="str">
        <f ca="1">IFERROR(__xludf.DUMMYFUNCTION("IFERROR(GOOGLETRANSLATE(A1568,""ko"",""en""),)"),"")</f>
        <v/>
      </c>
    </row>
    <row r="1566" spans="1:2" ht="18">
      <c r="A1566" s="3"/>
      <c r="B1566" s="3" t="str">
        <f ca="1">IFERROR(__xludf.DUMMYFUNCTION("IFERROR(GOOGLETRANSLATE(A1569,""ko"",""en""),)"),"")</f>
        <v/>
      </c>
    </row>
    <row r="1567" spans="1:2" ht="18">
      <c r="A1567" s="3"/>
      <c r="B1567" s="3" t="str">
        <f ca="1">IFERROR(__xludf.DUMMYFUNCTION("IFERROR(GOOGLETRANSLATE(A1570,""ko"",""en""),)"),"")</f>
        <v/>
      </c>
    </row>
    <row r="1568" spans="1:2" ht="18">
      <c r="A1568" s="3"/>
      <c r="B1568" s="3" t="str">
        <f ca="1">IFERROR(__xludf.DUMMYFUNCTION("IFERROR(GOOGLETRANSLATE(A1571,""ko"",""en""),)"),"")</f>
        <v/>
      </c>
    </row>
    <row r="1569" spans="1:2" ht="18">
      <c r="A1569" s="3"/>
      <c r="B1569" s="3" t="str">
        <f ca="1">IFERROR(__xludf.DUMMYFUNCTION("IFERROR(GOOGLETRANSLATE(A1572,""ko"",""en""),)"),"")</f>
        <v/>
      </c>
    </row>
    <row r="1570" spans="1:2" ht="18">
      <c r="A1570" s="3"/>
      <c r="B1570" s="3" t="str">
        <f ca="1">IFERROR(__xludf.DUMMYFUNCTION("IFERROR(GOOGLETRANSLATE(A1573,""ko"",""en""),)"),"")</f>
        <v/>
      </c>
    </row>
    <row r="1571" spans="1:2" ht="18">
      <c r="A1571" s="3"/>
      <c r="B1571" s="3" t="str">
        <f ca="1">IFERROR(__xludf.DUMMYFUNCTION("IFERROR(GOOGLETRANSLATE(A1574,""ko"",""en""),)"),"")</f>
        <v/>
      </c>
    </row>
    <row r="1572" spans="1:2" ht="18">
      <c r="A1572" s="3"/>
      <c r="B1572" s="3" t="str">
        <f ca="1">IFERROR(__xludf.DUMMYFUNCTION("IFERROR(GOOGLETRANSLATE(A1575,""ko"",""en""),)"),"")</f>
        <v/>
      </c>
    </row>
    <row r="1573" spans="1:2" ht="18">
      <c r="A1573" s="3"/>
      <c r="B1573" s="3" t="str">
        <f ca="1">IFERROR(__xludf.DUMMYFUNCTION("IFERROR(GOOGLETRANSLATE(A1576,""ko"",""en""),)"),"")</f>
        <v/>
      </c>
    </row>
    <row r="1574" spans="1:2" ht="18">
      <c r="A1574" s="3"/>
      <c r="B1574" s="3" t="str">
        <f ca="1">IFERROR(__xludf.DUMMYFUNCTION("IFERROR(GOOGLETRANSLATE(A1577,""ko"",""en""),)"),"")</f>
        <v/>
      </c>
    </row>
    <row r="1575" spans="1:2" ht="18">
      <c r="A1575" s="3"/>
      <c r="B1575" s="3" t="str">
        <f ca="1">IFERROR(__xludf.DUMMYFUNCTION("IFERROR(GOOGLETRANSLATE(A1578,""ko"",""en""),)"),"")</f>
        <v/>
      </c>
    </row>
    <row r="1576" spans="1:2" ht="18">
      <c r="A1576" s="3"/>
      <c r="B1576" s="3" t="str">
        <f ca="1">IFERROR(__xludf.DUMMYFUNCTION("IFERROR(GOOGLETRANSLATE(A1579,""ko"",""en""),)"),"")</f>
        <v/>
      </c>
    </row>
    <row r="1577" spans="1:2" ht="18">
      <c r="A1577" s="3"/>
      <c r="B1577" s="3" t="str">
        <f ca="1">IFERROR(__xludf.DUMMYFUNCTION("IFERROR(GOOGLETRANSLATE(A1580,""ko"",""en""),)"),"")</f>
        <v/>
      </c>
    </row>
    <row r="1578" spans="1:2" ht="18">
      <c r="A1578" s="3"/>
      <c r="B1578" s="3" t="str">
        <f ca="1">IFERROR(__xludf.DUMMYFUNCTION("IFERROR(GOOGLETRANSLATE(A1581,""ko"",""en""),)"),"")</f>
        <v/>
      </c>
    </row>
    <row r="1579" spans="1:2" ht="18">
      <c r="A1579" s="3"/>
      <c r="B1579" s="3" t="str">
        <f ca="1">IFERROR(__xludf.DUMMYFUNCTION("IFERROR(GOOGLETRANSLATE(A1582,""ko"",""en""),)"),"")</f>
        <v/>
      </c>
    </row>
    <row r="1580" spans="1:2" ht="18">
      <c r="A1580" s="3"/>
      <c r="B1580" s="3" t="str">
        <f ca="1">IFERROR(__xludf.DUMMYFUNCTION("IFERROR(GOOGLETRANSLATE(A1583,""ko"",""en""),)"),"")</f>
        <v/>
      </c>
    </row>
    <row r="1581" spans="1:2" ht="18">
      <c r="A1581" s="3"/>
      <c r="B1581" s="3" t="str">
        <f ca="1">IFERROR(__xludf.DUMMYFUNCTION("IFERROR(GOOGLETRANSLATE(A1584,""ko"",""en""),)"),"")</f>
        <v/>
      </c>
    </row>
    <row r="1582" spans="1:2" ht="18">
      <c r="A1582" s="3"/>
      <c r="B1582" s="3" t="str">
        <f ca="1">IFERROR(__xludf.DUMMYFUNCTION("IFERROR(GOOGLETRANSLATE(A1585,""ko"",""en""),)"),"")</f>
        <v/>
      </c>
    </row>
    <row r="1583" spans="1:2" ht="18">
      <c r="A1583" s="3"/>
      <c r="B1583" s="3" t="str">
        <f ca="1">IFERROR(__xludf.DUMMYFUNCTION("IFERROR(GOOGLETRANSLATE(A1586,""ko"",""en""),)"),"")</f>
        <v/>
      </c>
    </row>
    <row r="1584" spans="1:2" ht="18">
      <c r="A1584" s="3"/>
      <c r="B1584" s="3" t="str">
        <f ca="1">IFERROR(__xludf.DUMMYFUNCTION("IFERROR(GOOGLETRANSLATE(A1587,""ko"",""en""),)"),"")</f>
        <v/>
      </c>
    </row>
    <row r="1585" spans="1:2" ht="18">
      <c r="A1585" s="3"/>
      <c r="B1585" s="3" t="str">
        <f ca="1">IFERROR(__xludf.DUMMYFUNCTION("IFERROR(GOOGLETRANSLATE(A1588,""ko"",""en""),)"),"")</f>
        <v/>
      </c>
    </row>
    <row r="1586" spans="1:2" ht="18">
      <c r="A1586" s="3"/>
      <c r="B1586" s="3" t="str">
        <f ca="1">IFERROR(__xludf.DUMMYFUNCTION("IFERROR(GOOGLETRANSLATE(A1589,""ko"",""en""),)"),"")</f>
        <v/>
      </c>
    </row>
    <row r="1587" spans="1:2" ht="18">
      <c r="A1587" s="3"/>
      <c r="B1587" s="3" t="str">
        <f ca="1">IFERROR(__xludf.DUMMYFUNCTION("IFERROR(GOOGLETRANSLATE(A1590,""ko"",""en""),)"),"")</f>
        <v/>
      </c>
    </row>
    <row r="1588" spans="1:2" ht="18">
      <c r="A1588" s="3"/>
      <c r="B1588" s="3" t="str">
        <f ca="1">IFERROR(__xludf.DUMMYFUNCTION("IFERROR(GOOGLETRANSLATE(A1591,""ko"",""en""),)"),"")</f>
        <v/>
      </c>
    </row>
    <row r="1589" spans="1:2" ht="18">
      <c r="A1589" s="3"/>
      <c r="B1589" s="3" t="str">
        <f ca="1">IFERROR(__xludf.DUMMYFUNCTION("IFERROR(GOOGLETRANSLATE(A1592,""ko"",""en""),)"),"")</f>
        <v/>
      </c>
    </row>
    <row r="1590" spans="1:2" ht="18">
      <c r="A1590" s="3"/>
      <c r="B1590" s="3" t="str">
        <f ca="1">IFERROR(__xludf.DUMMYFUNCTION("IFERROR(GOOGLETRANSLATE(A1593,""ko"",""en""),)"),"")</f>
        <v/>
      </c>
    </row>
    <row r="1591" spans="1:2" ht="18">
      <c r="A1591" s="3"/>
      <c r="B1591" s="3" t="str">
        <f ca="1">IFERROR(__xludf.DUMMYFUNCTION("IFERROR(GOOGLETRANSLATE(A1594,""ko"",""en""),)"),"")</f>
        <v/>
      </c>
    </row>
    <row r="1592" spans="1:2" ht="18">
      <c r="A1592" s="3"/>
      <c r="B1592" s="3" t="str">
        <f ca="1">IFERROR(__xludf.DUMMYFUNCTION("IFERROR(GOOGLETRANSLATE(A1595,""ko"",""en""),)"),"")</f>
        <v/>
      </c>
    </row>
    <row r="1593" spans="1:2" ht="18">
      <c r="A1593" s="3"/>
      <c r="B1593" s="3" t="str">
        <f ca="1">IFERROR(__xludf.DUMMYFUNCTION("IFERROR(GOOGLETRANSLATE(A1596,""ko"",""en""),)"),"")</f>
        <v/>
      </c>
    </row>
    <row r="1594" spans="1:2" ht="18">
      <c r="A1594" s="3"/>
      <c r="B1594" s="3" t="str">
        <f ca="1">IFERROR(__xludf.DUMMYFUNCTION("IFERROR(GOOGLETRANSLATE(A1597,""ko"",""en""),)"),"")</f>
        <v/>
      </c>
    </row>
    <row r="1595" spans="1:2" ht="18">
      <c r="A1595" s="3"/>
      <c r="B1595" s="3" t="str">
        <f ca="1">IFERROR(__xludf.DUMMYFUNCTION("IFERROR(GOOGLETRANSLATE(A1598,""ko"",""en""),)"),"")</f>
        <v/>
      </c>
    </row>
    <row r="1596" spans="1:2" ht="18">
      <c r="A1596" s="3"/>
      <c r="B1596" s="3" t="str">
        <f ca="1">IFERROR(__xludf.DUMMYFUNCTION("IFERROR(GOOGLETRANSLATE(A1599,""ko"",""en""),)"),"")</f>
        <v/>
      </c>
    </row>
    <row r="1597" spans="1:2" ht="18">
      <c r="A1597" s="3"/>
      <c r="B1597" s="3" t="str">
        <f ca="1">IFERROR(__xludf.DUMMYFUNCTION("IFERROR(GOOGLETRANSLATE(A1600,""ko"",""en""),)"),"")</f>
        <v/>
      </c>
    </row>
    <row r="1598" spans="1:2" ht="18">
      <c r="A1598" s="3"/>
      <c r="B1598" s="3" t="str">
        <f ca="1">IFERROR(__xludf.DUMMYFUNCTION("IFERROR(GOOGLETRANSLATE(A1601,""ko"",""en""),)"),"")</f>
        <v/>
      </c>
    </row>
    <row r="1599" spans="1:2" ht="18">
      <c r="A1599" s="3"/>
      <c r="B1599" s="3" t="str">
        <f ca="1">IFERROR(__xludf.DUMMYFUNCTION("IFERROR(GOOGLETRANSLATE(A1602,""ko"",""en""),)"),"")</f>
        <v/>
      </c>
    </row>
    <row r="1600" spans="1:2" ht="18">
      <c r="A1600" s="3"/>
      <c r="B1600" s="3" t="str">
        <f ca="1">IFERROR(__xludf.DUMMYFUNCTION("IFERROR(GOOGLETRANSLATE(A1603,""ko"",""en""),)"),"")</f>
        <v/>
      </c>
    </row>
    <row r="1601" spans="1:2" ht="18">
      <c r="A1601" s="3"/>
      <c r="B1601" s="3" t="str">
        <f ca="1">IFERROR(__xludf.DUMMYFUNCTION("IFERROR(GOOGLETRANSLATE(A1604,""ko"",""en""),)"),"")</f>
        <v/>
      </c>
    </row>
    <row r="1602" spans="1:2" ht="18">
      <c r="A1602" s="3"/>
      <c r="B1602" s="3" t="str">
        <f ca="1">IFERROR(__xludf.DUMMYFUNCTION("IFERROR(GOOGLETRANSLATE(A1605,""ko"",""en""),)"),"")</f>
        <v/>
      </c>
    </row>
    <row r="1603" spans="1:2" ht="18">
      <c r="A1603" s="3"/>
      <c r="B1603" s="3" t="str">
        <f ca="1">IFERROR(__xludf.DUMMYFUNCTION("IFERROR(GOOGLETRANSLATE(A1606,""ko"",""en""),)"),"")</f>
        <v/>
      </c>
    </row>
    <row r="1604" spans="1:2" ht="18">
      <c r="A1604" s="3"/>
      <c r="B1604" s="3" t="str">
        <f ca="1">IFERROR(__xludf.DUMMYFUNCTION("IFERROR(GOOGLETRANSLATE(A1607,""ko"",""en""),)"),"")</f>
        <v/>
      </c>
    </row>
    <row r="1605" spans="1:2" ht="18">
      <c r="A1605" s="3"/>
      <c r="B1605" s="3" t="str">
        <f ca="1">IFERROR(__xludf.DUMMYFUNCTION("IFERROR(GOOGLETRANSLATE(A1608,""ko"",""en""),)"),"")</f>
        <v/>
      </c>
    </row>
    <row r="1606" spans="1:2" ht="18">
      <c r="A1606" s="3"/>
      <c r="B1606" s="3" t="str">
        <f ca="1">IFERROR(__xludf.DUMMYFUNCTION("IFERROR(GOOGLETRANSLATE(A1609,""ko"",""en""),)"),"")</f>
        <v/>
      </c>
    </row>
    <row r="1607" spans="1:2" ht="18">
      <c r="A1607" s="3"/>
      <c r="B1607" s="3" t="str">
        <f ca="1">IFERROR(__xludf.DUMMYFUNCTION("IFERROR(GOOGLETRANSLATE(A1610,""ko"",""en""),)"),"")</f>
        <v/>
      </c>
    </row>
    <row r="1608" spans="1:2" ht="18">
      <c r="A1608" s="3"/>
      <c r="B1608" s="3" t="str">
        <f ca="1">IFERROR(__xludf.DUMMYFUNCTION("IFERROR(GOOGLETRANSLATE(A1611,""ko"",""en""),)"),"")</f>
        <v/>
      </c>
    </row>
    <row r="1609" spans="1:2" ht="18">
      <c r="A1609" s="3"/>
      <c r="B1609" s="3" t="str">
        <f ca="1">IFERROR(__xludf.DUMMYFUNCTION("IFERROR(GOOGLETRANSLATE(A1612,""ko"",""en""),)"),"")</f>
        <v/>
      </c>
    </row>
    <row r="1610" spans="1:2" ht="18">
      <c r="A1610" s="3"/>
      <c r="B1610" s="3" t="str">
        <f ca="1">IFERROR(__xludf.DUMMYFUNCTION("IFERROR(GOOGLETRANSLATE(A1613,""ko"",""en""),)"),"")</f>
        <v/>
      </c>
    </row>
    <row r="1611" spans="1:2" ht="18">
      <c r="A1611" s="3"/>
      <c r="B1611" s="3" t="str">
        <f ca="1">IFERROR(__xludf.DUMMYFUNCTION("IFERROR(GOOGLETRANSLATE(A1614,""ko"",""en""),)"),"")</f>
        <v/>
      </c>
    </row>
    <row r="1612" spans="1:2" ht="18">
      <c r="A1612" s="3"/>
      <c r="B1612" s="3" t="str">
        <f ca="1">IFERROR(__xludf.DUMMYFUNCTION("IFERROR(GOOGLETRANSLATE(A1615,""ko"",""en""),)"),"")</f>
        <v/>
      </c>
    </row>
    <row r="1613" spans="1:2" ht="18">
      <c r="A1613" s="3"/>
      <c r="B1613" s="3" t="str">
        <f ca="1">IFERROR(__xludf.DUMMYFUNCTION("IFERROR(GOOGLETRANSLATE(A1616,""ko"",""en""),)"),"")</f>
        <v/>
      </c>
    </row>
    <row r="1614" spans="1:2" ht="18">
      <c r="A1614" s="3"/>
      <c r="B1614" s="3" t="str">
        <f ca="1">IFERROR(__xludf.DUMMYFUNCTION("IFERROR(GOOGLETRANSLATE(A1617,""ko"",""en""),)"),"")</f>
        <v/>
      </c>
    </row>
    <row r="1615" spans="1:2" ht="18">
      <c r="A1615" s="3"/>
      <c r="B1615" s="3" t="str">
        <f ca="1">IFERROR(__xludf.DUMMYFUNCTION("IFERROR(GOOGLETRANSLATE(A1618,""ko"",""en""),)"),"")</f>
        <v/>
      </c>
    </row>
    <row r="1616" spans="1:2" ht="18">
      <c r="A1616" s="3"/>
      <c r="B1616" s="3" t="str">
        <f ca="1">IFERROR(__xludf.DUMMYFUNCTION("IFERROR(GOOGLETRANSLATE(A1619,""ko"",""en""),)"),"")</f>
        <v/>
      </c>
    </row>
    <row r="1617" spans="1:2" ht="18">
      <c r="A1617" s="3"/>
      <c r="B1617" s="3" t="str">
        <f ca="1">IFERROR(__xludf.DUMMYFUNCTION("IFERROR(GOOGLETRANSLATE(A1620,""ko"",""en""),)"),"")</f>
        <v/>
      </c>
    </row>
    <row r="1618" spans="1:2" ht="18">
      <c r="A1618" s="3"/>
      <c r="B1618" s="3" t="str">
        <f ca="1">IFERROR(__xludf.DUMMYFUNCTION("IFERROR(GOOGLETRANSLATE(A1621,""ko"",""en""),)"),"")</f>
        <v/>
      </c>
    </row>
    <row r="1619" spans="1:2" ht="18">
      <c r="A1619" s="3"/>
      <c r="B1619" s="3" t="str">
        <f ca="1">IFERROR(__xludf.DUMMYFUNCTION("IFERROR(GOOGLETRANSLATE(A1622,""ko"",""en""),)"),"")</f>
        <v/>
      </c>
    </row>
    <row r="1620" spans="1:2" ht="18">
      <c r="A1620" s="3"/>
      <c r="B1620" s="3" t="str">
        <f ca="1">IFERROR(__xludf.DUMMYFUNCTION("IFERROR(GOOGLETRANSLATE(A1623,""ko"",""en""),)"),"")</f>
        <v/>
      </c>
    </row>
    <row r="1621" spans="1:2" ht="18">
      <c r="A1621" s="3"/>
      <c r="B1621" s="3" t="str">
        <f ca="1">IFERROR(__xludf.DUMMYFUNCTION("IFERROR(GOOGLETRANSLATE(A1624,""ko"",""en""),)"),"")</f>
        <v/>
      </c>
    </row>
    <row r="1622" spans="1:2" ht="18">
      <c r="A1622" s="3"/>
      <c r="B1622" s="3" t="str">
        <f ca="1">IFERROR(__xludf.DUMMYFUNCTION("IFERROR(GOOGLETRANSLATE(A1625,""ko"",""en""),)"),"")</f>
        <v/>
      </c>
    </row>
    <row r="1623" spans="1:2" ht="18">
      <c r="A1623" s="3"/>
      <c r="B1623" s="3" t="str">
        <f ca="1">IFERROR(__xludf.DUMMYFUNCTION("IFERROR(GOOGLETRANSLATE(A1626,""ko"",""en""),)"),"")</f>
        <v/>
      </c>
    </row>
    <row r="1624" spans="1:2" ht="18">
      <c r="A1624" s="3"/>
      <c r="B1624" s="3" t="str">
        <f ca="1">IFERROR(__xludf.DUMMYFUNCTION("IFERROR(GOOGLETRANSLATE(A1627,""ko"",""en""),)"),"")</f>
        <v/>
      </c>
    </row>
    <row r="1625" spans="1:2" ht="18">
      <c r="A1625" s="3"/>
      <c r="B1625" s="3" t="str">
        <f ca="1">IFERROR(__xludf.DUMMYFUNCTION("IFERROR(GOOGLETRANSLATE(A1628,""ko"",""en""),)"),"")</f>
        <v/>
      </c>
    </row>
    <row r="1626" spans="1:2" ht="18">
      <c r="A1626" s="3"/>
      <c r="B1626" s="3" t="str">
        <f ca="1">IFERROR(__xludf.DUMMYFUNCTION("IFERROR(GOOGLETRANSLATE(A1629,""ko"",""en""),)"),"")</f>
        <v/>
      </c>
    </row>
    <row r="1627" spans="1:2" ht="18">
      <c r="A1627" s="3"/>
      <c r="B1627" s="3" t="str">
        <f ca="1">IFERROR(__xludf.DUMMYFUNCTION("IFERROR(GOOGLETRANSLATE(A1630,""ko"",""en""),)"),"")</f>
        <v/>
      </c>
    </row>
    <row r="1628" spans="1:2" ht="18">
      <c r="A1628" s="3"/>
      <c r="B1628" s="3" t="str">
        <f ca="1">IFERROR(__xludf.DUMMYFUNCTION("IFERROR(GOOGLETRANSLATE(A1631,""ko"",""en""),)"),"")</f>
        <v/>
      </c>
    </row>
    <row r="1629" spans="1:2" ht="18">
      <c r="A1629" s="3"/>
      <c r="B1629" s="3" t="str">
        <f ca="1">IFERROR(__xludf.DUMMYFUNCTION("IFERROR(GOOGLETRANSLATE(A1632,""ko"",""en""),)"),"")</f>
        <v/>
      </c>
    </row>
    <row r="1630" spans="1:2" ht="18">
      <c r="A1630" s="3"/>
      <c r="B1630" s="3" t="str">
        <f ca="1">IFERROR(__xludf.DUMMYFUNCTION("IFERROR(GOOGLETRANSLATE(A1633,""ko"",""en""),)"),"")</f>
        <v/>
      </c>
    </row>
    <row r="1631" spans="1:2" ht="18">
      <c r="A1631" s="3"/>
      <c r="B1631" s="3" t="str">
        <f ca="1">IFERROR(__xludf.DUMMYFUNCTION("IFERROR(GOOGLETRANSLATE(A1634,""ko"",""en""),)"),"")</f>
        <v/>
      </c>
    </row>
    <row r="1632" spans="1:2" ht="18">
      <c r="A1632" s="3"/>
      <c r="B1632" s="3" t="str">
        <f ca="1">IFERROR(__xludf.DUMMYFUNCTION("IFERROR(GOOGLETRANSLATE(A1635,""ko"",""en""),)"),"")</f>
        <v/>
      </c>
    </row>
    <row r="1633" spans="1:2" ht="18">
      <c r="A1633" s="3"/>
      <c r="B1633" s="3" t="str">
        <f ca="1">IFERROR(__xludf.DUMMYFUNCTION("IFERROR(GOOGLETRANSLATE(A1636,""ko"",""en""),)"),"")</f>
        <v/>
      </c>
    </row>
    <row r="1634" spans="1:2" ht="18">
      <c r="A1634" s="3"/>
      <c r="B1634" s="3" t="str">
        <f ca="1">IFERROR(__xludf.DUMMYFUNCTION("IFERROR(GOOGLETRANSLATE(A1637,""ko"",""en""),)"),"")</f>
        <v/>
      </c>
    </row>
    <row r="1635" spans="1:2" ht="18">
      <c r="A1635" s="3"/>
      <c r="B1635" s="3" t="str">
        <f ca="1">IFERROR(__xludf.DUMMYFUNCTION("IFERROR(GOOGLETRANSLATE(A1638,""ko"",""en""),)"),"")</f>
        <v/>
      </c>
    </row>
    <row r="1636" spans="1:2" ht="18">
      <c r="A1636" s="3"/>
      <c r="B1636" s="3" t="str">
        <f ca="1">IFERROR(__xludf.DUMMYFUNCTION("IFERROR(GOOGLETRANSLATE(A1639,""ko"",""en""),)"),"")</f>
        <v/>
      </c>
    </row>
    <row r="1637" spans="1:2" ht="18">
      <c r="A1637" s="3"/>
      <c r="B1637" s="3" t="str">
        <f ca="1">IFERROR(__xludf.DUMMYFUNCTION("IFERROR(GOOGLETRANSLATE(A1640,""ko"",""en""),)"),"")</f>
        <v/>
      </c>
    </row>
    <row r="1638" spans="1:2" ht="18">
      <c r="A1638" s="3"/>
      <c r="B1638" s="3" t="str">
        <f ca="1">IFERROR(__xludf.DUMMYFUNCTION("IFERROR(GOOGLETRANSLATE(A1641,""ko"",""en""),)"),"")</f>
        <v/>
      </c>
    </row>
    <row r="1639" spans="1:2" ht="18">
      <c r="A1639" s="3"/>
      <c r="B1639" s="3" t="str">
        <f ca="1">IFERROR(__xludf.DUMMYFUNCTION("IFERROR(GOOGLETRANSLATE(A1642,""ko"",""en""),)"),"")</f>
        <v/>
      </c>
    </row>
    <row r="1640" spans="1:2" ht="18">
      <c r="A1640" s="3"/>
      <c r="B1640" s="3" t="str">
        <f ca="1">IFERROR(__xludf.DUMMYFUNCTION("IFERROR(GOOGLETRANSLATE(A1643,""ko"",""en""),)"),"")</f>
        <v/>
      </c>
    </row>
    <row r="1641" spans="1:2" ht="18">
      <c r="A1641" s="3"/>
      <c r="B1641" s="3" t="str">
        <f ca="1">IFERROR(__xludf.DUMMYFUNCTION("IFERROR(GOOGLETRANSLATE(A1644,""ko"",""en""),)"),"")</f>
        <v/>
      </c>
    </row>
    <row r="1642" spans="1:2" ht="18">
      <c r="A1642" s="3"/>
      <c r="B1642" s="3" t="str">
        <f ca="1">IFERROR(__xludf.DUMMYFUNCTION("IFERROR(GOOGLETRANSLATE(A1645,""ko"",""en""),)"),"")</f>
        <v/>
      </c>
    </row>
    <row r="1643" spans="1:2" ht="18">
      <c r="A1643" s="3"/>
      <c r="B1643" s="3" t="str">
        <f ca="1">IFERROR(__xludf.DUMMYFUNCTION("IFERROR(GOOGLETRANSLATE(A1646,""ko"",""en""),)"),"")</f>
        <v/>
      </c>
    </row>
    <row r="1644" spans="1:2" ht="18">
      <c r="A1644" s="3"/>
      <c r="B1644" s="3" t="str">
        <f ca="1">IFERROR(__xludf.DUMMYFUNCTION("IFERROR(GOOGLETRANSLATE(A1647,""ko"",""en""),)"),"")</f>
        <v/>
      </c>
    </row>
    <row r="1645" spans="1:2" ht="18">
      <c r="A1645" s="3"/>
      <c r="B1645" s="3" t="str">
        <f ca="1">IFERROR(__xludf.DUMMYFUNCTION("IFERROR(GOOGLETRANSLATE(A1648,""ko"",""en""),)"),"")</f>
        <v/>
      </c>
    </row>
    <row r="1646" spans="1:2" ht="18">
      <c r="A1646" s="3"/>
      <c r="B1646" s="3" t="str">
        <f ca="1">IFERROR(__xludf.DUMMYFUNCTION("IFERROR(GOOGLETRANSLATE(A1649,""ko"",""en""),)"),"")</f>
        <v/>
      </c>
    </row>
    <row r="1647" spans="1:2" ht="18">
      <c r="A1647" s="3"/>
      <c r="B1647" s="3" t="str">
        <f ca="1">IFERROR(__xludf.DUMMYFUNCTION("IFERROR(GOOGLETRANSLATE(A1650,""ko"",""en""),)"),"")</f>
        <v/>
      </c>
    </row>
    <row r="1648" spans="1:2" ht="18">
      <c r="A1648" s="3"/>
      <c r="B1648" s="3" t="str">
        <f ca="1">IFERROR(__xludf.DUMMYFUNCTION("IFERROR(GOOGLETRANSLATE(A1651,""ko"",""en""),)"),"")</f>
        <v/>
      </c>
    </row>
    <row r="1649" spans="1:2" ht="18">
      <c r="A1649" s="3"/>
      <c r="B1649" s="3" t="str">
        <f ca="1">IFERROR(__xludf.DUMMYFUNCTION("IFERROR(GOOGLETRANSLATE(A1652,""ko"",""en""),)"),"")</f>
        <v/>
      </c>
    </row>
    <row r="1650" spans="1:2" ht="18">
      <c r="A1650" s="3"/>
      <c r="B1650" s="3" t="str">
        <f ca="1">IFERROR(__xludf.DUMMYFUNCTION("IFERROR(GOOGLETRANSLATE(A1653,""ko"",""en""),)"),"")</f>
        <v/>
      </c>
    </row>
    <row r="1651" spans="1:2" ht="18">
      <c r="A1651" s="3"/>
      <c r="B1651" s="3" t="str">
        <f ca="1">IFERROR(__xludf.DUMMYFUNCTION("IFERROR(GOOGLETRANSLATE(A1654,""ko"",""en""),)"),"")</f>
        <v/>
      </c>
    </row>
    <row r="1652" spans="1:2" ht="18">
      <c r="A1652" s="3"/>
      <c r="B1652" s="3" t="str">
        <f ca="1">IFERROR(__xludf.DUMMYFUNCTION("IFERROR(GOOGLETRANSLATE(A1655,""ko"",""en""),)"),"")</f>
        <v/>
      </c>
    </row>
    <row r="1653" spans="1:2" ht="18">
      <c r="A1653" s="3"/>
      <c r="B1653" s="3" t="str">
        <f ca="1">IFERROR(__xludf.DUMMYFUNCTION("IFERROR(GOOGLETRANSLATE(A1656,""ko"",""en""),)"),"")</f>
        <v/>
      </c>
    </row>
    <row r="1654" spans="1:2" ht="18">
      <c r="A1654" s="3"/>
      <c r="B1654" s="3" t="str">
        <f ca="1">IFERROR(__xludf.DUMMYFUNCTION("IFERROR(GOOGLETRANSLATE(A1657,""ko"",""en""),)"),"")</f>
        <v/>
      </c>
    </row>
    <row r="1655" spans="1:2" ht="18">
      <c r="A1655" s="3"/>
      <c r="B1655" s="3" t="str">
        <f ca="1">IFERROR(__xludf.DUMMYFUNCTION("IFERROR(GOOGLETRANSLATE(A1658,""ko"",""en""),)"),"")</f>
        <v/>
      </c>
    </row>
    <row r="1656" spans="1:2" ht="18">
      <c r="A1656" s="3"/>
      <c r="B1656" s="3" t="str">
        <f ca="1">IFERROR(__xludf.DUMMYFUNCTION("IFERROR(GOOGLETRANSLATE(A1659,""ko"",""en""),)"),"")</f>
        <v/>
      </c>
    </row>
    <row r="1657" spans="1:2" ht="18">
      <c r="A1657" s="3"/>
      <c r="B1657" s="3" t="str">
        <f ca="1">IFERROR(__xludf.DUMMYFUNCTION("IFERROR(GOOGLETRANSLATE(A1660,""ko"",""en""),)"),"")</f>
        <v/>
      </c>
    </row>
    <row r="1658" spans="1:2" ht="18">
      <c r="A1658" s="3"/>
      <c r="B1658" s="3" t="str">
        <f ca="1">IFERROR(__xludf.DUMMYFUNCTION("IFERROR(GOOGLETRANSLATE(A1661,""ko"",""en""),)"),"")</f>
        <v/>
      </c>
    </row>
    <row r="1659" spans="1:2" ht="18">
      <c r="A1659" s="3"/>
      <c r="B1659" s="3" t="str">
        <f ca="1">IFERROR(__xludf.DUMMYFUNCTION("IFERROR(GOOGLETRANSLATE(A1662,""ko"",""en""),)"),"")</f>
        <v/>
      </c>
    </row>
    <row r="1660" spans="1:2" ht="18">
      <c r="A1660" s="3"/>
      <c r="B1660" s="3" t="str">
        <f ca="1">IFERROR(__xludf.DUMMYFUNCTION("IFERROR(GOOGLETRANSLATE(A1663,""ko"",""en""),)"),"")</f>
        <v/>
      </c>
    </row>
    <row r="1661" spans="1:2" ht="18">
      <c r="A1661" s="3"/>
      <c r="B1661" s="3" t="str">
        <f ca="1">IFERROR(__xludf.DUMMYFUNCTION("IFERROR(GOOGLETRANSLATE(A1664,""ko"",""en""),)"),"")</f>
        <v/>
      </c>
    </row>
    <row r="1662" spans="1:2" ht="18">
      <c r="A1662" s="3"/>
      <c r="B1662" s="3" t="str">
        <f ca="1">IFERROR(__xludf.DUMMYFUNCTION("IFERROR(GOOGLETRANSLATE(A1665,""ko"",""en""),)"),"")</f>
        <v/>
      </c>
    </row>
    <row r="1663" spans="1:2" ht="18">
      <c r="A1663" s="3"/>
      <c r="B1663" s="3" t="str">
        <f ca="1">IFERROR(__xludf.DUMMYFUNCTION("IFERROR(GOOGLETRANSLATE(A1666,""ko"",""en""),)"),"")</f>
        <v/>
      </c>
    </row>
    <row r="1664" spans="1:2" ht="18">
      <c r="A1664" s="3"/>
      <c r="B1664" s="3" t="str">
        <f ca="1">IFERROR(__xludf.DUMMYFUNCTION("IFERROR(GOOGLETRANSLATE(A1667,""ko"",""en""),)"),"")</f>
        <v/>
      </c>
    </row>
    <row r="1665" spans="1:2" ht="18">
      <c r="A1665" s="3"/>
      <c r="B1665" s="3" t="str">
        <f ca="1">IFERROR(__xludf.DUMMYFUNCTION("IFERROR(GOOGLETRANSLATE(A1668,""ko"",""en""),)"),"")</f>
        <v/>
      </c>
    </row>
    <row r="1666" spans="1:2" ht="18">
      <c r="A1666" s="3"/>
      <c r="B1666" s="3" t="str">
        <f ca="1">IFERROR(__xludf.DUMMYFUNCTION("IFERROR(GOOGLETRANSLATE(A1669,""ko"",""en""),)"),"")</f>
        <v/>
      </c>
    </row>
    <row r="1667" spans="1:2" ht="18">
      <c r="A1667" s="3"/>
      <c r="B1667" s="3" t="str">
        <f ca="1">IFERROR(__xludf.DUMMYFUNCTION("IFERROR(GOOGLETRANSLATE(A1670,""ko"",""en""),)"),"")</f>
        <v/>
      </c>
    </row>
    <row r="1668" spans="1:2" ht="18">
      <c r="A1668" s="3"/>
      <c r="B1668" s="3" t="str">
        <f ca="1">IFERROR(__xludf.DUMMYFUNCTION("IFERROR(GOOGLETRANSLATE(A1671,""ko"",""en""),)"),"")</f>
        <v/>
      </c>
    </row>
    <row r="1669" spans="1:2" ht="18">
      <c r="A1669" s="3"/>
      <c r="B1669" s="3" t="str">
        <f ca="1">IFERROR(__xludf.DUMMYFUNCTION("IFERROR(GOOGLETRANSLATE(A1672,""ko"",""en""),)"),"")</f>
        <v/>
      </c>
    </row>
    <row r="1670" spans="1:2" ht="18">
      <c r="A1670" s="3"/>
      <c r="B1670" s="3" t="str">
        <f ca="1">IFERROR(__xludf.DUMMYFUNCTION("IFERROR(GOOGLETRANSLATE(A1673,""ko"",""en""),)"),"")</f>
        <v/>
      </c>
    </row>
    <row r="1671" spans="1:2" ht="18">
      <c r="A1671" s="3"/>
      <c r="B1671" s="3" t="str">
        <f ca="1">IFERROR(__xludf.DUMMYFUNCTION("IFERROR(GOOGLETRANSLATE(A1674,""ko"",""en""),)"),"")</f>
        <v/>
      </c>
    </row>
    <row r="1672" spans="1:2" ht="18">
      <c r="A1672" s="3"/>
      <c r="B1672" s="3" t="str">
        <f ca="1">IFERROR(__xludf.DUMMYFUNCTION("IFERROR(GOOGLETRANSLATE(A1675,""ko"",""en""),)"),"")</f>
        <v/>
      </c>
    </row>
    <row r="1673" spans="1:2" ht="18">
      <c r="A1673" s="3"/>
      <c r="B1673" s="3" t="str">
        <f ca="1">IFERROR(__xludf.DUMMYFUNCTION("IFERROR(GOOGLETRANSLATE(A1676,""ko"",""en""),)"),"")</f>
        <v/>
      </c>
    </row>
    <row r="1674" spans="1:2" ht="18">
      <c r="A1674" s="3"/>
      <c r="B1674" s="3" t="str">
        <f ca="1">IFERROR(__xludf.DUMMYFUNCTION("IFERROR(GOOGLETRANSLATE(A1677,""ko"",""en""),)"),"")</f>
        <v/>
      </c>
    </row>
    <row r="1675" spans="1:2" ht="18">
      <c r="A1675" s="3"/>
      <c r="B1675" s="3" t="str">
        <f ca="1">IFERROR(__xludf.DUMMYFUNCTION("IFERROR(GOOGLETRANSLATE(A1678,""ko"",""en""),)"),"")</f>
        <v/>
      </c>
    </row>
    <row r="1676" spans="1:2" ht="18">
      <c r="A1676" s="3"/>
      <c r="B1676" s="3" t="str">
        <f ca="1">IFERROR(__xludf.DUMMYFUNCTION("IFERROR(GOOGLETRANSLATE(A1679,""ko"",""en""),)"),"")</f>
        <v/>
      </c>
    </row>
    <row r="1677" spans="1:2" ht="18">
      <c r="A1677" s="3"/>
      <c r="B1677" s="3" t="str">
        <f ca="1">IFERROR(__xludf.DUMMYFUNCTION("IFERROR(GOOGLETRANSLATE(A1680,""ko"",""en""),)"),"")</f>
        <v/>
      </c>
    </row>
    <row r="1678" spans="1:2" ht="18">
      <c r="A1678" s="3"/>
      <c r="B1678" s="3" t="str">
        <f ca="1">IFERROR(__xludf.DUMMYFUNCTION("IFERROR(GOOGLETRANSLATE(A1681,""ko"",""en""),)"),"")</f>
        <v/>
      </c>
    </row>
    <row r="1679" spans="1:2" ht="18">
      <c r="A1679" s="3"/>
      <c r="B1679" s="3" t="str">
        <f ca="1">IFERROR(__xludf.DUMMYFUNCTION("IFERROR(GOOGLETRANSLATE(A1682,""ko"",""en""),)"),"")</f>
        <v/>
      </c>
    </row>
    <row r="1680" spans="1:2" ht="18">
      <c r="A1680" s="3"/>
      <c r="B1680" s="3" t="str">
        <f ca="1">IFERROR(__xludf.DUMMYFUNCTION("IFERROR(GOOGLETRANSLATE(A1683,""ko"",""en""),)"),"")</f>
        <v/>
      </c>
    </row>
    <row r="1681" spans="1:2" ht="18">
      <c r="A1681" s="3"/>
      <c r="B1681" s="3" t="str">
        <f ca="1">IFERROR(__xludf.DUMMYFUNCTION("IFERROR(GOOGLETRANSLATE(A1684,""ko"",""en""),)"),"")</f>
        <v/>
      </c>
    </row>
    <row r="1682" spans="1:2" ht="18">
      <c r="A1682" s="3"/>
      <c r="B1682" s="3" t="str">
        <f ca="1">IFERROR(__xludf.DUMMYFUNCTION("IFERROR(GOOGLETRANSLATE(A1685,""ko"",""en""),)"),"")</f>
        <v/>
      </c>
    </row>
    <row r="1683" spans="1:2" ht="18">
      <c r="A1683" s="3"/>
      <c r="B1683" s="3" t="str">
        <f ca="1">IFERROR(__xludf.DUMMYFUNCTION("IFERROR(GOOGLETRANSLATE(A1686,""ko"",""en""),)"),"")</f>
        <v/>
      </c>
    </row>
    <row r="1684" spans="1:2" ht="18">
      <c r="A1684" s="3"/>
      <c r="B1684" s="3" t="str">
        <f ca="1">IFERROR(__xludf.DUMMYFUNCTION("IFERROR(GOOGLETRANSLATE(A1687,""ko"",""en""),)"),"")</f>
        <v/>
      </c>
    </row>
    <row r="1685" spans="1:2" ht="18">
      <c r="A1685" s="3"/>
      <c r="B1685" s="3" t="str">
        <f ca="1">IFERROR(__xludf.DUMMYFUNCTION("IFERROR(GOOGLETRANSLATE(A1688,""ko"",""en""),)"),"")</f>
        <v/>
      </c>
    </row>
    <row r="1686" spans="1:2" ht="18">
      <c r="A1686" s="3"/>
      <c r="B1686" s="3" t="str">
        <f ca="1">IFERROR(__xludf.DUMMYFUNCTION("IFERROR(GOOGLETRANSLATE(A1689,""ko"",""en""),)"),"")</f>
        <v/>
      </c>
    </row>
    <row r="1687" spans="1:2" ht="18">
      <c r="A1687" s="3"/>
      <c r="B1687" s="3" t="str">
        <f ca="1">IFERROR(__xludf.DUMMYFUNCTION("IFERROR(GOOGLETRANSLATE(A1690,""ko"",""en""),)"),"")</f>
        <v/>
      </c>
    </row>
    <row r="1688" spans="1:2" ht="18">
      <c r="A1688" s="3"/>
      <c r="B1688" s="3" t="str">
        <f ca="1">IFERROR(__xludf.DUMMYFUNCTION("IFERROR(GOOGLETRANSLATE(A1691,""ko"",""en""),)"),"")</f>
        <v/>
      </c>
    </row>
    <row r="1689" spans="1:2" ht="18">
      <c r="A1689" s="3"/>
      <c r="B1689" s="3" t="str">
        <f ca="1">IFERROR(__xludf.DUMMYFUNCTION("IFERROR(GOOGLETRANSLATE(A1692,""ko"",""en""),)"),"")</f>
        <v/>
      </c>
    </row>
    <row r="1690" spans="1:2" ht="18">
      <c r="A1690" s="3"/>
      <c r="B1690" s="3" t="str">
        <f ca="1">IFERROR(__xludf.DUMMYFUNCTION("IFERROR(GOOGLETRANSLATE(A1693,""ko"",""en""),)"),"")</f>
        <v/>
      </c>
    </row>
    <row r="1691" spans="1:2" ht="18">
      <c r="A1691" s="3"/>
      <c r="B1691" s="3" t="str">
        <f ca="1">IFERROR(__xludf.DUMMYFUNCTION("IFERROR(GOOGLETRANSLATE(A1694,""ko"",""en""),)"),"")</f>
        <v/>
      </c>
    </row>
    <row r="1692" spans="1:2" ht="18">
      <c r="A1692" s="3"/>
      <c r="B1692" s="3" t="str">
        <f ca="1">IFERROR(__xludf.DUMMYFUNCTION("IFERROR(GOOGLETRANSLATE(A1695,""ko"",""en""),)"),"")</f>
        <v/>
      </c>
    </row>
    <row r="1693" spans="1:2" ht="18">
      <c r="A1693" s="3"/>
      <c r="B1693" s="3" t="str">
        <f ca="1">IFERROR(__xludf.DUMMYFUNCTION("IFERROR(GOOGLETRANSLATE(A1696,""ko"",""en""),)"),"")</f>
        <v/>
      </c>
    </row>
    <row r="1694" spans="1:2" ht="18">
      <c r="A1694" s="3"/>
      <c r="B1694" s="3" t="str">
        <f ca="1">IFERROR(__xludf.DUMMYFUNCTION("IFERROR(GOOGLETRANSLATE(A1697,""ko"",""en""),)"),"")</f>
        <v/>
      </c>
    </row>
    <row r="1695" spans="1:2" ht="18">
      <c r="A1695" s="3"/>
      <c r="B1695" s="3" t="str">
        <f ca="1">IFERROR(__xludf.DUMMYFUNCTION("IFERROR(GOOGLETRANSLATE(A1698,""ko"",""en""),)"),"")</f>
        <v/>
      </c>
    </row>
    <row r="1696" spans="1:2" ht="18">
      <c r="A1696" s="3"/>
      <c r="B1696" s="3" t="str">
        <f ca="1">IFERROR(__xludf.DUMMYFUNCTION("IFERROR(GOOGLETRANSLATE(A1699,""ko"",""en""),)"),"")</f>
        <v/>
      </c>
    </row>
    <row r="1697" spans="1:2" ht="18">
      <c r="A1697" s="3"/>
      <c r="B1697" s="3" t="str">
        <f ca="1">IFERROR(__xludf.DUMMYFUNCTION("IFERROR(GOOGLETRANSLATE(A1700,""ko"",""en""),)"),"")</f>
        <v/>
      </c>
    </row>
    <row r="1698" spans="1:2" ht="18">
      <c r="A1698" s="3"/>
      <c r="B1698" s="3" t="str">
        <f ca="1">IFERROR(__xludf.DUMMYFUNCTION("IFERROR(GOOGLETRANSLATE(A1701,""ko"",""en""),)"),"")</f>
        <v/>
      </c>
    </row>
    <row r="1699" spans="1:2" ht="18">
      <c r="A1699" s="3"/>
      <c r="B1699" s="3" t="str">
        <f ca="1">IFERROR(__xludf.DUMMYFUNCTION("IFERROR(GOOGLETRANSLATE(A1702,""ko"",""en""),)"),"")</f>
        <v/>
      </c>
    </row>
    <row r="1700" spans="1:2" ht="18">
      <c r="A1700" s="3"/>
      <c r="B1700" s="3" t="str">
        <f ca="1">IFERROR(__xludf.DUMMYFUNCTION("IFERROR(GOOGLETRANSLATE(A1703,""ko"",""en""),)"),"")</f>
        <v/>
      </c>
    </row>
    <row r="1701" spans="1:2" ht="18">
      <c r="A1701" s="3"/>
      <c r="B1701" s="3" t="str">
        <f ca="1">IFERROR(__xludf.DUMMYFUNCTION("IFERROR(GOOGLETRANSLATE(A1704,""ko"",""en""),)"),"")</f>
        <v/>
      </c>
    </row>
    <row r="1702" spans="1:2" ht="18">
      <c r="A1702" s="3"/>
      <c r="B1702" s="3" t="str">
        <f ca="1">IFERROR(__xludf.DUMMYFUNCTION("IFERROR(GOOGLETRANSLATE(A1705,""ko"",""en""),)"),"")</f>
        <v/>
      </c>
    </row>
    <row r="1703" spans="1:2" ht="18">
      <c r="A1703" s="3"/>
      <c r="B1703" s="3" t="str">
        <f ca="1">IFERROR(__xludf.DUMMYFUNCTION("IFERROR(GOOGLETRANSLATE(A1706,""ko"",""en""),)"),"")</f>
        <v/>
      </c>
    </row>
    <row r="1704" spans="1:2" ht="18">
      <c r="A1704" s="3"/>
      <c r="B1704" s="3" t="str">
        <f ca="1">IFERROR(__xludf.DUMMYFUNCTION("IFERROR(GOOGLETRANSLATE(A1707,""ko"",""en""),)"),"")</f>
        <v/>
      </c>
    </row>
    <row r="1705" spans="1:2" ht="18">
      <c r="A1705" s="3"/>
      <c r="B1705" s="3" t="str">
        <f ca="1">IFERROR(__xludf.DUMMYFUNCTION("IFERROR(GOOGLETRANSLATE(A1708,""ko"",""en""),)"),"")</f>
        <v/>
      </c>
    </row>
    <row r="1706" spans="1:2" ht="18">
      <c r="A1706" s="3"/>
      <c r="B1706" s="3" t="str">
        <f ca="1">IFERROR(__xludf.DUMMYFUNCTION("IFERROR(GOOGLETRANSLATE(A1709,""ko"",""en""),)"),"")</f>
        <v/>
      </c>
    </row>
    <row r="1707" spans="1:2" ht="18">
      <c r="A1707" s="3"/>
      <c r="B1707" s="3" t="str">
        <f ca="1">IFERROR(__xludf.DUMMYFUNCTION("IFERROR(GOOGLETRANSLATE(A1710,""ko"",""en""),)"),"")</f>
        <v/>
      </c>
    </row>
    <row r="1708" spans="1:2" ht="18">
      <c r="A1708" s="3"/>
      <c r="B1708" s="3" t="str">
        <f ca="1">IFERROR(__xludf.DUMMYFUNCTION("IFERROR(GOOGLETRANSLATE(A1711,""ko"",""en""),)"),"")</f>
        <v/>
      </c>
    </row>
    <row r="1709" spans="1:2" ht="18">
      <c r="A1709" s="3"/>
      <c r="B1709" s="3" t="str">
        <f ca="1">IFERROR(__xludf.DUMMYFUNCTION("IFERROR(GOOGLETRANSLATE(A1712,""ko"",""en""),)"),"")</f>
        <v/>
      </c>
    </row>
    <row r="1710" spans="1:2" ht="18">
      <c r="A1710" s="3"/>
      <c r="B1710" s="3" t="str">
        <f ca="1">IFERROR(__xludf.DUMMYFUNCTION("IFERROR(GOOGLETRANSLATE(A1713,""ko"",""en""),)"),"")</f>
        <v/>
      </c>
    </row>
    <row r="1711" spans="1:2" ht="18">
      <c r="A1711" s="3"/>
      <c r="B1711" s="3" t="str">
        <f ca="1">IFERROR(__xludf.DUMMYFUNCTION("IFERROR(GOOGLETRANSLATE(A1714,""ko"",""en""),)"),"")</f>
        <v/>
      </c>
    </row>
    <row r="1712" spans="1:2" ht="18">
      <c r="A1712" s="3"/>
      <c r="B1712" s="3" t="str">
        <f ca="1">IFERROR(__xludf.DUMMYFUNCTION("IFERROR(GOOGLETRANSLATE(A1715,""ko"",""en""),)"),"")</f>
        <v/>
      </c>
    </row>
    <row r="1713" spans="1:2" ht="18">
      <c r="A1713" s="3"/>
      <c r="B1713" s="3" t="str">
        <f ca="1">IFERROR(__xludf.DUMMYFUNCTION("IFERROR(GOOGLETRANSLATE(A1716,""ko"",""en""),)"),"")</f>
        <v/>
      </c>
    </row>
    <row r="1714" spans="1:2" ht="18">
      <c r="A1714" s="3"/>
      <c r="B1714" s="3" t="str">
        <f ca="1">IFERROR(__xludf.DUMMYFUNCTION("IFERROR(GOOGLETRANSLATE(A1717,""ko"",""en""),)"),"")</f>
        <v/>
      </c>
    </row>
    <row r="1715" spans="1:2" ht="18">
      <c r="A1715" s="3"/>
      <c r="B1715" s="3" t="str">
        <f ca="1">IFERROR(__xludf.DUMMYFUNCTION("IFERROR(GOOGLETRANSLATE(A1718,""ko"",""en""),)"),"")</f>
        <v/>
      </c>
    </row>
    <row r="1716" spans="1:2" ht="18">
      <c r="A1716" s="3"/>
      <c r="B1716" s="3" t="str">
        <f ca="1">IFERROR(__xludf.DUMMYFUNCTION("IFERROR(GOOGLETRANSLATE(A1719,""ko"",""en""),)"),"")</f>
        <v/>
      </c>
    </row>
    <row r="1717" spans="1:2" ht="18">
      <c r="A1717" s="3"/>
      <c r="B1717" s="3" t="str">
        <f ca="1">IFERROR(__xludf.DUMMYFUNCTION("IFERROR(GOOGLETRANSLATE(A1720,""ko"",""en""),)"),"")</f>
        <v/>
      </c>
    </row>
    <row r="1718" spans="1:2" ht="18">
      <c r="A1718" s="3"/>
      <c r="B1718" s="3" t="str">
        <f ca="1">IFERROR(__xludf.DUMMYFUNCTION("IFERROR(GOOGLETRANSLATE(A1721,""ko"",""en""),)"),"")</f>
        <v/>
      </c>
    </row>
    <row r="1719" spans="1:2" ht="18">
      <c r="A1719" s="3"/>
      <c r="B1719" s="3" t="str">
        <f ca="1">IFERROR(__xludf.DUMMYFUNCTION("IFERROR(GOOGLETRANSLATE(A1722,""ko"",""en""),)"),"")</f>
        <v/>
      </c>
    </row>
    <row r="1720" spans="1:2" ht="18">
      <c r="A1720" s="3"/>
      <c r="B1720" s="3" t="str">
        <f ca="1">IFERROR(__xludf.DUMMYFUNCTION("IFERROR(GOOGLETRANSLATE(A1723,""ko"",""en""),)"),"")</f>
        <v/>
      </c>
    </row>
    <row r="1721" spans="1:2" ht="18">
      <c r="A1721" s="3"/>
      <c r="B1721" s="3" t="str">
        <f ca="1">IFERROR(__xludf.DUMMYFUNCTION("IFERROR(GOOGLETRANSLATE(A1724,""ko"",""en""),)"),"")</f>
        <v/>
      </c>
    </row>
    <row r="1722" spans="1:2" ht="18">
      <c r="A1722" s="3"/>
      <c r="B1722" s="3" t="str">
        <f ca="1">IFERROR(__xludf.DUMMYFUNCTION("IFERROR(GOOGLETRANSLATE(A1725,""ko"",""en""),)"),"")</f>
        <v/>
      </c>
    </row>
    <row r="1723" spans="1:2" ht="18">
      <c r="A1723" s="3"/>
      <c r="B1723" s="3" t="str">
        <f ca="1">IFERROR(__xludf.DUMMYFUNCTION("IFERROR(GOOGLETRANSLATE(A1726,""ko"",""en""),)"),"")</f>
        <v/>
      </c>
    </row>
    <row r="1724" spans="1:2" ht="18">
      <c r="A1724" s="3"/>
      <c r="B1724" s="3" t="str">
        <f ca="1">IFERROR(__xludf.DUMMYFUNCTION("IFERROR(GOOGLETRANSLATE(A1727,""ko"",""en""),)"),"")</f>
        <v/>
      </c>
    </row>
    <row r="1725" spans="1:2" ht="18">
      <c r="A1725" s="3"/>
      <c r="B1725" s="3" t="str">
        <f ca="1">IFERROR(__xludf.DUMMYFUNCTION("IFERROR(GOOGLETRANSLATE(A1728,""ko"",""en""),)"),"")</f>
        <v/>
      </c>
    </row>
    <row r="1726" spans="1:2" ht="18">
      <c r="A1726" s="3"/>
      <c r="B1726" s="3" t="str">
        <f ca="1">IFERROR(__xludf.DUMMYFUNCTION("IFERROR(GOOGLETRANSLATE(A1729,""ko"",""en""),)"),"")</f>
        <v/>
      </c>
    </row>
    <row r="1727" spans="1:2" ht="18">
      <c r="A1727" s="3"/>
      <c r="B1727" s="3" t="str">
        <f ca="1">IFERROR(__xludf.DUMMYFUNCTION("IFERROR(GOOGLETRANSLATE(A1730,""ko"",""en""),)"),"")</f>
        <v/>
      </c>
    </row>
    <row r="1728" spans="1:2" ht="18">
      <c r="A1728" s="3"/>
      <c r="B1728" s="3" t="str">
        <f ca="1">IFERROR(__xludf.DUMMYFUNCTION("IFERROR(GOOGLETRANSLATE(A1731,""ko"",""en""),)"),"")</f>
        <v/>
      </c>
    </row>
    <row r="1729" spans="1:2" ht="18">
      <c r="A1729" s="3"/>
      <c r="B1729" s="3" t="str">
        <f ca="1">IFERROR(__xludf.DUMMYFUNCTION("IFERROR(GOOGLETRANSLATE(A1732,""ko"",""en""),)"),"")</f>
        <v/>
      </c>
    </row>
    <row r="1730" spans="1:2" ht="18">
      <c r="A1730" s="3"/>
      <c r="B1730" s="3" t="str">
        <f ca="1">IFERROR(__xludf.DUMMYFUNCTION("IFERROR(GOOGLETRANSLATE(A1733,""ko"",""en""),)"),"")</f>
        <v/>
      </c>
    </row>
    <row r="1731" spans="1:2" ht="18">
      <c r="A1731" s="3"/>
      <c r="B1731" s="3" t="str">
        <f ca="1">IFERROR(__xludf.DUMMYFUNCTION("IFERROR(GOOGLETRANSLATE(A1734,""ko"",""en""),)"),"")</f>
        <v/>
      </c>
    </row>
    <row r="1732" spans="1:2" ht="18">
      <c r="A1732" s="3"/>
      <c r="B1732" s="3" t="str">
        <f ca="1">IFERROR(__xludf.DUMMYFUNCTION("IFERROR(GOOGLETRANSLATE(A1735,""ko"",""en""),)"),"")</f>
        <v/>
      </c>
    </row>
    <row r="1733" spans="1:2" ht="18">
      <c r="A1733" s="3"/>
      <c r="B1733" s="3" t="str">
        <f ca="1">IFERROR(__xludf.DUMMYFUNCTION("IFERROR(GOOGLETRANSLATE(A1736,""ko"",""en""),)"),"")</f>
        <v/>
      </c>
    </row>
    <row r="1734" spans="1:2" ht="18">
      <c r="A1734" s="3"/>
      <c r="B1734" s="3" t="str">
        <f ca="1">IFERROR(__xludf.DUMMYFUNCTION("IFERROR(GOOGLETRANSLATE(A1737,""ko"",""en""),)"),"")</f>
        <v/>
      </c>
    </row>
    <row r="1735" spans="1:2" ht="18">
      <c r="A1735" s="3"/>
      <c r="B1735" s="3" t="str">
        <f ca="1">IFERROR(__xludf.DUMMYFUNCTION("IFERROR(GOOGLETRANSLATE(A1738,""ko"",""en""),)"),"")</f>
        <v/>
      </c>
    </row>
    <row r="1736" spans="1:2" ht="18">
      <c r="A1736" s="3"/>
      <c r="B1736" s="3" t="str">
        <f ca="1">IFERROR(__xludf.DUMMYFUNCTION("IFERROR(GOOGLETRANSLATE(A1739,""ko"",""en""),)"),"")</f>
        <v/>
      </c>
    </row>
    <row r="1737" spans="1:2" ht="18">
      <c r="A1737" s="3"/>
      <c r="B1737" s="3" t="str">
        <f ca="1">IFERROR(__xludf.DUMMYFUNCTION("IFERROR(GOOGLETRANSLATE(A1740,""ko"",""en""),)"),"")</f>
        <v/>
      </c>
    </row>
    <row r="1738" spans="1:2" ht="18">
      <c r="A1738" s="3"/>
      <c r="B1738" s="3" t="str">
        <f ca="1">IFERROR(__xludf.DUMMYFUNCTION("IFERROR(GOOGLETRANSLATE(A1741,""ko"",""en""),)"),"")</f>
        <v/>
      </c>
    </row>
    <row r="1739" spans="1:2" ht="18">
      <c r="A1739" s="3"/>
      <c r="B1739" s="3" t="str">
        <f ca="1">IFERROR(__xludf.DUMMYFUNCTION("IFERROR(GOOGLETRANSLATE(A1742,""ko"",""en""),)"),"")</f>
        <v/>
      </c>
    </row>
    <row r="1740" spans="1:2" ht="18">
      <c r="A1740" s="3"/>
      <c r="B1740" s="3" t="str">
        <f ca="1">IFERROR(__xludf.DUMMYFUNCTION("IFERROR(GOOGLETRANSLATE(A1743,""ko"",""en""),)"),"")</f>
        <v/>
      </c>
    </row>
    <row r="1741" spans="1:2" ht="18">
      <c r="A1741" s="3"/>
      <c r="B1741" s="3" t="str">
        <f ca="1">IFERROR(__xludf.DUMMYFUNCTION("IFERROR(GOOGLETRANSLATE(A1744,""ko"",""en""),)"),"")</f>
        <v/>
      </c>
    </row>
    <row r="1742" spans="1:2" ht="18">
      <c r="A1742" s="3"/>
      <c r="B1742" s="3" t="str">
        <f ca="1">IFERROR(__xludf.DUMMYFUNCTION("IFERROR(GOOGLETRANSLATE(A1745,""ko"",""en""),)"),"")</f>
        <v/>
      </c>
    </row>
    <row r="1743" spans="1:2" ht="18">
      <c r="A1743" s="3"/>
      <c r="B1743" s="3" t="str">
        <f ca="1">IFERROR(__xludf.DUMMYFUNCTION("IFERROR(GOOGLETRANSLATE(A1746,""ko"",""en""),)"),"")</f>
        <v/>
      </c>
    </row>
    <row r="1744" spans="1:2" ht="18">
      <c r="A1744" s="3"/>
      <c r="B1744" s="3" t="str">
        <f ca="1">IFERROR(__xludf.DUMMYFUNCTION("IFERROR(GOOGLETRANSLATE(A1747,""ko"",""en""),)"),"")</f>
        <v/>
      </c>
    </row>
    <row r="1745" spans="1:2" ht="18">
      <c r="A1745" s="3"/>
      <c r="B1745" s="3" t="str">
        <f ca="1">IFERROR(__xludf.DUMMYFUNCTION("IFERROR(GOOGLETRANSLATE(A1748,""ko"",""en""),)"),"")</f>
        <v/>
      </c>
    </row>
    <row r="1746" spans="1:2" ht="18">
      <c r="A1746" s="3"/>
      <c r="B1746" s="3" t="str">
        <f ca="1">IFERROR(__xludf.DUMMYFUNCTION("IFERROR(GOOGLETRANSLATE(A1749,""ko"",""en""),)"),"")</f>
        <v/>
      </c>
    </row>
    <row r="1747" spans="1:2" ht="18">
      <c r="A1747" s="3"/>
      <c r="B1747" s="3" t="str">
        <f ca="1">IFERROR(__xludf.DUMMYFUNCTION("IFERROR(GOOGLETRANSLATE(A1750,""ko"",""en""),)"),"")</f>
        <v/>
      </c>
    </row>
    <row r="1748" spans="1:2" ht="18">
      <c r="A1748" s="3"/>
      <c r="B1748" s="3" t="str">
        <f ca="1">IFERROR(__xludf.DUMMYFUNCTION("IFERROR(GOOGLETRANSLATE(A1751,""ko"",""en""),)"),"")</f>
        <v/>
      </c>
    </row>
    <row r="1749" spans="1:2" ht="18">
      <c r="A1749" s="3"/>
      <c r="B1749" s="3" t="str">
        <f ca="1">IFERROR(__xludf.DUMMYFUNCTION("IFERROR(GOOGLETRANSLATE(A1752,""ko"",""en""),)"),"")</f>
        <v/>
      </c>
    </row>
    <row r="1750" spans="1:2" ht="18">
      <c r="A1750" s="3"/>
      <c r="B1750" s="3" t="str">
        <f ca="1">IFERROR(__xludf.DUMMYFUNCTION("IFERROR(GOOGLETRANSLATE(A1753,""ko"",""en""),)"),"")</f>
        <v/>
      </c>
    </row>
    <row r="1751" spans="1:2" ht="18">
      <c r="A1751" s="3"/>
      <c r="B1751" s="3" t="str">
        <f ca="1">IFERROR(__xludf.DUMMYFUNCTION("IFERROR(GOOGLETRANSLATE(A1754,""ko"",""en""),)"),"")</f>
        <v/>
      </c>
    </row>
    <row r="1752" spans="1:2" ht="18">
      <c r="A1752" s="3"/>
      <c r="B1752" s="3" t="str">
        <f ca="1">IFERROR(__xludf.DUMMYFUNCTION("IFERROR(GOOGLETRANSLATE(A1755,""ko"",""en""),)"),"")</f>
        <v/>
      </c>
    </row>
    <row r="1753" spans="1:2" ht="18">
      <c r="A1753" s="3"/>
      <c r="B1753" s="3" t="str">
        <f ca="1">IFERROR(__xludf.DUMMYFUNCTION("IFERROR(GOOGLETRANSLATE(A1756,""ko"",""en""),)"),"")</f>
        <v/>
      </c>
    </row>
    <row r="1754" spans="1:2" ht="18">
      <c r="A1754" s="3"/>
      <c r="B1754" s="3" t="str">
        <f ca="1">IFERROR(__xludf.DUMMYFUNCTION("IFERROR(GOOGLETRANSLATE(A1757,""ko"",""en""),)"),"")</f>
        <v/>
      </c>
    </row>
    <row r="1755" spans="1:2" ht="18">
      <c r="A1755" s="3"/>
      <c r="B1755" s="3" t="str">
        <f ca="1">IFERROR(__xludf.DUMMYFUNCTION("IFERROR(GOOGLETRANSLATE(A1758,""ko"",""en""),)"),"")</f>
        <v/>
      </c>
    </row>
    <row r="1756" spans="1:2" ht="18">
      <c r="A1756" s="3"/>
      <c r="B1756" s="3" t="str">
        <f ca="1">IFERROR(__xludf.DUMMYFUNCTION("IFERROR(GOOGLETRANSLATE(A1759,""ko"",""en""),)"),"")</f>
        <v/>
      </c>
    </row>
    <row r="1757" spans="1:2" ht="18">
      <c r="A1757" s="3"/>
      <c r="B1757" s="3" t="str">
        <f ca="1">IFERROR(__xludf.DUMMYFUNCTION("IFERROR(GOOGLETRANSLATE(A1760,""ko"",""en""),)"),"")</f>
        <v/>
      </c>
    </row>
    <row r="1758" spans="1:2" ht="18">
      <c r="A1758" s="3"/>
      <c r="B1758" s="3" t="str">
        <f ca="1">IFERROR(__xludf.DUMMYFUNCTION("IFERROR(GOOGLETRANSLATE(A1761,""ko"",""en""),)"),"")</f>
        <v/>
      </c>
    </row>
    <row r="1759" spans="1:2" ht="18">
      <c r="A1759" s="3"/>
      <c r="B1759" s="3" t="str">
        <f ca="1">IFERROR(__xludf.DUMMYFUNCTION("IFERROR(GOOGLETRANSLATE(A1762,""ko"",""en""),)"),"")</f>
        <v/>
      </c>
    </row>
    <row r="1760" spans="1:2" ht="18">
      <c r="A1760" s="3"/>
      <c r="B1760" s="3" t="str">
        <f ca="1">IFERROR(__xludf.DUMMYFUNCTION("IFERROR(GOOGLETRANSLATE(A1763,""ko"",""en""),)"),"")</f>
        <v/>
      </c>
    </row>
    <row r="1761" spans="1:2" ht="18">
      <c r="A1761" s="3"/>
      <c r="B1761" s="3" t="str">
        <f ca="1">IFERROR(__xludf.DUMMYFUNCTION("IFERROR(GOOGLETRANSLATE(A1764,""ko"",""en""),)"),"")</f>
        <v/>
      </c>
    </row>
    <row r="1762" spans="1:2" ht="18">
      <c r="A1762" s="3"/>
      <c r="B1762" s="3" t="str">
        <f ca="1">IFERROR(__xludf.DUMMYFUNCTION("IFERROR(GOOGLETRANSLATE(A1765,""ko"",""en""),)"),"")</f>
        <v/>
      </c>
    </row>
    <row r="1763" spans="1:2" ht="18">
      <c r="A1763" s="3"/>
      <c r="B1763" s="3" t="str">
        <f ca="1">IFERROR(__xludf.DUMMYFUNCTION("IFERROR(GOOGLETRANSLATE(A1766,""ko"",""en""),)"),"")</f>
        <v/>
      </c>
    </row>
    <row r="1764" spans="1:2" ht="18">
      <c r="A1764" s="3"/>
      <c r="B1764" s="3" t="str">
        <f ca="1">IFERROR(__xludf.DUMMYFUNCTION("IFERROR(GOOGLETRANSLATE(A1767,""ko"",""en""),)"),"")</f>
        <v/>
      </c>
    </row>
    <row r="1765" spans="1:2" ht="18">
      <c r="A1765" s="3"/>
      <c r="B1765" s="3" t="str">
        <f ca="1">IFERROR(__xludf.DUMMYFUNCTION("IFERROR(GOOGLETRANSLATE(A1768,""ko"",""en""),)"),"")</f>
        <v/>
      </c>
    </row>
    <row r="1766" spans="1:2" ht="18">
      <c r="A1766" s="3"/>
      <c r="B1766" s="3" t="str">
        <f ca="1">IFERROR(__xludf.DUMMYFUNCTION("IFERROR(GOOGLETRANSLATE(A1769,""ko"",""en""),)"),"")</f>
        <v/>
      </c>
    </row>
    <row r="1767" spans="1:2" ht="18">
      <c r="A1767" s="3"/>
      <c r="B1767" s="3" t="str">
        <f ca="1">IFERROR(__xludf.DUMMYFUNCTION("IFERROR(GOOGLETRANSLATE(A1770,""ko"",""en""),)"),"")</f>
        <v/>
      </c>
    </row>
    <row r="1768" spans="1:2" ht="18">
      <c r="A1768" s="3"/>
      <c r="B1768" s="3" t="str">
        <f ca="1">IFERROR(__xludf.DUMMYFUNCTION("IFERROR(GOOGLETRANSLATE(A1771,""ko"",""en""),)"),"")</f>
        <v/>
      </c>
    </row>
    <row r="1769" spans="1:2" ht="18">
      <c r="A1769" s="3"/>
      <c r="B1769" s="3" t="str">
        <f ca="1">IFERROR(__xludf.DUMMYFUNCTION("IFERROR(GOOGLETRANSLATE(A1772,""ko"",""en""),)"),"")</f>
        <v/>
      </c>
    </row>
    <row r="1770" spans="1:2" ht="18">
      <c r="A1770" s="3"/>
      <c r="B1770" s="3" t="str">
        <f ca="1">IFERROR(__xludf.DUMMYFUNCTION("IFERROR(GOOGLETRANSLATE(A1773,""ko"",""en""),)"),"")</f>
        <v/>
      </c>
    </row>
    <row r="1771" spans="1:2" ht="18">
      <c r="A1771" s="3"/>
      <c r="B1771" s="3" t="str">
        <f ca="1">IFERROR(__xludf.DUMMYFUNCTION("IFERROR(GOOGLETRANSLATE(A1774,""ko"",""en""),)"),"")</f>
        <v/>
      </c>
    </row>
    <row r="1772" spans="1:2" ht="18">
      <c r="A1772" s="3"/>
      <c r="B1772" s="3" t="str">
        <f ca="1">IFERROR(__xludf.DUMMYFUNCTION("IFERROR(GOOGLETRANSLATE(A1775,""ko"",""en""),)"),"")</f>
        <v/>
      </c>
    </row>
    <row r="1773" spans="1:2" ht="18">
      <c r="A1773" s="3"/>
      <c r="B1773" s="3" t="str">
        <f ca="1">IFERROR(__xludf.DUMMYFUNCTION("IFERROR(GOOGLETRANSLATE(A1776,""ko"",""en""),)"),"")</f>
        <v/>
      </c>
    </row>
    <row r="1774" spans="1:2" ht="18">
      <c r="A1774" s="3"/>
      <c r="B1774" s="3" t="str">
        <f ca="1">IFERROR(__xludf.DUMMYFUNCTION("IFERROR(GOOGLETRANSLATE(A1777,""ko"",""en""),)"),"")</f>
        <v/>
      </c>
    </row>
    <row r="1775" spans="1:2" ht="18">
      <c r="A1775" s="3"/>
      <c r="B1775" s="3" t="str">
        <f ca="1">IFERROR(__xludf.DUMMYFUNCTION("IFERROR(GOOGLETRANSLATE(A1778,""ko"",""en""),)"),"")</f>
        <v/>
      </c>
    </row>
    <row r="1776" spans="1:2" ht="18">
      <c r="A1776" s="3"/>
      <c r="B1776" s="3" t="str">
        <f ca="1">IFERROR(__xludf.DUMMYFUNCTION("IFERROR(GOOGLETRANSLATE(A1779,""ko"",""en""),)"),"")</f>
        <v/>
      </c>
    </row>
    <row r="1777" spans="1:2" ht="18">
      <c r="A1777" s="3"/>
      <c r="B1777" s="3" t="str">
        <f ca="1">IFERROR(__xludf.DUMMYFUNCTION("IFERROR(GOOGLETRANSLATE(A1780,""ko"",""en""),)"),"")</f>
        <v/>
      </c>
    </row>
    <row r="1778" spans="1:2" ht="18">
      <c r="A1778" s="3"/>
      <c r="B1778" s="3" t="str">
        <f ca="1">IFERROR(__xludf.DUMMYFUNCTION("IFERROR(GOOGLETRANSLATE(A1781,""ko"",""en""),)"),"")</f>
        <v/>
      </c>
    </row>
    <row r="1779" spans="1:2" ht="18">
      <c r="A1779" s="3"/>
      <c r="B1779" s="3" t="str">
        <f ca="1">IFERROR(__xludf.DUMMYFUNCTION("IFERROR(GOOGLETRANSLATE(A1782,""ko"",""en""),)"),"")</f>
        <v/>
      </c>
    </row>
    <row r="1780" spans="1:2" ht="18">
      <c r="A1780" s="3"/>
      <c r="B1780" s="3" t="str">
        <f ca="1">IFERROR(__xludf.DUMMYFUNCTION("IFERROR(GOOGLETRANSLATE(A1783,""ko"",""en""),)"),"")</f>
        <v/>
      </c>
    </row>
    <row r="1781" spans="1:2" ht="18">
      <c r="A1781" s="3"/>
      <c r="B1781" s="3" t="str">
        <f ca="1">IFERROR(__xludf.DUMMYFUNCTION("IFERROR(GOOGLETRANSLATE(A1784,""ko"",""en""),)"),"")</f>
        <v/>
      </c>
    </row>
    <row r="1782" spans="1:2" ht="18">
      <c r="A1782" s="3"/>
      <c r="B1782" s="3" t="str">
        <f ca="1">IFERROR(__xludf.DUMMYFUNCTION("IFERROR(GOOGLETRANSLATE(A1785,""ko"",""en""),)"),"")</f>
        <v/>
      </c>
    </row>
    <row r="1783" spans="1:2" ht="18">
      <c r="A1783" s="3"/>
      <c r="B1783" s="3" t="str">
        <f ca="1">IFERROR(__xludf.DUMMYFUNCTION("IFERROR(GOOGLETRANSLATE(A1786,""ko"",""en""),)"),"")</f>
        <v/>
      </c>
    </row>
    <row r="1784" spans="1:2" ht="18">
      <c r="A1784" s="3"/>
      <c r="B1784" s="3" t="str">
        <f ca="1">IFERROR(__xludf.DUMMYFUNCTION("IFERROR(GOOGLETRANSLATE(A1787,""ko"",""en""),)"),"")</f>
        <v/>
      </c>
    </row>
    <row r="1785" spans="1:2" ht="18">
      <c r="A1785" s="3"/>
      <c r="B1785" s="3" t="str">
        <f ca="1">IFERROR(__xludf.DUMMYFUNCTION("IFERROR(GOOGLETRANSLATE(A1788,""ko"",""en""),)"),"")</f>
        <v/>
      </c>
    </row>
    <row r="1786" spans="1:2" ht="18">
      <c r="A1786" s="3"/>
      <c r="B1786" s="3" t="str">
        <f ca="1">IFERROR(__xludf.DUMMYFUNCTION("IFERROR(GOOGLETRANSLATE(A1789,""ko"",""en""),)"),"")</f>
        <v/>
      </c>
    </row>
    <row r="1787" spans="1:2" ht="18">
      <c r="A1787" s="3"/>
      <c r="B1787" s="3" t="str">
        <f ca="1">IFERROR(__xludf.DUMMYFUNCTION("IFERROR(GOOGLETRANSLATE(A1790,""ko"",""en""),)"),"")</f>
        <v/>
      </c>
    </row>
    <row r="1788" spans="1:2" ht="18">
      <c r="A1788" s="3"/>
      <c r="B1788" s="3" t="str">
        <f ca="1">IFERROR(__xludf.DUMMYFUNCTION("IFERROR(GOOGLETRANSLATE(A1791,""ko"",""en""),)"),"")</f>
        <v/>
      </c>
    </row>
    <row r="1789" spans="1:2" ht="18">
      <c r="A1789" s="3"/>
      <c r="B1789" s="3" t="str">
        <f ca="1">IFERROR(__xludf.DUMMYFUNCTION("IFERROR(GOOGLETRANSLATE(A1792,""ko"",""en""),)"),"")</f>
        <v/>
      </c>
    </row>
    <row r="1790" spans="1:2" ht="18">
      <c r="A1790" s="3"/>
      <c r="B1790" s="3" t="str">
        <f ca="1">IFERROR(__xludf.DUMMYFUNCTION("IFERROR(GOOGLETRANSLATE(A1793,""ko"",""en""),)"),"")</f>
        <v/>
      </c>
    </row>
    <row r="1791" spans="1:2" ht="18">
      <c r="A1791" s="3"/>
      <c r="B1791" s="3" t="str">
        <f ca="1">IFERROR(__xludf.DUMMYFUNCTION("IFERROR(GOOGLETRANSLATE(A1794,""ko"",""en""),)"),"")</f>
        <v/>
      </c>
    </row>
    <row r="1792" spans="1:2" ht="18">
      <c r="A1792" s="3"/>
      <c r="B1792" s="3" t="str">
        <f ca="1">IFERROR(__xludf.DUMMYFUNCTION("IFERROR(GOOGLETRANSLATE(A1795,""ko"",""en""),)"),"")</f>
        <v/>
      </c>
    </row>
    <row r="1793" spans="1:2" ht="18">
      <c r="A1793" s="3"/>
      <c r="B1793" s="3" t="str">
        <f ca="1">IFERROR(__xludf.DUMMYFUNCTION("IFERROR(GOOGLETRANSLATE(A1796,""ko"",""en""),)"),"")</f>
        <v/>
      </c>
    </row>
    <row r="1794" spans="1:2" ht="18">
      <c r="A1794" s="3"/>
      <c r="B1794" s="3" t="str">
        <f ca="1">IFERROR(__xludf.DUMMYFUNCTION("IFERROR(GOOGLETRANSLATE(A1797,""ko"",""en""),)"),"")</f>
        <v/>
      </c>
    </row>
    <row r="1795" spans="1:2" ht="18">
      <c r="A1795" s="3"/>
      <c r="B1795" s="3" t="str">
        <f ca="1">IFERROR(__xludf.DUMMYFUNCTION("IFERROR(GOOGLETRANSLATE(A1798,""ko"",""en""),)"),"")</f>
        <v/>
      </c>
    </row>
    <row r="1796" spans="1:2" ht="18">
      <c r="A1796" s="3"/>
      <c r="B1796" s="3" t="str">
        <f ca="1">IFERROR(__xludf.DUMMYFUNCTION("IFERROR(GOOGLETRANSLATE(A1799,""ko"",""en""),)"),"")</f>
        <v/>
      </c>
    </row>
    <row r="1797" spans="1:2" ht="18">
      <c r="A1797" s="3"/>
      <c r="B1797" s="3" t="str">
        <f ca="1">IFERROR(__xludf.DUMMYFUNCTION("IFERROR(GOOGLETRANSLATE(A1800,""ko"",""en""),)"),"")</f>
        <v/>
      </c>
    </row>
    <row r="1798" spans="1:2" ht="18">
      <c r="A1798" s="3"/>
      <c r="B1798" s="3" t="str">
        <f ca="1">IFERROR(__xludf.DUMMYFUNCTION("IFERROR(GOOGLETRANSLATE(A1801,""ko"",""en""),)"),"")</f>
        <v/>
      </c>
    </row>
    <row r="1799" spans="1:2" ht="18">
      <c r="A1799" s="3"/>
      <c r="B1799" s="3" t="str">
        <f ca="1">IFERROR(__xludf.DUMMYFUNCTION("IFERROR(GOOGLETRANSLATE(A1802,""ko"",""en""),)"),"")</f>
        <v/>
      </c>
    </row>
    <row r="1800" spans="1:2" ht="18">
      <c r="A1800" s="3"/>
      <c r="B1800" s="3" t="str">
        <f ca="1">IFERROR(__xludf.DUMMYFUNCTION("IFERROR(GOOGLETRANSLATE(A1803,""ko"",""en""),)"),"")</f>
        <v/>
      </c>
    </row>
    <row r="1801" spans="1:2" ht="18">
      <c r="A1801" s="3"/>
      <c r="B1801" s="3" t="str">
        <f ca="1">IFERROR(__xludf.DUMMYFUNCTION("IFERROR(GOOGLETRANSLATE(A1804,""ko"",""en""),)"),"")</f>
        <v/>
      </c>
    </row>
    <row r="1802" spans="1:2" ht="18">
      <c r="A1802" s="3"/>
      <c r="B1802" s="3" t="str">
        <f ca="1">IFERROR(__xludf.DUMMYFUNCTION("IFERROR(GOOGLETRANSLATE(A1805,""ko"",""en""),)"),"")</f>
        <v/>
      </c>
    </row>
    <row r="1803" spans="1:2" ht="18">
      <c r="A1803" s="3"/>
      <c r="B1803" s="3" t="str">
        <f ca="1">IFERROR(__xludf.DUMMYFUNCTION("IFERROR(GOOGLETRANSLATE(A1806,""ko"",""en""),)"),"")</f>
        <v/>
      </c>
    </row>
    <row r="1804" spans="1:2" ht="18">
      <c r="A1804" s="3"/>
      <c r="B1804" s="3" t="str">
        <f ca="1">IFERROR(__xludf.DUMMYFUNCTION("IFERROR(GOOGLETRANSLATE(A1807,""ko"",""en""),)"),"")</f>
        <v/>
      </c>
    </row>
    <row r="1805" spans="1:2" ht="18">
      <c r="A1805" s="3"/>
      <c r="B1805" s="3" t="str">
        <f ca="1">IFERROR(__xludf.DUMMYFUNCTION("IFERROR(GOOGLETRANSLATE(A1808,""ko"",""en""),)"),"")</f>
        <v/>
      </c>
    </row>
    <row r="1806" spans="1:2" ht="18">
      <c r="A1806" s="3"/>
      <c r="B1806" s="3" t="str">
        <f ca="1">IFERROR(__xludf.DUMMYFUNCTION("IFERROR(GOOGLETRANSLATE(A1809,""ko"",""en""),)"),"")</f>
        <v/>
      </c>
    </row>
    <row r="1807" spans="1:2" ht="18">
      <c r="A1807" s="3"/>
      <c r="B1807" s="3" t="str">
        <f ca="1">IFERROR(__xludf.DUMMYFUNCTION("IFERROR(GOOGLETRANSLATE(A1810,""ko"",""en""),)"),"")</f>
        <v/>
      </c>
    </row>
    <row r="1808" spans="1:2" ht="18">
      <c r="A1808" s="3"/>
      <c r="B1808" s="3" t="str">
        <f ca="1">IFERROR(__xludf.DUMMYFUNCTION("IFERROR(GOOGLETRANSLATE(A1811,""ko"",""en""),)"),"")</f>
        <v/>
      </c>
    </row>
    <row r="1809" spans="1:2" ht="18">
      <c r="A1809" s="3"/>
      <c r="B1809" s="3" t="str">
        <f ca="1">IFERROR(__xludf.DUMMYFUNCTION("IFERROR(GOOGLETRANSLATE(A1812,""ko"",""en""),)"),"")</f>
        <v/>
      </c>
    </row>
    <row r="1810" spans="1:2" ht="18">
      <c r="A1810" s="3"/>
      <c r="B1810" s="3" t="str">
        <f ca="1">IFERROR(__xludf.DUMMYFUNCTION("IFERROR(GOOGLETRANSLATE(A1813,""ko"",""en""),)"),"")</f>
        <v/>
      </c>
    </row>
    <row r="1811" spans="1:2" ht="18">
      <c r="A1811" s="3"/>
      <c r="B1811" s="3" t="str">
        <f ca="1">IFERROR(__xludf.DUMMYFUNCTION("IFERROR(GOOGLETRANSLATE(A1814,""ko"",""en""),)"),"")</f>
        <v/>
      </c>
    </row>
    <row r="1812" spans="1:2" ht="18">
      <c r="A1812" s="3"/>
      <c r="B1812" s="3" t="str">
        <f ca="1">IFERROR(__xludf.DUMMYFUNCTION("IFERROR(GOOGLETRANSLATE(A1815,""ko"",""en""),)"),"")</f>
        <v/>
      </c>
    </row>
    <row r="1813" spans="1:2" ht="18">
      <c r="A1813" s="3"/>
      <c r="B1813" s="3" t="str">
        <f ca="1">IFERROR(__xludf.DUMMYFUNCTION("IFERROR(GOOGLETRANSLATE(A1816,""ko"",""en""),)"),"")</f>
        <v/>
      </c>
    </row>
    <row r="1814" spans="1:2" ht="18">
      <c r="A1814" s="3"/>
      <c r="B1814" s="3" t="str">
        <f ca="1">IFERROR(__xludf.DUMMYFUNCTION("IFERROR(GOOGLETRANSLATE(A1817,""ko"",""en""),)"),"")</f>
        <v/>
      </c>
    </row>
    <row r="1815" spans="1:2" ht="18">
      <c r="A1815" s="3"/>
      <c r="B1815" s="3" t="str">
        <f ca="1">IFERROR(__xludf.DUMMYFUNCTION("IFERROR(GOOGLETRANSLATE(A1818,""ko"",""en""),)"),"")</f>
        <v/>
      </c>
    </row>
    <row r="1816" spans="1:2" ht="18">
      <c r="A1816" s="3"/>
      <c r="B1816" s="3" t="str">
        <f ca="1">IFERROR(__xludf.DUMMYFUNCTION("IFERROR(GOOGLETRANSLATE(A1819,""ko"",""en""),)"),"")</f>
        <v/>
      </c>
    </row>
    <row r="1817" spans="1:2" ht="18">
      <c r="A1817" s="3"/>
      <c r="B1817" s="3" t="str">
        <f ca="1">IFERROR(__xludf.DUMMYFUNCTION("IFERROR(GOOGLETRANSLATE(A1820,""ko"",""en""),)"),"")</f>
        <v/>
      </c>
    </row>
    <row r="1818" spans="1:2" ht="18">
      <c r="A1818" s="3"/>
      <c r="B1818" s="3" t="str">
        <f ca="1">IFERROR(__xludf.DUMMYFUNCTION("IFERROR(GOOGLETRANSLATE(A1821,""ko"",""en""),)"),"")</f>
        <v/>
      </c>
    </row>
    <row r="1819" spans="1:2" ht="18">
      <c r="A1819" s="3"/>
      <c r="B1819" s="3" t="str">
        <f ca="1">IFERROR(__xludf.DUMMYFUNCTION("IFERROR(GOOGLETRANSLATE(A1822,""ko"",""en""),)"),"")</f>
        <v/>
      </c>
    </row>
    <row r="1820" spans="1:2" ht="18">
      <c r="A1820" s="3"/>
      <c r="B1820" s="3" t="str">
        <f ca="1">IFERROR(__xludf.DUMMYFUNCTION("IFERROR(GOOGLETRANSLATE(A1823,""ko"",""en""),)"),"")</f>
        <v/>
      </c>
    </row>
    <row r="1821" spans="1:2" ht="18">
      <c r="A1821" s="3"/>
      <c r="B1821" s="3" t="str">
        <f ca="1">IFERROR(__xludf.DUMMYFUNCTION("IFERROR(GOOGLETRANSLATE(A1824,""ko"",""en""),)"),"")</f>
        <v/>
      </c>
    </row>
    <row r="1822" spans="1:2" ht="18">
      <c r="A1822" s="3"/>
      <c r="B1822" s="3" t="str">
        <f ca="1">IFERROR(__xludf.DUMMYFUNCTION("IFERROR(GOOGLETRANSLATE(A1825,""ko"",""en""),)"),"")</f>
        <v/>
      </c>
    </row>
    <row r="1823" spans="1:2" ht="18">
      <c r="A1823" s="3"/>
      <c r="B1823" s="3" t="str">
        <f ca="1">IFERROR(__xludf.DUMMYFUNCTION("IFERROR(GOOGLETRANSLATE(A1826,""ko"",""en""),)"),"")</f>
        <v/>
      </c>
    </row>
    <row r="1824" spans="1:2" ht="18">
      <c r="A1824" s="3"/>
      <c r="B1824" s="3" t="str">
        <f ca="1">IFERROR(__xludf.DUMMYFUNCTION("IFERROR(GOOGLETRANSLATE(A1827,""ko"",""en""),)"),"")</f>
        <v/>
      </c>
    </row>
    <row r="1825" spans="1:2" ht="18">
      <c r="A1825" s="3"/>
      <c r="B1825" s="3" t="str">
        <f ca="1">IFERROR(__xludf.DUMMYFUNCTION("IFERROR(GOOGLETRANSLATE(A1828,""ko"",""en""),)"),"")</f>
        <v/>
      </c>
    </row>
    <row r="1826" spans="1:2" ht="18">
      <c r="A1826" s="3"/>
      <c r="B1826" s="3" t="str">
        <f ca="1">IFERROR(__xludf.DUMMYFUNCTION("IFERROR(GOOGLETRANSLATE(A1829,""ko"",""en""),)"),"")</f>
        <v/>
      </c>
    </row>
    <row r="1827" spans="1:2" ht="18">
      <c r="A1827" s="3"/>
      <c r="B1827" s="3" t="str">
        <f ca="1">IFERROR(__xludf.DUMMYFUNCTION("IFERROR(GOOGLETRANSLATE(A1830,""ko"",""en""),)"),"")</f>
        <v/>
      </c>
    </row>
    <row r="1828" spans="1:2" ht="18">
      <c r="A1828" s="3"/>
      <c r="B1828" s="3" t="str">
        <f ca="1">IFERROR(__xludf.DUMMYFUNCTION("IFERROR(GOOGLETRANSLATE(A1831,""ko"",""en""),)"),"")</f>
        <v/>
      </c>
    </row>
    <row r="1829" spans="1:2" ht="18">
      <c r="A1829" s="3"/>
      <c r="B1829" s="3" t="str">
        <f ca="1">IFERROR(__xludf.DUMMYFUNCTION("IFERROR(GOOGLETRANSLATE(A1832,""ko"",""en""),)"),"")</f>
        <v/>
      </c>
    </row>
    <row r="1830" spans="1:2" ht="18">
      <c r="A1830" s="3"/>
      <c r="B1830" s="3" t="str">
        <f ca="1">IFERROR(__xludf.DUMMYFUNCTION("IFERROR(GOOGLETRANSLATE(A1833,""ko"",""en""),)"),"")</f>
        <v/>
      </c>
    </row>
    <row r="1831" spans="1:2" ht="18">
      <c r="A1831" s="3"/>
      <c r="B1831" s="3" t="str">
        <f ca="1">IFERROR(__xludf.DUMMYFUNCTION("IFERROR(GOOGLETRANSLATE(A1834,""ko"",""en""),)"),"")</f>
        <v/>
      </c>
    </row>
    <row r="1832" spans="1:2" ht="18">
      <c r="A1832" s="3"/>
      <c r="B1832" s="3" t="str">
        <f ca="1">IFERROR(__xludf.DUMMYFUNCTION("IFERROR(GOOGLETRANSLATE(A1835,""ko"",""en""),)"),"")</f>
        <v/>
      </c>
    </row>
    <row r="1833" spans="1:2" ht="18">
      <c r="A1833" s="3"/>
      <c r="B1833" s="3" t="str">
        <f ca="1">IFERROR(__xludf.DUMMYFUNCTION("IFERROR(GOOGLETRANSLATE(A1836,""ko"",""en""),)"),"")</f>
        <v/>
      </c>
    </row>
    <row r="1834" spans="1:2" ht="18">
      <c r="A1834" s="3"/>
      <c r="B1834" s="3" t="str">
        <f ca="1">IFERROR(__xludf.DUMMYFUNCTION("IFERROR(GOOGLETRANSLATE(A1837,""ko"",""en""),)"),"")</f>
        <v/>
      </c>
    </row>
    <row r="1835" spans="1:2" ht="18">
      <c r="A1835" s="3"/>
      <c r="B1835" s="3" t="str">
        <f ca="1">IFERROR(__xludf.DUMMYFUNCTION("IFERROR(GOOGLETRANSLATE(A1838,""ko"",""en""),)"),"")</f>
        <v/>
      </c>
    </row>
    <row r="1836" spans="1:2" ht="18">
      <c r="A1836" s="3"/>
      <c r="B1836" s="3" t="str">
        <f ca="1">IFERROR(__xludf.DUMMYFUNCTION("IFERROR(GOOGLETRANSLATE(A1839,""ko"",""en""),)"),"")</f>
        <v/>
      </c>
    </row>
    <row r="1837" spans="1:2" ht="18">
      <c r="A1837" s="3"/>
      <c r="B1837" s="3" t="str">
        <f ca="1">IFERROR(__xludf.DUMMYFUNCTION("IFERROR(GOOGLETRANSLATE(A1840,""ko"",""en""),)"),"")</f>
        <v/>
      </c>
    </row>
    <row r="1838" spans="1:2" ht="18">
      <c r="A1838" s="3"/>
      <c r="B1838" s="3" t="str">
        <f ca="1">IFERROR(__xludf.DUMMYFUNCTION("IFERROR(GOOGLETRANSLATE(A1841,""ko"",""en""),)"),"")</f>
        <v/>
      </c>
    </row>
    <row r="1839" spans="1:2" ht="18">
      <c r="A1839" s="3"/>
      <c r="B1839" s="3" t="str">
        <f ca="1">IFERROR(__xludf.DUMMYFUNCTION("IFERROR(GOOGLETRANSLATE(A1842,""ko"",""en""),)"),"")</f>
        <v/>
      </c>
    </row>
    <row r="1840" spans="1:2" ht="18">
      <c r="A1840" s="3"/>
      <c r="B1840" s="3" t="str">
        <f ca="1">IFERROR(__xludf.DUMMYFUNCTION("IFERROR(GOOGLETRANSLATE(A1843,""ko"",""en""),)"),"")</f>
        <v/>
      </c>
    </row>
    <row r="1841" spans="1:2" ht="18">
      <c r="A1841" s="3"/>
      <c r="B1841" s="3" t="str">
        <f ca="1">IFERROR(__xludf.DUMMYFUNCTION("IFERROR(GOOGLETRANSLATE(A1844,""ko"",""en""),)"),"")</f>
        <v/>
      </c>
    </row>
    <row r="1842" spans="1:2" ht="18">
      <c r="A1842" s="3"/>
      <c r="B1842" s="3" t="str">
        <f ca="1">IFERROR(__xludf.DUMMYFUNCTION("IFERROR(GOOGLETRANSLATE(A1845,""ko"",""en""),)"),"")</f>
        <v/>
      </c>
    </row>
    <row r="1843" spans="1:2" ht="18">
      <c r="A1843" s="3"/>
      <c r="B1843" s="3" t="str">
        <f ca="1">IFERROR(__xludf.DUMMYFUNCTION("IFERROR(GOOGLETRANSLATE(A1846,""ko"",""en""),)"),"")</f>
        <v/>
      </c>
    </row>
    <row r="1844" spans="1:2" ht="18">
      <c r="A1844" s="3"/>
      <c r="B1844" s="3" t="str">
        <f ca="1">IFERROR(__xludf.DUMMYFUNCTION("IFERROR(GOOGLETRANSLATE(A1847,""ko"",""en""),)"),"")</f>
        <v/>
      </c>
    </row>
    <row r="1845" spans="1:2" ht="18">
      <c r="A1845" s="3"/>
      <c r="B1845" s="3" t="str">
        <f ca="1">IFERROR(__xludf.DUMMYFUNCTION("IFERROR(GOOGLETRANSLATE(A1848,""ko"",""en""),)"),"")</f>
        <v/>
      </c>
    </row>
    <row r="1846" spans="1:2" ht="18">
      <c r="A1846" s="3"/>
      <c r="B1846" s="3" t="str">
        <f ca="1">IFERROR(__xludf.DUMMYFUNCTION("IFERROR(GOOGLETRANSLATE(A1849,""ko"",""en""),)"),"")</f>
        <v/>
      </c>
    </row>
    <row r="1847" spans="1:2" ht="18">
      <c r="A1847" s="3"/>
      <c r="B1847" s="3" t="str">
        <f ca="1">IFERROR(__xludf.DUMMYFUNCTION("IFERROR(GOOGLETRANSLATE(A1850,""ko"",""en""),)"),"")</f>
        <v/>
      </c>
    </row>
    <row r="1848" spans="1:2" ht="18">
      <c r="A1848" s="3"/>
      <c r="B1848" s="3" t="str">
        <f ca="1">IFERROR(__xludf.DUMMYFUNCTION("IFERROR(GOOGLETRANSLATE(A1851,""ko"",""en""),)"),"")</f>
        <v/>
      </c>
    </row>
    <row r="1849" spans="1:2" ht="18">
      <c r="A1849" s="3"/>
      <c r="B1849" s="3" t="str">
        <f ca="1">IFERROR(__xludf.DUMMYFUNCTION("IFERROR(GOOGLETRANSLATE(A1852,""ko"",""en""),)"),"")</f>
        <v/>
      </c>
    </row>
    <row r="1850" spans="1:2" ht="18">
      <c r="A1850" s="3"/>
      <c r="B1850" s="3" t="str">
        <f ca="1">IFERROR(__xludf.DUMMYFUNCTION("IFERROR(GOOGLETRANSLATE(A1853,""ko"",""en""),)"),"")</f>
        <v/>
      </c>
    </row>
    <row r="1851" spans="1:2" ht="18">
      <c r="A1851" s="3"/>
      <c r="B1851" s="3" t="str">
        <f ca="1">IFERROR(__xludf.DUMMYFUNCTION("IFERROR(GOOGLETRANSLATE(A1854,""ko"",""en""),)"),"")</f>
        <v/>
      </c>
    </row>
    <row r="1852" spans="1:2" ht="18">
      <c r="A1852" s="3"/>
      <c r="B1852" s="3" t="str">
        <f ca="1">IFERROR(__xludf.DUMMYFUNCTION("IFERROR(GOOGLETRANSLATE(A1855,""ko"",""en""),)"),"")</f>
        <v/>
      </c>
    </row>
    <row r="1853" spans="1:2" ht="18">
      <c r="A1853" s="3"/>
      <c r="B1853" s="3" t="str">
        <f ca="1">IFERROR(__xludf.DUMMYFUNCTION("IFERROR(GOOGLETRANSLATE(A1856,""ko"",""en""),)"),"")</f>
        <v/>
      </c>
    </row>
    <row r="1854" spans="1:2" ht="18">
      <c r="A1854" s="3"/>
      <c r="B1854" s="3" t="str">
        <f ca="1">IFERROR(__xludf.DUMMYFUNCTION("IFERROR(GOOGLETRANSLATE(A1857,""ko"",""en""),)"),"")</f>
        <v/>
      </c>
    </row>
    <row r="1855" spans="1:2" ht="18">
      <c r="A1855" s="3"/>
      <c r="B1855" s="3" t="str">
        <f ca="1">IFERROR(__xludf.DUMMYFUNCTION("IFERROR(GOOGLETRANSLATE(A1858,""ko"",""en""),)"),"")</f>
        <v/>
      </c>
    </row>
    <row r="1856" spans="1:2" ht="18">
      <c r="A1856" s="3"/>
      <c r="B1856" s="3" t="str">
        <f ca="1">IFERROR(__xludf.DUMMYFUNCTION("IFERROR(GOOGLETRANSLATE(A1859,""ko"",""en""),)"),"")</f>
        <v/>
      </c>
    </row>
    <row r="1857" spans="1:2" ht="18">
      <c r="A1857" s="3"/>
      <c r="B1857" s="3" t="str">
        <f ca="1">IFERROR(__xludf.DUMMYFUNCTION("IFERROR(GOOGLETRANSLATE(A1860,""ko"",""en""),)"),"")</f>
        <v/>
      </c>
    </row>
    <row r="1858" spans="1:2" ht="18">
      <c r="A1858" s="3"/>
      <c r="B1858" s="3" t="str">
        <f ca="1">IFERROR(__xludf.DUMMYFUNCTION("IFERROR(GOOGLETRANSLATE(A1861,""ko"",""en""),)"),"")</f>
        <v/>
      </c>
    </row>
    <row r="1859" spans="1:2" ht="18">
      <c r="A1859" s="3"/>
      <c r="B1859" s="3" t="str">
        <f ca="1">IFERROR(__xludf.DUMMYFUNCTION("IFERROR(GOOGLETRANSLATE(A1862,""ko"",""en""),)"),"")</f>
        <v/>
      </c>
    </row>
    <row r="1860" spans="1:2" ht="18">
      <c r="A1860" s="3"/>
      <c r="B1860" s="3" t="str">
        <f ca="1">IFERROR(__xludf.DUMMYFUNCTION("IFERROR(GOOGLETRANSLATE(A1863,""ko"",""en""),)"),"")</f>
        <v/>
      </c>
    </row>
    <row r="1861" spans="1:2" ht="18">
      <c r="A1861" s="3"/>
      <c r="B1861" s="3" t="str">
        <f ca="1">IFERROR(__xludf.DUMMYFUNCTION("IFERROR(GOOGLETRANSLATE(A1864,""ko"",""en""),)"),"")</f>
        <v/>
      </c>
    </row>
    <row r="1862" spans="1:2" ht="18">
      <c r="A1862" s="3"/>
      <c r="B1862" s="3" t="str">
        <f ca="1">IFERROR(__xludf.DUMMYFUNCTION("IFERROR(GOOGLETRANSLATE(A1865,""ko"",""en""),)"),"")</f>
        <v/>
      </c>
    </row>
    <row r="1863" spans="1:2" ht="18">
      <c r="A1863" s="3"/>
      <c r="B1863" s="3" t="str">
        <f ca="1">IFERROR(__xludf.DUMMYFUNCTION("IFERROR(GOOGLETRANSLATE(A1866,""ko"",""en""),)"),"")</f>
        <v/>
      </c>
    </row>
    <row r="1864" spans="1:2" ht="18">
      <c r="A1864" s="3"/>
      <c r="B1864" s="3" t="str">
        <f ca="1">IFERROR(__xludf.DUMMYFUNCTION("IFERROR(GOOGLETRANSLATE(A1867,""ko"",""en""),)"),"")</f>
        <v/>
      </c>
    </row>
    <row r="1865" spans="1:2" ht="18">
      <c r="A1865" s="3"/>
      <c r="B1865" s="3" t="str">
        <f ca="1">IFERROR(__xludf.DUMMYFUNCTION("IFERROR(GOOGLETRANSLATE(A1868,""ko"",""en""),)"),"")</f>
        <v/>
      </c>
    </row>
    <row r="1866" spans="1:2" ht="18">
      <c r="A1866" s="3"/>
      <c r="B1866" s="3" t="str">
        <f ca="1">IFERROR(__xludf.DUMMYFUNCTION("IFERROR(GOOGLETRANSLATE(A1869,""ko"",""en""),)"),"")</f>
        <v/>
      </c>
    </row>
    <row r="1867" spans="1:2" ht="18">
      <c r="A1867" s="3"/>
      <c r="B1867" s="3" t="str">
        <f ca="1">IFERROR(__xludf.DUMMYFUNCTION("IFERROR(GOOGLETRANSLATE(A1870,""ko"",""en""),)"),"")</f>
        <v/>
      </c>
    </row>
    <row r="1868" spans="1:2" ht="18">
      <c r="A1868" s="3"/>
      <c r="B1868" s="3" t="str">
        <f ca="1">IFERROR(__xludf.DUMMYFUNCTION("IFERROR(GOOGLETRANSLATE(A1871,""ko"",""en""),)"),"")</f>
        <v/>
      </c>
    </row>
    <row r="1869" spans="1:2" ht="18">
      <c r="A1869" s="3"/>
      <c r="B1869" s="3" t="str">
        <f ca="1">IFERROR(__xludf.DUMMYFUNCTION("IFERROR(GOOGLETRANSLATE(A1872,""ko"",""en""),)"),"")</f>
        <v/>
      </c>
    </row>
    <row r="1870" spans="1:2" ht="18">
      <c r="A1870" s="3"/>
      <c r="B1870" s="3" t="str">
        <f ca="1">IFERROR(__xludf.DUMMYFUNCTION("IFERROR(GOOGLETRANSLATE(A1873,""ko"",""en""),)"),"")</f>
        <v/>
      </c>
    </row>
    <row r="1871" spans="1:2" ht="18">
      <c r="A1871" s="3"/>
      <c r="B1871" s="3" t="str">
        <f ca="1">IFERROR(__xludf.DUMMYFUNCTION("IFERROR(GOOGLETRANSLATE(A1874,""ko"",""en""),)"),"")</f>
        <v/>
      </c>
    </row>
    <row r="1872" spans="1:2" ht="18">
      <c r="A1872" s="3"/>
      <c r="B1872" s="3" t="str">
        <f ca="1">IFERROR(__xludf.DUMMYFUNCTION("IFERROR(GOOGLETRANSLATE(A1875,""ko"",""en""),)"),"")</f>
        <v/>
      </c>
    </row>
    <row r="1873" spans="1:2" ht="18">
      <c r="A1873" s="3"/>
      <c r="B1873" s="3" t="str">
        <f ca="1">IFERROR(__xludf.DUMMYFUNCTION("IFERROR(GOOGLETRANSLATE(A1876,""ko"",""en""),)"),"")</f>
        <v/>
      </c>
    </row>
    <row r="1874" spans="1:2" ht="18">
      <c r="A1874" s="3"/>
      <c r="B1874" s="3" t="str">
        <f ca="1">IFERROR(__xludf.DUMMYFUNCTION("IFERROR(GOOGLETRANSLATE(A1877,""ko"",""en""),)"),"")</f>
        <v/>
      </c>
    </row>
    <row r="1875" spans="1:2" ht="18">
      <c r="A1875" s="3"/>
      <c r="B1875" s="3" t="str">
        <f ca="1">IFERROR(__xludf.DUMMYFUNCTION("IFERROR(GOOGLETRANSLATE(A1878,""ko"",""en""),)"),"")</f>
        <v/>
      </c>
    </row>
    <row r="1876" spans="1:2" ht="18">
      <c r="A1876" s="3"/>
      <c r="B1876" s="3" t="str">
        <f ca="1">IFERROR(__xludf.DUMMYFUNCTION("IFERROR(GOOGLETRANSLATE(A1879,""ko"",""en""),)"),"")</f>
        <v/>
      </c>
    </row>
    <row r="1877" spans="1:2" ht="18">
      <c r="A1877" s="3"/>
      <c r="B1877" s="3" t="str">
        <f ca="1">IFERROR(__xludf.DUMMYFUNCTION("IFERROR(GOOGLETRANSLATE(A1880,""ko"",""en""),)"),"")</f>
        <v/>
      </c>
    </row>
    <row r="1878" spans="1:2" ht="18">
      <c r="A1878" s="3"/>
      <c r="B1878" s="3" t="str">
        <f ca="1">IFERROR(__xludf.DUMMYFUNCTION("IFERROR(GOOGLETRANSLATE(A1881,""ko"",""en""),)"),"")</f>
        <v/>
      </c>
    </row>
    <row r="1879" spans="1:2" ht="18">
      <c r="A1879" s="3"/>
      <c r="B1879" s="3" t="str">
        <f ca="1">IFERROR(__xludf.DUMMYFUNCTION("IFERROR(GOOGLETRANSLATE(A1882,""ko"",""en""),)"),"")</f>
        <v/>
      </c>
    </row>
    <row r="1880" spans="1:2" ht="18">
      <c r="A1880" s="3"/>
      <c r="B1880" s="3" t="str">
        <f ca="1">IFERROR(__xludf.DUMMYFUNCTION("IFERROR(GOOGLETRANSLATE(A1883,""ko"",""en""),)"),"")</f>
        <v/>
      </c>
    </row>
    <row r="1881" spans="1:2" ht="18">
      <c r="A1881" s="3"/>
      <c r="B1881" s="3" t="str">
        <f ca="1">IFERROR(__xludf.DUMMYFUNCTION("IFERROR(GOOGLETRANSLATE(A1884,""ko"",""en""),)"),"")</f>
        <v/>
      </c>
    </row>
    <row r="1882" spans="1:2" ht="18">
      <c r="A1882" s="3"/>
      <c r="B1882" s="3" t="str">
        <f ca="1">IFERROR(__xludf.DUMMYFUNCTION("IFERROR(GOOGLETRANSLATE(A1885,""ko"",""en""),)"),"")</f>
        <v/>
      </c>
    </row>
    <row r="1883" spans="1:2" ht="18">
      <c r="A1883" s="3"/>
      <c r="B1883" s="3" t="str">
        <f ca="1">IFERROR(__xludf.DUMMYFUNCTION("IFERROR(GOOGLETRANSLATE(A1886,""ko"",""en""),)"),"")</f>
        <v/>
      </c>
    </row>
    <row r="1884" spans="1:2" ht="18">
      <c r="A1884" s="3"/>
      <c r="B1884" s="3" t="str">
        <f ca="1">IFERROR(__xludf.DUMMYFUNCTION("IFERROR(GOOGLETRANSLATE(A1887,""ko"",""en""),)"),"")</f>
        <v/>
      </c>
    </row>
    <row r="1885" spans="1:2" ht="18">
      <c r="A1885" s="3"/>
      <c r="B1885" s="3" t="str">
        <f ca="1">IFERROR(__xludf.DUMMYFUNCTION("IFERROR(GOOGLETRANSLATE(A1888,""ko"",""en""),)"),"")</f>
        <v/>
      </c>
    </row>
    <row r="1886" spans="1:2" ht="18">
      <c r="A1886" s="3"/>
      <c r="B1886" s="3" t="str">
        <f ca="1">IFERROR(__xludf.DUMMYFUNCTION("IFERROR(GOOGLETRANSLATE(A1889,""ko"",""en""),)"),"")</f>
        <v/>
      </c>
    </row>
    <row r="1887" spans="1:2" ht="18">
      <c r="A1887" s="3"/>
      <c r="B1887" s="3" t="str">
        <f ca="1">IFERROR(__xludf.DUMMYFUNCTION("IFERROR(GOOGLETRANSLATE(A1890,""ko"",""en""),)"),"")</f>
        <v/>
      </c>
    </row>
    <row r="1888" spans="1:2" ht="18">
      <c r="A1888" s="3"/>
      <c r="B1888" s="3" t="str">
        <f ca="1">IFERROR(__xludf.DUMMYFUNCTION("IFERROR(GOOGLETRANSLATE(A1891,""ko"",""en""),)"),"")</f>
        <v/>
      </c>
    </row>
    <row r="1889" spans="1:2" ht="18">
      <c r="A1889" s="3"/>
      <c r="B1889" s="3" t="str">
        <f ca="1">IFERROR(__xludf.DUMMYFUNCTION("IFERROR(GOOGLETRANSLATE(A1892,""ko"",""en""),)"),"")</f>
        <v/>
      </c>
    </row>
    <row r="1890" spans="1:2" ht="18">
      <c r="A1890" s="3"/>
      <c r="B1890" s="3" t="str">
        <f ca="1">IFERROR(__xludf.DUMMYFUNCTION("IFERROR(GOOGLETRANSLATE(A1893,""ko"",""en""),)"),"")</f>
        <v/>
      </c>
    </row>
    <row r="1891" spans="1:2" ht="18">
      <c r="A1891" s="3"/>
      <c r="B1891" s="3" t="str">
        <f ca="1">IFERROR(__xludf.DUMMYFUNCTION("IFERROR(GOOGLETRANSLATE(A1894,""ko"",""en""),)"),"")</f>
        <v/>
      </c>
    </row>
    <row r="1892" spans="1:2" ht="18">
      <c r="A1892" s="3"/>
      <c r="B1892" s="3" t="str">
        <f ca="1">IFERROR(__xludf.DUMMYFUNCTION("IFERROR(GOOGLETRANSLATE(A1895,""ko"",""en""),)"),"")</f>
        <v/>
      </c>
    </row>
    <row r="1893" spans="1:2" ht="18">
      <c r="A1893" s="3"/>
      <c r="B1893" s="3" t="str">
        <f ca="1">IFERROR(__xludf.DUMMYFUNCTION("IFERROR(GOOGLETRANSLATE(A1896,""ko"",""en""),)"),"")</f>
        <v/>
      </c>
    </row>
    <row r="1894" spans="1:2" ht="18">
      <c r="A1894" s="3"/>
      <c r="B1894" s="3" t="str">
        <f ca="1">IFERROR(__xludf.DUMMYFUNCTION("IFERROR(GOOGLETRANSLATE(A1897,""ko"",""en""),)"),"")</f>
        <v/>
      </c>
    </row>
    <row r="1895" spans="1:2" ht="18">
      <c r="A1895" s="3"/>
      <c r="B1895" s="3" t="str">
        <f ca="1">IFERROR(__xludf.DUMMYFUNCTION("IFERROR(GOOGLETRANSLATE(A1898,""ko"",""en""),)"),"")</f>
        <v/>
      </c>
    </row>
    <row r="1896" spans="1:2" ht="18">
      <c r="A1896" s="3"/>
      <c r="B1896" s="3" t="str">
        <f ca="1">IFERROR(__xludf.DUMMYFUNCTION("IFERROR(GOOGLETRANSLATE(A1899,""ko"",""en""),)"),"")</f>
        <v/>
      </c>
    </row>
    <row r="1897" spans="1:2" ht="18">
      <c r="A1897" s="3"/>
      <c r="B1897" s="3" t="str">
        <f ca="1">IFERROR(__xludf.DUMMYFUNCTION("IFERROR(GOOGLETRANSLATE(A1900,""ko"",""en""),)"),"")</f>
        <v/>
      </c>
    </row>
    <row r="1898" spans="1:2" ht="18">
      <c r="A1898" s="3"/>
      <c r="B1898" s="3" t="str">
        <f ca="1">IFERROR(__xludf.DUMMYFUNCTION("IFERROR(GOOGLETRANSLATE(A1901,""ko"",""en""),)"),"")</f>
        <v/>
      </c>
    </row>
    <row r="1899" spans="1:2" ht="18">
      <c r="A1899" s="3"/>
      <c r="B1899" s="3" t="str">
        <f ca="1">IFERROR(__xludf.DUMMYFUNCTION("IFERROR(GOOGLETRANSLATE(A1902,""ko"",""en""),)"),"")</f>
        <v/>
      </c>
    </row>
    <row r="1900" spans="1:2" ht="18">
      <c r="A1900" s="3"/>
      <c r="B1900" s="3" t="str">
        <f ca="1">IFERROR(__xludf.DUMMYFUNCTION("IFERROR(GOOGLETRANSLATE(A1903,""ko"",""en""),)"),"")</f>
        <v/>
      </c>
    </row>
    <row r="1901" spans="1:2" ht="18">
      <c r="A1901" s="3"/>
      <c r="B1901" s="3" t="str">
        <f ca="1">IFERROR(__xludf.DUMMYFUNCTION("IFERROR(GOOGLETRANSLATE(A1904,""ko"",""en""),)"),"")</f>
        <v/>
      </c>
    </row>
    <row r="1902" spans="1:2" ht="18">
      <c r="A1902" s="3"/>
      <c r="B1902" s="3" t="str">
        <f ca="1">IFERROR(__xludf.DUMMYFUNCTION("IFERROR(GOOGLETRANSLATE(A1905,""ko"",""en""),)"),"")</f>
        <v/>
      </c>
    </row>
    <row r="1903" spans="1:2" ht="18">
      <c r="A1903" s="3"/>
      <c r="B1903" s="3" t="str">
        <f ca="1">IFERROR(__xludf.DUMMYFUNCTION("IFERROR(GOOGLETRANSLATE(A1906,""ko"",""en""),)"),"")</f>
        <v/>
      </c>
    </row>
    <row r="1904" spans="1:2" ht="18">
      <c r="A1904" s="3"/>
      <c r="B1904" s="3" t="str">
        <f ca="1">IFERROR(__xludf.DUMMYFUNCTION("IFERROR(GOOGLETRANSLATE(A1907,""ko"",""en""),)"),"")</f>
        <v/>
      </c>
    </row>
    <row r="1905" spans="1:2" ht="18">
      <c r="A1905" s="3"/>
      <c r="B1905" s="3" t="str">
        <f ca="1">IFERROR(__xludf.DUMMYFUNCTION("IFERROR(GOOGLETRANSLATE(A1908,""ko"",""en""),)"),"")</f>
        <v/>
      </c>
    </row>
    <row r="1906" spans="1:2" ht="18">
      <c r="A1906" s="3"/>
      <c r="B1906" s="3" t="str">
        <f ca="1">IFERROR(__xludf.DUMMYFUNCTION("IFERROR(GOOGLETRANSLATE(A1909,""ko"",""en""),)"),"")</f>
        <v/>
      </c>
    </row>
    <row r="1907" spans="1:2" ht="18">
      <c r="A1907" s="3"/>
      <c r="B1907" s="3" t="str">
        <f ca="1">IFERROR(__xludf.DUMMYFUNCTION("IFERROR(GOOGLETRANSLATE(A1910,""ko"",""en""),)"),"")</f>
        <v/>
      </c>
    </row>
    <row r="1908" spans="1:2" ht="18">
      <c r="A1908" s="3"/>
      <c r="B1908" s="3" t="str">
        <f ca="1">IFERROR(__xludf.DUMMYFUNCTION("IFERROR(GOOGLETRANSLATE(A1911,""ko"",""en""),)"),"")</f>
        <v/>
      </c>
    </row>
    <row r="1909" spans="1:2" ht="18">
      <c r="A1909" s="3"/>
      <c r="B1909" s="3" t="str">
        <f ca="1">IFERROR(__xludf.DUMMYFUNCTION("IFERROR(GOOGLETRANSLATE(A1912,""ko"",""en""),)"),"")</f>
        <v/>
      </c>
    </row>
    <row r="1910" spans="1:2" ht="18">
      <c r="A1910" s="3"/>
      <c r="B1910" s="3" t="str">
        <f ca="1">IFERROR(__xludf.DUMMYFUNCTION("IFERROR(GOOGLETRANSLATE(A1913,""ko"",""en""),)"),"")</f>
        <v/>
      </c>
    </row>
    <row r="1911" spans="1:2" ht="18">
      <c r="A1911" s="3"/>
      <c r="B1911" s="3" t="str">
        <f ca="1">IFERROR(__xludf.DUMMYFUNCTION("IFERROR(GOOGLETRANSLATE(A1914,""ko"",""en""),)"),"")</f>
        <v/>
      </c>
    </row>
    <row r="1912" spans="1:2" ht="18">
      <c r="A1912" s="3"/>
      <c r="B1912" s="3" t="str">
        <f ca="1">IFERROR(__xludf.DUMMYFUNCTION("IFERROR(GOOGLETRANSLATE(A1915,""ko"",""en""),)"),"")</f>
        <v/>
      </c>
    </row>
    <row r="1913" spans="1:2" ht="18">
      <c r="A1913" s="3"/>
      <c r="B1913" s="3" t="str">
        <f ca="1">IFERROR(__xludf.DUMMYFUNCTION("IFERROR(GOOGLETRANSLATE(A1916,""ko"",""en""),)"),"")</f>
        <v/>
      </c>
    </row>
    <row r="1914" spans="1:2" ht="18">
      <c r="A1914" s="3"/>
      <c r="B1914" s="3" t="str">
        <f ca="1">IFERROR(__xludf.DUMMYFUNCTION("IFERROR(GOOGLETRANSLATE(A1917,""ko"",""en""),)"),"")</f>
        <v/>
      </c>
    </row>
    <row r="1915" spans="1:2" ht="18">
      <c r="A1915" s="3"/>
      <c r="B1915" s="3" t="str">
        <f ca="1">IFERROR(__xludf.DUMMYFUNCTION("IFERROR(GOOGLETRANSLATE(A1918,""ko"",""en""),)"),"")</f>
        <v/>
      </c>
    </row>
    <row r="1916" spans="1:2" ht="18">
      <c r="A1916" s="3"/>
      <c r="B1916" s="3" t="str">
        <f ca="1">IFERROR(__xludf.DUMMYFUNCTION("IFERROR(GOOGLETRANSLATE(A1919,""ko"",""en""),)"),"")</f>
        <v/>
      </c>
    </row>
    <row r="1917" spans="1:2" ht="18">
      <c r="A1917" s="3"/>
      <c r="B1917" s="3" t="str">
        <f ca="1">IFERROR(__xludf.DUMMYFUNCTION("IFERROR(GOOGLETRANSLATE(A1920,""ko"",""en""),)"),"")</f>
        <v/>
      </c>
    </row>
    <row r="1918" spans="1:2" ht="18">
      <c r="A1918" s="3"/>
      <c r="B1918" s="3" t="str">
        <f ca="1">IFERROR(__xludf.DUMMYFUNCTION("IFERROR(GOOGLETRANSLATE(A1921,""ko"",""en""),)"),"")</f>
        <v/>
      </c>
    </row>
    <row r="1919" spans="1:2" ht="18">
      <c r="A1919" s="3"/>
      <c r="B1919" s="3" t="str">
        <f ca="1">IFERROR(__xludf.DUMMYFUNCTION("IFERROR(GOOGLETRANSLATE(A1922,""ko"",""en""),)"),"")</f>
        <v/>
      </c>
    </row>
    <row r="1920" spans="1:2" ht="18">
      <c r="A1920" s="3"/>
      <c r="B1920" s="3" t="str">
        <f ca="1">IFERROR(__xludf.DUMMYFUNCTION("IFERROR(GOOGLETRANSLATE(A1923,""ko"",""en""),)"),"")</f>
        <v/>
      </c>
    </row>
    <row r="1921" spans="1:2" ht="18">
      <c r="A1921" s="3"/>
      <c r="B1921" s="3" t="str">
        <f ca="1">IFERROR(__xludf.DUMMYFUNCTION("IFERROR(GOOGLETRANSLATE(A1924,""ko"",""en""),)"),"")</f>
        <v/>
      </c>
    </row>
    <row r="1922" spans="1:2" ht="18">
      <c r="A1922" s="3"/>
      <c r="B1922" s="3" t="str">
        <f ca="1">IFERROR(__xludf.DUMMYFUNCTION("IFERROR(GOOGLETRANSLATE(A1925,""ko"",""en""),)"),"")</f>
        <v/>
      </c>
    </row>
    <row r="1923" spans="1:2" ht="18">
      <c r="A1923" s="3"/>
      <c r="B1923" s="3" t="str">
        <f ca="1">IFERROR(__xludf.DUMMYFUNCTION("IFERROR(GOOGLETRANSLATE(A1926,""ko"",""en""),)"),"")</f>
        <v/>
      </c>
    </row>
    <row r="1924" spans="1:2" ht="18">
      <c r="A1924" s="3"/>
      <c r="B1924" s="3" t="str">
        <f ca="1">IFERROR(__xludf.DUMMYFUNCTION("IFERROR(GOOGLETRANSLATE(A1927,""ko"",""en""),)"),"")</f>
        <v/>
      </c>
    </row>
    <row r="1925" spans="1:2" ht="18">
      <c r="A1925" s="3"/>
      <c r="B1925" s="3" t="str">
        <f ca="1">IFERROR(__xludf.DUMMYFUNCTION("IFERROR(GOOGLETRANSLATE(A1928,""ko"",""en""),)"),"")</f>
        <v/>
      </c>
    </row>
    <row r="1926" spans="1:2" ht="18">
      <c r="A1926" s="3"/>
      <c r="B1926" s="3" t="str">
        <f ca="1">IFERROR(__xludf.DUMMYFUNCTION("IFERROR(GOOGLETRANSLATE(A1929,""ko"",""en""),)"),"")</f>
        <v/>
      </c>
    </row>
    <row r="1927" spans="1:2" ht="18">
      <c r="A1927" s="3"/>
      <c r="B1927" s="3" t="str">
        <f ca="1">IFERROR(__xludf.DUMMYFUNCTION("IFERROR(GOOGLETRANSLATE(A1930,""ko"",""en""),)"),"")</f>
        <v/>
      </c>
    </row>
    <row r="1928" spans="1:2" ht="18">
      <c r="A1928" s="3"/>
      <c r="B1928" s="3" t="str">
        <f ca="1">IFERROR(__xludf.DUMMYFUNCTION("IFERROR(GOOGLETRANSLATE(A1931,""ko"",""en""),)"),"")</f>
        <v/>
      </c>
    </row>
    <row r="1929" spans="1:2" ht="18">
      <c r="A1929" s="3"/>
      <c r="B1929" s="3" t="str">
        <f ca="1">IFERROR(__xludf.DUMMYFUNCTION("IFERROR(GOOGLETRANSLATE(A1932,""ko"",""en""),)"),"")</f>
        <v/>
      </c>
    </row>
    <row r="1930" spans="1:2" ht="18">
      <c r="A1930" s="3"/>
      <c r="B1930" s="3" t="str">
        <f ca="1">IFERROR(__xludf.DUMMYFUNCTION("IFERROR(GOOGLETRANSLATE(A1933,""ko"",""en""),)"),"")</f>
        <v/>
      </c>
    </row>
    <row r="1931" spans="1:2" ht="18">
      <c r="A1931" s="3"/>
      <c r="B1931" s="3" t="str">
        <f ca="1">IFERROR(__xludf.DUMMYFUNCTION("IFERROR(GOOGLETRANSLATE(A1934,""ko"",""en""),)"),"")</f>
        <v/>
      </c>
    </row>
    <row r="1932" spans="1:2" ht="18">
      <c r="A1932" s="3"/>
      <c r="B1932" s="3" t="str">
        <f ca="1">IFERROR(__xludf.DUMMYFUNCTION("IFERROR(GOOGLETRANSLATE(A1935,""ko"",""en""),)"),"")</f>
        <v/>
      </c>
    </row>
    <row r="1933" spans="1:2" ht="18">
      <c r="A1933" s="3"/>
      <c r="B1933" s="3" t="str">
        <f ca="1">IFERROR(__xludf.DUMMYFUNCTION("IFERROR(GOOGLETRANSLATE(A1936,""ko"",""en""),)"),"")</f>
        <v/>
      </c>
    </row>
    <row r="1934" spans="1:2" ht="18">
      <c r="A1934" s="3"/>
      <c r="B1934" s="3" t="str">
        <f ca="1">IFERROR(__xludf.DUMMYFUNCTION("IFERROR(GOOGLETRANSLATE(A1937,""ko"",""en""),)"),"")</f>
        <v/>
      </c>
    </row>
    <row r="1935" spans="1:2" ht="18">
      <c r="A1935" s="3"/>
      <c r="B1935" s="3" t="str">
        <f ca="1">IFERROR(__xludf.DUMMYFUNCTION("IFERROR(GOOGLETRANSLATE(A1938,""ko"",""en""),)"),"")</f>
        <v/>
      </c>
    </row>
    <row r="1936" spans="1:2" ht="18">
      <c r="A1936" s="3"/>
      <c r="B1936" s="3" t="str">
        <f ca="1">IFERROR(__xludf.DUMMYFUNCTION("IFERROR(GOOGLETRANSLATE(A1939,""ko"",""en""),)"),"")</f>
        <v/>
      </c>
    </row>
    <row r="1937" spans="1:2" ht="18">
      <c r="A1937" s="3"/>
      <c r="B1937" s="3" t="str">
        <f ca="1">IFERROR(__xludf.DUMMYFUNCTION("IFERROR(GOOGLETRANSLATE(A1940,""ko"",""en""),)"),"")</f>
        <v/>
      </c>
    </row>
    <row r="1938" spans="1:2" ht="18">
      <c r="A1938" s="3"/>
      <c r="B1938" s="3" t="str">
        <f ca="1">IFERROR(__xludf.DUMMYFUNCTION("IFERROR(GOOGLETRANSLATE(A1941,""ko"",""en""),)"),"")</f>
        <v/>
      </c>
    </row>
    <row r="1939" spans="1:2" ht="18">
      <c r="A1939" s="3"/>
      <c r="B1939" s="3" t="str">
        <f ca="1">IFERROR(__xludf.DUMMYFUNCTION("IFERROR(GOOGLETRANSLATE(A1942,""ko"",""en""),)"),"")</f>
        <v/>
      </c>
    </row>
    <row r="1940" spans="1:2" ht="18">
      <c r="A1940" s="3"/>
      <c r="B1940" s="3" t="str">
        <f ca="1">IFERROR(__xludf.DUMMYFUNCTION("IFERROR(GOOGLETRANSLATE(A1943,""ko"",""en""),)"),"")</f>
        <v/>
      </c>
    </row>
    <row r="1941" spans="1:2" ht="18">
      <c r="A1941" s="3"/>
      <c r="B1941" s="3" t="str">
        <f ca="1">IFERROR(__xludf.DUMMYFUNCTION("IFERROR(GOOGLETRANSLATE(A1944,""ko"",""en""),)"),"")</f>
        <v/>
      </c>
    </row>
    <row r="1942" spans="1:2" ht="18">
      <c r="A1942" s="3"/>
      <c r="B1942" s="3" t="str">
        <f ca="1">IFERROR(__xludf.DUMMYFUNCTION("IFERROR(GOOGLETRANSLATE(A1945,""ko"",""en""),)"),"")</f>
        <v/>
      </c>
    </row>
    <row r="1943" spans="1:2" ht="18">
      <c r="A1943" s="3"/>
      <c r="B1943" s="3" t="str">
        <f ca="1">IFERROR(__xludf.DUMMYFUNCTION("IFERROR(GOOGLETRANSLATE(A1946,""ko"",""en""),)"),"")</f>
        <v/>
      </c>
    </row>
    <row r="1944" spans="1:2" ht="18">
      <c r="A1944" s="3"/>
      <c r="B1944" s="3" t="str">
        <f ca="1">IFERROR(__xludf.DUMMYFUNCTION("IFERROR(GOOGLETRANSLATE(A1947,""ko"",""en""),)"),"")</f>
        <v/>
      </c>
    </row>
    <row r="1945" spans="1:2" ht="18">
      <c r="A1945" s="3"/>
      <c r="B1945" s="3" t="str">
        <f ca="1">IFERROR(__xludf.DUMMYFUNCTION("IFERROR(GOOGLETRANSLATE(A1948,""ko"",""en""),)"),"")</f>
        <v/>
      </c>
    </row>
    <row r="1946" spans="1:2" ht="18">
      <c r="A1946" s="3"/>
      <c r="B1946" s="3" t="str">
        <f ca="1">IFERROR(__xludf.DUMMYFUNCTION("IFERROR(GOOGLETRANSLATE(A1949,""ko"",""en""),)"),"")</f>
        <v/>
      </c>
    </row>
    <row r="1947" spans="1:2" ht="18">
      <c r="A1947" s="3"/>
      <c r="B1947" s="3" t="str">
        <f ca="1">IFERROR(__xludf.DUMMYFUNCTION("IFERROR(GOOGLETRANSLATE(A1950,""ko"",""en""),)"),"")</f>
        <v/>
      </c>
    </row>
    <row r="1948" spans="1:2" ht="18">
      <c r="A1948" s="3"/>
      <c r="B1948" s="3" t="str">
        <f ca="1">IFERROR(__xludf.DUMMYFUNCTION("IFERROR(GOOGLETRANSLATE(A1951,""ko"",""en""),)"),"")</f>
        <v/>
      </c>
    </row>
    <row r="1949" spans="1:2" ht="18">
      <c r="A1949" s="3"/>
      <c r="B1949" s="3" t="str">
        <f ca="1">IFERROR(__xludf.DUMMYFUNCTION("IFERROR(GOOGLETRANSLATE(A1952,""ko"",""en""),)"),"")</f>
        <v/>
      </c>
    </row>
    <row r="1950" spans="1:2" ht="18">
      <c r="A1950" s="3"/>
      <c r="B1950" s="3" t="str">
        <f ca="1">IFERROR(__xludf.DUMMYFUNCTION("IFERROR(GOOGLETRANSLATE(A1953,""ko"",""en""),)"),"")</f>
        <v/>
      </c>
    </row>
    <row r="1951" spans="1:2" ht="18">
      <c r="A1951" s="3"/>
      <c r="B1951" s="3" t="str">
        <f ca="1">IFERROR(__xludf.DUMMYFUNCTION("IFERROR(GOOGLETRANSLATE(A1954,""ko"",""en""),)"),"")</f>
        <v/>
      </c>
    </row>
    <row r="1952" spans="1:2" ht="18">
      <c r="A1952" s="3"/>
      <c r="B1952" s="3" t="str">
        <f ca="1">IFERROR(__xludf.DUMMYFUNCTION("IFERROR(GOOGLETRANSLATE(A1955,""ko"",""en""),)"),"")</f>
        <v/>
      </c>
    </row>
    <row r="1953" spans="1:2" ht="18">
      <c r="A1953" s="3"/>
      <c r="B1953" s="3" t="str">
        <f ca="1">IFERROR(__xludf.DUMMYFUNCTION("IFERROR(GOOGLETRANSLATE(A1956,""ko"",""en""),)"),"")</f>
        <v/>
      </c>
    </row>
    <row r="1954" spans="1:2" ht="18">
      <c r="A1954" s="3"/>
      <c r="B1954" s="3" t="str">
        <f ca="1">IFERROR(__xludf.DUMMYFUNCTION("IFERROR(GOOGLETRANSLATE(A1957,""ko"",""en""),)"),"")</f>
        <v/>
      </c>
    </row>
    <row r="1955" spans="1:2" ht="18">
      <c r="A1955" s="3"/>
      <c r="B1955" s="3" t="str">
        <f ca="1">IFERROR(__xludf.DUMMYFUNCTION("IFERROR(GOOGLETRANSLATE(A1958,""ko"",""en""),)"),"")</f>
        <v/>
      </c>
    </row>
    <row r="1956" spans="1:2" ht="18">
      <c r="A1956" s="3"/>
      <c r="B1956" s="3" t="str">
        <f ca="1">IFERROR(__xludf.DUMMYFUNCTION("IFERROR(GOOGLETRANSLATE(A1959,""ko"",""en""),)"),"")</f>
        <v/>
      </c>
    </row>
    <row r="1957" spans="1:2" ht="18">
      <c r="A1957" s="3"/>
      <c r="B1957" s="3" t="str">
        <f ca="1">IFERROR(__xludf.DUMMYFUNCTION("IFERROR(GOOGLETRANSLATE(A1960,""ko"",""en""),)"),"")</f>
        <v/>
      </c>
    </row>
    <row r="1958" spans="1:2" ht="18">
      <c r="A1958" s="3"/>
      <c r="B1958" s="3" t="str">
        <f ca="1">IFERROR(__xludf.DUMMYFUNCTION("IFERROR(GOOGLETRANSLATE(A1961,""ko"",""en""),)"),"")</f>
        <v/>
      </c>
    </row>
    <row r="1959" spans="1:2" ht="18">
      <c r="A1959" s="3"/>
      <c r="B1959" s="3" t="str">
        <f ca="1">IFERROR(__xludf.DUMMYFUNCTION("IFERROR(GOOGLETRANSLATE(A1962,""ko"",""en""),)"),"")</f>
        <v/>
      </c>
    </row>
    <row r="1960" spans="1:2" ht="18">
      <c r="A1960" s="3"/>
      <c r="B1960" s="3" t="str">
        <f ca="1">IFERROR(__xludf.DUMMYFUNCTION("IFERROR(GOOGLETRANSLATE(A1963,""ko"",""en""),)"),"")</f>
        <v/>
      </c>
    </row>
    <row r="1961" spans="1:2" ht="18">
      <c r="A1961" s="3"/>
      <c r="B1961" s="3" t="str">
        <f ca="1">IFERROR(__xludf.DUMMYFUNCTION("IFERROR(GOOGLETRANSLATE(A1964,""ko"",""en""),)"),"")</f>
        <v/>
      </c>
    </row>
    <row r="1962" spans="1:2" ht="18">
      <c r="A1962" s="3"/>
      <c r="B1962" s="3" t="str">
        <f ca="1">IFERROR(__xludf.DUMMYFUNCTION("IFERROR(GOOGLETRANSLATE(A1965,""ko"",""en""),)"),"")</f>
        <v/>
      </c>
    </row>
    <row r="1963" spans="1:2" ht="18">
      <c r="A1963" s="3"/>
      <c r="B1963" s="3" t="str">
        <f ca="1">IFERROR(__xludf.DUMMYFUNCTION("IFERROR(GOOGLETRANSLATE(A1966,""ko"",""en""),)"),"")</f>
        <v/>
      </c>
    </row>
    <row r="1964" spans="1:2" ht="18">
      <c r="A1964" s="3"/>
      <c r="B1964" s="3" t="str">
        <f ca="1">IFERROR(__xludf.DUMMYFUNCTION("IFERROR(GOOGLETRANSLATE(A1967,""ko"",""en""),)"),"")</f>
        <v/>
      </c>
    </row>
    <row r="1965" spans="1:2" ht="18">
      <c r="A1965" s="3"/>
      <c r="B1965" s="3" t="str">
        <f ca="1">IFERROR(__xludf.DUMMYFUNCTION("IFERROR(GOOGLETRANSLATE(A1968,""ko"",""en""),)"),"")</f>
        <v/>
      </c>
    </row>
    <row r="1966" spans="1:2" ht="18">
      <c r="A1966" s="3"/>
      <c r="B1966" s="3" t="str">
        <f ca="1">IFERROR(__xludf.DUMMYFUNCTION("IFERROR(GOOGLETRANSLATE(A1969,""ko"",""en""),)"),"")</f>
        <v/>
      </c>
    </row>
    <row r="1967" spans="1:2" ht="18">
      <c r="A1967" s="3"/>
      <c r="B1967" s="3" t="str">
        <f ca="1">IFERROR(__xludf.DUMMYFUNCTION("IFERROR(GOOGLETRANSLATE(A1970,""ko"",""en""),)"),"")</f>
        <v/>
      </c>
    </row>
    <row r="1968" spans="1:2" ht="18">
      <c r="A1968" s="3"/>
      <c r="B1968" s="3" t="str">
        <f ca="1">IFERROR(__xludf.DUMMYFUNCTION("IFERROR(GOOGLETRANSLATE(A1971,""ko"",""en""),)"),"")</f>
        <v/>
      </c>
    </row>
    <row r="1969" spans="1:2" ht="18">
      <c r="A1969" s="3"/>
      <c r="B1969" s="3" t="str">
        <f ca="1">IFERROR(__xludf.DUMMYFUNCTION("IFERROR(GOOGLETRANSLATE(A1972,""ko"",""en""),)"),"")</f>
        <v/>
      </c>
    </row>
    <row r="1970" spans="1:2" ht="18">
      <c r="A1970" s="3"/>
      <c r="B1970" s="3" t="str">
        <f ca="1">IFERROR(__xludf.DUMMYFUNCTION("IFERROR(GOOGLETRANSLATE(A1973,""ko"",""en""),)"),"")</f>
        <v/>
      </c>
    </row>
    <row r="1971" spans="1:2" ht="18">
      <c r="A1971" s="3"/>
      <c r="B1971" s="3" t="str">
        <f ca="1">IFERROR(__xludf.DUMMYFUNCTION("IFERROR(GOOGLETRANSLATE(A1974,""ko"",""en""),)"),"")</f>
        <v/>
      </c>
    </row>
    <row r="1972" spans="1:2" ht="18">
      <c r="A1972" s="3"/>
      <c r="B1972" s="3" t="str">
        <f ca="1">IFERROR(__xludf.DUMMYFUNCTION("IFERROR(GOOGLETRANSLATE(A1975,""ko"",""en""),)"),"")</f>
        <v/>
      </c>
    </row>
    <row r="1973" spans="1:2" ht="18">
      <c r="A1973" s="3"/>
      <c r="B1973" s="3" t="str">
        <f ca="1">IFERROR(__xludf.DUMMYFUNCTION("IFERROR(GOOGLETRANSLATE(A1976,""ko"",""en""),)"),"")</f>
        <v/>
      </c>
    </row>
    <row r="1974" spans="1:2" ht="18">
      <c r="A1974" s="3"/>
      <c r="B1974" s="3" t="str">
        <f ca="1">IFERROR(__xludf.DUMMYFUNCTION("IFERROR(GOOGLETRANSLATE(A1977,""ko"",""en""),)"),"")</f>
        <v/>
      </c>
    </row>
    <row r="1975" spans="1:2" ht="18">
      <c r="A1975" s="3"/>
      <c r="B1975" s="3" t="str">
        <f ca="1">IFERROR(__xludf.DUMMYFUNCTION("IFERROR(GOOGLETRANSLATE(A1978,""ko"",""en""),)"),"")</f>
        <v/>
      </c>
    </row>
    <row r="1976" spans="1:2" ht="18">
      <c r="A1976" s="3"/>
      <c r="B1976" s="3" t="str">
        <f ca="1">IFERROR(__xludf.DUMMYFUNCTION("IFERROR(GOOGLETRANSLATE(A1979,""ko"",""en""),)"),"")</f>
        <v/>
      </c>
    </row>
    <row r="1977" spans="1:2" ht="18">
      <c r="A1977" s="3"/>
      <c r="B1977" s="3" t="str">
        <f ca="1">IFERROR(__xludf.DUMMYFUNCTION("IFERROR(GOOGLETRANSLATE(A1980,""ko"",""en""),)"),"")</f>
        <v/>
      </c>
    </row>
    <row r="1978" spans="1:2" ht="18">
      <c r="A1978" s="3"/>
      <c r="B1978" s="3" t="str">
        <f ca="1">IFERROR(__xludf.DUMMYFUNCTION("IFERROR(GOOGLETRANSLATE(A1981,""ko"",""en""),)"),"")</f>
        <v/>
      </c>
    </row>
    <row r="1979" spans="1:2" ht="18">
      <c r="A1979" s="3"/>
      <c r="B1979" s="3" t="str">
        <f ca="1">IFERROR(__xludf.DUMMYFUNCTION("IFERROR(GOOGLETRANSLATE(A1982,""ko"",""en""),)"),"")</f>
        <v/>
      </c>
    </row>
    <row r="1980" spans="1:2" ht="18">
      <c r="A1980" s="3"/>
      <c r="B1980" s="3" t="str">
        <f ca="1">IFERROR(__xludf.DUMMYFUNCTION("IFERROR(GOOGLETRANSLATE(A1983,""ko"",""en""),)"),"")</f>
        <v/>
      </c>
    </row>
    <row r="1981" spans="1:2" ht="18">
      <c r="A1981" s="3"/>
      <c r="B1981" s="3" t="str">
        <f ca="1">IFERROR(__xludf.DUMMYFUNCTION("IFERROR(GOOGLETRANSLATE(A1984,""ko"",""en""),)"),"")</f>
        <v/>
      </c>
    </row>
    <row r="1982" spans="1:2" ht="18">
      <c r="A1982" s="3"/>
      <c r="B1982" s="3" t="str">
        <f ca="1">IFERROR(__xludf.DUMMYFUNCTION("IFERROR(GOOGLETRANSLATE(A1985,""ko"",""en""),)"),"")</f>
        <v/>
      </c>
    </row>
    <row r="1983" spans="1:2" ht="18">
      <c r="A1983" s="3"/>
      <c r="B1983" s="3" t="str">
        <f ca="1">IFERROR(__xludf.DUMMYFUNCTION("IFERROR(GOOGLETRANSLATE(A1986,""ko"",""en""),)"),"")</f>
        <v/>
      </c>
    </row>
    <row r="1984" spans="1:2" ht="18">
      <c r="A1984" s="3"/>
      <c r="B1984" s="3" t="str">
        <f ca="1">IFERROR(__xludf.DUMMYFUNCTION("IFERROR(GOOGLETRANSLATE(A1987,""ko"",""en""),)"),"")</f>
        <v/>
      </c>
    </row>
    <row r="1985" spans="1:2" ht="18">
      <c r="A1985" s="3"/>
      <c r="B1985" s="3" t="str">
        <f ca="1">IFERROR(__xludf.DUMMYFUNCTION("IFERROR(GOOGLETRANSLATE(A1988,""ko"",""en""),)"),"")</f>
        <v/>
      </c>
    </row>
    <row r="1986" spans="1:2" ht="18">
      <c r="A1986" s="3"/>
      <c r="B1986" s="3" t="str">
        <f ca="1">IFERROR(__xludf.DUMMYFUNCTION("IFERROR(GOOGLETRANSLATE(A1989,""ko"",""en""),)"),"")</f>
        <v/>
      </c>
    </row>
    <row r="1987" spans="1:2" ht="18">
      <c r="A1987" s="3"/>
      <c r="B1987" s="3" t="str">
        <f ca="1">IFERROR(__xludf.DUMMYFUNCTION("IFERROR(GOOGLETRANSLATE(A1990,""ko"",""en""),)"),"")</f>
        <v/>
      </c>
    </row>
    <row r="1988" spans="1:2" ht="18">
      <c r="A1988" s="3"/>
      <c r="B1988" s="3" t="str">
        <f ca="1">IFERROR(__xludf.DUMMYFUNCTION("IFERROR(GOOGLETRANSLATE(A1991,""ko"",""en""),)"),"")</f>
        <v/>
      </c>
    </row>
    <row r="1989" spans="1:2" ht="18">
      <c r="A1989" s="3"/>
      <c r="B1989" s="3" t="str">
        <f ca="1">IFERROR(__xludf.DUMMYFUNCTION("IFERROR(GOOGLETRANSLATE(A1992,""ko"",""en""),)"),"")</f>
        <v/>
      </c>
    </row>
    <row r="1990" spans="1:2" ht="18">
      <c r="A1990" s="3"/>
      <c r="B1990" s="3" t="str">
        <f ca="1">IFERROR(__xludf.DUMMYFUNCTION("IFERROR(GOOGLETRANSLATE(A1993,""ko"",""en""),)"),"")</f>
        <v/>
      </c>
    </row>
    <row r="1991" spans="1:2" ht="18">
      <c r="A1991" s="3"/>
      <c r="B1991" s="3" t="str">
        <f ca="1">IFERROR(__xludf.DUMMYFUNCTION("IFERROR(GOOGLETRANSLATE(A1994,""ko"",""en""),)"),"")</f>
        <v/>
      </c>
    </row>
    <row r="1992" spans="1:2" ht="18">
      <c r="A1992" s="3"/>
      <c r="B1992" s="3" t="str">
        <f ca="1">IFERROR(__xludf.DUMMYFUNCTION("IFERROR(GOOGLETRANSLATE(A1995,""ko"",""en""),)"),"")</f>
        <v/>
      </c>
    </row>
    <row r="1993" spans="1:2" ht="18">
      <c r="A1993" s="3"/>
      <c r="B1993" s="3" t="str">
        <f ca="1">IFERROR(__xludf.DUMMYFUNCTION("IFERROR(GOOGLETRANSLATE(A1996,""ko"",""en""),)"),"")</f>
        <v/>
      </c>
    </row>
    <row r="1994" spans="1:2" ht="18">
      <c r="A1994" s="3"/>
      <c r="B1994" s="3" t="str">
        <f ca="1">IFERROR(__xludf.DUMMYFUNCTION("IFERROR(GOOGLETRANSLATE(A1997,""ko"",""en""),)"),"")</f>
        <v/>
      </c>
    </row>
    <row r="1995" spans="1:2" ht="18">
      <c r="A1995" s="3"/>
      <c r="B1995" s="3" t="str">
        <f ca="1">IFERROR(__xludf.DUMMYFUNCTION("IFERROR(GOOGLETRANSLATE(A1998,""ko"",""en""),)"),"")</f>
        <v/>
      </c>
    </row>
    <row r="1996" spans="1:2" ht="18">
      <c r="A1996" s="3"/>
      <c r="B1996" s="3" t="str">
        <f ca="1">IFERROR(__xludf.DUMMYFUNCTION("IFERROR(GOOGLETRANSLATE(A1999,""ko"",""en""),)"),"")</f>
        <v/>
      </c>
    </row>
    <row r="1997" spans="1:2" ht="18">
      <c r="A1997" s="3"/>
      <c r="B1997" s="3" t="str">
        <f ca="1">IFERROR(__xludf.DUMMYFUNCTION("IFERROR(GOOGLETRANSLATE(A2000,""ko"",""en""),)"),"")</f>
        <v/>
      </c>
    </row>
    <row r="1998" spans="1:2" ht="18">
      <c r="A1998" s="3"/>
      <c r="B1998" s="3" t="str">
        <f ca="1">IFERROR(__xludf.DUMMYFUNCTION("IFERROR(GOOGLETRANSLATE(A2001,""ko"",""en""),)"),"")</f>
        <v/>
      </c>
    </row>
    <row r="1999" spans="1:2" ht="18">
      <c r="A1999" s="3"/>
      <c r="B1999" s="3" t="str">
        <f ca="1">IFERROR(__xludf.DUMMYFUNCTION("IFERROR(GOOGLETRANSLATE(A2002,""ko"",""en""),)"),"")</f>
        <v/>
      </c>
    </row>
    <row r="2000" spans="1:2" ht="18">
      <c r="A2000" s="3"/>
      <c r="B2000" s="3" t="str">
        <f ca="1">IFERROR(__xludf.DUMMYFUNCTION("IFERROR(GOOGLETRANSLATE(A2003,""ko"",""en""),)"),"")</f>
        <v/>
      </c>
    </row>
    <row r="2001" spans="1:2" ht="18">
      <c r="A2001" s="3"/>
      <c r="B2001" s="3" t="str">
        <f ca="1">IFERROR(__xludf.DUMMYFUNCTION("IFERROR(GOOGLETRANSLATE(A2004,""ko"",""en""),)"),"")</f>
        <v/>
      </c>
    </row>
    <row r="2002" spans="1:2" ht="18">
      <c r="A2002" s="3"/>
      <c r="B2002" s="3" t="str">
        <f ca="1">IFERROR(__xludf.DUMMYFUNCTION("IFERROR(GOOGLETRANSLATE(A2005,""ko"",""en""),)"),"")</f>
        <v/>
      </c>
    </row>
    <row r="2003" spans="1:2" ht="18">
      <c r="A2003" s="3"/>
      <c r="B2003" s="3" t="str">
        <f ca="1">IFERROR(__xludf.DUMMYFUNCTION("IFERROR(GOOGLETRANSLATE(A2006,""ko"",""en""),)"),"")</f>
        <v/>
      </c>
    </row>
    <row r="2004" spans="1:2" ht="18">
      <c r="A2004" s="3"/>
      <c r="B2004" s="3" t="str">
        <f ca="1">IFERROR(__xludf.DUMMYFUNCTION("IFERROR(GOOGLETRANSLATE(A2007,""ko"",""en""),)"),"")</f>
        <v/>
      </c>
    </row>
    <row r="2005" spans="1:2" ht="18">
      <c r="A2005" s="3"/>
      <c r="B2005" s="3" t="str">
        <f ca="1">IFERROR(__xludf.DUMMYFUNCTION("IFERROR(GOOGLETRANSLATE(A2008,""ko"",""en""),)"),"")</f>
        <v/>
      </c>
    </row>
    <row r="2006" spans="1:2" ht="18">
      <c r="A2006" s="3"/>
      <c r="B2006" s="3" t="str">
        <f ca="1">IFERROR(__xludf.DUMMYFUNCTION("IFERROR(GOOGLETRANSLATE(A2009,""ko"",""en""),)"),"")</f>
        <v/>
      </c>
    </row>
    <row r="2007" spans="1:2" ht="18">
      <c r="A2007" s="3"/>
      <c r="B2007" s="3" t="str">
        <f ca="1">IFERROR(__xludf.DUMMYFUNCTION("IFERROR(GOOGLETRANSLATE(A2010,""ko"",""en""),)"),"")</f>
        <v/>
      </c>
    </row>
    <row r="2008" spans="1:2" ht="18">
      <c r="A2008" s="3"/>
      <c r="B2008" s="3" t="str">
        <f ca="1">IFERROR(__xludf.DUMMYFUNCTION("IFERROR(GOOGLETRANSLATE(A2011,""ko"",""en""),)"),"")</f>
        <v/>
      </c>
    </row>
    <row r="2009" spans="1:2" ht="18">
      <c r="A2009" s="3"/>
      <c r="B2009" s="3" t="str">
        <f ca="1">IFERROR(__xludf.DUMMYFUNCTION("IFERROR(GOOGLETRANSLATE(A2012,""ko"",""en""),)"),"")</f>
        <v/>
      </c>
    </row>
    <row r="2010" spans="1:2" ht="18">
      <c r="A2010" s="3"/>
      <c r="B2010" s="3" t="str">
        <f ca="1">IFERROR(__xludf.DUMMYFUNCTION("IFERROR(GOOGLETRANSLATE(A2013,""ko"",""en""),)"),"")</f>
        <v/>
      </c>
    </row>
    <row r="2011" spans="1:2" ht="18">
      <c r="A2011" s="3"/>
      <c r="B2011" s="3" t="str">
        <f ca="1">IFERROR(__xludf.DUMMYFUNCTION("IFERROR(GOOGLETRANSLATE(A2014,""ko"",""en""),)"),"")</f>
        <v/>
      </c>
    </row>
    <row r="2012" spans="1:2" ht="18">
      <c r="A2012" s="3"/>
      <c r="B2012" s="3" t="str">
        <f ca="1">IFERROR(__xludf.DUMMYFUNCTION("IFERROR(GOOGLETRANSLATE(A2015,""ko"",""en""),)"),"")</f>
        <v/>
      </c>
    </row>
    <row r="2013" spans="1:2" ht="18">
      <c r="A2013" s="3"/>
      <c r="B2013" s="3" t="str">
        <f ca="1">IFERROR(__xludf.DUMMYFUNCTION("IFERROR(GOOGLETRANSLATE(A2016,""ko"",""en""),)"),"")</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Sejong 1A-1</vt:lpstr>
      <vt:lpstr>Sejong 1A-2</vt:lpstr>
      <vt:lpstr>Sejong 1B-1</vt:lpstr>
      <vt:lpstr>Sejong 1B-2</vt:lpstr>
      <vt:lpstr>Sejong 2A-1</vt:lpstr>
      <vt:lpstr>Sejong 2A-2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Dittman Shum</cp:lastModifiedBy>
  <dcterms:modified xsi:type="dcterms:W3CDTF">2026-10-15T20:43:08Z</dcterms:modified>
</cp:coreProperties>
</file>